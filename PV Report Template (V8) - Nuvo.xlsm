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18480" windowHeight="5895" activeTab="2"/>
  </bookViews>
  <sheets>
    <sheet name="Listing" sheetId="8" r:id="rId1"/>
    <sheet name="Help" sheetId="6" state="hidden" r:id="rId2"/>
    <sheet name="BreakDown" sheetId="2" r:id="rId3"/>
    <sheet name="Graphs " sheetId="3" r:id="rId4"/>
    <sheet name="Tables" sheetId="10" r:id="rId5"/>
  </sheets>
  <definedNames>
    <definedName name="_xlnm._FilterDatabase" localSheetId="2" hidden="1">BreakDown!$A$2:$A$7</definedName>
    <definedName name="_xlnm._FilterDatabase" localSheetId="0" hidden="1">Listing!$BE:$BE</definedName>
    <definedName name="CaseA">BreakDown!$K$4:INDEX(BreakDown!$K$4:$K$12,BreakDown!#REF!)</definedName>
    <definedName name="CaseV">BreakDown!$J$4:INDEX(BreakDown!$J$4:$J$12,BreakDown!#REF!)</definedName>
    <definedName name="coo">BreakDown!#REF!:INDEX(BreakDown!#REF!,MATCH(REPT("z",255),BreakDown!#REF!))</definedName>
    <definedName name="coobd">BreakDown!#REF!:INDEX(BreakDown!#REF!,MATCH(REPT("z",255),BreakDown!#REF!))</definedName>
    <definedName name="Count_Amou_BD">BreakDown!$N$4:INDEX(BreakDown!$N$4:$N$4,BreakDown!#REF!)</definedName>
    <definedName name="Country_BD">BreakDown!$M$4:INDEX(BreakDown!$M$4:$M$4,BreakDown!#REF!)</definedName>
    <definedName name="_xlnm.Criteria" localSheetId="0">Listing!$AB$7:$AB$8</definedName>
    <definedName name="_xlnm.Extract" localSheetId="0">Listing!$BN$1</definedName>
    <definedName name="prod">BreakDown!$C$23:INDEX(BreakDown!$C$23:$C$54,MATCH(REPT("z",255),BreakDown!$C$23:$C$54))</definedName>
    <definedName name="Prod_Breakdown">BreakDown!$A$22:INDEX(BreakDown!$A$22:$A$22,BreakDown!#REF!)</definedName>
    <definedName name="Product_Breakdown_Amount">BreakDown!$B$23:INDEX(BreakDown!$B$23:$B$54,BreakDown!#REF!)</definedName>
    <definedName name="Report_Typ_Amnt">BreakDown!$E$4:INDEX(BreakDown!$E$4:$E$17,BreakDown!$C$3)</definedName>
    <definedName name="Report_Typ_BKDWN">BreakDown!$D$4:INDEX(BreakDown!$D$4:$D$17,BreakDown!$C$3)</definedName>
  </definedNames>
  <calcPr calcId="145621" calcOnSave="0"/>
</workbook>
</file>

<file path=xl/calcChain.xml><?xml version="1.0" encoding="utf-8"?>
<calcChain xmlns="http://schemas.openxmlformats.org/spreadsheetml/2006/main">
  <c r="H4" i="10" l="1"/>
  <c r="E26" i="10"/>
  <c r="E18" i="10"/>
  <c r="E17" i="10"/>
  <c r="B22" i="10"/>
  <c r="E18" i="2" l="1"/>
  <c r="E19" i="10" s="1"/>
  <c r="E20" i="10" s="1"/>
  <c r="N4" i="2"/>
  <c r="B17" i="2" l="1"/>
  <c r="B22" i="2" l="1"/>
  <c r="C22" i="2"/>
  <c r="H6" i="2" l="1"/>
  <c r="H5" i="2"/>
  <c r="H4" i="2"/>
  <c r="H10" i="2" l="1"/>
  <c r="H11" i="2"/>
  <c r="H7" i="2"/>
  <c r="H9" i="2" l="1"/>
  <c r="H8" i="2"/>
  <c r="K13" i="2"/>
  <c r="B4" i="2"/>
  <c r="B9" i="2"/>
  <c r="H12" i="2" l="1"/>
  <c r="H13" i="2" s="1"/>
  <c r="P3" i="2"/>
  <c r="AF4" i="8"/>
  <c r="H18" i="2"/>
  <c r="H17" i="2"/>
  <c r="B5" i="2"/>
  <c r="B6" i="2"/>
  <c r="B7" i="2"/>
  <c r="B8" i="2"/>
  <c r="B10" i="2"/>
  <c r="B11" i="2"/>
  <c r="B12" i="2"/>
  <c r="B13" i="2"/>
  <c r="B14" i="2"/>
  <c r="B15" i="2"/>
  <c r="B16" i="2"/>
  <c r="H19" i="2" l="1"/>
  <c r="H20" i="2" s="1"/>
  <c r="B18" i="2"/>
  <c r="K19" i="2"/>
  <c r="D22" i="2" l="1"/>
</calcChain>
</file>

<file path=xl/sharedStrings.xml><?xml version="1.0" encoding="utf-8"?>
<sst xmlns="http://schemas.openxmlformats.org/spreadsheetml/2006/main" count="174" uniqueCount="76">
  <si>
    <t>Case Num</t>
  </si>
  <si>
    <t>Case Initial Receipt Date</t>
  </si>
  <si>
    <t>Case Central Safety Date</t>
  </si>
  <si>
    <t>Case Report Type</t>
  </si>
  <si>
    <t>Product Name</t>
  </si>
  <si>
    <t>Case Seriousness?</t>
  </si>
  <si>
    <t>Case Listedness</t>
  </si>
  <si>
    <t>Literature - Spontaneous</t>
  </si>
  <si>
    <t>Unknown</t>
  </si>
  <si>
    <t>Regulatory Authority</t>
  </si>
  <si>
    <t>Spontaneous</t>
  </si>
  <si>
    <t>Literature - Study</t>
  </si>
  <si>
    <t>Regulatory - Literature</t>
  </si>
  <si>
    <t>Report Type</t>
  </si>
  <si>
    <t>Compassionate Use</t>
  </si>
  <si>
    <t>Non-sponsored Trial</t>
  </si>
  <si>
    <t>Not Available to Sender</t>
  </si>
  <si>
    <t>Other</t>
  </si>
  <si>
    <t>PAES</t>
  </si>
  <si>
    <t>PASS</t>
  </si>
  <si>
    <t>Post Marketing Surv.</t>
  </si>
  <si>
    <t>Registry</t>
  </si>
  <si>
    <t>Sponsored Trial</t>
  </si>
  <si>
    <t>Amount Of Cases</t>
  </si>
  <si>
    <t>Case Followup Safety Date</t>
  </si>
  <si>
    <t>Country of Incidence</t>
  </si>
  <si>
    <t>Case Primary Suspect Product</t>
  </si>
  <si>
    <t>Case Type</t>
  </si>
  <si>
    <t>Total Cases=</t>
  </si>
  <si>
    <t>Amount</t>
  </si>
  <si>
    <t>Cases By Product Breakdown</t>
  </si>
  <si>
    <t>Count</t>
  </si>
  <si>
    <t>Report Type Excluding Blanks</t>
  </si>
  <si>
    <t>Product Type</t>
  </si>
  <si>
    <t>Total =</t>
  </si>
  <si>
    <t>Non-Serious Follow-Up Unlisted</t>
  </si>
  <si>
    <t>Sort and remove Duplicate Values - https://www.youtube.com/watch?v=IZLAzIYfMDU</t>
  </si>
  <si>
    <t>Product Breakdown</t>
  </si>
  <si>
    <t>Drug Concentration</t>
  </si>
  <si>
    <t>Drug Product Concentration Units ID</t>
  </si>
  <si>
    <t>TOTAL Products=</t>
  </si>
  <si>
    <t>TOTAL Countries =</t>
  </si>
  <si>
    <t>Country Of Occurrence</t>
  </si>
  <si>
    <r>
      <rPr>
        <b/>
        <sz val="11"/>
        <color theme="1"/>
        <rFont val="Calibri"/>
        <family val="2"/>
        <scheme val="minor"/>
      </rPr>
      <t>Link to do the Charts without blanks in</t>
    </r>
    <r>
      <rPr>
        <sz val="11"/>
        <color theme="1"/>
        <rFont val="Calibri"/>
        <family val="2"/>
        <scheme val="minor"/>
      </rPr>
      <t xml:space="preserve"> - https://www.youtube.com/watch?v=3AokhwA7q7M (this is for All Charts)</t>
    </r>
  </si>
  <si>
    <t>Serious Initial Unlisted Cases</t>
  </si>
  <si>
    <t>Serious Follow-Up Unlisted Cases</t>
  </si>
  <si>
    <t>Serious Follow-Up Listed Cases</t>
  </si>
  <si>
    <t>Non-Serious Initial Listed Cases</t>
  </si>
  <si>
    <t>Serious Initial Listed Cases</t>
  </si>
  <si>
    <t>Company</t>
  </si>
  <si>
    <t>Non Company</t>
  </si>
  <si>
    <t>Case Version &amp; Seriousness Breakdown</t>
  </si>
  <si>
    <t>TOTAL =</t>
  </si>
  <si>
    <t>Case Version &amp; Seriousness Breakdown Excluding Blanks</t>
  </si>
  <si>
    <t>Product Strength</t>
  </si>
  <si>
    <t>Non-Serious Initial Unlisted Cases</t>
  </si>
  <si>
    <t>Non-Serious Follow-Up Listed Cases</t>
  </si>
  <si>
    <t>Company / Non-Company</t>
  </si>
  <si>
    <t>Company / Non company Cases</t>
  </si>
  <si>
    <t>Total Cases</t>
  </si>
  <si>
    <t>?</t>
  </si>
  <si>
    <t>Case version and Seriousness Breakdown</t>
  </si>
  <si>
    <t>Unlisted</t>
  </si>
  <si>
    <t>Listed</t>
  </si>
  <si>
    <t>Creation Date And Time</t>
  </si>
  <si>
    <t>Start Date</t>
  </si>
  <si>
    <t>End Date</t>
  </si>
  <si>
    <t>Date Range</t>
  </si>
  <si>
    <t>Total</t>
  </si>
  <si>
    <t>Type</t>
  </si>
  <si>
    <t>232</t>
  </si>
  <si>
    <t>If No Dates Entered, tracker will use all values</t>
  </si>
  <si>
    <t>&lt;43251</t>
  </si>
  <si>
    <t>ATO-000004-2015</t>
  </si>
  <si>
    <t>&gt;41030</t>
  </si>
  <si>
    <t>Seriousness Excluding Blanks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</si>
</sst>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dd/mm/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i/>
      <sz val="11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02BE3C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8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16" fillId="0" borderId="0" xfId="0" applyFont="1"/>
    <xf numFmtId="0" fontId="0" fillId="0" borderId="0" xfId="0" applyFill="1"/>
    <xf numFmtId="0" fontId="19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6" fillId="34" borderId="13" xfId="0" applyFont="1" applyFill="1" applyBorder="1" applyAlignment="1">
      <alignment horizontal="center" vertical="center"/>
    </xf>
    <xf numFmtId="0" fontId="0" fillId="34" borderId="13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0" fontId="19" fillId="36" borderId="0" xfId="0" applyFont="1" applyFill="1" applyBorder="1" applyAlignment="1">
      <alignment horizontal="center" vertical="center"/>
    </xf>
    <xf numFmtId="0" fontId="19" fillId="33" borderId="0" xfId="0" applyFont="1" applyFill="1" applyBorder="1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33" borderId="0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13" fillId="35" borderId="14" xfId="0" applyFont="1" applyFill="1" applyBorder="1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0" fontId="0" fillId="0" borderId="0" xfId="0" applyNumberFormat="1" applyAlignment="1" applyProtection="1">
      <alignment horizontal="center" vertical="center"/>
      <protection locked="0"/>
    </xf>
    <xf numFmtId="9" fontId="16" fillId="0" borderId="10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7" fillId="33" borderId="0" xfId="0" applyFont="1" applyFill="1" applyBorder="1" applyAlignment="1">
      <alignment horizontal="center" vertical="center"/>
    </xf>
    <xf numFmtId="0" fontId="0" fillId="37" borderId="0" xfId="0" applyFill="1"/>
    <xf numFmtId="0" fontId="0" fillId="33" borderId="0" xfId="0" applyFill="1"/>
    <xf numFmtId="0" fontId="17" fillId="38" borderId="0" xfId="0" applyFont="1" applyFill="1"/>
    <xf numFmtId="0" fontId="17" fillId="38" borderId="0" xfId="0" applyFont="1" applyFill="1" applyAlignment="1"/>
    <xf numFmtId="0" fontId="13" fillId="35" borderId="0" xfId="0" applyFont="1" applyFill="1" applyBorder="1"/>
    <xf numFmtId="0" fontId="13" fillId="35" borderId="12" xfId="0" applyFont="1" applyFill="1" applyBorder="1"/>
    <xf numFmtId="0" fontId="13" fillId="35" borderId="15" xfId="0" applyFont="1" applyFill="1" applyBorder="1"/>
    <xf numFmtId="0" fontId="13" fillId="35" borderId="16" xfId="0" applyFont="1" applyFill="1" applyBorder="1"/>
    <xf numFmtId="0" fontId="0" fillId="0" borderId="0" xfId="0" applyAlignment="1">
      <alignment wrapText="1"/>
    </xf>
    <xf numFmtId="0" fontId="0" fillId="0" borderId="0" xfId="0"/>
    <xf numFmtId="16" fontId="0" fillId="0" borderId="0" xfId="0" applyNumberFormat="1"/>
    <xf numFmtId="22" fontId="0" fillId="0" borderId="0" xfId="0" applyNumberFormat="1"/>
    <xf numFmtId="0" fontId="0" fillId="0" borderId="0" xfId="0" quotePrefix="1"/>
    <xf numFmtId="0" fontId="0" fillId="33" borderId="0" xfId="0" applyFill="1" applyAlignment="1">
      <alignment horizontal="center"/>
    </xf>
    <xf numFmtId="0" fontId="13" fillId="35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35" borderId="18" xfId="0" applyFont="1" applyFill="1" applyBorder="1" applyAlignment="1">
      <alignment horizontal="center" vertical="center" wrapText="1"/>
    </xf>
    <xf numFmtId="0" fontId="0" fillId="40" borderId="0" xfId="0" applyFill="1"/>
    <xf numFmtId="0" fontId="0" fillId="4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8" fillId="39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0" fillId="39" borderId="0" xfId="0" applyFill="1"/>
    <xf numFmtId="0" fontId="19" fillId="33" borderId="0" xfId="0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5" fillId="33" borderId="11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  <xf numFmtId="0" fontId="13" fillId="33" borderId="18" xfId="0" applyFont="1" applyFill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164" fontId="16" fillId="0" borderId="10" xfId="42" applyNumberFormat="1" applyFont="1" applyBorder="1" applyAlignment="1">
      <alignment horizontal="center" vertical="center"/>
    </xf>
    <xf numFmtId="0" fontId="17" fillId="33" borderId="18" xfId="0" applyFont="1" applyFill="1" applyBorder="1" applyAlignment="1">
      <alignment horizontal="center" vertical="center"/>
    </xf>
    <xf numFmtId="0" fontId="0" fillId="33" borderId="0" xfId="0" applyFill="1" applyAlignment="1">
      <alignment horizontal="left" vertical="center"/>
    </xf>
    <xf numFmtId="0" fontId="19" fillId="33" borderId="23" xfId="0" applyFont="1" applyFill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 wrapText="1"/>
    </xf>
    <xf numFmtId="0" fontId="19" fillId="33" borderId="24" xfId="0" applyFont="1" applyFill="1" applyBorder="1" applyAlignment="1">
      <alignment horizontal="center" vertical="center"/>
    </xf>
    <xf numFmtId="0" fontId="19" fillId="33" borderId="22" xfId="0" applyFont="1" applyFill="1" applyBorder="1" applyAlignment="1">
      <alignment horizontal="center" vertical="center"/>
    </xf>
    <xf numFmtId="0" fontId="25" fillId="33" borderId="21" xfId="0" applyFont="1" applyFill="1" applyBorder="1" applyAlignment="1">
      <alignment horizontal="center" vertical="center"/>
    </xf>
    <xf numFmtId="0" fontId="19" fillId="36" borderId="27" xfId="0" applyFont="1" applyFill="1" applyBorder="1" applyAlignment="1">
      <alignment horizontal="center" vertical="center"/>
    </xf>
    <xf numFmtId="0" fontId="19" fillId="33" borderId="28" xfId="0" applyFont="1" applyFill="1" applyBorder="1" applyAlignment="1">
      <alignment horizontal="center" vertical="center"/>
    </xf>
    <xf numFmtId="0" fontId="19" fillId="33" borderId="2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1" fillId="36" borderId="29" xfId="0" applyFont="1" applyFill="1" applyBorder="1" applyAlignment="1">
      <alignment horizontal="center" vertical="center"/>
    </xf>
    <xf numFmtId="0" fontId="13" fillId="35" borderId="24" xfId="0" applyFont="1" applyFill="1" applyBorder="1" applyAlignment="1">
      <alignment horizontal="center" vertical="center"/>
    </xf>
    <xf numFmtId="0" fontId="13" fillId="33" borderId="25" xfId="0" applyFont="1" applyFill="1" applyBorder="1" applyAlignment="1">
      <alignment horizontal="center" vertical="center"/>
    </xf>
    <xf numFmtId="0" fontId="24" fillId="0" borderId="13" xfId="0" applyFont="1" applyFill="1" applyBorder="1" applyAlignment="1">
      <alignment horizontal="center" vertical="center"/>
    </xf>
    <xf numFmtId="0" fontId="19" fillId="33" borderId="2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3" borderId="30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41" borderId="0" xfId="0" applyFill="1"/>
    <xf numFmtId="165" fontId="13" fillId="35" borderId="12" xfId="0" applyNumberFormat="1" applyFont="1" applyFill="1" applyBorder="1"/>
    <xf numFmtId="165" fontId="0" fillId="0" borderId="0" xfId="0" applyNumberFormat="1"/>
    <xf numFmtId="0" fontId="24" fillId="0" borderId="17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center" vertical="center"/>
    </xf>
    <xf numFmtId="0" fontId="26" fillId="38" borderId="0" xfId="0" applyFont="1" applyFill="1" applyAlignment="1"/>
    <xf numFmtId="0" fontId="30" fillId="33" borderId="30" xfId="0" applyFont="1" applyFill="1" applyBorder="1" applyAlignment="1">
      <alignment horizontal="center" vertical="center"/>
    </xf>
    <xf numFmtId="0" fontId="0" fillId="0" borderId="13" xfId="0" applyBorder="1"/>
    <xf numFmtId="15" fontId="0" fillId="0" borderId="13" xfId="0" applyNumberFormat="1" applyBorder="1"/>
    <xf numFmtId="22" fontId="0" fillId="0" borderId="13" xfId="0" applyNumberFormat="1" applyBorder="1"/>
    <xf numFmtId="16" fontId="0" fillId="0" borderId="13" xfId="0" applyNumberFormat="1" applyBorder="1"/>
    <xf numFmtId="9" fontId="0" fillId="0" borderId="13" xfId="0" applyNumberFormat="1" applyBorder="1"/>
    <xf numFmtId="0" fontId="19" fillId="33" borderId="18" xfId="0" applyFont="1" applyFill="1" applyBorder="1" applyAlignment="1">
      <alignment horizontal="center" vertical="center"/>
    </xf>
    <xf numFmtId="0" fontId="30" fillId="33" borderId="0" xfId="0" applyNumberFormat="1" applyFont="1" applyFill="1" applyAlignment="1">
      <alignment horizontal="center" vertical="center"/>
    </xf>
    <xf numFmtId="0" fontId="30" fillId="41" borderId="17" xfId="0" applyFont="1" applyFill="1" applyBorder="1" applyAlignment="1">
      <alignment horizontal="center" vertical="center"/>
    </xf>
    <xf numFmtId="0" fontId="0" fillId="0" borderId="13" xfId="0" applyBorder="1"/>
    <xf numFmtId="15" fontId="0" fillId="0" borderId="13" xfId="0" applyNumberFormat="1" applyBorder="1"/>
    <xf numFmtId="22" fontId="0" fillId="0" borderId="13" xfId="0" applyNumberFormat="1" applyBorder="1"/>
    <xf numFmtId="16" fontId="0" fillId="0" borderId="13" xfId="0" applyNumberFormat="1" applyBorder="1"/>
    <xf numFmtId="0" fontId="30" fillId="33" borderId="17" xfId="0" applyFont="1" applyFill="1" applyBorder="1" applyAlignment="1">
      <alignment horizontal="center" vertical="center"/>
    </xf>
    <xf numFmtId="0" fontId="30" fillId="41" borderId="17" xfId="0" applyNumberFormat="1" applyFont="1" applyFill="1" applyBorder="1" applyAlignment="1">
      <alignment horizontal="center" vertical="center"/>
    </xf>
    <xf numFmtId="0" fontId="32" fillId="41" borderId="17" xfId="0" applyFont="1" applyFill="1" applyBorder="1" applyAlignment="1">
      <alignment horizontal="center" vertical="center"/>
    </xf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16" fillId="34" borderId="13" xfId="0" applyFont="1" applyFill="1" applyBorder="1" applyAlignment="1">
      <alignment horizontal="center" vertical="center"/>
    </xf>
    <xf numFmtId="0" fontId="0" fillId="34" borderId="13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16" fillId="0" borderId="10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15" fontId="0" fillId="0" borderId="0" xfId="0" applyNumberFormat="1"/>
    <xf numFmtId="0" fontId="16" fillId="0" borderId="17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33" borderId="0" xfId="0" applyFill="1"/>
    <xf numFmtId="0" fontId="28" fillId="39" borderId="0" xfId="0" applyFont="1" applyFill="1" applyAlignment="1">
      <alignment horizontal="center" vertical="center"/>
    </xf>
    <xf numFmtId="0" fontId="17" fillId="39" borderId="0" xfId="0" applyFont="1" applyFill="1" applyAlignment="1">
      <alignment horizontal="center" vertical="center" wrapText="1"/>
    </xf>
    <xf numFmtId="0" fontId="17" fillId="39" borderId="19" xfId="0" applyFont="1" applyFill="1" applyBorder="1" applyAlignment="1">
      <alignment horizontal="center" vertical="center" wrapText="1"/>
    </xf>
    <xf numFmtId="0" fontId="19" fillId="33" borderId="18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19" fillId="33" borderId="0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  <xf numFmtId="0" fontId="13" fillId="38" borderId="0" xfId="0" applyFont="1" applyFill="1" applyAlignment="1">
      <alignment horizontal="center"/>
    </xf>
    <xf numFmtId="0" fontId="17" fillId="38" borderId="0" xfId="0" applyFont="1" applyFill="1" applyAlignment="1">
      <alignment horizontal="center"/>
    </xf>
    <xf numFmtId="0" fontId="30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7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 outline="0"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</dxf>
    <dxf>
      <border>
        <bottom style="thin">
          <color theme="0"/>
        </bottom>
      </border>
    </dxf>
    <dxf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>
        <bottom style="thin">
          <color theme="0"/>
        </bottom>
      </border>
    </dxf>
    <dxf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>
        <bottom style="thin">
          <color theme="0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2BE3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5"/>
    </mc:Choice>
    <mc:Fallback>
      <c:style val="2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Report Type Overview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BreakDown!$E$3</c:f>
              <c:strCache>
                <c:ptCount val="1"/>
                <c:pt idx="0">
                  <c:v>Amount Of Cases</c:v>
                </c:pt>
              </c:strCache>
            </c:strRef>
          </c:tx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BreakDown!$D$4:$D$17</c:f>
              <c:numCache>
                <c:formatCode>General</c:formatCode>
                <c:ptCount val="14"/>
              </c:numCache>
            </c:numRef>
          </c:cat>
          <c:val>
            <c:numRef>
              <c:f>BreakDown!$E$4:$E$17</c:f>
              <c:numCache>
                <c:formatCode>General</c:formatCode>
                <c:ptCount val="1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173793280"/>
        <c:axId val="173795584"/>
      </c:barChart>
      <c:catAx>
        <c:axId val="17379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3795584"/>
        <c:crosses val="autoZero"/>
        <c:auto val="1"/>
        <c:lblAlgn val="ctr"/>
        <c:lblOffset val="100"/>
        <c:noMultiLvlLbl val="0"/>
      </c:catAx>
      <c:valAx>
        <c:axId val="1737955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37932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5"/>
    </mc:Choice>
    <mc:Fallback>
      <c:style val="25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GB"/>
              <a:t>Country Of Occurrence Breakdown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BreakDown!$N$3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BreakDown!$M$4</c:f>
              <c:numCache>
                <c:formatCode>General</c:formatCode>
                <c:ptCount val="1"/>
              </c:numCache>
            </c:numRef>
          </c:cat>
          <c:val>
            <c:numRef>
              <c:f>BreakDown!$N$4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229789696"/>
        <c:axId val="229791232"/>
      </c:barChart>
      <c:catAx>
        <c:axId val="229789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29791232"/>
        <c:crosses val="autoZero"/>
        <c:auto val="1"/>
        <c:lblAlgn val="ctr"/>
        <c:lblOffset val="100"/>
        <c:noMultiLvlLbl val="0"/>
      </c:catAx>
      <c:valAx>
        <c:axId val="22979123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2978969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GB"/>
              <a:t>Case Version &amp; Seriousness Breakdown</a:t>
            </a:r>
          </a:p>
        </c:rich>
      </c:tx>
      <c:layout>
        <c:manualLayout>
          <c:xMode val="edge"/>
          <c:yMode val="edge"/>
          <c:x val="0.20128060868254391"/>
          <c:y val="2.3367699491384539E-2"/>
        </c:manualLayout>
      </c:layout>
      <c:overlay val="0"/>
    </c:title>
    <c:autoTitleDeleted val="0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BreakDown!$K$3</c:f>
              <c:strCache>
                <c:ptCount val="1"/>
                <c:pt idx="0">
                  <c:v>Amount</c:v>
                </c:pt>
              </c:strCache>
            </c:strRef>
          </c:tx>
          <c:explosion val="24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BreakDown!$J$4:$J$12</c:f>
              <c:numCache>
                <c:formatCode>General</c:formatCode>
                <c:ptCount val="9"/>
              </c:numCache>
            </c:numRef>
          </c:cat>
          <c:val>
            <c:numRef>
              <c:f>BreakDown!$K$4:$K$12</c:f>
              <c:numCache>
                <c:formatCode>General</c:formatCode>
                <c:ptCount val="9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</c:spPr>
    </c:plotArea>
    <c:legend>
      <c:legendPos val="r"/>
      <c:layout>
        <c:manualLayout>
          <c:xMode val="edge"/>
          <c:yMode val="edge"/>
          <c:x val="0.67096434434184415"/>
          <c:y val="0.33404229063846863"/>
          <c:w val="0.31705955549670706"/>
          <c:h val="0.46859924293180122"/>
        </c:manualLayout>
      </c:layout>
      <c:overlay val="0"/>
      <c:spPr>
        <a:ln>
          <a:solidFill>
            <a:sysClr val="window" lastClr="FFFFFF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2965310586176729"/>
          <c:y val="0.10185185185185185"/>
          <c:w val="0.53888888888888886"/>
          <c:h val="0.89814814814814814"/>
        </c:manualLayout>
      </c:layout>
      <c:pie3DChart>
        <c:varyColors val="1"/>
        <c:ser>
          <c:idx val="0"/>
          <c:order val="0"/>
          <c:explosion val="28"/>
          <c:dPt>
            <c:idx val="0"/>
            <c:bubble3D val="0"/>
            <c:explosion val="0"/>
          </c:dPt>
          <c:dLbls>
            <c:dLbl>
              <c:idx val="1"/>
              <c:layout>
                <c:manualLayout>
                  <c:x val="-5.4763401722330877E-3"/>
                  <c:y val="3.65304688787867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BreakDown!$J$17:$J$18</c:f>
              <c:strCache>
                <c:ptCount val="2"/>
                <c:pt idx="0">
                  <c:v>Company</c:v>
                </c:pt>
                <c:pt idx="1">
                  <c:v>Non Company</c:v>
                </c:pt>
              </c:strCache>
            </c:strRef>
          </c:cat>
          <c:val>
            <c:numRef>
              <c:f>BreakDown!$K$17:$K$18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r"/>
      <c:layout>
        <c:manualLayout>
          <c:xMode val="edge"/>
          <c:yMode val="edge"/>
          <c:x val="0.76950532070590238"/>
          <c:y val="0.37364683703995333"/>
          <c:w val="0.20989218582471347"/>
          <c:h val="0.29915583165329562"/>
        </c:manualLayout>
      </c:layout>
      <c:overlay val="0"/>
      <c:spPr>
        <a:ln>
          <a:noFill/>
        </a:ln>
      </c:sp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Product Strength Breakdown</a:t>
            </a:r>
          </a:p>
        </c:rich>
      </c:tx>
      <c:layout/>
      <c:overlay val="0"/>
    </c:title>
    <c:autoTitleDeleted val="0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BreakDown!$H$16</c:f>
              <c:strCache>
                <c:ptCount val="1"/>
                <c:pt idx="0">
                  <c:v>Amount</c:v>
                </c:pt>
              </c:strCache>
            </c:strRef>
          </c:tx>
          <c:explosion val="24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BreakDown!$G$17:$G$19</c:f>
              <c:strCache>
                <c:ptCount val="3"/>
                <c:pt idx="0">
                  <c:v>1.5%</c:v>
                </c:pt>
                <c:pt idx="1">
                  <c:v>2%</c:v>
                </c:pt>
                <c:pt idx="2">
                  <c:v>Unknown</c:v>
                </c:pt>
              </c:strCache>
            </c:strRef>
          </c:cat>
          <c:val>
            <c:numRef>
              <c:f>BreakDown!$H$17:$H$19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67096434434184415"/>
          <c:y val="0.33404229063846863"/>
          <c:w val="0.18747244094488191"/>
          <c:h val="0.28477143482064743"/>
        </c:manualLayout>
      </c:layout>
      <c:overlay val="0"/>
      <c:spPr>
        <a:ln>
          <a:noFill/>
        </a:ln>
      </c:sp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BreakDown!$K$3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cat>
            <c:numRef>
              <c:f>BreakDown!$J$4:$J$12</c:f>
              <c:numCache>
                <c:formatCode>General</c:formatCode>
                <c:ptCount val="9"/>
              </c:numCache>
            </c:numRef>
          </c:cat>
          <c:val>
            <c:numRef>
              <c:f>BreakDown!$K$4:$K$12</c:f>
              <c:numCache>
                <c:formatCode>General</c:formatCode>
                <c:ptCount val="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235328"/>
        <c:axId val="145253504"/>
      </c:barChart>
      <c:catAx>
        <c:axId val="14523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253504"/>
        <c:crosses val="autoZero"/>
        <c:auto val="1"/>
        <c:lblAlgn val="ctr"/>
        <c:lblOffset val="100"/>
        <c:noMultiLvlLbl val="0"/>
      </c:catAx>
      <c:valAx>
        <c:axId val="14525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2353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BreakDown!$B$21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cat>
            <c:numRef>
              <c:f>BreakDown!$A$22</c:f>
              <c:numCache>
                <c:formatCode>General</c:formatCode>
                <c:ptCount val="1"/>
              </c:numCache>
            </c:numRef>
          </c:cat>
          <c:val>
            <c:numRef>
              <c:f>BreakDown!$B$22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265408"/>
        <c:axId val="145266944"/>
      </c:barChart>
      <c:catAx>
        <c:axId val="14526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266944"/>
        <c:crosses val="autoZero"/>
        <c:auto val="1"/>
        <c:lblAlgn val="ctr"/>
        <c:lblOffset val="100"/>
        <c:noMultiLvlLbl val="0"/>
      </c:catAx>
      <c:valAx>
        <c:axId val="145266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265408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9525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461096</xdr:colOff>
      <xdr:row>30</xdr:row>
      <xdr:rowOff>115815</xdr:rowOff>
    </xdr:from>
    <xdr:to>
      <xdr:col>15</xdr:col>
      <xdr:colOff>545523</xdr:colOff>
      <xdr:row>55</xdr:row>
      <xdr:rowOff>36801</xdr:rowOff>
    </xdr:to>
    <xdr:graphicFrame macro="">
      <xdr:nvGraphicFramePr>
        <xdr:cNvPr id="4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366929</xdr:colOff>
      <xdr:row>28</xdr:row>
      <xdr:rowOff>72302</xdr:rowOff>
    </xdr:from>
    <xdr:to>
      <xdr:col>35</xdr:col>
      <xdr:colOff>581242</xdr:colOff>
      <xdr:row>109</xdr:row>
      <xdr:rowOff>3248</xdr:rowOff>
    </xdr:to>
    <xdr:graphicFrame macro="">
      <xdr:nvGraphicFramePr>
        <xdr:cNvPr id="3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387621</xdr:colOff>
      <xdr:row>3</xdr:row>
      <xdr:rowOff>23431</xdr:rowOff>
    </xdr:from>
    <xdr:to>
      <xdr:col>13</xdr:col>
      <xdr:colOff>321722</xdr:colOff>
      <xdr:row>25</xdr:row>
      <xdr:rowOff>180313</xdr:rowOff>
    </xdr:to>
    <xdr:graphicFrame macro="">
      <xdr:nvGraphicFramePr>
        <xdr:cNvPr id="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298522</xdr:colOff>
      <xdr:row>3</xdr:row>
      <xdr:rowOff>143021</xdr:rowOff>
    </xdr:from>
    <xdr:to>
      <xdr:col>24</xdr:col>
      <xdr:colOff>379764</xdr:colOff>
      <xdr:row>23</xdr:row>
      <xdr:rowOff>160812</xdr:rowOff>
    </xdr:to>
    <xdr:graphicFrame macro="">
      <xdr:nvGraphicFramePr>
        <xdr:cNvPr id="8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380109</xdr:colOff>
      <xdr:row>3</xdr:row>
      <xdr:rowOff>189582</xdr:rowOff>
    </xdr:from>
    <xdr:to>
      <xdr:col>36</xdr:col>
      <xdr:colOff>303068</xdr:colOff>
      <xdr:row>23</xdr:row>
      <xdr:rowOff>61696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472847</xdr:colOff>
      <xdr:row>92</xdr:row>
      <xdr:rowOff>64633</xdr:rowOff>
    </xdr:from>
    <xdr:to>
      <xdr:col>15</xdr:col>
      <xdr:colOff>595312</xdr:colOff>
      <xdr:row>118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486147</xdr:colOff>
      <xdr:row>61</xdr:row>
      <xdr:rowOff>21028</xdr:rowOff>
    </xdr:from>
    <xdr:to>
      <xdr:col>15</xdr:col>
      <xdr:colOff>571499</xdr:colOff>
      <xdr:row>87</xdr:row>
      <xdr:rowOff>108858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0.26999</cdr:x>
      <cdr:y>0.01693</cdr:y>
    </cdr:from>
    <cdr:to>
      <cdr:x>0.9269</cdr:x>
      <cdr:y>0.15718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58433" y="64797"/>
          <a:ext cx="4035136" cy="5368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600" b="1">
              <a:solidFill>
                <a:sysClr val="windowText" lastClr="000000"/>
              </a:solidFill>
            </a:rPr>
            <a:t>Compnay Vs Non-Company Cases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0.16401</cdr:x>
      <cdr:y>0.02791</cdr:y>
    </cdr:from>
    <cdr:to>
      <cdr:x>0.91429</cdr:x>
      <cdr:y>0.17371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82072" y="102754"/>
          <a:ext cx="4035136" cy="5368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600" b="1">
            <a:solidFill>
              <a:schemeClr val="bg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ReporttypeTotal" displayName="ReporttypeTotal" ref="A3:C18" totalsRowShown="0" headerRowDxfId="74" dataDxfId="72" headerRowBorderDxfId="73" tableBorderDxfId="71">
  <tableColumns count="3">
    <tableColumn id="1" name="Report Type" dataDxfId="70"/>
    <tableColumn id="2" name="Amount Of Cases" dataDxfId="69"/>
    <tableColumn id="4" name="232" dataDxfId="6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9" name="Case_Prod_Break" displayName="Case_Prod_Break" ref="A21:C22" totalsRowShown="0" headerRowDxfId="67" dataDxfId="65" headerRowBorderDxfId="66">
  <autoFilter ref="A21:C22"/>
  <tableColumns count="3">
    <tableColumn id="1" name="Product Name" dataDxfId="64"/>
    <tableColumn id="2" name="Amount" dataDxfId="63">
      <calculatedColumnFormula>IF(Case_Prod_Break[[#This Row],[Product Name]]&lt;&gt;"",COUNTIFS(Listing!BE:BE,Case_Prod_Break[Product Name]),"")</calculatedColumnFormula>
    </tableColumn>
    <tableColumn id="3" name="Company / Non-Company" dataDxfId="62">
      <calculatedColumnFormula>IF(LEN(Case_Prod_Break[[#This Row],[Product Name]])&gt;1,IF(ISERROR(SEARCH("Non",Case_Prod_Break[[#This Row],[Product Name]],1)),"Yes","No"),"")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SeriousnessTotal" displayName="SeriousnessTotal" ref="G3:H13" totalsRowShown="0" headerRowDxfId="61" dataDxfId="59" headerRowBorderDxfId="60">
  <autoFilter ref="G3:H13"/>
  <tableColumns count="2">
    <tableColumn id="1" name="Case Type" dataDxfId="58"/>
    <tableColumn id="2" name="Amount" dataDxfId="5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ompNon" displayName="CompNon" ref="J16:K19" totalsRowShown="0" headerRowDxfId="56" dataDxfId="55">
  <autoFilter ref="J16:K19"/>
  <tableColumns count="2">
    <tableColumn id="1" name="Type" dataDxfId="54"/>
    <tableColumn id="2" name="Amount" dataDxfId="5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6" name="Strength" displayName="Strength" ref="G16:H20" totalsRowShown="0" headerRowDxfId="52" dataDxfId="50" headerRowBorderDxfId="51">
  <autoFilter ref="G16:H20"/>
  <tableColumns count="2">
    <tableColumn id="1" name="Product Strength" dataDxfId="49"/>
    <tableColumn id="2" name="Amount" dataDxfId="48">
      <calculatedColumnFormula>H14+H15+H16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Seriousness" displayName="Seriousness" ref="J3:K12" totalsRowShown="0" headerRowDxfId="47" dataDxfId="45" headerRowBorderDxfId="46" tableBorderDxfId="44">
  <autoFilter ref="J3:K12"/>
  <tableColumns count="2">
    <tableColumn id="1" name="Case Type" dataDxfId="43"/>
    <tableColumn id="2" name="Amount" dataDxfId="4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Reporttype" displayName="Reporttype" ref="D3:E17" totalsRowShown="0" headerRowDxfId="41" dataDxfId="39" headerRowBorderDxfId="40" tableBorderDxfId="38">
  <autoFilter ref="D3:E17"/>
  <tableColumns count="2">
    <tableColumn id="1" name="Report Type" dataDxfId="37"/>
    <tableColumn id="2" name="Amount Of Cases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Country" displayName="Country" ref="M3:N4" totalsRowShown="0" headerRowDxfId="35" dataDxfId="33" headerRowBorderDxfId="34">
  <autoFilter ref="M3:N4"/>
  <tableColumns count="2">
    <tableColumn id="1" name="Country of Incidence" dataDxfId="32"/>
    <tableColumn id="2" name="Count" dataDxfId="31">
      <calculatedColumnFormula>IF(Country[Country of Incidence]&lt;&gt;"",COUNTIF(Listing!$BC:$BC,Country[[#This Row],[Country of Incidence]]),"")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2" name="Reporttype3" displayName="Reporttype3" ref="A3:B18" totalsRowShown="0" headerRowDxfId="21" dataDxfId="20" headerRowBorderDxfId="29" tableBorderDxfId="30">
  <autoFilter ref="A3:B18"/>
  <tableColumns count="2">
    <tableColumn id="1" name="Report Type" dataDxfId="23"/>
    <tableColumn id="2" name="Amount Of Cases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Case_Prod_Break4" displayName="Case_Prod_Break4" ref="A21:B23" totalsRowShown="0" headerRowDxfId="17" dataDxfId="16" headerRowBorderDxfId="28">
  <autoFilter ref="A21:B23"/>
  <tableColumns count="2">
    <tableColumn id="1" name="Product Name" dataDxfId="19"/>
    <tableColumn id="2" name="Amount" dataDxfId="18">
      <calculatedColumnFormula>IF(Case_Prod_Break4[[#This Row],[Product Name]]&lt;&gt;"",COUNTIFS(Listing!BE:BE,Case_Prod_Break4[Product Name]),"")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8" name="Seriousness9" displayName="Seriousness9" ref="D3:E13" totalsRowShown="0" headerRowDxfId="13" dataDxfId="12" headerRowBorderDxfId="26" tableBorderDxfId="27">
  <autoFilter ref="D3:E13"/>
  <tableColumns count="2">
    <tableColumn id="1" name="Case Type" dataDxfId="15"/>
    <tableColumn id="2" name="Amount" dataDxfId="14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2" name="Strength13" displayName="Strength13" ref="D16:E20" totalsRowShown="0" headerRowDxfId="9" dataDxfId="8" headerRowBorderDxfId="25">
  <autoFilter ref="D16:E20"/>
  <tableColumns count="2">
    <tableColumn id="1" name="Product Strength" dataDxfId="11"/>
    <tableColumn id="2" name="Amount" dataDxfId="10">
      <calculatedColumnFormula>E14+E15+E16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id="13" name="CompNon14" displayName="CompNon14" ref="D23:E26" totalsRowShown="0" headerRowDxfId="5" dataDxfId="4">
  <autoFilter ref="D23:E26"/>
  <tableColumns count="2">
    <tableColumn id="1" name="Type" dataDxfId="7"/>
    <tableColumn id="2" name="Amount" dataDxfId="6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14" name="Country15" displayName="Country15" ref="G3:H5" totalsRowShown="0" headerRowDxfId="1" dataDxfId="0" headerRowBorderDxfId="24">
  <autoFilter ref="G3:H5"/>
  <tableColumns count="2">
    <tableColumn id="1" name="Country of Incidence" dataDxfId="3"/>
    <tableColumn id="2" name="Count" dataDxfId="2">
      <calculatedColumnFormula>IF(Country15[Country of Incidence]&lt;&gt;"",COUNTIF(Listing!$BC:$BC,Country15[[#This Row],[Country of Incidence]]),"")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Q6539"/>
  <sheetViews>
    <sheetView zoomScale="70" zoomScaleNormal="70" workbookViewId="0"/>
  </sheetViews>
  <sheetFormatPr defaultRowHeight="15" x14ac:dyDescent="0.25"/>
  <cols>
    <col min="1" max="1" width="19.42578125" style="36" customWidth="1"/>
    <col min="2" max="2" width="16.7109375" style="36" bestFit="1" customWidth="1"/>
    <col min="3" max="3" width="16.42578125" style="36" bestFit="1" customWidth="1"/>
    <col min="4" max="4" width="13.85546875" style="36" customWidth="1"/>
    <col min="5" max="5" width="16.42578125" style="36" customWidth="1"/>
    <col min="6" max="6" width="21.7109375" style="36" customWidth="1"/>
    <col min="7" max="7" width="17.140625" style="36" customWidth="1"/>
    <col min="8" max="8" width="18.85546875" style="36" customWidth="1"/>
    <col min="9" max="9" width="13.42578125" style="36" customWidth="1"/>
    <col min="10" max="10" width="11.7109375" style="36" customWidth="1"/>
    <col min="11" max="11" width="18" style="36" customWidth="1"/>
    <col min="12" max="12" width="10.85546875" style="36" customWidth="1"/>
    <col min="13" max="13" width="9.28515625" style="36" customWidth="1"/>
    <col min="14" max="14" width="17.28515625" style="36" customWidth="1"/>
    <col min="15" max="26" width="9.140625" style="29"/>
    <col min="27" max="27" width="9.85546875" style="29" bestFit="1" customWidth="1"/>
    <col min="28" max="28" width="27.5703125" style="29" bestFit="1" customWidth="1"/>
    <col min="29" max="29" width="12.5703125" style="29" bestFit="1" customWidth="1"/>
    <col min="30" max="31" width="24.85546875" style="29" bestFit="1" customWidth="1"/>
    <col min="32" max="32" width="9.140625" style="29"/>
    <col min="33" max="33" width="18.5703125" style="120" hidden="1" customWidth="1"/>
    <col min="34" max="34" width="12" style="120" hidden="1" customWidth="1"/>
    <col min="35" max="35" width="12.28515625" style="120" hidden="1" customWidth="1"/>
    <col min="36" max="36" width="14.5703125" style="120" hidden="1" customWidth="1"/>
    <col min="37" max="39" width="9.140625" style="120" hidden="1" customWidth="1"/>
    <col min="40" max="40" width="10.7109375" style="120" hidden="1" customWidth="1"/>
    <col min="41" max="45" width="9.140625" style="120" hidden="1" customWidth="1"/>
    <col min="46" max="46" width="28.85546875" style="120" hidden="1" customWidth="1"/>
    <col min="47" max="49" width="9.140625" style="28"/>
    <col min="50" max="50" width="16.140625" style="107" bestFit="1" customWidth="1"/>
    <col min="51" max="51" width="21.28515625" style="87" customWidth="1"/>
    <col min="52" max="52" width="36" style="107" customWidth="1"/>
    <col min="53" max="53" width="30.85546875" style="107" customWidth="1"/>
    <col min="54" max="54" width="14.5703125" style="107" customWidth="1"/>
    <col min="55" max="55" width="11.42578125" style="107" customWidth="1"/>
    <col min="56" max="56" width="9.140625" style="107"/>
    <col min="57" max="57" width="11.140625" style="107" customWidth="1"/>
    <col min="58" max="58" width="9.140625" style="107"/>
    <col min="59" max="59" width="24.28515625" style="107" bestFit="1" customWidth="1"/>
    <col min="60" max="62" width="9.140625" style="107"/>
    <col min="63" max="63" width="17.140625" style="107" customWidth="1"/>
    <col min="65" max="65" width="28.140625" style="107" bestFit="1" customWidth="1"/>
    <col min="66" max="66" width="46.5703125" style="107" customWidth="1"/>
    <col min="67" max="69" width="9.140625" style="45"/>
  </cols>
  <sheetData>
    <row r="1" spans="1:69" ht="27" customHeight="1" x14ac:dyDescent="0.25">
      <c r="A1" s="50"/>
      <c r="B1" s="121" t="s">
        <v>67</v>
      </c>
      <c r="C1" s="121"/>
      <c r="D1" s="122" t="s">
        <v>71</v>
      </c>
      <c r="E1" s="122"/>
      <c r="F1" s="29" t="s">
        <v>73</v>
      </c>
      <c r="G1" s="29"/>
      <c r="H1" s="29"/>
      <c r="I1" s="29"/>
      <c r="J1" s="29"/>
      <c r="K1" s="29"/>
      <c r="L1" s="29"/>
      <c r="M1" s="29"/>
      <c r="N1" s="29"/>
      <c r="AA1" s="44" t="s">
        <v>0</v>
      </c>
      <c r="AB1" s="44" t="s">
        <v>26</v>
      </c>
      <c r="AC1" s="33" t="s">
        <v>33</v>
      </c>
      <c r="AD1" s="44" t="s">
        <v>64</v>
      </c>
      <c r="AE1" s="44" t="s">
        <v>64</v>
      </c>
      <c r="AF1" s="32"/>
      <c r="AG1" s="35" t="s">
        <v>0</v>
      </c>
      <c r="AH1" s="33" t="s">
        <v>1</v>
      </c>
      <c r="AI1" s="33" t="s">
        <v>2</v>
      </c>
      <c r="AJ1" s="33" t="s">
        <v>24</v>
      </c>
      <c r="AK1" s="33" t="s">
        <v>3</v>
      </c>
      <c r="AL1" s="33" t="s">
        <v>25</v>
      </c>
      <c r="AM1" s="33" t="s">
        <v>26</v>
      </c>
      <c r="AN1" s="33" t="s">
        <v>4</v>
      </c>
      <c r="AO1" s="33" t="s">
        <v>33</v>
      </c>
      <c r="AP1" s="33" t="s">
        <v>38</v>
      </c>
      <c r="AQ1" s="33" t="s">
        <v>39</v>
      </c>
      <c r="AR1" s="33" t="s">
        <v>5</v>
      </c>
      <c r="AS1" s="34" t="s">
        <v>6</v>
      </c>
      <c r="AT1" s="32" t="s">
        <v>64</v>
      </c>
      <c r="AX1" s="35" t="s">
        <v>0</v>
      </c>
      <c r="AY1" s="86" t="s">
        <v>1</v>
      </c>
      <c r="AZ1" s="33" t="s">
        <v>2</v>
      </c>
      <c r="BA1" s="33" t="s">
        <v>24</v>
      </c>
      <c r="BB1" s="33" t="s">
        <v>3</v>
      </c>
      <c r="BC1" s="33" t="s">
        <v>25</v>
      </c>
      <c r="BD1" s="33" t="s">
        <v>26</v>
      </c>
      <c r="BE1" s="33" t="s">
        <v>4</v>
      </c>
      <c r="BF1" s="33" t="s">
        <v>33</v>
      </c>
      <c r="BG1" s="33" t="s">
        <v>38</v>
      </c>
      <c r="BH1" s="33" t="s">
        <v>39</v>
      </c>
      <c r="BI1" s="33" t="s">
        <v>5</v>
      </c>
      <c r="BJ1" s="34" t="s">
        <v>6</v>
      </c>
      <c r="BK1" s="32" t="s">
        <v>64</v>
      </c>
      <c r="BL1" s="29"/>
      <c r="BM1" s="33" t="s">
        <v>25</v>
      </c>
      <c r="BN1" s="33" t="s">
        <v>4</v>
      </c>
    </row>
    <row r="2" spans="1:69" ht="37.5" customHeight="1" x14ac:dyDescent="0.25">
      <c r="A2" s="50"/>
      <c r="B2" s="48" t="s">
        <v>65</v>
      </c>
      <c r="C2" s="48" t="s">
        <v>66</v>
      </c>
      <c r="D2" s="122"/>
      <c r="E2" s="122"/>
      <c r="F2" s="29"/>
      <c r="G2" s="29"/>
      <c r="H2" s="29"/>
      <c r="I2" s="29"/>
      <c r="J2" s="29"/>
      <c r="K2" s="29"/>
      <c r="L2" s="29"/>
      <c r="M2" s="29"/>
      <c r="N2" s="29"/>
      <c r="AA2" t="s">
        <v>60</v>
      </c>
      <c r="AB2" s="40" t="s">
        <v>60</v>
      </c>
      <c r="AC2" t="s">
        <v>60</v>
      </c>
      <c r="AD2" t="s">
        <v>74</v>
      </c>
      <c r="AE2" t="s">
        <v>72</v>
      </c>
      <c r="AF2">
        <v>0</v>
      </c>
      <c r="AG2" s="100"/>
      <c r="AH2" s="101"/>
      <c r="AI2" s="101"/>
      <c r="AJ2" s="101"/>
      <c r="AK2" s="100"/>
      <c r="AL2" s="100"/>
      <c r="AM2" s="100"/>
      <c r="AN2" s="100"/>
      <c r="AO2" s="100"/>
      <c r="AP2" s="100"/>
      <c r="AQ2" s="100"/>
      <c r="AR2" s="100"/>
      <c r="AS2" s="100"/>
      <c r="AT2" s="102"/>
      <c r="AX2" s="100"/>
      <c r="AY2" s="101"/>
      <c r="AZ2" s="101"/>
      <c r="BA2" s="101"/>
      <c r="BB2" s="100"/>
      <c r="BC2" s="100"/>
      <c r="BD2" s="100"/>
      <c r="BE2" s="100"/>
      <c r="BF2" s="100"/>
      <c r="BG2" s="100"/>
      <c r="BH2" s="100"/>
      <c r="BI2" s="100"/>
      <c r="BJ2" s="100"/>
      <c r="BK2" s="102"/>
      <c r="BM2" s="100"/>
      <c r="BN2" s="100"/>
    </row>
    <row r="3" spans="1:69" ht="18.75" x14ac:dyDescent="0.25">
      <c r="A3" s="50"/>
      <c r="B3" s="49">
        <v>41030</v>
      </c>
      <c r="C3" s="49">
        <v>43251</v>
      </c>
      <c r="D3" s="123"/>
      <c r="E3" s="123"/>
      <c r="F3" s="29"/>
      <c r="G3" s="29"/>
      <c r="H3" s="29"/>
      <c r="I3" s="29"/>
      <c r="J3" s="29"/>
      <c r="K3" s="29"/>
      <c r="L3" s="29"/>
      <c r="M3" s="29"/>
      <c r="N3" s="29"/>
      <c r="AF3" s="2">
        <v>0</v>
      </c>
      <c r="AG3" s="100"/>
      <c r="AH3" s="101"/>
      <c r="AI3" s="101"/>
      <c r="AJ3" s="101"/>
      <c r="AK3" s="100"/>
      <c r="AL3" s="100"/>
      <c r="AM3" s="100"/>
      <c r="AN3" s="100"/>
      <c r="AO3" s="100"/>
      <c r="AP3" s="100"/>
      <c r="AQ3" s="100"/>
      <c r="AR3" s="100"/>
      <c r="AS3" s="100"/>
      <c r="AT3" s="102"/>
      <c r="AX3" s="100"/>
      <c r="AY3" s="101"/>
      <c r="AZ3" s="101"/>
      <c r="BA3" s="101"/>
      <c r="BB3" s="100"/>
      <c r="BC3" s="100"/>
      <c r="BD3" s="100"/>
      <c r="BE3" s="100"/>
      <c r="BF3" s="100"/>
      <c r="BG3" s="100"/>
      <c r="BH3" s="100"/>
      <c r="BI3" s="100"/>
      <c r="BJ3" s="100"/>
      <c r="BK3" s="102"/>
      <c r="BM3" s="100"/>
      <c r="BN3" s="100"/>
    </row>
    <row r="4" spans="1:69" s="43" customFormat="1" ht="45" x14ac:dyDescent="0.25">
      <c r="A4" s="44" t="s">
        <v>0</v>
      </c>
      <c r="B4" s="44" t="s">
        <v>1</v>
      </c>
      <c r="C4" s="44" t="s">
        <v>2</v>
      </c>
      <c r="D4" s="44" t="s">
        <v>24</v>
      </c>
      <c r="E4" s="44" t="s">
        <v>3</v>
      </c>
      <c r="F4" s="44" t="s">
        <v>25</v>
      </c>
      <c r="G4" s="44" t="s">
        <v>26</v>
      </c>
      <c r="H4" s="44" t="s">
        <v>4</v>
      </c>
      <c r="I4" s="44" t="s">
        <v>33</v>
      </c>
      <c r="J4" s="44" t="s">
        <v>38</v>
      </c>
      <c r="K4" s="44" t="s">
        <v>39</v>
      </c>
      <c r="L4" s="44" t="s">
        <v>5</v>
      </c>
      <c r="M4" s="44" t="s">
        <v>6</v>
      </c>
      <c r="N4" s="44" t="s">
        <v>64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4" t="s">
        <v>0</v>
      </c>
      <c r="AB4" s="44" t="s">
        <v>26</v>
      </c>
      <c r="AC4" s="42" t="s">
        <v>33</v>
      </c>
      <c r="AD4" s="42" t="s">
        <v>24</v>
      </c>
      <c r="AE4" s="42" t="s">
        <v>24</v>
      </c>
      <c r="AF4" s="47">
        <f>COUNTA(AX:AX)-1 - AF2</f>
        <v>0</v>
      </c>
      <c r="AG4" s="100"/>
      <c r="AH4" s="101"/>
      <c r="AI4" s="101"/>
      <c r="AJ4" s="101"/>
      <c r="AK4" s="100"/>
      <c r="AL4" s="100"/>
      <c r="AM4" s="100"/>
      <c r="AN4" s="100"/>
      <c r="AO4" s="100"/>
      <c r="AP4" s="100"/>
      <c r="AQ4" s="100"/>
      <c r="AR4" s="100"/>
      <c r="AS4" s="100"/>
      <c r="AT4" s="102"/>
      <c r="AU4" s="28"/>
      <c r="AV4" s="28"/>
      <c r="AW4" s="28"/>
      <c r="AX4" s="100"/>
      <c r="AY4" s="101"/>
      <c r="AZ4" s="101"/>
      <c r="BA4" s="101"/>
      <c r="BB4" s="100"/>
      <c r="BC4" s="100"/>
      <c r="BD4" s="100"/>
      <c r="BE4" s="100"/>
      <c r="BF4" s="100"/>
      <c r="BG4" s="100"/>
      <c r="BH4" s="100"/>
      <c r="BI4" s="100"/>
      <c r="BJ4" s="100"/>
      <c r="BK4" s="102"/>
      <c r="BL4"/>
      <c r="BM4" s="100"/>
      <c r="BN4" s="100"/>
      <c r="BO4" s="46"/>
      <c r="BP4" s="46"/>
      <c r="BQ4" s="46"/>
    </row>
    <row r="5" spans="1:69" x14ac:dyDescent="0.25">
      <c r="A5" s="100"/>
      <c r="B5" s="101"/>
      <c r="C5" s="101"/>
      <c r="D5" s="101"/>
      <c r="E5" s="100"/>
      <c r="F5" s="100"/>
      <c r="G5" s="100"/>
      <c r="H5" s="100"/>
      <c r="I5" s="100"/>
      <c r="J5" s="100"/>
      <c r="K5" s="100"/>
      <c r="L5" s="100"/>
      <c r="M5" s="100"/>
      <c r="N5" s="102"/>
      <c r="AA5" s="37" t="s">
        <v>60</v>
      </c>
      <c r="AB5" s="40" t="s">
        <v>60</v>
      </c>
      <c r="AC5" s="37" t="s">
        <v>60</v>
      </c>
      <c r="AD5" s="37" t="s">
        <v>74</v>
      </c>
      <c r="AE5" s="37" t="s">
        <v>72</v>
      </c>
      <c r="AG5" s="100"/>
      <c r="AH5" s="101"/>
      <c r="AI5" s="101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2"/>
      <c r="AX5" s="100"/>
      <c r="AY5" s="101"/>
      <c r="AZ5" s="101"/>
      <c r="BA5" s="101"/>
      <c r="BB5" s="100"/>
      <c r="BC5" s="100"/>
      <c r="BD5" s="100"/>
      <c r="BE5" s="100"/>
      <c r="BF5" s="100"/>
      <c r="BG5" s="100"/>
      <c r="BH5" s="100"/>
      <c r="BI5" s="100"/>
      <c r="BJ5" s="100"/>
      <c r="BK5" s="102"/>
      <c r="BM5" s="100"/>
      <c r="BN5" s="100"/>
    </row>
    <row r="6" spans="1:69" x14ac:dyDescent="0.25">
      <c r="A6" s="100"/>
      <c r="B6" s="100"/>
      <c r="C6" s="100"/>
      <c r="D6" s="101"/>
      <c r="E6" s="100"/>
      <c r="F6" s="100"/>
      <c r="G6" s="100"/>
      <c r="H6" s="100"/>
      <c r="I6" s="100"/>
      <c r="J6" s="100"/>
      <c r="K6" s="100"/>
      <c r="L6" s="100"/>
      <c r="M6" s="100"/>
      <c r="N6" s="100"/>
      <c r="AG6" s="100"/>
      <c r="AH6" s="101"/>
      <c r="AI6" s="101"/>
      <c r="AJ6" s="101"/>
      <c r="AK6" s="100"/>
      <c r="AL6" s="100"/>
      <c r="AM6" s="100"/>
      <c r="AN6" s="100"/>
      <c r="AO6" s="100"/>
      <c r="AP6" s="100"/>
      <c r="AQ6" s="100"/>
      <c r="AR6" s="100"/>
      <c r="AS6" s="100"/>
      <c r="AT6" s="102"/>
      <c r="AX6" s="100"/>
      <c r="AY6" s="101"/>
      <c r="AZ6" s="101"/>
      <c r="BA6" s="101"/>
      <c r="BB6" s="100"/>
      <c r="BC6" s="100"/>
      <c r="BD6" s="100"/>
      <c r="BE6" s="100"/>
      <c r="BF6" s="100"/>
      <c r="BG6" s="100"/>
      <c r="BH6" s="100"/>
      <c r="BI6" s="100"/>
      <c r="BJ6" s="100"/>
      <c r="BK6" s="102"/>
      <c r="BM6" s="100"/>
      <c r="BN6" s="100"/>
    </row>
    <row r="7" spans="1:69" ht="45" x14ac:dyDescent="0.25">
      <c r="A7" s="100"/>
      <c r="B7" s="100"/>
      <c r="C7" s="100"/>
      <c r="D7" s="101"/>
      <c r="E7" s="100"/>
      <c r="F7" s="100"/>
      <c r="G7" s="100"/>
      <c r="H7" s="100"/>
      <c r="I7" s="100"/>
      <c r="J7" s="100"/>
      <c r="K7" s="100"/>
      <c r="L7" s="100"/>
      <c r="M7" s="100"/>
      <c r="N7" s="100"/>
      <c r="AA7" s="44" t="s">
        <v>25</v>
      </c>
      <c r="AB7" s="44" t="s">
        <v>4</v>
      </c>
      <c r="AG7" s="100"/>
      <c r="AH7" s="101"/>
      <c r="AI7" s="101"/>
      <c r="AJ7" s="101"/>
      <c r="AK7" s="100"/>
      <c r="AL7" s="100"/>
      <c r="AM7" s="100"/>
      <c r="AN7" s="100"/>
      <c r="AO7" s="100"/>
      <c r="AP7" s="100"/>
      <c r="AQ7" s="100"/>
      <c r="AR7" s="100"/>
      <c r="AS7" s="100"/>
      <c r="AT7" s="102"/>
      <c r="AX7" s="100"/>
      <c r="AY7" s="101"/>
      <c r="AZ7" s="101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2"/>
      <c r="BM7" s="100"/>
      <c r="BN7" s="100"/>
    </row>
    <row r="8" spans="1:69" x14ac:dyDescent="0.25">
      <c r="A8" s="100"/>
      <c r="B8" s="100"/>
      <c r="C8" s="100"/>
      <c r="D8" s="101"/>
      <c r="E8" s="100"/>
      <c r="F8" s="100"/>
      <c r="G8" s="100"/>
      <c r="H8" s="100"/>
      <c r="I8" s="100"/>
      <c r="J8" s="100"/>
      <c r="K8" s="100"/>
      <c r="L8" s="100"/>
      <c r="M8" s="100"/>
      <c r="N8" s="100"/>
      <c r="AA8" s="2" t="s">
        <v>60</v>
      </c>
      <c r="AB8" s="2" t="s">
        <v>60</v>
      </c>
      <c r="AG8" s="100"/>
      <c r="AH8" s="101"/>
      <c r="AI8" s="101"/>
      <c r="AJ8" s="101"/>
      <c r="AK8" s="100"/>
      <c r="AL8" s="100"/>
      <c r="AM8" s="100"/>
      <c r="AN8" s="100"/>
      <c r="AO8" s="100"/>
      <c r="AP8" s="100"/>
      <c r="AQ8" s="100"/>
      <c r="AR8" s="100"/>
      <c r="AS8" s="100"/>
      <c r="AT8" s="102"/>
      <c r="AX8" s="100"/>
      <c r="AY8" s="101"/>
      <c r="AZ8" s="101"/>
      <c r="BA8" s="101"/>
      <c r="BB8" s="100"/>
      <c r="BC8" s="100"/>
      <c r="BD8" s="100"/>
      <c r="BE8" s="100"/>
      <c r="BF8" s="100"/>
      <c r="BG8" s="100"/>
      <c r="BH8" s="100"/>
      <c r="BI8" s="100"/>
      <c r="BJ8" s="100"/>
      <c r="BK8" s="102"/>
      <c r="BM8" s="100"/>
      <c r="BN8" s="100"/>
    </row>
    <row r="9" spans="1:69" x14ac:dyDescent="0.25">
      <c r="A9" s="100"/>
      <c r="B9" s="100"/>
      <c r="C9" s="100"/>
      <c r="D9" s="101"/>
      <c r="E9" s="100"/>
      <c r="F9" s="100"/>
      <c r="G9" s="100"/>
      <c r="H9" s="100"/>
      <c r="I9" s="100"/>
      <c r="J9" s="100"/>
      <c r="K9" s="100"/>
      <c r="L9" s="100"/>
      <c r="M9" s="100"/>
      <c r="N9" s="100"/>
      <c r="AG9" s="100"/>
      <c r="AH9" s="101"/>
      <c r="AI9" s="101"/>
      <c r="AJ9" s="101"/>
      <c r="AK9" s="100"/>
      <c r="AL9" s="100"/>
      <c r="AM9" s="100"/>
      <c r="AN9" s="100"/>
      <c r="AO9" s="100"/>
      <c r="AP9" s="100"/>
      <c r="AQ9" s="100"/>
      <c r="AR9" s="100"/>
      <c r="AS9" s="100"/>
      <c r="AT9" s="102"/>
      <c r="AX9" s="100"/>
      <c r="AY9" s="101"/>
      <c r="AZ9" s="101"/>
      <c r="BA9" s="101"/>
      <c r="BB9" s="100"/>
      <c r="BC9" s="100"/>
      <c r="BD9" s="100"/>
      <c r="BE9" s="100"/>
      <c r="BF9" s="100"/>
      <c r="BG9" s="100"/>
      <c r="BH9" s="100"/>
      <c r="BI9" s="100"/>
      <c r="BJ9" s="100"/>
      <c r="BK9" s="102"/>
      <c r="BM9" s="100"/>
      <c r="BN9" s="100"/>
    </row>
    <row r="10" spans="1:69" x14ac:dyDescent="0.25">
      <c r="A10" s="100"/>
      <c r="B10" s="100"/>
      <c r="C10" s="100"/>
      <c r="D10" s="101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AG10" s="100"/>
      <c r="AH10" s="101"/>
      <c r="AI10" s="101"/>
      <c r="AJ10" s="101"/>
      <c r="AK10" s="100"/>
      <c r="AL10" s="100"/>
      <c r="AM10" s="100"/>
      <c r="AN10" s="100"/>
      <c r="AO10" s="100"/>
      <c r="AP10" s="100"/>
      <c r="AQ10" s="100"/>
      <c r="AR10" s="100"/>
      <c r="AS10" s="100"/>
      <c r="AT10" s="102"/>
      <c r="AX10" s="100"/>
      <c r="AY10" s="101"/>
      <c r="AZ10" s="101"/>
      <c r="BA10" s="101"/>
      <c r="BB10" s="100"/>
      <c r="BC10" s="100"/>
      <c r="BD10" s="100"/>
      <c r="BE10" s="100"/>
      <c r="BF10" s="100"/>
      <c r="BG10" s="100"/>
      <c r="BH10" s="100"/>
      <c r="BI10" s="100"/>
      <c r="BJ10" s="100"/>
      <c r="BK10" s="102"/>
      <c r="BM10" s="100"/>
      <c r="BN10" s="100"/>
    </row>
    <row r="11" spans="1:69" x14ac:dyDescent="0.25">
      <c r="A11" s="100"/>
      <c r="B11" s="100"/>
      <c r="C11" s="100"/>
      <c r="D11" s="101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AG11" s="100"/>
      <c r="AH11" s="101"/>
      <c r="AI11" s="101"/>
      <c r="AJ11" s="101"/>
      <c r="AK11" s="100"/>
      <c r="AL11" s="100"/>
      <c r="AM11" s="100"/>
      <c r="AN11" s="100"/>
      <c r="AO11" s="100"/>
      <c r="AP11" s="100"/>
      <c r="AQ11" s="100"/>
      <c r="AR11" s="100"/>
      <c r="AS11" s="100"/>
      <c r="AT11" s="102"/>
      <c r="AX11" s="100"/>
      <c r="AY11" s="101"/>
      <c r="AZ11" s="101"/>
      <c r="BA11" s="101"/>
      <c r="BB11" s="100"/>
      <c r="BC11" s="100"/>
      <c r="BD11" s="100"/>
      <c r="BE11" s="100"/>
      <c r="BF11" s="100"/>
      <c r="BG11" s="100"/>
      <c r="BH11" s="100"/>
      <c r="BI11" s="100"/>
      <c r="BJ11" s="100"/>
      <c r="BK11" s="102"/>
      <c r="BM11" s="100"/>
      <c r="BN11" s="100"/>
    </row>
    <row r="12" spans="1:69" x14ac:dyDescent="0.25">
      <c r="A12" s="100"/>
      <c r="B12" s="101"/>
      <c r="C12" s="101"/>
      <c r="D12" s="101"/>
      <c r="E12" s="100"/>
      <c r="F12" s="100"/>
      <c r="G12" s="100"/>
      <c r="H12" s="100"/>
      <c r="I12" s="100"/>
      <c r="J12" s="100"/>
      <c r="K12" s="100"/>
      <c r="L12" s="100"/>
      <c r="M12" s="100"/>
      <c r="N12" s="102"/>
      <c r="AG12" s="100"/>
      <c r="AH12" s="101"/>
      <c r="AI12" s="101"/>
      <c r="AJ12" s="101"/>
      <c r="AK12" s="100"/>
      <c r="AL12" s="100"/>
      <c r="AM12" s="100"/>
      <c r="AN12" s="100"/>
      <c r="AO12" s="100"/>
      <c r="AP12" s="100"/>
      <c r="AQ12" s="100"/>
      <c r="AR12" s="100"/>
      <c r="AS12" s="100"/>
      <c r="AT12" s="102"/>
      <c r="AX12" s="100"/>
      <c r="AY12" s="101"/>
      <c r="AZ12" s="101"/>
      <c r="BA12" s="101"/>
      <c r="BB12" s="100"/>
      <c r="BC12" s="100"/>
      <c r="BD12" s="100"/>
      <c r="BE12" s="100"/>
      <c r="BF12" s="100"/>
      <c r="BG12" s="100"/>
      <c r="BH12" s="100"/>
      <c r="BI12" s="100"/>
      <c r="BJ12" s="100"/>
      <c r="BK12" s="102"/>
      <c r="BM12" s="100"/>
      <c r="BN12" s="100"/>
    </row>
    <row r="13" spans="1:69" x14ac:dyDescent="0.25">
      <c r="A13" s="100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AG13" s="100"/>
      <c r="AH13" s="101"/>
      <c r="AI13" s="101"/>
      <c r="AJ13" s="101"/>
      <c r="AK13" s="100"/>
      <c r="AL13" s="100"/>
      <c r="AM13" s="100"/>
      <c r="AN13" s="100"/>
      <c r="AO13" s="100"/>
      <c r="AP13" s="100"/>
      <c r="AQ13" s="100"/>
      <c r="AR13" s="100"/>
      <c r="AS13" s="100"/>
      <c r="AT13" s="102"/>
      <c r="AX13" s="100"/>
      <c r="AY13" s="101"/>
      <c r="AZ13" s="101"/>
      <c r="BA13" s="101"/>
      <c r="BB13" s="100"/>
      <c r="BC13" s="100"/>
      <c r="BD13" s="100"/>
      <c r="BE13" s="100"/>
      <c r="BF13" s="100"/>
      <c r="BG13" s="100"/>
      <c r="BH13" s="100"/>
      <c r="BI13" s="100"/>
      <c r="BJ13" s="100"/>
      <c r="BK13" s="102"/>
      <c r="BM13" s="100"/>
      <c r="BN13" s="100"/>
    </row>
    <row r="14" spans="1:69" x14ac:dyDescent="0.25">
      <c r="A14" s="100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AG14" s="100"/>
      <c r="AH14" s="101"/>
      <c r="AI14" s="101"/>
      <c r="AJ14" s="101"/>
      <c r="AK14" s="100"/>
      <c r="AL14" s="100"/>
      <c r="AM14" s="100"/>
      <c r="AN14" s="100"/>
      <c r="AO14" s="100"/>
      <c r="AP14" s="100"/>
      <c r="AQ14" s="100"/>
      <c r="AR14" s="100"/>
      <c r="AS14" s="100"/>
      <c r="AT14" s="102"/>
      <c r="AX14" s="100"/>
      <c r="AY14" s="101"/>
      <c r="AZ14" s="101"/>
      <c r="BA14" s="101"/>
      <c r="BB14" s="100"/>
      <c r="BC14" s="100"/>
      <c r="BD14" s="100"/>
      <c r="BE14" s="100"/>
      <c r="BF14" s="100"/>
      <c r="BG14" s="100"/>
      <c r="BH14" s="100"/>
      <c r="BI14" s="100"/>
      <c r="BJ14" s="100"/>
      <c r="BK14" s="102"/>
      <c r="BM14" s="100"/>
      <c r="BN14" s="100"/>
    </row>
    <row r="15" spans="1:69" x14ac:dyDescent="0.25">
      <c r="A15" s="100"/>
      <c r="B15" s="101"/>
      <c r="C15" s="101"/>
      <c r="D15" s="101"/>
      <c r="E15" s="100"/>
      <c r="F15" s="100"/>
      <c r="G15" s="100"/>
      <c r="H15" s="100"/>
      <c r="I15" s="100"/>
      <c r="J15" s="100"/>
      <c r="K15" s="100"/>
      <c r="L15" s="100"/>
      <c r="M15" s="100"/>
      <c r="N15" s="102"/>
      <c r="AG15" s="100"/>
      <c r="AH15" s="101"/>
      <c r="AI15" s="101"/>
      <c r="AJ15" s="101"/>
      <c r="AK15" s="100"/>
      <c r="AL15" s="100"/>
      <c r="AM15" s="100"/>
      <c r="AN15" s="100"/>
      <c r="AO15" s="100"/>
      <c r="AP15" s="100"/>
      <c r="AQ15" s="100"/>
      <c r="AR15" s="100"/>
      <c r="AS15" s="100"/>
      <c r="AT15" s="102"/>
      <c r="AX15" s="100"/>
      <c r="AY15" s="101"/>
      <c r="AZ15" s="101"/>
      <c r="BA15" s="101"/>
      <c r="BB15" s="100"/>
      <c r="BC15" s="100"/>
      <c r="BD15" s="100"/>
      <c r="BE15" s="100"/>
      <c r="BF15" s="100"/>
      <c r="BG15" s="100"/>
      <c r="BH15" s="100"/>
      <c r="BI15" s="100"/>
      <c r="BJ15" s="100"/>
      <c r="BK15" s="102"/>
      <c r="BM15" s="100"/>
      <c r="BN15" s="100"/>
    </row>
    <row r="16" spans="1:69" x14ac:dyDescent="0.25">
      <c r="A16" s="100"/>
      <c r="B16" s="100"/>
      <c r="C16" s="100"/>
      <c r="D16" s="101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AG16" s="100"/>
      <c r="AH16" s="101"/>
      <c r="AI16" s="101"/>
      <c r="AJ16" s="101"/>
      <c r="AK16" s="100"/>
      <c r="AL16" s="100"/>
      <c r="AM16" s="100"/>
      <c r="AN16" s="100"/>
      <c r="AO16" s="100"/>
      <c r="AP16" s="100"/>
      <c r="AQ16" s="100"/>
      <c r="AR16" s="100"/>
      <c r="AS16" s="100"/>
      <c r="AT16" s="102"/>
      <c r="AX16" s="100"/>
      <c r="AY16" s="101"/>
      <c r="AZ16" s="101"/>
      <c r="BA16" s="101"/>
      <c r="BB16" s="100"/>
      <c r="BC16" s="100"/>
      <c r="BD16" s="100"/>
      <c r="BE16" s="100"/>
      <c r="BF16" s="100"/>
      <c r="BG16" s="100"/>
      <c r="BH16" s="100"/>
      <c r="BI16" s="100"/>
      <c r="BJ16" s="100"/>
      <c r="BK16" s="102"/>
      <c r="BM16" s="100"/>
      <c r="BN16" s="100"/>
    </row>
    <row r="17" spans="1:66" x14ac:dyDescent="0.25">
      <c r="A17" s="100"/>
      <c r="B17" s="100"/>
      <c r="C17" s="100"/>
      <c r="D17" s="101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AG17" s="100"/>
      <c r="AH17" s="101"/>
      <c r="AI17" s="101"/>
      <c r="AJ17" s="101"/>
      <c r="AK17" s="100"/>
      <c r="AL17" s="100"/>
      <c r="AM17" s="100"/>
      <c r="AN17" s="100"/>
      <c r="AO17" s="100"/>
      <c r="AP17" s="100"/>
      <c r="AQ17" s="100"/>
      <c r="AR17" s="100"/>
      <c r="AS17" s="100"/>
      <c r="AT17" s="102"/>
      <c r="AX17" s="100"/>
      <c r="AY17" s="101"/>
      <c r="AZ17" s="101"/>
      <c r="BA17" s="101"/>
      <c r="BB17" s="100"/>
      <c r="BC17" s="100"/>
      <c r="BD17" s="100"/>
      <c r="BE17" s="100"/>
      <c r="BF17" s="100"/>
      <c r="BG17" s="100"/>
      <c r="BH17" s="100"/>
      <c r="BI17" s="100"/>
      <c r="BJ17" s="100"/>
      <c r="BK17" s="102"/>
      <c r="BM17" s="100"/>
      <c r="BN17" s="100"/>
    </row>
    <row r="18" spans="1:66" x14ac:dyDescent="0.25">
      <c r="A18" s="100"/>
      <c r="B18" s="100"/>
      <c r="C18" s="100"/>
      <c r="D18" s="101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AG18" s="100"/>
      <c r="AH18" s="101"/>
      <c r="AI18" s="101"/>
      <c r="AJ18" s="101"/>
      <c r="AK18" s="100"/>
      <c r="AL18" s="100"/>
      <c r="AM18" s="100"/>
      <c r="AN18" s="100"/>
      <c r="AO18" s="100"/>
      <c r="AP18" s="100"/>
      <c r="AQ18" s="100"/>
      <c r="AR18" s="100"/>
      <c r="AS18" s="100"/>
      <c r="AT18" s="102"/>
      <c r="AX18" s="100"/>
      <c r="AY18" s="101"/>
      <c r="AZ18" s="101"/>
      <c r="BA18" s="101"/>
      <c r="BB18" s="100"/>
      <c r="BC18" s="100"/>
      <c r="BD18" s="100"/>
      <c r="BE18" s="100"/>
      <c r="BF18" s="100"/>
      <c r="BG18" s="100"/>
      <c r="BH18" s="100"/>
      <c r="BI18" s="100"/>
      <c r="BJ18" s="100"/>
      <c r="BK18" s="102"/>
      <c r="BM18" s="100"/>
      <c r="BN18" s="100"/>
    </row>
    <row r="19" spans="1:66" x14ac:dyDescent="0.25">
      <c r="A19" s="10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AG19" s="100"/>
      <c r="AH19" s="100"/>
      <c r="AI19" s="100"/>
      <c r="AJ19" s="101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X19" s="100"/>
      <c r="AY19" s="101"/>
      <c r="AZ19" s="101"/>
      <c r="BA19" s="101"/>
      <c r="BB19" s="100"/>
      <c r="BC19" s="100"/>
      <c r="BD19" s="100"/>
      <c r="BE19" s="100"/>
      <c r="BF19" s="100"/>
      <c r="BG19" s="100"/>
      <c r="BH19" s="100"/>
      <c r="BI19" s="100"/>
      <c r="BJ19" s="100"/>
      <c r="BK19" s="102"/>
      <c r="BM19" s="100"/>
      <c r="BN19" s="100"/>
    </row>
    <row r="20" spans="1:66" x14ac:dyDescent="0.25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AG20" s="100"/>
      <c r="AH20" s="100"/>
      <c r="AI20" s="100"/>
      <c r="AJ20" s="101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X20" s="100"/>
      <c r="AY20" s="100"/>
      <c r="AZ20" s="100"/>
      <c r="BA20" s="101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M20" s="100"/>
      <c r="BN20" s="100"/>
    </row>
    <row r="21" spans="1:66" x14ac:dyDescent="0.25">
      <c r="A21" s="100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AG21" s="100"/>
      <c r="AH21" s="100"/>
      <c r="AI21" s="100"/>
      <c r="AJ21" s="101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X21" s="100"/>
      <c r="AY21" s="100"/>
      <c r="AZ21" s="100"/>
      <c r="BA21" s="101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M21" s="100"/>
      <c r="BN21" s="100"/>
    </row>
    <row r="22" spans="1:66" x14ac:dyDescent="0.25">
      <c r="A22" s="100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AG22" s="100"/>
      <c r="AH22" s="101"/>
      <c r="AI22" s="101"/>
      <c r="AJ22" s="101"/>
      <c r="AK22" s="100"/>
      <c r="AL22" s="100"/>
      <c r="AM22" s="100"/>
      <c r="AN22" s="100"/>
      <c r="AO22" s="100"/>
      <c r="AP22" s="100"/>
      <c r="AQ22" s="100"/>
      <c r="AR22" s="100"/>
      <c r="AS22" s="100"/>
      <c r="AT22" s="102"/>
      <c r="AX22" s="100"/>
      <c r="AY22" s="100"/>
      <c r="AZ22" s="100"/>
      <c r="BA22" s="101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M22" s="100"/>
      <c r="BN22" s="100"/>
    </row>
    <row r="23" spans="1:66" x14ac:dyDescent="0.25">
      <c r="A23" s="100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AG23" s="100"/>
      <c r="AH23" s="100"/>
      <c r="AI23" s="100"/>
      <c r="AJ23" s="101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X23" s="100"/>
      <c r="AY23" s="100"/>
      <c r="AZ23" s="100"/>
      <c r="BA23" s="101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M23" s="100"/>
      <c r="BN23" s="100"/>
    </row>
    <row r="24" spans="1:66" x14ac:dyDescent="0.25">
      <c r="A24" s="100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AG24" s="100"/>
      <c r="AH24" s="100"/>
      <c r="AI24" s="100"/>
      <c r="AJ24" s="101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X24" s="100"/>
      <c r="AY24" s="100"/>
      <c r="AZ24" s="100"/>
      <c r="BA24" s="101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M24" s="100"/>
      <c r="BN24" s="100"/>
    </row>
    <row r="25" spans="1:66" x14ac:dyDescent="0.25">
      <c r="A25" s="100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AG25" s="100"/>
      <c r="AH25" s="100"/>
      <c r="AI25" s="100"/>
      <c r="AJ25" s="101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X25" s="100"/>
      <c r="AY25" s="100"/>
      <c r="AZ25" s="100"/>
      <c r="BA25" s="101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M25" s="100"/>
      <c r="BN25" s="100"/>
    </row>
    <row r="26" spans="1:66" x14ac:dyDescent="0.25">
      <c r="A26" s="100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AG26" s="100"/>
      <c r="AH26" s="100"/>
      <c r="AI26" s="100"/>
      <c r="AJ26" s="101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X26" s="100"/>
      <c r="AY26" s="100"/>
      <c r="AZ26" s="100"/>
      <c r="BA26" s="101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M26" s="100"/>
      <c r="BN26" s="100"/>
    </row>
    <row r="27" spans="1:66" x14ac:dyDescent="0.25">
      <c r="A27" s="100"/>
      <c r="B27" s="101"/>
      <c r="C27" s="101"/>
      <c r="D27" s="101"/>
      <c r="E27" s="100"/>
      <c r="F27" s="100"/>
      <c r="G27" s="100"/>
      <c r="H27" s="100"/>
      <c r="I27" s="100"/>
      <c r="J27" s="100"/>
      <c r="K27" s="100"/>
      <c r="L27" s="100"/>
      <c r="M27" s="100"/>
      <c r="N27" s="102"/>
      <c r="AG27" s="100"/>
      <c r="AH27" s="100"/>
      <c r="AI27" s="100"/>
      <c r="AJ27" s="101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X27" s="100"/>
      <c r="AY27" s="100"/>
      <c r="AZ27" s="100"/>
      <c r="BA27" s="101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M27" s="100"/>
      <c r="BN27" s="100"/>
    </row>
    <row r="28" spans="1:66" x14ac:dyDescent="0.25">
      <c r="A28" s="100"/>
      <c r="B28" s="100"/>
      <c r="C28" s="100"/>
      <c r="D28" s="101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AG28" s="100"/>
      <c r="AH28" s="101"/>
      <c r="AI28" s="101"/>
      <c r="AJ28" s="101"/>
      <c r="AK28" s="100"/>
      <c r="AL28" s="100"/>
      <c r="AM28" s="100"/>
      <c r="AN28" s="100"/>
      <c r="AO28" s="100"/>
      <c r="AP28" s="100"/>
      <c r="AQ28" s="100"/>
      <c r="AR28" s="100"/>
      <c r="AS28" s="100"/>
      <c r="AT28" s="102"/>
      <c r="AX28" s="100"/>
      <c r="AY28" s="100"/>
      <c r="AZ28" s="100"/>
      <c r="BA28" s="101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M28" s="100"/>
      <c r="BN28" s="100"/>
    </row>
    <row r="29" spans="1:66" x14ac:dyDescent="0.25">
      <c r="A29" s="100"/>
      <c r="B29" s="100"/>
      <c r="C29" s="100"/>
      <c r="D29" s="101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AG29" s="100"/>
      <c r="AH29" s="100"/>
      <c r="AI29" s="100"/>
      <c r="AJ29" s="101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X29" s="100"/>
      <c r="AY29" s="100"/>
      <c r="AZ29" s="100"/>
      <c r="BA29" s="101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M29" s="100"/>
      <c r="BN29" s="100"/>
    </row>
    <row r="30" spans="1:66" x14ac:dyDescent="0.25">
      <c r="A30" s="100"/>
      <c r="B30" s="100"/>
      <c r="C30" s="100"/>
      <c r="D30" s="101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AG30" s="100"/>
      <c r="AH30" s="100"/>
      <c r="AI30" s="100"/>
      <c r="AJ30" s="101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X30" s="100"/>
      <c r="AY30" s="100"/>
      <c r="AZ30" s="100"/>
      <c r="BA30" s="101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M30" s="100"/>
      <c r="BN30" s="100"/>
    </row>
    <row r="31" spans="1:66" x14ac:dyDescent="0.25">
      <c r="A31" s="100"/>
      <c r="B31" s="100"/>
      <c r="C31" s="100"/>
      <c r="D31" s="101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AG31" s="100"/>
      <c r="AH31" s="100"/>
      <c r="AI31" s="100"/>
      <c r="AJ31" s="101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X31" s="100"/>
      <c r="AY31" s="100"/>
      <c r="AZ31" s="100"/>
      <c r="BA31" s="101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M31" s="100"/>
      <c r="BN31" s="100"/>
    </row>
    <row r="32" spans="1:66" x14ac:dyDescent="0.25">
      <c r="A32" s="100"/>
      <c r="B32" s="100"/>
      <c r="C32" s="100"/>
      <c r="D32" s="101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AG32" s="100"/>
      <c r="AH32" s="101"/>
      <c r="AI32" s="101"/>
      <c r="AJ32" s="101"/>
      <c r="AK32" s="100"/>
      <c r="AL32" s="100"/>
      <c r="AM32" s="100"/>
      <c r="AN32" s="100"/>
      <c r="AO32" s="100"/>
      <c r="AP32" s="100"/>
      <c r="AQ32" s="100"/>
      <c r="AR32" s="100"/>
      <c r="AS32" s="100"/>
      <c r="AT32" s="102"/>
      <c r="AX32" s="100"/>
      <c r="AY32" s="100"/>
      <c r="AZ32" s="100"/>
      <c r="BA32" s="101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M32" s="100"/>
      <c r="BN32" s="100"/>
    </row>
    <row r="33" spans="1:66" x14ac:dyDescent="0.25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AG33" s="100"/>
      <c r="AH33" s="100"/>
      <c r="AI33" s="100"/>
      <c r="AJ33" s="101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X33" s="100"/>
      <c r="AY33" s="100"/>
      <c r="AZ33" s="100"/>
      <c r="BA33" s="101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M33" s="100"/>
      <c r="BN33" s="100"/>
    </row>
    <row r="34" spans="1:66" x14ac:dyDescent="0.25">
      <c r="A34" s="100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AG34" s="100"/>
      <c r="AH34" s="100"/>
      <c r="AI34" s="100"/>
      <c r="AJ34" s="101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X34" s="100"/>
      <c r="AY34" s="100"/>
      <c r="AZ34" s="100"/>
      <c r="BA34" s="101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M34" s="100"/>
      <c r="BN34" s="100"/>
    </row>
    <row r="35" spans="1:66" x14ac:dyDescent="0.25">
      <c r="A35" s="100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AG35" s="100"/>
      <c r="AH35" s="100"/>
      <c r="AI35" s="100"/>
      <c r="AJ35" s="101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X35" s="100"/>
      <c r="AY35" s="100"/>
      <c r="AZ35" s="100"/>
      <c r="BA35" s="101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M35" s="100"/>
      <c r="BN35" s="100"/>
    </row>
    <row r="36" spans="1:66" x14ac:dyDescent="0.25">
      <c r="A36" s="100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AG36" s="100"/>
      <c r="AH36" s="100"/>
      <c r="AI36" s="100"/>
      <c r="AJ36" s="101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X36" s="100"/>
      <c r="AY36" s="100"/>
      <c r="AZ36" s="100"/>
      <c r="BA36" s="101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M36" s="100"/>
      <c r="BN36" s="100"/>
    </row>
    <row r="37" spans="1:66" x14ac:dyDescent="0.25">
      <c r="A37" s="100"/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AG37" s="100"/>
      <c r="AH37" s="101"/>
      <c r="AI37" s="101"/>
      <c r="AJ37" s="101"/>
      <c r="AK37" s="100"/>
      <c r="AL37" s="100"/>
      <c r="AM37" s="100"/>
      <c r="AN37" s="100"/>
      <c r="AO37" s="100"/>
      <c r="AP37" s="100"/>
      <c r="AQ37" s="100"/>
      <c r="AR37" s="100"/>
      <c r="AS37" s="100"/>
      <c r="AT37" s="102"/>
      <c r="AX37" s="100"/>
      <c r="AY37" s="100"/>
      <c r="AZ37" s="100"/>
      <c r="BA37" s="101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M37" s="100"/>
      <c r="BN37" s="100"/>
    </row>
    <row r="38" spans="1:66" x14ac:dyDescent="0.25">
      <c r="A38" s="100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AG38" s="100"/>
      <c r="AH38" s="100"/>
      <c r="AI38" s="100"/>
      <c r="AJ38" s="101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X38" s="100"/>
      <c r="AY38" s="100"/>
      <c r="AZ38" s="100"/>
      <c r="BA38" s="101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M38" s="100"/>
      <c r="BN38" s="100"/>
    </row>
    <row r="39" spans="1:66" x14ac:dyDescent="0.25">
      <c r="A39" s="100"/>
      <c r="B39" s="101"/>
      <c r="C39" s="101"/>
      <c r="D39" s="101"/>
      <c r="E39" s="100"/>
      <c r="F39" s="100"/>
      <c r="G39" s="100"/>
      <c r="H39" s="100"/>
      <c r="I39" s="100"/>
      <c r="J39" s="100"/>
      <c r="K39" s="100"/>
      <c r="L39" s="100"/>
      <c r="M39" s="100"/>
      <c r="N39" s="102"/>
      <c r="AG39" s="100"/>
      <c r="AH39" s="100"/>
      <c r="AI39" s="100"/>
      <c r="AJ39" s="101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X39" s="100"/>
      <c r="AY39" s="100"/>
      <c r="AZ39" s="100"/>
      <c r="BA39" s="101"/>
      <c r="BB39" s="100"/>
      <c r="BC39" s="100"/>
      <c r="BD39" s="100"/>
      <c r="BE39" s="100"/>
      <c r="BF39" s="100"/>
      <c r="BG39" s="103"/>
      <c r="BH39" s="100"/>
      <c r="BI39" s="100"/>
      <c r="BJ39" s="100"/>
      <c r="BK39" s="100"/>
      <c r="BM39" s="100"/>
      <c r="BN39" s="100"/>
    </row>
    <row r="40" spans="1:66" x14ac:dyDescent="0.25">
      <c r="A40" s="100"/>
      <c r="B40" s="100"/>
      <c r="C40" s="100"/>
      <c r="D40" s="101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AG40" s="100"/>
      <c r="AH40" s="100"/>
      <c r="AI40" s="100"/>
      <c r="AJ40" s="101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X40" s="100"/>
      <c r="AY40" s="100"/>
      <c r="AZ40" s="100"/>
      <c r="BA40" s="101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M40" s="100"/>
      <c r="BN40" s="100"/>
    </row>
    <row r="41" spans="1:66" x14ac:dyDescent="0.25">
      <c r="A41" s="100"/>
      <c r="B41" s="100"/>
      <c r="C41" s="100"/>
      <c r="D41" s="101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AG41" s="100"/>
      <c r="AH41" s="100"/>
      <c r="AI41" s="100"/>
      <c r="AJ41" s="101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X41" s="100"/>
      <c r="AY41" s="100"/>
      <c r="AZ41" s="100"/>
      <c r="BA41" s="101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M41" s="100"/>
      <c r="BN41" s="100"/>
    </row>
    <row r="42" spans="1:66" x14ac:dyDescent="0.25">
      <c r="A42" s="100"/>
      <c r="B42" s="100"/>
      <c r="C42" s="100"/>
      <c r="D42" s="101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AG42" s="100"/>
      <c r="AH42" s="101"/>
      <c r="AI42" s="101"/>
      <c r="AJ42" s="101"/>
      <c r="AK42" s="100"/>
      <c r="AL42" s="100"/>
      <c r="AM42" s="100"/>
      <c r="AN42" s="100"/>
      <c r="AO42" s="100"/>
      <c r="AP42" s="100"/>
      <c r="AQ42" s="100"/>
      <c r="AR42" s="100"/>
      <c r="AS42" s="100"/>
      <c r="AT42" s="102"/>
      <c r="AX42" s="100"/>
      <c r="AY42" s="100"/>
      <c r="AZ42" s="100"/>
      <c r="BA42" s="101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M42" s="100"/>
      <c r="BN42" s="100"/>
    </row>
    <row r="43" spans="1:66" x14ac:dyDescent="0.25">
      <c r="A43" s="100"/>
      <c r="B43" s="100"/>
      <c r="C43" s="100"/>
      <c r="D43" s="101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AG43" s="100"/>
      <c r="AH43" s="100"/>
      <c r="AI43" s="100"/>
      <c r="AJ43" s="101"/>
      <c r="AK43" s="100"/>
      <c r="AL43" s="100"/>
      <c r="AM43" s="100"/>
      <c r="AN43" s="100"/>
      <c r="AO43" s="100"/>
      <c r="AP43" s="103"/>
      <c r="AQ43" s="100"/>
      <c r="AR43" s="100"/>
      <c r="AS43" s="100"/>
      <c r="AT43" s="100"/>
      <c r="AX43" s="100"/>
      <c r="AY43" s="100"/>
      <c r="AZ43" s="100"/>
      <c r="BA43" s="101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M43" s="100"/>
      <c r="BN43" s="100"/>
    </row>
    <row r="44" spans="1:66" x14ac:dyDescent="0.25">
      <c r="A44" s="100"/>
      <c r="B44" s="100"/>
      <c r="C44" s="100"/>
      <c r="D44" s="101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AG44" s="100"/>
      <c r="AH44" s="100"/>
      <c r="AI44" s="100"/>
      <c r="AJ44" s="101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X44" s="100"/>
      <c r="AY44" s="100"/>
      <c r="AZ44" s="100"/>
      <c r="BA44" s="101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N44" s="100"/>
    </row>
    <row r="45" spans="1:66" x14ac:dyDescent="0.25">
      <c r="A45" s="100"/>
      <c r="B45" s="100"/>
      <c r="C45" s="100"/>
      <c r="D45" s="101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AG45" s="100"/>
      <c r="AH45" s="100"/>
      <c r="AI45" s="100"/>
      <c r="AJ45" s="101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X45" s="100"/>
      <c r="AY45" s="100"/>
      <c r="AZ45" s="100"/>
      <c r="BA45" s="101"/>
      <c r="BB45" s="100"/>
      <c r="BC45" s="100"/>
      <c r="BD45" s="100"/>
      <c r="BE45" s="100"/>
      <c r="BF45" s="100"/>
      <c r="BG45" s="100"/>
      <c r="BH45" s="100"/>
      <c r="BI45" s="100"/>
      <c r="BJ45" s="100"/>
      <c r="BK45" s="100"/>
      <c r="BN45" s="100"/>
    </row>
    <row r="46" spans="1:66" x14ac:dyDescent="0.25">
      <c r="A46" s="100"/>
      <c r="B46" s="100"/>
      <c r="C46" s="100"/>
      <c r="D46" s="101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AG46" s="100"/>
      <c r="AH46" s="100"/>
      <c r="AI46" s="100"/>
      <c r="AJ46" s="101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X46" s="100"/>
      <c r="AY46" s="100"/>
      <c r="AZ46" s="100"/>
      <c r="BA46" s="101"/>
      <c r="BB46" s="100"/>
      <c r="BC46" s="100"/>
      <c r="BD46" s="100"/>
      <c r="BE46" s="100"/>
      <c r="BF46" s="100"/>
      <c r="BG46" s="100"/>
      <c r="BH46" s="100"/>
      <c r="BI46" s="100"/>
      <c r="BJ46" s="100"/>
      <c r="BK46" s="100"/>
      <c r="BN46" s="100"/>
    </row>
    <row r="47" spans="1:66" x14ac:dyDescent="0.25">
      <c r="A47" s="100"/>
      <c r="B47" s="100"/>
      <c r="C47" s="100"/>
      <c r="D47" s="101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AG47" s="100"/>
      <c r="AH47" s="100"/>
      <c r="AI47" s="100"/>
      <c r="AJ47" s="101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X47" s="100"/>
      <c r="AY47" s="100"/>
      <c r="AZ47" s="100"/>
      <c r="BA47" s="101"/>
      <c r="BB47" s="100"/>
      <c r="BC47" s="100"/>
      <c r="BD47" s="100"/>
      <c r="BE47" s="100"/>
      <c r="BF47" s="100"/>
      <c r="BG47" s="100"/>
      <c r="BH47" s="100"/>
      <c r="BI47" s="100"/>
      <c r="BJ47" s="100"/>
      <c r="BK47" s="100"/>
      <c r="BN47" s="100"/>
    </row>
    <row r="48" spans="1:66" x14ac:dyDescent="0.25">
      <c r="A48" s="100"/>
      <c r="B48" s="101"/>
      <c r="C48" s="101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2"/>
      <c r="AG48" s="100"/>
      <c r="AH48" s="100"/>
      <c r="AI48" s="100"/>
      <c r="AJ48" s="101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X48" s="100"/>
      <c r="AY48" s="100"/>
      <c r="AZ48" s="100"/>
      <c r="BA48" s="101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N48" s="100"/>
    </row>
    <row r="49" spans="1:66" x14ac:dyDescent="0.25">
      <c r="A49" s="100"/>
      <c r="B49" s="100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AG49" s="100"/>
      <c r="AH49" s="100"/>
      <c r="AI49" s="100"/>
      <c r="AJ49" s="101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X49" s="100"/>
      <c r="AY49" s="100"/>
      <c r="AZ49" s="100"/>
      <c r="BA49" s="101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N49" s="100"/>
    </row>
    <row r="50" spans="1:66" x14ac:dyDescent="0.25">
      <c r="A50" s="100"/>
      <c r="B50" s="100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AG50" s="100"/>
      <c r="AH50" s="100"/>
      <c r="AI50" s="100"/>
      <c r="AJ50" s="101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X50" s="100"/>
      <c r="AY50" s="100"/>
      <c r="AZ50" s="100"/>
      <c r="BA50" s="101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N50" s="100"/>
    </row>
    <row r="51" spans="1:66" x14ac:dyDescent="0.25">
      <c r="A51" s="100"/>
      <c r="B51" s="100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AG51" s="100"/>
      <c r="AH51" s="101"/>
      <c r="AI51" s="101"/>
      <c r="AJ51" s="101"/>
      <c r="AK51" s="100"/>
      <c r="AL51" s="100"/>
      <c r="AM51" s="100"/>
      <c r="AN51" s="100"/>
      <c r="AO51" s="100"/>
      <c r="AP51" s="100"/>
      <c r="AQ51" s="100"/>
      <c r="AR51" s="100"/>
      <c r="AS51" s="100"/>
      <c r="AT51" s="102"/>
      <c r="AX51" s="100"/>
      <c r="AY51" s="100"/>
      <c r="AZ51" s="100"/>
      <c r="BA51" s="101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N51" s="100"/>
    </row>
    <row r="52" spans="1:66" x14ac:dyDescent="0.25">
      <c r="A52" s="100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AG52" s="100"/>
      <c r="AH52" s="100"/>
      <c r="AI52" s="100"/>
      <c r="AJ52" s="101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X52" s="100"/>
      <c r="AY52" s="100"/>
      <c r="AZ52" s="100"/>
      <c r="BA52" s="101"/>
      <c r="BB52" s="100"/>
      <c r="BC52" s="100"/>
      <c r="BD52" s="100"/>
      <c r="BE52" s="100"/>
      <c r="BF52" s="100"/>
      <c r="BG52" s="100"/>
      <c r="BH52" s="100"/>
      <c r="BI52" s="100"/>
      <c r="BJ52" s="100"/>
      <c r="BK52" s="100"/>
      <c r="BN52" s="100"/>
    </row>
    <row r="53" spans="1:66" x14ac:dyDescent="0.25">
      <c r="A53" s="100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AG53" s="100"/>
      <c r="AH53" s="100"/>
      <c r="AI53" s="100"/>
      <c r="AJ53" s="101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X53" s="100"/>
      <c r="AY53" s="100"/>
      <c r="AZ53" s="100"/>
      <c r="BA53" s="101"/>
      <c r="BB53" s="100"/>
      <c r="BC53" s="100"/>
      <c r="BD53" s="100"/>
      <c r="BE53" s="100"/>
      <c r="BF53" s="100"/>
      <c r="BG53" s="100"/>
      <c r="BH53" s="100"/>
      <c r="BI53" s="100"/>
      <c r="BJ53" s="100"/>
      <c r="BK53" s="100"/>
      <c r="BN53" s="100"/>
    </row>
    <row r="54" spans="1:66" x14ac:dyDescent="0.25">
      <c r="A54" s="100"/>
      <c r="B54" s="101"/>
      <c r="C54" s="101"/>
      <c r="D54" s="101"/>
      <c r="E54" s="100"/>
      <c r="F54" s="100"/>
      <c r="G54" s="100"/>
      <c r="H54" s="100"/>
      <c r="I54" s="100"/>
      <c r="J54" s="100"/>
      <c r="K54" s="100"/>
      <c r="L54" s="100"/>
      <c r="M54" s="100"/>
      <c r="N54" s="102"/>
      <c r="AG54" s="100"/>
      <c r="AH54" s="100"/>
      <c r="AI54" s="100"/>
      <c r="AJ54" s="101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X54" s="100"/>
      <c r="AY54" s="100"/>
      <c r="AZ54" s="100"/>
      <c r="BA54" s="101"/>
      <c r="BB54" s="100"/>
      <c r="BC54" s="100"/>
      <c r="BD54" s="100"/>
      <c r="BE54" s="100"/>
      <c r="BF54" s="100"/>
      <c r="BG54" s="100"/>
      <c r="BH54" s="100"/>
      <c r="BI54" s="100"/>
      <c r="BJ54" s="100"/>
      <c r="BK54" s="100"/>
      <c r="BN54" s="100"/>
    </row>
    <row r="55" spans="1:66" x14ac:dyDescent="0.25">
      <c r="A55" s="100"/>
      <c r="B55" s="100"/>
      <c r="C55" s="100"/>
      <c r="D55" s="101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AG55" s="100"/>
      <c r="AH55" s="100"/>
      <c r="AI55" s="100"/>
      <c r="AJ55" s="101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X55" s="100"/>
      <c r="AY55" s="100"/>
      <c r="AZ55" s="100"/>
      <c r="BA55" s="101"/>
      <c r="BB55" s="100"/>
      <c r="BC55" s="100"/>
      <c r="BD55" s="100"/>
      <c r="BE55" s="100"/>
      <c r="BF55" s="100"/>
      <c r="BG55" s="100"/>
      <c r="BH55" s="100"/>
      <c r="BI55" s="100"/>
      <c r="BJ55" s="100"/>
      <c r="BK55" s="100"/>
      <c r="BN55" s="100"/>
    </row>
    <row r="56" spans="1:66" x14ac:dyDescent="0.25">
      <c r="A56" s="100"/>
      <c r="B56" s="100"/>
      <c r="C56" s="100"/>
      <c r="D56" s="101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AG56" s="100"/>
      <c r="AH56" s="100"/>
      <c r="AI56" s="100"/>
      <c r="AJ56" s="101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X56" s="100"/>
      <c r="AY56" s="100"/>
      <c r="AZ56" s="100"/>
      <c r="BA56" s="101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N56" s="100"/>
    </row>
    <row r="57" spans="1:66" x14ac:dyDescent="0.25">
      <c r="A57" s="100"/>
      <c r="B57" s="100"/>
      <c r="C57" s="100"/>
      <c r="D57" s="101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AG57" s="100"/>
      <c r="AH57" s="100"/>
      <c r="AI57" s="100"/>
      <c r="AJ57" s="101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X57" s="100"/>
      <c r="AY57" s="100"/>
      <c r="AZ57" s="100"/>
      <c r="BA57" s="101"/>
      <c r="BB57" s="100"/>
      <c r="BC57" s="100"/>
      <c r="BD57" s="100"/>
      <c r="BE57" s="100"/>
      <c r="BF57" s="100"/>
      <c r="BG57" s="100"/>
      <c r="BH57" s="100"/>
      <c r="BI57" s="100"/>
      <c r="BJ57" s="100"/>
      <c r="BK57" s="100"/>
      <c r="BN57" s="100"/>
    </row>
    <row r="58" spans="1:66" x14ac:dyDescent="0.25">
      <c r="A58" s="100"/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AG58" s="100"/>
      <c r="AH58" s="100"/>
      <c r="AI58" s="100"/>
      <c r="AJ58" s="101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X58" s="100"/>
      <c r="AY58" s="100"/>
      <c r="AZ58" s="100"/>
      <c r="BA58" s="101"/>
      <c r="BB58" s="100"/>
      <c r="BC58" s="100"/>
      <c r="BD58" s="100"/>
      <c r="BE58" s="100"/>
      <c r="BF58" s="100"/>
      <c r="BG58" s="100"/>
      <c r="BH58" s="100"/>
      <c r="BI58" s="100"/>
      <c r="BJ58" s="100"/>
      <c r="BK58" s="100"/>
      <c r="BN58" s="100"/>
    </row>
    <row r="59" spans="1:66" x14ac:dyDescent="0.25">
      <c r="A59" s="100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AG59" s="100"/>
      <c r="AH59" s="101"/>
      <c r="AI59" s="101"/>
      <c r="AJ59" s="101"/>
      <c r="AK59" s="100"/>
      <c r="AL59" s="100"/>
      <c r="AM59" s="100"/>
      <c r="AN59" s="100"/>
      <c r="AO59" s="100"/>
      <c r="AP59" s="100"/>
      <c r="AQ59" s="100"/>
      <c r="AR59" s="100"/>
      <c r="AS59" s="100"/>
      <c r="AT59" s="102"/>
      <c r="AX59" s="100"/>
      <c r="AY59" s="100"/>
      <c r="AZ59" s="100"/>
      <c r="BA59" s="101"/>
      <c r="BB59" s="100"/>
      <c r="BC59" s="100"/>
      <c r="BD59" s="100"/>
      <c r="BE59" s="100"/>
      <c r="BF59" s="100"/>
      <c r="BG59" s="100"/>
      <c r="BH59" s="100"/>
      <c r="BI59" s="100"/>
      <c r="BJ59" s="100"/>
      <c r="BK59" s="100"/>
      <c r="BN59" s="100"/>
    </row>
    <row r="60" spans="1:66" x14ac:dyDescent="0.25">
      <c r="A60" s="100"/>
      <c r="B60" s="101"/>
      <c r="C60" s="101"/>
      <c r="D60" s="101"/>
      <c r="E60" s="100"/>
      <c r="F60" s="100"/>
      <c r="G60" s="100"/>
      <c r="H60" s="100"/>
      <c r="I60" s="100"/>
      <c r="J60" s="100"/>
      <c r="K60" s="100"/>
      <c r="L60" s="100"/>
      <c r="M60" s="100"/>
      <c r="N60" s="102"/>
      <c r="AG60" s="100"/>
      <c r="AH60" s="101"/>
      <c r="AI60" s="101"/>
      <c r="AJ60" s="101"/>
      <c r="AK60" s="100"/>
      <c r="AL60" s="100"/>
      <c r="AM60" s="100"/>
      <c r="AN60" s="100"/>
      <c r="AO60" s="100"/>
      <c r="AP60" s="100"/>
      <c r="AQ60" s="100"/>
      <c r="AR60" s="100"/>
      <c r="AS60" s="100"/>
      <c r="AT60" s="102"/>
      <c r="AX60" s="100"/>
      <c r="AY60" s="101"/>
      <c r="AZ60" s="101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2"/>
      <c r="BN60" s="100"/>
    </row>
    <row r="61" spans="1:66" x14ac:dyDescent="0.25">
      <c r="A61" s="100"/>
      <c r="B61" s="100"/>
      <c r="C61" s="100"/>
      <c r="D61" s="101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AG61" s="100"/>
      <c r="AH61" s="100"/>
      <c r="AI61" s="100"/>
      <c r="AJ61" s="101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X61" s="100"/>
      <c r="AY61" s="101"/>
      <c r="AZ61" s="101"/>
      <c r="BA61" s="100"/>
      <c r="BB61" s="100"/>
      <c r="BC61" s="100"/>
      <c r="BD61" s="100"/>
      <c r="BE61" s="100"/>
      <c r="BF61" s="100"/>
      <c r="BG61" s="100"/>
      <c r="BH61" s="100"/>
      <c r="BI61" s="100"/>
      <c r="BJ61" s="100"/>
      <c r="BK61" s="102"/>
      <c r="BN61" s="100"/>
    </row>
    <row r="62" spans="1:66" x14ac:dyDescent="0.25">
      <c r="A62" s="100"/>
      <c r="B62" s="100"/>
      <c r="C62" s="100"/>
      <c r="D62" s="101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AG62" s="100"/>
      <c r="AH62" s="100"/>
      <c r="AI62" s="100"/>
      <c r="AJ62" s="101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X62" s="100"/>
      <c r="AY62" s="101"/>
      <c r="AZ62" s="101"/>
      <c r="BA62" s="100"/>
      <c r="BB62" s="100"/>
      <c r="BC62" s="100"/>
      <c r="BD62" s="100"/>
      <c r="BE62" s="100"/>
      <c r="BF62" s="100"/>
      <c r="BG62" s="100"/>
      <c r="BH62" s="100"/>
      <c r="BI62" s="100"/>
      <c r="BJ62" s="100"/>
      <c r="BK62" s="102"/>
      <c r="BN62" s="100"/>
    </row>
    <row r="63" spans="1:66" x14ac:dyDescent="0.25">
      <c r="A63" s="100"/>
      <c r="B63" s="100"/>
      <c r="C63" s="100"/>
      <c r="D63" s="101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AG63" s="100"/>
      <c r="AH63" s="100"/>
      <c r="AI63" s="100"/>
      <c r="AJ63" s="101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X63" s="100"/>
      <c r="AY63" s="101"/>
      <c r="AZ63" s="101"/>
      <c r="BA63" s="101"/>
      <c r="BB63" s="100"/>
      <c r="BC63" s="100"/>
      <c r="BD63" s="100"/>
      <c r="BE63" s="100"/>
      <c r="BF63" s="100"/>
      <c r="BG63" s="100"/>
      <c r="BH63" s="100"/>
      <c r="BI63" s="100"/>
      <c r="BJ63" s="100"/>
      <c r="BK63" s="102"/>
      <c r="BN63" s="100"/>
    </row>
    <row r="64" spans="1:66" x14ac:dyDescent="0.25">
      <c r="A64" s="100"/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AG64" s="100"/>
      <c r="AH64" s="100"/>
      <c r="AI64" s="100"/>
      <c r="AJ64" s="101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X64" s="100"/>
      <c r="AY64" s="101"/>
      <c r="AZ64" s="101"/>
      <c r="BA64" s="100"/>
      <c r="BB64" s="100"/>
      <c r="BC64" s="100"/>
      <c r="BD64" s="100"/>
      <c r="BE64" s="100"/>
      <c r="BF64" s="100"/>
      <c r="BG64" s="100"/>
      <c r="BH64" s="100"/>
      <c r="BI64" s="100"/>
      <c r="BJ64" s="100"/>
      <c r="BK64" s="102"/>
      <c r="BN64" s="100"/>
    </row>
    <row r="65" spans="1:66" x14ac:dyDescent="0.25">
      <c r="A65" s="100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AG65" s="100"/>
      <c r="AH65" s="100"/>
      <c r="AI65" s="100"/>
      <c r="AJ65" s="101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X65" s="100"/>
      <c r="AY65" s="101"/>
      <c r="AZ65" s="101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2"/>
      <c r="BN65" s="100"/>
    </row>
    <row r="66" spans="1:66" x14ac:dyDescent="0.25">
      <c r="A66" s="100"/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AG66" s="100"/>
      <c r="AH66" s="101"/>
      <c r="AI66" s="101"/>
      <c r="AJ66" s="101"/>
      <c r="AK66" s="100"/>
      <c r="AL66" s="100"/>
      <c r="AM66" s="100"/>
      <c r="AN66" s="100"/>
      <c r="AO66" s="100"/>
      <c r="AP66" s="100"/>
      <c r="AQ66" s="100"/>
      <c r="AR66" s="100"/>
      <c r="AS66" s="100"/>
      <c r="AT66" s="102"/>
      <c r="AX66" s="100"/>
      <c r="AY66" s="101"/>
      <c r="AZ66" s="101"/>
      <c r="BA66" s="100"/>
      <c r="BB66" s="100"/>
      <c r="BC66" s="100"/>
      <c r="BD66" s="100"/>
      <c r="BE66" s="100"/>
      <c r="BF66" s="100"/>
      <c r="BG66" s="100"/>
      <c r="BH66" s="100"/>
      <c r="BI66" s="100"/>
      <c r="BJ66" s="100"/>
      <c r="BK66" s="102"/>
      <c r="BN66" s="100"/>
    </row>
    <row r="67" spans="1:66" x14ac:dyDescent="0.25">
      <c r="A67" s="100"/>
      <c r="B67" s="101"/>
      <c r="C67" s="101"/>
      <c r="D67" s="101"/>
      <c r="E67" s="100"/>
      <c r="F67" s="100"/>
      <c r="G67" s="100"/>
      <c r="H67" s="100"/>
      <c r="I67" s="100"/>
      <c r="J67" s="100"/>
      <c r="K67" s="100"/>
      <c r="L67" s="100"/>
      <c r="M67" s="100"/>
      <c r="N67" s="102"/>
      <c r="AG67" s="100"/>
      <c r="AH67" s="100"/>
      <c r="AI67" s="100"/>
      <c r="AJ67" s="101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X67" s="100"/>
      <c r="AY67" s="101"/>
      <c r="AZ67" s="101"/>
      <c r="BA67" s="100"/>
      <c r="BB67" s="100"/>
      <c r="BC67" s="100"/>
      <c r="BD67" s="100"/>
      <c r="BE67" s="100"/>
      <c r="BF67" s="100"/>
      <c r="BG67" s="100"/>
      <c r="BH67" s="100"/>
      <c r="BI67" s="100"/>
      <c r="BJ67" s="100"/>
      <c r="BK67" s="102"/>
      <c r="BN67" s="100"/>
    </row>
    <row r="68" spans="1:66" x14ac:dyDescent="0.25">
      <c r="A68" s="100"/>
      <c r="B68" s="100"/>
      <c r="C68" s="100"/>
      <c r="D68" s="101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AG68" s="100"/>
      <c r="AH68" s="101"/>
      <c r="AI68" s="101"/>
      <c r="AJ68" s="101"/>
      <c r="AK68" s="100"/>
      <c r="AL68" s="100"/>
      <c r="AM68" s="100"/>
      <c r="AN68" s="100"/>
      <c r="AO68" s="100"/>
      <c r="AP68" s="100"/>
      <c r="AQ68" s="100"/>
      <c r="AR68" s="100"/>
      <c r="AS68" s="100"/>
      <c r="AT68" s="102"/>
      <c r="AX68" s="100"/>
      <c r="AY68" s="101"/>
      <c r="AZ68" s="101"/>
      <c r="BA68" s="100"/>
      <c r="BB68" s="100"/>
      <c r="BC68" s="100"/>
      <c r="BD68" s="100"/>
      <c r="BE68" s="100"/>
      <c r="BF68" s="100"/>
      <c r="BG68" s="100"/>
      <c r="BH68" s="100"/>
      <c r="BI68" s="100"/>
      <c r="BJ68" s="100"/>
      <c r="BK68" s="102"/>
      <c r="BN68" s="100"/>
    </row>
    <row r="69" spans="1:66" x14ac:dyDescent="0.25">
      <c r="A69" s="100"/>
      <c r="B69" s="100"/>
      <c r="C69" s="100"/>
      <c r="D69" s="101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AG69" s="100"/>
      <c r="AH69" s="101"/>
      <c r="AI69" s="101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2"/>
      <c r="AX69" s="100"/>
      <c r="AY69" s="101"/>
      <c r="AZ69" s="101"/>
      <c r="BA69" s="101"/>
      <c r="BB69" s="100"/>
      <c r="BC69" s="100"/>
      <c r="BD69" s="100"/>
      <c r="BE69" s="100"/>
      <c r="BF69" s="100"/>
      <c r="BG69" s="100"/>
      <c r="BH69" s="100"/>
      <c r="BI69" s="100"/>
      <c r="BJ69" s="100"/>
      <c r="BK69" s="102"/>
      <c r="BN69" s="100"/>
    </row>
    <row r="70" spans="1:66" x14ac:dyDescent="0.25">
      <c r="A70" s="100"/>
      <c r="B70" s="100"/>
      <c r="C70" s="100"/>
      <c r="D70" s="101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AG70" s="100"/>
      <c r="AH70" s="101"/>
      <c r="AI70" s="101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2"/>
      <c r="AX70" s="100"/>
      <c r="AY70" s="101"/>
      <c r="AZ70" s="101"/>
      <c r="BA70" s="101"/>
      <c r="BB70" s="100"/>
      <c r="BC70" s="100"/>
      <c r="BD70" s="100"/>
      <c r="BE70" s="100"/>
      <c r="BF70" s="100"/>
      <c r="BG70" s="100"/>
      <c r="BH70" s="100"/>
      <c r="BI70" s="100"/>
      <c r="BJ70" s="100"/>
      <c r="BK70" s="102"/>
      <c r="BN70" s="100"/>
    </row>
    <row r="71" spans="1:66" x14ac:dyDescent="0.25">
      <c r="A71" s="100"/>
      <c r="B71" s="100"/>
      <c r="C71" s="100"/>
      <c r="D71" s="101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AG71" s="100"/>
      <c r="AH71" s="101"/>
      <c r="AI71" s="101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2"/>
      <c r="AX71" s="100"/>
      <c r="AY71" s="101"/>
      <c r="AZ71" s="101"/>
      <c r="BA71" s="101"/>
      <c r="BB71" s="100"/>
      <c r="BC71" s="100"/>
      <c r="BD71" s="100"/>
      <c r="BE71" s="100"/>
      <c r="BF71" s="100"/>
      <c r="BG71" s="100"/>
      <c r="BH71" s="100"/>
      <c r="BI71" s="100"/>
      <c r="BJ71" s="100"/>
      <c r="BK71" s="102"/>
      <c r="BN71" s="100"/>
    </row>
    <row r="72" spans="1:66" x14ac:dyDescent="0.25">
      <c r="A72" s="100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AG72" s="100"/>
      <c r="AH72" s="101"/>
      <c r="AI72" s="101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2"/>
      <c r="AX72" s="100"/>
      <c r="AY72" s="101"/>
      <c r="AZ72" s="101"/>
      <c r="BA72" s="101"/>
      <c r="BB72" s="100"/>
      <c r="BC72" s="100"/>
      <c r="BD72" s="100"/>
      <c r="BE72" s="100"/>
      <c r="BF72" s="100"/>
      <c r="BG72" s="100"/>
      <c r="BH72" s="100"/>
      <c r="BI72" s="100"/>
      <c r="BJ72" s="100"/>
      <c r="BK72" s="102"/>
      <c r="BN72" s="100"/>
    </row>
    <row r="73" spans="1:66" x14ac:dyDescent="0.25">
      <c r="A73" s="100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AG73" s="100"/>
      <c r="AH73" s="101"/>
      <c r="AI73" s="101"/>
      <c r="AJ73" s="101"/>
      <c r="AK73" s="100"/>
      <c r="AL73" s="100"/>
      <c r="AM73" s="100"/>
      <c r="AN73" s="100"/>
      <c r="AO73" s="100"/>
      <c r="AP73" s="100"/>
      <c r="AQ73" s="100"/>
      <c r="AR73" s="100"/>
      <c r="AS73" s="100"/>
      <c r="AT73" s="102"/>
      <c r="AX73" s="100"/>
      <c r="AY73" s="101"/>
      <c r="AZ73" s="101"/>
      <c r="BA73" s="101"/>
      <c r="BB73" s="100"/>
      <c r="BC73" s="100"/>
      <c r="BD73" s="100"/>
      <c r="BE73" s="100"/>
      <c r="BF73" s="100"/>
      <c r="BG73" s="100"/>
      <c r="BH73" s="100"/>
      <c r="BI73" s="100"/>
      <c r="BJ73" s="100"/>
      <c r="BK73" s="102"/>
      <c r="BN73" s="100"/>
    </row>
    <row r="74" spans="1:66" x14ac:dyDescent="0.25">
      <c r="A74" s="100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AG74" s="100"/>
      <c r="AH74" s="101"/>
      <c r="AI74" s="101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2"/>
      <c r="AX74" s="100"/>
      <c r="AY74" s="101"/>
      <c r="AZ74" s="101"/>
      <c r="BA74" s="100"/>
      <c r="BB74" s="100"/>
      <c r="BC74" s="100"/>
      <c r="BD74" s="100"/>
      <c r="BE74" s="100"/>
      <c r="BF74" s="100"/>
      <c r="BG74" s="100"/>
      <c r="BH74" s="100"/>
      <c r="BI74" s="100"/>
      <c r="BJ74" s="100"/>
      <c r="BK74" s="102"/>
      <c r="BN74" s="100"/>
    </row>
    <row r="75" spans="1:66" x14ac:dyDescent="0.25">
      <c r="A75" s="100"/>
      <c r="B75" s="100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AG75" s="100"/>
      <c r="AH75" s="101"/>
      <c r="AI75" s="101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2"/>
      <c r="AX75" s="100"/>
      <c r="AY75" s="101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  <c r="BJ75" s="100"/>
      <c r="BK75" s="102"/>
      <c r="BN75" s="100"/>
    </row>
    <row r="76" spans="1:66" x14ac:dyDescent="0.25">
      <c r="A76" s="100"/>
      <c r="B76" s="101"/>
      <c r="C76" s="101"/>
      <c r="D76" s="101"/>
      <c r="E76" s="100"/>
      <c r="F76" s="100"/>
      <c r="G76" s="100"/>
      <c r="H76" s="100"/>
      <c r="I76" s="100"/>
      <c r="J76" s="100"/>
      <c r="K76" s="100"/>
      <c r="L76" s="100"/>
      <c r="M76" s="100"/>
      <c r="N76" s="102"/>
      <c r="AG76" s="100"/>
      <c r="AH76" s="101"/>
      <c r="AI76" s="101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2"/>
      <c r="AX76" s="100"/>
      <c r="AY76" s="101"/>
      <c r="AZ76" s="101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2"/>
      <c r="BN76" s="100"/>
    </row>
    <row r="77" spans="1:66" x14ac:dyDescent="0.25">
      <c r="A77" s="100"/>
      <c r="B77" s="100"/>
      <c r="C77" s="100"/>
      <c r="D77" s="101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AG77" s="100"/>
      <c r="AH77" s="101"/>
      <c r="AI77" s="101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2"/>
      <c r="AX77" s="100"/>
      <c r="AY77" s="101"/>
      <c r="AZ77" s="100"/>
      <c r="BA77" s="100"/>
      <c r="BB77" s="100"/>
      <c r="BC77" s="100"/>
      <c r="BD77" s="100"/>
      <c r="BE77" s="100"/>
      <c r="BF77" s="100"/>
      <c r="BG77" s="100"/>
      <c r="BH77" s="100"/>
      <c r="BI77" s="100"/>
      <c r="BJ77" s="100"/>
      <c r="BK77" s="102"/>
      <c r="BN77" s="100"/>
    </row>
    <row r="78" spans="1:66" x14ac:dyDescent="0.25">
      <c r="A78" s="100"/>
      <c r="B78" s="100"/>
      <c r="C78" s="100"/>
      <c r="D78" s="101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AG78" s="100"/>
      <c r="AH78" s="101"/>
      <c r="AI78" s="101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2"/>
      <c r="AX78" s="100"/>
      <c r="AY78" s="101"/>
      <c r="AZ78" s="101"/>
      <c r="BA78" s="100"/>
      <c r="BB78" s="100"/>
      <c r="BC78" s="100"/>
      <c r="BD78" s="100"/>
      <c r="BE78" s="100"/>
      <c r="BF78" s="100"/>
      <c r="BG78" s="100"/>
      <c r="BH78" s="100"/>
      <c r="BI78" s="100"/>
      <c r="BJ78" s="100"/>
      <c r="BK78" s="102"/>
      <c r="BN78" s="100"/>
    </row>
    <row r="79" spans="1:66" x14ac:dyDescent="0.25">
      <c r="A79" s="100"/>
      <c r="B79" s="100"/>
      <c r="C79" s="100"/>
      <c r="D79" s="101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AG79" s="100"/>
      <c r="AH79" s="101"/>
      <c r="AI79" s="101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2"/>
      <c r="AX79" s="100"/>
      <c r="AY79" s="101"/>
      <c r="AZ79" s="101"/>
      <c r="BA79" s="100"/>
      <c r="BB79" s="100"/>
      <c r="BC79" s="100"/>
      <c r="BD79" s="100"/>
      <c r="BE79" s="100"/>
      <c r="BF79" s="100"/>
      <c r="BG79" s="100"/>
      <c r="BH79" s="100"/>
      <c r="BI79" s="100"/>
      <c r="BJ79" s="100"/>
      <c r="BK79" s="102"/>
      <c r="BN79" s="100"/>
    </row>
    <row r="80" spans="1:66" x14ac:dyDescent="0.25">
      <c r="A80" s="100"/>
      <c r="B80" s="100"/>
      <c r="C80" s="100"/>
      <c r="D80" s="101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AG80" s="100"/>
      <c r="AH80" s="101"/>
      <c r="AI80" s="101"/>
      <c r="AJ80" s="101"/>
      <c r="AK80" s="100"/>
      <c r="AL80" s="100"/>
      <c r="AM80" s="100"/>
      <c r="AN80" s="100"/>
      <c r="AO80" s="100"/>
      <c r="AP80" s="100"/>
      <c r="AQ80" s="100"/>
      <c r="AR80" s="100"/>
      <c r="AS80" s="100"/>
      <c r="AT80" s="102"/>
      <c r="AX80" s="100"/>
      <c r="AY80" s="101"/>
      <c r="AZ80" s="101"/>
      <c r="BA80" s="100"/>
      <c r="BB80" s="100"/>
      <c r="BC80" s="100"/>
      <c r="BD80" s="100"/>
      <c r="BE80" s="100"/>
      <c r="BF80" s="100"/>
      <c r="BG80" s="100"/>
      <c r="BH80" s="100"/>
      <c r="BI80" s="100"/>
      <c r="BJ80" s="100"/>
      <c r="BK80" s="102"/>
      <c r="BN80" s="100"/>
    </row>
    <row r="81" spans="1:66" x14ac:dyDescent="0.25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AG81" s="100"/>
      <c r="AH81" s="101"/>
      <c r="AI81" s="101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2"/>
      <c r="AX81" s="100"/>
      <c r="AY81" s="101"/>
      <c r="AZ81" s="101"/>
      <c r="BA81" s="100"/>
      <c r="BB81" s="100"/>
      <c r="BC81" s="100"/>
      <c r="BD81" s="100"/>
      <c r="BE81" s="100"/>
      <c r="BF81" s="100"/>
      <c r="BG81" s="100"/>
      <c r="BH81" s="100"/>
      <c r="BI81" s="100"/>
      <c r="BJ81" s="100"/>
      <c r="BK81" s="102"/>
      <c r="BN81" s="100"/>
    </row>
    <row r="82" spans="1:66" x14ac:dyDescent="0.25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AG82" s="100"/>
      <c r="AH82" s="101"/>
      <c r="AI82" s="101"/>
      <c r="AJ82" s="101"/>
      <c r="AK82" s="100"/>
      <c r="AL82" s="100"/>
      <c r="AM82" s="100"/>
      <c r="AN82" s="100"/>
      <c r="AO82" s="100"/>
      <c r="AP82" s="100"/>
      <c r="AQ82" s="100"/>
      <c r="AR82" s="100"/>
      <c r="AS82" s="100"/>
      <c r="AT82" s="102"/>
      <c r="AX82" s="100"/>
      <c r="AY82" s="101"/>
      <c r="AZ82" s="101"/>
      <c r="BA82" s="100"/>
      <c r="BB82" s="100"/>
      <c r="BC82" s="100"/>
      <c r="BD82" s="100"/>
      <c r="BE82" s="100"/>
      <c r="BF82" s="100"/>
      <c r="BG82" s="100"/>
      <c r="BH82" s="100"/>
      <c r="BI82" s="100"/>
      <c r="BJ82" s="100"/>
      <c r="BK82" s="102"/>
      <c r="BN82" s="100"/>
    </row>
    <row r="83" spans="1:66" x14ac:dyDescent="0.25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AG83" s="100"/>
      <c r="AH83" s="101"/>
      <c r="AI83" s="101"/>
      <c r="AJ83" s="101"/>
      <c r="AK83" s="100"/>
      <c r="AL83" s="100"/>
      <c r="AM83" s="100"/>
      <c r="AN83" s="100"/>
      <c r="AO83" s="100"/>
      <c r="AP83" s="100"/>
      <c r="AQ83" s="100"/>
      <c r="AR83" s="100"/>
      <c r="AS83" s="100"/>
      <c r="AT83" s="102"/>
      <c r="AX83" s="100"/>
      <c r="AY83" s="101"/>
      <c r="AZ83" s="101"/>
      <c r="BA83" s="100"/>
      <c r="BB83" s="100"/>
      <c r="BC83" s="100"/>
      <c r="BD83" s="100"/>
      <c r="BE83" s="100"/>
      <c r="BF83" s="100"/>
      <c r="BG83" s="100"/>
      <c r="BH83" s="100"/>
      <c r="BI83" s="100"/>
      <c r="BJ83" s="100"/>
      <c r="BK83" s="102"/>
      <c r="BN83" s="100"/>
    </row>
    <row r="84" spans="1:66" x14ac:dyDescent="0.25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AG84" s="100"/>
      <c r="AH84" s="101"/>
      <c r="AI84" s="101"/>
      <c r="AJ84" s="101"/>
      <c r="AK84" s="100"/>
      <c r="AL84" s="100"/>
      <c r="AM84" s="100"/>
      <c r="AN84" s="100"/>
      <c r="AO84" s="100"/>
      <c r="AP84" s="100"/>
      <c r="AQ84" s="100"/>
      <c r="AR84" s="100"/>
      <c r="AS84" s="100"/>
      <c r="AT84" s="102"/>
      <c r="AX84" s="100"/>
      <c r="AY84" s="101"/>
      <c r="AZ84" s="101"/>
      <c r="BA84" s="100"/>
      <c r="BB84" s="100"/>
      <c r="BC84" s="100"/>
      <c r="BD84" s="100"/>
      <c r="BE84" s="100"/>
      <c r="BF84" s="100"/>
      <c r="BG84" s="100"/>
      <c r="BH84" s="100"/>
      <c r="BI84" s="100"/>
      <c r="BJ84" s="100"/>
      <c r="BK84" s="102"/>
      <c r="BN84" s="100"/>
    </row>
    <row r="85" spans="1:66" x14ac:dyDescent="0.25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AG85" s="100"/>
      <c r="AH85" s="101"/>
      <c r="AI85" s="101"/>
      <c r="AJ85" s="101"/>
      <c r="AK85" s="100"/>
      <c r="AL85" s="100"/>
      <c r="AM85" s="100"/>
      <c r="AN85" s="100"/>
      <c r="AO85" s="100"/>
      <c r="AP85" s="100"/>
      <c r="AQ85" s="100"/>
      <c r="AR85" s="100"/>
      <c r="AS85" s="100"/>
      <c r="AT85" s="102"/>
      <c r="AX85" s="100"/>
      <c r="AY85" s="101"/>
      <c r="AZ85" s="101"/>
      <c r="BA85" s="100"/>
      <c r="BB85" s="100"/>
      <c r="BC85" s="100"/>
      <c r="BD85" s="100"/>
      <c r="BE85" s="100"/>
      <c r="BF85" s="100"/>
      <c r="BG85" s="100"/>
      <c r="BH85" s="100"/>
      <c r="BI85" s="100"/>
      <c r="BJ85" s="100"/>
      <c r="BK85" s="102"/>
      <c r="BN85" s="100"/>
    </row>
    <row r="86" spans="1:66" x14ac:dyDescent="0.25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AG86" s="100"/>
      <c r="AH86" s="101"/>
      <c r="AI86" s="101"/>
      <c r="AJ86" s="101"/>
      <c r="AK86" s="100"/>
      <c r="AL86" s="100"/>
      <c r="AM86" s="100"/>
      <c r="AN86" s="100"/>
      <c r="AO86" s="100"/>
      <c r="AP86" s="100"/>
      <c r="AQ86" s="100"/>
      <c r="AR86" s="100"/>
      <c r="AS86" s="100"/>
      <c r="AT86" s="102"/>
      <c r="AX86" s="100"/>
      <c r="AY86" s="101"/>
      <c r="AZ86" s="101"/>
      <c r="BA86" s="100"/>
      <c r="BB86" s="100"/>
      <c r="BC86" s="100"/>
      <c r="BD86" s="100"/>
      <c r="BE86" s="100"/>
      <c r="BF86" s="100"/>
      <c r="BG86" s="100"/>
      <c r="BH86" s="100"/>
      <c r="BI86" s="100"/>
      <c r="BJ86" s="100"/>
      <c r="BK86" s="102"/>
      <c r="BN86" s="100"/>
    </row>
    <row r="87" spans="1:66" x14ac:dyDescent="0.25">
      <c r="A87" s="100"/>
      <c r="B87" s="101"/>
      <c r="C87" s="101"/>
      <c r="D87" s="101"/>
      <c r="E87" s="100"/>
      <c r="F87" s="100"/>
      <c r="G87" s="100"/>
      <c r="H87" s="100"/>
      <c r="I87" s="100"/>
      <c r="J87" s="100"/>
      <c r="K87" s="100"/>
      <c r="L87" s="100"/>
      <c r="M87" s="100"/>
      <c r="N87" s="102"/>
      <c r="AG87" s="100"/>
      <c r="AH87" s="101"/>
      <c r="AI87" s="101"/>
      <c r="AJ87" s="101"/>
      <c r="AK87" s="100"/>
      <c r="AL87" s="100"/>
      <c r="AM87" s="100"/>
      <c r="AN87" s="100"/>
      <c r="AO87" s="100"/>
      <c r="AP87" s="100"/>
      <c r="AQ87" s="100"/>
      <c r="AR87" s="100"/>
      <c r="AS87" s="100"/>
      <c r="AT87" s="102"/>
      <c r="AX87" s="100"/>
      <c r="AY87" s="101"/>
      <c r="AZ87" s="101"/>
      <c r="BA87" s="100"/>
      <c r="BB87" s="100"/>
      <c r="BC87" s="100"/>
      <c r="BD87" s="100"/>
      <c r="BE87" s="100"/>
      <c r="BF87" s="100"/>
      <c r="BG87" s="100"/>
      <c r="BH87" s="100"/>
      <c r="BI87" s="100"/>
      <c r="BJ87" s="100"/>
      <c r="BK87" s="102"/>
      <c r="BN87" s="100"/>
    </row>
    <row r="88" spans="1:66" x14ac:dyDescent="0.25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AG88" s="100"/>
      <c r="AH88" s="101"/>
      <c r="AI88" s="101"/>
      <c r="AJ88" s="101"/>
      <c r="AK88" s="100"/>
      <c r="AL88" s="100"/>
      <c r="AM88" s="100"/>
      <c r="AN88" s="100"/>
      <c r="AO88" s="100"/>
      <c r="AP88" s="100"/>
      <c r="AQ88" s="100"/>
      <c r="AR88" s="100"/>
      <c r="AS88" s="100"/>
      <c r="AT88" s="102"/>
      <c r="AX88" s="100"/>
      <c r="AY88" s="101"/>
      <c r="AZ88" s="101"/>
      <c r="BA88" s="101"/>
      <c r="BB88" s="100"/>
      <c r="BC88" s="100"/>
      <c r="BD88" s="100"/>
      <c r="BE88" s="100"/>
      <c r="BF88" s="100"/>
      <c r="BG88" s="100"/>
      <c r="BH88" s="100"/>
      <c r="BI88" s="100"/>
      <c r="BJ88" s="100"/>
      <c r="BK88" s="102"/>
      <c r="BN88" s="100"/>
    </row>
    <row r="89" spans="1:66" x14ac:dyDescent="0.25">
      <c r="A89" s="100"/>
      <c r="B89" s="100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AG89" s="100"/>
      <c r="AH89" s="101"/>
      <c r="AI89" s="101"/>
      <c r="AJ89" s="101"/>
      <c r="AK89" s="100"/>
      <c r="AL89" s="100"/>
      <c r="AM89" s="100"/>
      <c r="AN89" s="100"/>
      <c r="AO89" s="100"/>
      <c r="AP89" s="100"/>
      <c r="AQ89" s="100"/>
      <c r="AR89" s="100"/>
      <c r="AS89" s="100"/>
      <c r="AT89" s="102"/>
      <c r="AX89" s="100"/>
      <c r="AY89" s="101"/>
      <c r="AZ89" s="101"/>
      <c r="BA89" s="100"/>
      <c r="BB89" s="100"/>
      <c r="BC89" s="100"/>
      <c r="BD89" s="100"/>
      <c r="BE89" s="100"/>
      <c r="BF89" s="100"/>
      <c r="BG89" s="100"/>
      <c r="BH89" s="100"/>
      <c r="BI89" s="100"/>
      <c r="BJ89" s="100"/>
      <c r="BK89" s="102"/>
      <c r="BN89" s="100"/>
    </row>
    <row r="90" spans="1:66" x14ac:dyDescent="0.25">
      <c r="A90" s="100"/>
      <c r="B90" s="101"/>
      <c r="C90" s="101"/>
      <c r="D90" s="101"/>
      <c r="E90" s="100"/>
      <c r="F90" s="100"/>
      <c r="G90" s="100"/>
      <c r="H90" s="100"/>
      <c r="I90" s="100"/>
      <c r="J90" s="100"/>
      <c r="K90" s="100"/>
      <c r="L90" s="100"/>
      <c r="M90" s="100"/>
      <c r="N90" s="102"/>
      <c r="AG90" s="100"/>
      <c r="AH90" s="101"/>
      <c r="AI90" s="101"/>
      <c r="AJ90" s="101"/>
      <c r="AK90" s="100"/>
      <c r="AL90" s="100"/>
      <c r="AM90" s="100"/>
      <c r="AN90" s="100"/>
      <c r="AO90" s="100"/>
      <c r="AP90" s="100"/>
      <c r="AQ90" s="100"/>
      <c r="AR90" s="100"/>
      <c r="AS90" s="100"/>
      <c r="AT90" s="102"/>
      <c r="AX90" s="100"/>
      <c r="AY90" s="101"/>
      <c r="AZ90" s="101"/>
      <c r="BA90" s="100"/>
      <c r="BB90" s="100"/>
      <c r="BC90" s="100"/>
      <c r="BD90" s="100"/>
      <c r="BE90" s="100"/>
      <c r="BF90" s="100"/>
      <c r="BG90" s="100"/>
      <c r="BH90" s="100"/>
      <c r="BI90" s="100"/>
      <c r="BJ90" s="100"/>
      <c r="BK90" s="102"/>
      <c r="BN90" s="100"/>
    </row>
    <row r="91" spans="1:66" x14ac:dyDescent="0.25">
      <c r="A91" s="100"/>
      <c r="B91" s="100"/>
      <c r="C91" s="100"/>
      <c r="D91" s="101"/>
      <c r="E91" s="100"/>
      <c r="F91" s="100"/>
      <c r="G91" s="100"/>
      <c r="H91" s="100"/>
      <c r="I91" s="100"/>
      <c r="J91" s="103"/>
      <c r="K91" s="100"/>
      <c r="L91" s="100"/>
      <c r="M91" s="100"/>
      <c r="N91" s="100"/>
      <c r="AG91" s="100"/>
      <c r="AH91" s="101"/>
      <c r="AI91" s="101"/>
      <c r="AJ91" s="101"/>
      <c r="AK91" s="100"/>
      <c r="AL91" s="100"/>
      <c r="AM91" s="100"/>
      <c r="AN91" s="100"/>
      <c r="AO91" s="100"/>
      <c r="AP91" s="100"/>
      <c r="AQ91" s="100"/>
      <c r="AR91" s="100"/>
      <c r="AS91" s="100"/>
      <c r="AT91" s="102"/>
      <c r="AX91" s="100"/>
      <c r="AY91" s="101"/>
      <c r="AZ91" s="101"/>
      <c r="BA91" s="100"/>
      <c r="BB91" s="100"/>
      <c r="BC91" s="100"/>
      <c r="BD91" s="100"/>
      <c r="BE91" s="100"/>
      <c r="BF91" s="100"/>
      <c r="BG91" s="100"/>
      <c r="BH91" s="100"/>
      <c r="BI91" s="100"/>
      <c r="BJ91" s="100"/>
      <c r="BK91" s="102"/>
      <c r="BN91" s="100"/>
    </row>
    <row r="92" spans="1:66" x14ac:dyDescent="0.25">
      <c r="A92" s="100"/>
      <c r="B92" s="100"/>
      <c r="C92" s="100"/>
      <c r="D92" s="101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AG92" s="100"/>
      <c r="AH92" s="101"/>
      <c r="AI92" s="101"/>
      <c r="AJ92" s="101"/>
      <c r="AK92" s="100"/>
      <c r="AL92" s="100"/>
      <c r="AM92" s="100"/>
      <c r="AN92" s="100"/>
      <c r="AO92" s="100"/>
      <c r="AP92" s="100"/>
      <c r="AQ92" s="100"/>
      <c r="AR92" s="100"/>
      <c r="AS92" s="100"/>
      <c r="AT92" s="102"/>
      <c r="AX92" s="100"/>
      <c r="AY92" s="101"/>
      <c r="AZ92" s="101"/>
      <c r="BA92" s="100"/>
      <c r="BB92" s="100"/>
      <c r="BC92" s="100"/>
      <c r="BD92" s="100"/>
      <c r="BE92" s="100"/>
      <c r="BF92" s="100"/>
      <c r="BG92" s="100"/>
      <c r="BH92" s="100"/>
      <c r="BI92" s="100"/>
      <c r="BJ92" s="100"/>
      <c r="BK92" s="102"/>
      <c r="BN92" s="100"/>
    </row>
    <row r="93" spans="1:66" x14ac:dyDescent="0.25">
      <c r="A93" s="100"/>
      <c r="B93" s="100"/>
      <c r="C93" s="100"/>
      <c r="D93" s="101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AG93" s="100"/>
      <c r="AH93" s="101"/>
      <c r="AI93" s="101"/>
      <c r="AJ93" s="101"/>
      <c r="AK93" s="100"/>
      <c r="AL93" s="100"/>
      <c r="AM93" s="100"/>
      <c r="AN93" s="100"/>
      <c r="AO93" s="100"/>
      <c r="AP93" s="100"/>
      <c r="AQ93" s="100"/>
      <c r="AR93" s="100"/>
      <c r="AS93" s="100"/>
      <c r="AT93" s="102"/>
      <c r="AX93" s="100"/>
      <c r="AY93" s="101"/>
      <c r="AZ93" s="101"/>
      <c r="BA93" s="100"/>
      <c r="BB93" s="100"/>
      <c r="BC93" s="100"/>
      <c r="BD93" s="100"/>
      <c r="BE93" s="100"/>
      <c r="BF93" s="100"/>
      <c r="BG93" s="100"/>
      <c r="BH93" s="100"/>
      <c r="BI93" s="100"/>
      <c r="BJ93" s="100"/>
      <c r="BK93" s="102"/>
      <c r="BN93" s="100"/>
    </row>
    <row r="94" spans="1:66" x14ac:dyDescent="0.25">
      <c r="A94" s="100"/>
      <c r="B94" s="100"/>
      <c r="C94" s="100"/>
      <c r="D94" s="101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AG94" s="100"/>
      <c r="AH94" s="101"/>
      <c r="AI94" s="101"/>
      <c r="AJ94" s="101"/>
      <c r="AK94" s="100"/>
      <c r="AL94" s="100"/>
      <c r="AM94" s="100"/>
      <c r="AN94" s="100"/>
      <c r="AO94" s="100"/>
      <c r="AP94" s="100"/>
      <c r="AQ94" s="100"/>
      <c r="AR94" s="100"/>
      <c r="AS94" s="100"/>
      <c r="AT94" s="102"/>
      <c r="AX94" s="100"/>
      <c r="AY94" s="101"/>
      <c r="AZ94" s="101"/>
      <c r="BA94" s="100"/>
      <c r="BB94" s="100"/>
      <c r="BC94" s="100"/>
      <c r="BD94" s="100"/>
      <c r="BE94" s="100"/>
      <c r="BF94" s="100"/>
      <c r="BG94" s="100"/>
      <c r="BH94" s="100"/>
      <c r="BI94" s="100"/>
      <c r="BJ94" s="100"/>
      <c r="BK94" s="102"/>
      <c r="BN94" s="100"/>
    </row>
    <row r="95" spans="1:66" x14ac:dyDescent="0.25">
      <c r="A95" s="100"/>
      <c r="B95" s="100"/>
      <c r="C95" s="100"/>
      <c r="D95" s="101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AG95" s="100"/>
      <c r="AH95" s="101"/>
      <c r="AI95" s="101"/>
      <c r="AJ95" s="101"/>
      <c r="AK95" s="100"/>
      <c r="AL95" s="100"/>
      <c r="AM95" s="100"/>
      <c r="AN95" s="100"/>
      <c r="AO95" s="100"/>
      <c r="AP95" s="100"/>
      <c r="AQ95" s="100"/>
      <c r="AR95" s="100"/>
      <c r="AS95" s="100"/>
      <c r="AT95" s="102"/>
      <c r="AX95" s="100"/>
      <c r="AY95" s="101"/>
      <c r="AZ95" s="101"/>
      <c r="BA95" s="101"/>
      <c r="BB95" s="100"/>
      <c r="BC95" s="100"/>
      <c r="BD95" s="100"/>
      <c r="BE95" s="100"/>
      <c r="BF95" s="100"/>
      <c r="BG95" s="100"/>
      <c r="BH95" s="100"/>
      <c r="BI95" s="100"/>
      <c r="BJ95" s="100"/>
      <c r="BK95" s="102"/>
      <c r="BN95" s="100"/>
    </row>
    <row r="96" spans="1:66" x14ac:dyDescent="0.25">
      <c r="A96" s="100"/>
      <c r="B96" s="100"/>
      <c r="C96" s="100"/>
      <c r="D96" s="101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AG96" s="100"/>
      <c r="AH96" s="101"/>
      <c r="AI96" s="101"/>
      <c r="AJ96" s="101"/>
      <c r="AK96" s="100"/>
      <c r="AL96" s="100"/>
      <c r="AM96" s="100"/>
      <c r="AN96" s="100"/>
      <c r="AO96" s="100"/>
      <c r="AP96" s="100"/>
      <c r="AQ96" s="100"/>
      <c r="AR96" s="100"/>
      <c r="AS96" s="100"/>
      <c r="AT96" s="102"/>
      <c r="AX96" s="100"/>
      <c r="AY96" s="101"/>
      <c r="AZ96" s="101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2"/>
      <c r="BN96" s="100"/>
    </row>
    <row r="97" spans="1:66" x14ac:dyDescent="0.25">
      <c r="A97" s="100"/>
      <c r="B97" s="100"/>
      <c r="C97" s="100"/>
      <c r="D97" s="101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AG97" s="100"/>
      <c r="AH97" s="101"/>
      <c r="AI97" s="101"/>
      <c r="AJ97" s="101"/>
      <c r="AK97" s="100"/>
      <c r="AL97" s="100"/>
      <c r="AM97" s="100"/>
      <c r="AN97" s="100"/>
      <c r="AO97" s="100"/>
      <c r="AP97" s="100"/>
      <c r="AQ97" s="100"/>
      <c r="AR97" s="100"/>
      <c r="AS97" s="100"/>
      <c r="AT97" s="102"/>
      <c r="AX97" s="100"/>
      <c r="AY97" s="101"/>
      <c r="AZ97" s="101"/>
      <c r="BA97" s="101"/>
      <c r="BB97" s="100"/>
      <c r="BC97" s="100"/>
      <c r="BD97" s="100"/>
      <c r="BE97" s="100"/>
      <c r="BF97" s="100"/>
      <c r="BG97" s="100"/>
      <c r="BH97" s="100"/>
      <c r="BI97" s="100"/>
      <c r="BJ97" s="100"/>
      <c r="BK97" s="102"/>
      <c r="BN97" s="100"/>
    </row>
    <row r="98" spans="1:66" x14ac:dyDescent="0.25">
      <c r="A98" s="100"/>
      <c r="B98" s="100"/>
      <c r="C98" s="100"/>
      <c r="D98" s="101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AG98" s="100"/>
      <c r="AH98" s="101"/>
      <c r="AI98" s="101"/>
      <c r="AJ98" s="101"/>
      <c r="AK98" s="100"/>
      <c r="AL98" s="100"/>
      <c r="AM98" s="100"/>
      <c r="AN98" s="100"/>
      <c r="AO98" s="100"/>
      <c r="AP98" s="100"/>
      <c r="AQ98" s="100"/>
      <c r="AR98" s="100"/>
      <c r="AS98" s="100"/>
      <c r="AT98" s="102"/>
      <c r="AX98" s="100"/>
      <c r="AY98" s="100"/>
      <c r="AZ98" s="100"/>
      <c r="BA98" s="101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N98" s="100"/>
    </row>
    <row r="99" spans="1:66" x14ac:dyDescent="0.25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AG99" s="100"/>
      <c r="AH99" s="101"/>
      <c r="AI99" s="101"/>
      <c r="AJ99" s="101"/>
      <c r="AK99" s="100"/>
      <c r="AL99" s="100"/>
      <c r="AM99" s="100"/>
      <c r="AN99" s="100"/>
      <c r="AO99" s="100"/>
      <c r="AP99" s="100"/>
      <c r="AQ99" s="100"/>
      <c r="AR99" s="100"/>
      <c r="AS99" s="100"/>
      <c r="AT99" s="102"/>
      <c r="AX99" s="100"/>
      <c r="AY99" s="101"/>
      <c r="AZ99" s="101"/>
      <c r="BA99" s="100"/>
      <c r="BB99" s="100"/>
      <c r="BC99" s="100"/>
      <c r="BD99" s="100"/>
      <c r="BE99" s="100"/>
      <c r="BF99" s="100"/>
      <c r="BG99" s="100"/>
      <c r="BH99" s="100"/>
      <c r="BI99" s="100"/>
      <c r="BJ99" s="100"/>
      <c r="BK99" s="102"/>
      <c r="BN99" s="100"/>
    </row>
    <row r="100" spans="1:66" x14ac:dyDescent="0.25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AG100" s="100"/>
      <c r="AH100" s="101"/>
      <c r="AI100" s="101"/>
      <c r="AJ100" s="101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2"/>
      <c r="AX100" s="100"/>
      <c r="AY100" s="101"/>
      <c r="AZ100" s="101"/>
      <c r="BA100" s="101"/>
      <c r="BB100" s="100"/>
      <c r="BC100" s="100"/>
      <c r="BD100" s="100"/>
      <c r="BE100" s="100"/>
      <c r="BF100" s="100"/>
      <c r="BG100" s="100"/>
      <c r="BH100" s="100"/>
      <c r="BI100" s="100"/>
      <c r="BJ100" s="100"/>
      <c r="BK100" s="102"/>
      <c r="BN100" s="100"/>
    </row>
    <row r="101" spans="1:66" x14ac:dyDescent="0.25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AG101" s="100"/>
      <c r="AH101" s="101"/>
      <c r="AI101" s="101"/>
      <c r="AJ101" s="101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2"/>
      <c r="AX101" s="100"/>
      <c r="AY101" s="101"/>
      <c r="AZ101" s="101"/>
      <c r="BA101" s="100"/>
      <c r="BB101" s="100"/>
      <c r="BC101" s="100"/>
      <c r="BD101" s="100"/>
      <c r="BE101" s="100"/>
      <c r="BF101" s="100"/>
      <c r="BG101" s="100"/>
      <c r="BH101" s="100"/>
      <c r="BI101" s="100"/>
      <c r="BJ101" s="100"/>
      <c r="BK101" s="102"/>
      <c r="BN101" s="100"/>
    </row>
    <row r="102" spans="1:66" x14ac:dyDescent="0.25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AG102" s="100"/>
      <c r="AH102" s="101"/>
      <c r="AI102" s="101"/>
      <c r="AJ102" s="101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2"/>
      <c r="AX102" s="100"/>
      <c r="AY102" s="101"/>
      <c r="AZ102" s="101"/>
      <c r="BA102" s="101"/>
      <c r="BB102" s="100"/>
      <c r="BC102" s="100"/>
      <c r="BD102" s="100"/>
      <c r="BE102" s="100"/>
      <c r="BF102" s="100"/>
      <c r="BG102" s="100"/>
      <c r="BH102" s="100"/>
      <c r="BI102" s="100"/>
      <c r="BJ102" s="100"/>
      <c r="BK102" s="102"/>
      <c r="BN102" s="100"/>
    </row>
    <row r="103" spans="1:66" x14ac:dyDescent="0.25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AG103" s="100"/>
      <c r="AH103" s="101"/>
      <c r="AI103" s="101"/>
      <c r="AJ103" s="101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2"/>
      <c r="AX103" s="100"/>
      <c r="AY103" s="101"/>
      <c r="AZ103" s="101"/>
      <c r="BA103" s="100"/>
      <c r="BB103" s="100"/>
      <c r="BC103" s="100"/>
      <c r="BD103" s="100"/>
      <c r="BE103" s="100"/>
      <c r="BF103" s="100"/>
      <c r="BG103" s="100"/>
      <c r="BH103" s="100"/>
      <c r="BI103" s="100"/>
      <c r="BJ103" s="100"/>
      <c r="BK103" s="102"/>
      <c r="BN103" s="100"/>
    </row>
    <row r="104" spans="1:66" x14ac:dyDescent="0.25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AG104" s="100"/>
      <c r="AH104" s="100"/>
      <c r="AI104" s="100"/>
      <c r="AJ104" s="101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X104" s="100"/>
      <c r="AY104" s="101"/>
      <c r="AZ104" s="101"/>
      <c r="BA104" s="100"/>
      <c r="BB104" s="100"/>
      <c r="BC104" s="100"/>
      <c r="BD104" s="100"/>
      <c r="BE104" s="100"/>
      <c r="BF104" s="100"/>
      <c r="BG104" s="100"/>
      <c r="BH104" s="100"/>
      <c r="BI104" s="100"/>
      <c r="BJ104" s="100"/>
      <c r="BK104" s="102"/>
      <c r="BN104" s="100"/>
    </row>
    <row r="105" spans="1:66" x14ac:dyDescent="0.25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AG105" s="100"/>
      <c r="AH105" s="101"/>
      <c r="AI105" s="101"/>
      <c r="AJ105" s="101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2"/>
      <c r="AX105" s="100"/>
      <c r="AY105" s="101"/>
      <c r="AZ105" s="101"/>
      <c r="BA105" s="101"/>
      <c r="BB105" s="100"/>
      <c r="BC105" s="100"/>
      <c r="BD105" s="100"/>
      <c r="BE105" s="100"/>
      <c r="BF105" s="100"/>
      <c r="BG105" s="100"/>
      <c r="BH105" s="100"/>
      <c r="BI105" s="100"/>
      <c r="BJ105" s="100"/>
      <c r="BK105" s="102"/>
      <c r="BN105" s="100"/>
    </row>
    <row r="106" spans="1:66" x14ac:dyDescent="0.25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AG106" s="100"/>
      <c r="AH106" s="101"/>
      <c r="AI106" s="101"/>
      <c r="AJ106" s="101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2"/>
      <c r="AX106" s="100"/>
      <c r="AY106" s="101"/>
      <c r="AZ106" s="101"/>
      <c r="BA106" s="100"/>
      <c r="BB106" s="100"/>
      <c r="BC106" s="100"/>
      <c r="BD106" s="100"/>
      <c r="BE106" s="100"/>
      <c r="BF106" s="100"/>
      <c r="BG106" s="100"/>
      <c r="BH106" s="100"/>
      <c r="BI106" s="100"/>
      <c r="BJ106" s="100"/>
      <c r="BK106" s="102"/>
      <c r="BN106" s="100"/>
    </row>
    <row r="107" spans="1:66" x14ac:dyDescent="0.25">
      <c r="A107" s="100"/>
      <c r="B107" s="101"/>
      <c r="C107" s="101"/>
      <c r="D107" s="101"/>
      <c r="E107" s="100"/>
      <c r="F107" s="100"/>
      <c r="G107" s="100"/>
      <c r="H107" s="100"/>
      <c r="I107" s="100"/>
      <c r="J107" s="100"/>
      <c r="K107" s="100"/>
      <c r="L107" s="100"/>
      <c r="M107" s="100"/>
      <c r="N107" s="102"/>
      <c r="AG107" s="100"/>
      <c r="AH107" s="101"/>
      <c r="AI107" s="100"/>
      <c r="AJ107" s="101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2"/>
      <c r="AX107" s="100"/>
      <c r="AY107" s="101"/>
      <c r="AZ107" s="101"/>
      <c r="BA107" s="101"/>
      <c r="BB107" s="100"/>
      <c r="BC107" s="100"/>
      <c r="BD107" s="100"/>
      <c r="BE107" s="100"/>
      <c r="BF107" s="100"/>
      <c r="BG107" s="100"/>
      <c r="BH107" s="100"/>
      <c r="BI107" s="100"/>
      <c r="BJ107" s="100"/>
      <c r="BK107" s="102"/>
      <c r="BN107" s="100"/>
    </row>
    <row r="108" spans="1:66" x14ac:dyDescent="0.25">
      <c r="A108" s="100"/>
      <c r="B108" s="100"/>
      <c r="C108" s="100"/>
      <c r="D108" s="101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AG108" s="100"/>
      <c r="AH108" s="101"/>
      <c r="AI108" s="101"/>
      <c r="AJ108" s="101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2"/>
      <c r="AX108" s="100"/>
      <c r="AY108" s="101"/>
      <c r="AZ108" s="101"/>
      <c r="BA108" s="101"/>
      <c r="BB108" s="100"/>
      <c r="BC108" s="100"/>
      <c r="BD108" s="100"/>
      <c r="BE108" s="100"/>
      <c r="BF108" s="100"/>
      <c r="BG108" s="100"/>
      <c r="BH108" s="100"/>
      <c r="BI108" s="100"/>
      <c r="BJ108" s="100"/>
      <c r="BK108" s="102"/>
      <c r="BN108" s="100"/>
    </row>
    <row r="109" spans="1:66" x14ac:dyDescent="0.25">
      <c r="A109" s="100"/>
      <c r="B109" s="100"/>
      <c r="C109" s="100"/>
      <c r="D109" s="101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AG109" s="100"/>
      <c r="AH109" s="101"/>
      <c r="AI109" s="101"/>
      <c r="AJ109" s="101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2"/>
      <c r="AX109" s="100"/>
      <c r="AY109" s="101"/>
      <c r="AZ109" s="101"/>
      <c r="BA109" s="100"/>
      <c r="BB109" s="100"/>
      <c r="BC109" s="100"/>
      <c r="BD109" s="100"/>
      <c r="BE109" s="100"/>
      <c r="BF109" s="100"/>
      <c r="BG109" s="100"/>
      <c r="BH109" s="100"/>
      <c r="BI109" s="100"/>
      <c r="BJ109" s="100"/>
      <c r="BK109" s="102"/>
      <c r="BN109" s="100"/>
    </row>
    <row r="110" spans="1:66" x14ac:dyDescent="0.25">
      <c r="A110" s="100"/>
      <c r="B110" s="100"/>
      <c r="C110" s="100"/>
      <c r="D110" s="101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AG110" s="100"/>
      <c r="AH110" s="101"/>
      <c r="AI110" s="101"/>
      <c r="AJ110" s="101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2"/>
      <c r="AX110" s="100"/>
      <c r="AY110" s="101"/>
      <c r="AZ110" s="101"/>
      <c r="BA110" s="101"/>
      <c r="BB110" s="100"/>
      <c r="BC110" s="100"/>
      <c r="BD110" s="100"/>
      <c r="BE110" s="100"/>
      <c r="BF110" s="100"/>
      <c r="BG110" s="100"/>
      <c r="BH110" s="100"/>
      <c r="BI110" s="100"/>
      <c r="BJ110" s="100"/>
      <c r="BK110" s="102"/>
      <c r="BN110" s="100"/>
    </row>
    <row r="111" spans="1:66" x14ac:dyDescent="0.25">
      <c r="A111" s="100"/>
      <c r="B111" s="100"/>
      <c r="C111" s="100"/>
      <c r="D111" s="101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AG111" s="100"/>
      <c r="AH111" s="101"/>
      <c r="AI111" s="101"/>
      <c r="AJ111" s="101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2"/>
      <c r="AX111" s="100"/>
      <c r="AY111" s="101"/>
      <c r="AZ111" s="101"/>
      <c r="BA111" s="101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2"/>
      <c r="BN111" s="100"/>
    </row>
    <row r="112" spans="1:66" x14ac:dyDescent="0.25">
      <c r="A112" s="100"/>
      <c r="B112" s="100"/>
      <c r="C112" s="100"/>
      <c r="D112" s="10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AG112" s="100"/>
      <c r="AH112" s="101"/>
      <c r="AI112" s="101"/>
      <c r="AJ112" s="101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2"/>
      <c r="AX112" s="100"/>
      <c r="AY112" s="101"/>
      <c r="AZ112" s="101"/>
      <c r="BA112" s="101"/>
      <c r="BB112" s="100"/>
      <c r="BC112" s="100"/>
      <c r="BD112" s="100"/>
      <c r="BE112" s="100"/>
      <c r="BF112" s="100"/>
      <c r="BG112" s="100"/>
      <c r="BH112" s="100"/>
      <c r="BI112" s="100"/>
      <c r="BJ112" s="100"/>
      <c r="BK112" s="102"/>
      <c r="BN112" s="100"/>
    </row>
    <row r="113" spans="1:66" x14ac:dyDescent="0.25">
      <c r="A113" s="100"/>
      <c r="B113" s="100"/>
      <c r="C113" s="100"/>
      <c r="D113" s="101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AG113" s="100"/>
      <c r="AH113" s="101"/>
      <c r="AI113" s="101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2"/>
      <c r="AX113" s="100"/>
      <c r="AY113" s="101"/>
      <c r="AZ113" s="101"/>
      <c r="BA113" s="100"/>
      <c r="BB113" s="100"/>
      <c r="BC113" s="100"/>
      <c r="BD113" s="100"/>
      <c r="BE113" s="100"/>
      <c r="BF113" s="100"/>
      <c r="BG113" s="100"/>
      <c r="BH113" s="100"/>
      <c r="BI113" s="100"/>
      <c r="BJ113" s="100"/>
      <c r="BK113" s="102"/>
      <c r="BN113" s="100"/>
    </row>
    <row r="114" spans="1:66" x14ac:dyDescent="0.25">
      <c r="A114" s="100"/>
      <c r="B114" s="100"/>
      <c r="C114" s="100"/>
      <c r="D114" s="101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AG114" s="100"/>
      <c r="AH114" s="101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2"/>
      <c r="AX114" s="100"/>
      <c r="AY114" s="101"/>
      <c r="AZ114" s="101"/>
      <c r="BA114" s="101"/>
      <c r="BB114" s="100"/>
      <c r="BC114" s="100"/>
      <c r="BD114" s="100"/>
      <c r="BE114" s="100"/>
      <c r="BF114" s="100"/>
      <c r="BG114" s="100"/>
      <c r="BH114" s="100"/>
      <c r="BI114" s="100"/>
      <c r="BJ114" s="100"/>
      <c r="BK114" s="102"/>
      <c r="BN114" s="100"/>
    </row>
    <row r="115" spans="1:66" x14ac:dyDescent="0.25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AG115" s="100"/>
      <c r="AH115" s="101"/>
      <c r="AI115" s="101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2"/>
      <c r="AX115" s="100"/>
      <c r="AY115" s="101"/>
      <c r="AZ115" s="101"/>
      <c r="BA115" s="101"/>
      <c r="BB115" s="100"/>
      <c r="BC115" s="100"/>
      <c r="BD115" s="100"/>
      <c r="BE115" s="100"/>
      <c r="BF115" s="100"/>
      <c r="BG115" s="100"/>
      <c r="BH115" s="100"/>
      <c r="BI115" s="100"/>
      <c r="BJ115" s="100"/>
      <c r="BK115" s="102"/>
      <c r="BN115" s="100"/>
    </row>
    <row r="116" spans="1:66" x14ac:dyDescent="0.25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AG116" s="100"/>
      <c r="AH116" s="101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2"/>
      <c r="AX116" s="100"/>
      <c r="AY116" s="101"/>
      <c r="AZ116" s="100"/>
      <c r="BA116" s="100"/>
      <c r="BB116" s="100"/>
      <c r="BC116" s="100"/>
      <c r="BD116" s="100"/>
      <c r="BE116" s="100"/>
      <c r="BF116" s="100"/>
      <c r="BG116" s="100"/>
      <c r="BH116" s="100"/>
      <c r="BI116" s="100"/>
      <c r="BJ116" s="100"/>
      <c r="BK116" s="102"/>
      <c r="BN116" s="100"/>
    </row>
    <row r="117" spans="1:66" x14ac:dyDescent="0.25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AG117" s="100"/>
      <c r="AH117" s="101"/>
      <c r="AI117" s="101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2"/>
      <c r="AX117" s="100"/>
      <c r="AY117" s="101"/>
      <c r="AZ117" s="101"/>
      <c r="BA117" s="100"/>
      <c r="BB117" s="100"/>
      <c r="BC117" s="100"/>
      <c r="BD117" s="100"/>
      <c r="BE117" s="100"/>
      <c r="BF117" s="100"/>
      <c r="BG117" s="100"/>
      <c r="BH117" s="100"/>
      <c r="BI117" s="100"/>
      <c r="BJ117" s="100"/>
      <c r="BK117" s="102"/>
      <c r="BN117" s="100"/>
    </row>
    <row r="118" spans="1:66" x14ac:dyDescent="0.25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AG118" s="100"/>
      <c r="AH118" s="101"/>
      <c r="AI118" s="101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2"/>
      <c r="AX118" s="100"/>
      <c r="AY118" s="101"/>
      <c r="AZ118" s="100"/>
      <c r="BA118" s="101"/>
      <c r="BB118" s="100"/>
      <c r="BC118" s="100"/>
      <c r="BD118" s="100"/>
      <c r="BE118" s="100"/>
      <c r="BF118" s="100"/>
      <c r="BG118" s="100"/>
      <c r="BH118" s="100"/>
      <c r="BI118" s="100"/>
      <c r="BJ118" s="100"/>
      <c r="BK118" s="102"/>
      <c r="BN118" s="100"/>
    </row>
    <row r="119" spans="1:66" x14ac:dyDescent="0.25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AG119" s="100"/>
      <c r="AH119" s="101"/>
      <c r="AI119" s="101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2"/>
      <c r="AX119" s="100"/>
      <c r="AY119" s="101"/>
      <c r="AZ119" s="101"/>
      <c r="BA119" s="100"/>
      <c r="BB119" s="100"/>
      <c r="BC119" s="100"/>
      <c r="BD119" s="100"/>
      <c r="BE119" s="100"/>
      <c r="BF119" s="100"/>
      <c r="BG119" s="100"/>
      <c r="BH119" s="100"/>
      <c r="BI119" s="100"/>
      <c r="BJ119" s="100"/>
      <c r="BK119" s="102"/>
      <c r="BN119" s="100"/>
    </row>
    <row r="120" spans="1:66" x14ac:dyDescent="0.25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AG120" s="100"/>
      <c r="AH120" s="101"/>
      <c r="AI120" s="101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2"/>
      <c r="AX120" s="100"/>
      <c r="AY120" s="101"/>
      <c r="AZ120" s="101"/>
      <c r="BA120" s="100"/>
      <c r="BB120" s="100"/>
      <c r="BC120" s="100"/>
      <c r="BD120" s="100"/>
      <c r="BE120" s="100"/>
      <c r="BF120" s="100"/>
      <c r="BG120" s="100"/>
      <c r="BH120" s="100"/>
      <c r="BI120" s="100"/>
      <c r="BJ120" s="100"/>
      <c r="BK120" s="102"/>
      <c r="BN120" s="100"/>
    </row>
    <row r="121" spans="1:66" x14ac:dyDescent="0.25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AG121" s="100"/>
      <c r="AH121" s="101"/>
      <c r="AI121" s="101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2"/>
      <c r="AX121" s="100"/>
      <c r="AY121" s="101"/>
      <c r="AZ121" s="101"/>
      <c r="BA121" s="100"/>
      <c r="BB121" s="100"/>
      <c r="BC121" s="100"/>
      <c r="BD121" s="100"/>
      <c r="BE121" s="100"/>
      <c r="BF121" s="100"/>
      <c r="BG121" s="100"/>
      <c r="BH121" s="100"/>
      <c r="BI121" s="100"/>
      <c r="BJ121" s="100"/>
      <c r="BK121" s="102"/>
      <c r="BN121" s="100"/>
    </row>
    <row r="122" spans="1:66" x14ac:dyDescent="0.25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AG122" s="100"/>
      <c r="AH122" s="101"/>
      <c r="AI122" s="101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2"/>
      <c r="AX122" s="100"/>
      <c r="AY122" s="101"/>
      <c r="AZ122" s="101"/>
      <c r="BA122" s="100"/>
      <c r="BB122" s="100"/>
      <c r="BC122" s="100"/>
      <c r="BD122" s="100"/>
      <c r="BE122" s="100"/>
      <c r="BF122" s="100"/>
      <c r="BG122" s="100"/>
      <c r="BH122" s="100"/>
      <c r="BI122" s="100"/>
      <c r="BJ122" s="100"/>
      <c r="BK122" s="102"/>
      <c r="BN122" s="100"/>
    </row>
    <row r="123" spans="1:66" x14ac:dyDescent="0.25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AG123" s="100"/>
      <c r="AH123" s="101"/>
      <c r="AI123" s="101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2"/>
      <c r="AX123" s="100"/>
      <c r="AY123" s="101"/>
      <c r="AZ123" s="101"/>
      <c r="BA123" s="100"/>
      <c r="BB123" s="100"/>
      <c r="BC123" s="100"/>
      <c r="BD123" s="100"/>
      <c r="BE123" s="100"/>
      <c r="BF123" s="100"/>
      <c r="BG123" s="100"/>
      <c r="BH123" s="100"/>
      <c r="BI123" s="100"/>
      <c r="BJ123" s="100"/>
      <c r="BK123" s="102"/>
      <c r="BN123" s="100"/>
    </row>
    <row r="124" spans="1:66" x14ac:dyDescent="0.25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AG124" s="100"/>
      <c r="AH124" s="101"/>
      <c r="AI124" s="101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2"/>
      <c r="AX124" s="100"/>
      <c r="AY124" s="101"/>
      <c r="AZ124" s="101"/>
      <c r="BA124" s="100"/>
      <c r="BB124" s="100"/>
      <c r="BC124" s="100"/>
      <c r="BD124" s="100"/>
      <c r="BE124" s="100"/>
      <c r="BF124" s="100"/>
      <c r="BG124" s="100"/>
      <c r="BH124" s="100"/>
      <c r="BI124" s="100"/>
      <c r="BJ124" s="100"/>
      <c r="BK124" s="102"/>
      <c r="BN124" s="100"/>
    </row>
    <row r="125" spans="1:66" x14ac:dyDescent="0.25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AG125" s="100"/>
      <c r="AH125" s="101"/>
      <c r="AI125" s="101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2"/>
      <c r="AX125" s="100"/>
      <c r="AY125" s="101"/>
      <c r="AZ125" s="101"/>
      <c r="BA125" s="101"/>
      <c r="BB125" s="100"/>
      <c r="BC125" s="100"/>
      <c r="BD125" s="100"/>
      <c r="BE125" s="100"/>
      <c r="BF125" s="100"/>
      <c r="BG125" s="100"/>
      <c r="BH125" s="100"/>
      <c r="BI125" s="100"/>
      <c r="BJ125" s="100"/>
      <c r="BK125" s="102"/>
      <c r="BN125" s="100"/>
    </row>
    <row r="126" spans="1:66" x14ac:dyDescent="0.25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AG126" s="100"/>
      <c r="AH126" s="101"/>
      <c r="AI126" s="101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2"/>
      <c r="AX126" s="100"/>
      <c r="AY126" s="101"/>
      <c r="AZ126" s="101"/>
      <c r="BA126" s="101"/>
      <c r="BB126" s="100"/>
      <c r="BC126" s="100"/>
      <c r="BD126" s="100"/>
      <c r="BE126" s="100"/>
      <c r="BF126" s="100"/>
      <c r="BG126" s="100"/>
      <c r="BH126" s="100"/>
      <c r="BI126" s="100"/>
      <c r="BJ126" s="100"/>
      <c r="BK126" s="102"/>
      <c r="BN126" s="100"/>
    </row>
    <row r="127" spans="1:66" x14ac:dyDescent="0.25">
      <c r="A127" s="100"/>
      <c r="B127" s="100"/>
      <c r="C127" s="100"/>
      <c r="D127" s="100"/>
      <c r="E127" s="100"/>
      <c r="F127" s="100"/>
      <c r="G127" s="100"/>
      <c r="H127" s="100"/>
      <c r="I127" s="100"/>
      <c r="J127" s="103"/>
      <c r="K127" s="100"/>
      <c r="L127" s="100"/>
      <c r="M127" s="100"/>
      <c r="N127" s="100"/>
      <c r="AG127" s="100"/>
      <c r="AH127" s="101"/>
      <c r="AI127" s="101"/>
      <c r="AJ127" s="101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2"/>
      <c r="AX127" s="100"/>
      <c r="AY127" s="101"/>
      <c r="AZ127" s="101"/>
      <c r="BA127" s="101"/>
      <c r="BB127" s="100"/>
      <c r="BC127" s="100"/>
      <c r="BD127" s="100"/>
      <c r="BE127" s="100"/>
      <c r="BF127" s="100"/>
      <c r="BG127" s="100"/>
      <c r="BH127" s="100"/>
      <c r="BI127" s="100"/>
      <c r="BJ127" s="100"/>
      <c r="BK127" s="102"/>
      <c r="BN127" s="100"/>
    </row>
    <row r="128" spans="1:66" x14ac:dyDescent="0.25">
      <c r="A128" s="100"/>
      <c r="B128" s="101"/>
      <c r="C128" s="101"/>
      <c r="D128" s="101"/>
      <c r="E128" s="100"/>
      <c r="F128" s="100"/>
      <c r="G128" s="100"/>
      <c r="H128" s="100"/>
      <c r="I128" s="100"/>
      <c r="J128" s="100"/>
      <c r="K128" s="100"/>
      <c r="L128" s="100"/>
      <c r="M128" s="100"/>
      <c r="N128" s="102"/>
      <c r="AG128" s="100"/>
      <c r="AH128" s="101"/>
      <c r="AI128" s="101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2"/>
      <c r="AX128" s="100"/>
      <c r="AY128" s="101"/>
      <c r="AZ128" s="101"/>
      <c r="BA128" s="101"/>
      <c r="BB128" s="100"/>
      <c r="BC128" s="100"/>
      <c r="BD128" s="100"/>
      <c r="BE128" s="100"/>
      <c r="BF128" s="100"/>
      <c r="BG128" s="100"/>
      <c r="BH128" s="100"/>
      <c r="BI128" s="100"/>
      <c r="BJ128" s="100"/>
      <c r="BK128" s="102"/>
      <c r="BN128" s="100"/>
    </row>
    <row r="129" spans="1:66" x14ac:dyDescent="0.25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AG129" s="100"/>
      <c r="AH129" s="101"/>
      <c r="AI129" s="101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2"/>
      <c r="AX129" s="100"/>
      <c r="AY129" s="101"/>
      <c r="AZ129" s="101"/>
      <c r="BA129" s="101"/>
      <c r="BB129" s="100"/>
      <c r="BC129" s="100"/>
      <c r="BD129" s="100"/>
      <c r="BE129" s="100"/>
      <c r="BF129" s="100"/>
      <c r="BG129" s="100"/>
      <c r="BH129" s="100"/>
      <c r="BI129" s="100"/>
      <c r="BJ129" s="100"/>
      <c r="BK129" s="102"/>
      <c r="BN129" s="100"/>
    </row>
    <row r="130" spans="1:66" x14ac:dyDescent="0.25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AG130" s="100"/>
      <c r="AH130" s="101"/>
      <c r="AI130" s="101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2"/>
      <c r="AX130" s="100"/>
      <c r="AY130" s="101"/>
      <c r="AZ130" s="101"/>
      <c r="BA130" s="100"/>
      <c r="BB130" s="100"/>
      <c r="BC130" s="100"/>
      <c r="BD130" s="100"/>
      <c r="BE130" s="100"/>
      <c r="BF130" s="100"/>
      <c r="BG130" s="100"/>
      <c r="BH130" s="100"/>
      <c r="BI130" s="100"/>
      <c r="BJ130" s="100"/>
      <c r="BK130" s="102"/>
      <c r="BN130" s="100"/>
    </row>
    <row r="131" spans="1:66" x14ac:dyDescent="0.25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AG131" s="100"/>
      <c r="AH131" s="101"/>
      <c r="AI131" s="101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2"/>
      <c r="AX131" s="100"/>
      <c r="AY131" s="101"/>
      <c r="AZ131" s="100"/>
      <c r="BA131" s="100"/>
      <c r="BB131" s="100"/>
      <c r="BC131" s="100"/>
      <c r="BD131" s="100"/>
      <c r="BE131" s="100"/>
      <c r="BF131" s="100"/>
      <c r="BG131" s="100"/>
      <c r="BH131" s="100"/>
      <c r="BI131" s="100"/>
      <c r="BJ131" s="100"/>
      <c r="BK131" s="102"/>
      <c r="BN131" s="100"/>
    </row>
    <row r="132" spans="1:66" x14ac:dyDescent="0.25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AG132" s="100"/>
      <c r="AH132" s="101"/>
      <c r="AI132" s="101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2"/>
      <c r="AX132" s="100"/>
      <c r="AY132" s="101"/>
      <c r="AZ132" s="101"/>
      <c r="BA132" s="100"/>
      <c r="BB132" s="100"/>
      <c r="BC132" s="100"/>
      <c r="BD132" s="100"/>
      <c r="BE132" s="100"/>
      <c r="BF132" s="100"/>
      <c r="BG132" s="100"/>
      <c r="BH132" s="100"/>
      <c r="BI132" s="100"/>
      <c r="BJ132" s="100"/>
      <c r="BK132" s="102"/>
      <c r="BN132" s="100"/>
    </row>
    <row r="133" spans="1:66" x14ac:dyDescent="0.25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AG133" s="100"/>
      <c r="AH133" s="101"/>
      <c r="AI133" s="101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2"/>
      <c r="AX133" s="100"/>
      <c r="AY133" s="101"/>
      <c r="AZ133" s="100"/>
      <c r="BA133" s="100"/>
      <c r="BB133" s="100"/>
      <c r="BC133" s="100"/>
      <c r="BD133" s="100"/>
      <c r="BE133" s="100"/>
      <c r="BF133" s="100"/>
      <c r="BG133" s="100"/>
      <c r="BH133" s="100"/>
      <c r="BI133" s="100"/>
      <c r="BJ133" s="100"/>
      <c r="BK133" s="102"/>
      <c r="BN133" s="100"/>
    </row>
    <row r="134" spans="1:66" x14ac:dyDescent="0.25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AG134" s="100"/>
      <c r="AH134" s="101"/>
      <c r="AI134" s="101"/>
      <c r="AJ134" s="101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2"/>
      <c r="AX134" s="100"/>
      <c r="AY134" s="101"/>
      <c r="AZ134" s="101"/>
      <c r="BA134" s="100"/>
      <c r="BB134" s="100"/>
      <c r="BC134" s="100"/>
      <c r="BD134" s="100"/>
      <c r="BE134" s="100"/>
      <c r="BF134" s="100"/>
      <c r="BG134" s="100"/>
      <c r="BH134" s="100"/>
      <c r="BI134" s="100"/>
      <c r="BJ134" s="100"/>
      <c r="BK134" s="102"/>
      <c r="BN134" s="100"/>
    </row>
    <row r="135" spans="1:66" x14ac:dyDescent="0.25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AG135" s="100"/>
      <c r="AH135" s="101"/>
      <c r="AI135" s="101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2"/>
      <c r="AX135" s="100"/>
      <c r="AY135" s="101"/>
      <c r="AZ135" s="101"/>
      <c r="BA135" s="100"/>
      <c r="BB135" s="100"/>
      <c r="BC135" s="100"/>
      <c r="BD135" s="100"/>
      <c r="BE135" s="100"/>
      <c r="BF135" s="100"/>
      <c r="BG135" s="100"/>
      <c r="BH135" s="100"/>
      <c r="BI135" s="100"/>
      <c r="BJ135" s="100"/>
      <c r="BK135" s="102"/>
      <c r="BN135" s="100"/>
    </row>
    <row r="136" spans="1:66" x14ac:dyDescent="0.25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AG136" s="100"/>
      <c r="AH136" s="101"/>
      <c r="AI136" s="101"/>
      <c r="AJ136" s="101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2"/>
      <c r="AX136" s="100"/>
      <c r="AY136" s="101"/>
      <c r="AZ136" s="101"/>
      <c r="BA136" s="100"/>
      <c r="BB136" s="100"/>
      <c r="BC136" s="100"/>
      <c r="BD136" s="100"/>
      <c r="BE136" s="100"/>
      <c r="BF136" s="100"/>
      <c r="BG136" s="100"/>
      <c r="BH136" s="100"/>
      <c r="BI136" s="100"/>
      <c r="BJ136" s="100"/>
      <c r="BK136" s="102"/>
      <c r="BN136" s="100"/>
    </row>
    <row r="137" spans="1:66" x14ac:dyDescent="0.25">
      <c r="A137" s="100"/>
      <c r="B137" s="101"/>
      <c r="C137" s="101"/>
      <c r="D137" s="101"/>
      <c r="E137" s="100"/>
      <c r="F137" s="100"/>
      <c r="G137" s="100"/>
      <c r="H137" s="100"/>
      <c r="I137" s="100"/>
      <c r="J137" s="100"/>
      <c r="K137" s="100"/>
      <c r="L137" s="100"/>
      <c r="M137" s="100"/>
      <c r="N137" s="102"/>
      <c r="AG137" s="100"/>
      <c r="AH137" s="101"/>
      <c r="AI137" s="101"/>
      <c r="AJ137" s="101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2"/>
      <c r="AX137" s="100"/>
      <c r="AY137" s="101"/>
      <c r="AZ137" s="101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2"/>
      <c r="BN137" s="100"/>
    </row>
    <row r="138" spans="1:66" x14ac:dyDescent="0.25">
      <c r="A138" s="100"/>
      <c r="B138" s="100"/>
      <c r="C138" s="100"/>
      <c r="D138" s="101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AG138" s="100"/>
      <c r="AH138" s="101"/>
      <c r="AI138" s="101"/>
      <c r="AJ138" s="101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2"/>
      <c r="AX138" s="100"/>
      <c r="AY138" s="101"/>
      <c r="AZ138" s="101"/>
      <c r="BA138" s="100"/>
      <c r="BB138" s="100"/>
      <c r="BC138" s="100"/>
      <c r="BD138" s="100"/>
      <c r="BE138" s="100"/>
      <c r="BF138" s="100"/>
      <c r="BG138" s="100"/>
      <c r="BH138" s="100"/>
      <c r="BI138" s="100"/>
      <c r="BJ138" s="100"/>
      <c r="BK138" s="102"/>
      <c r="BN138" s="100"/>
    </row>
    <row r="139" spans="1:66" x14ac:dyDescent="0.25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AG139" s="100"/>
      <c r="AH139" s="101"/>
      <c r="AI139" s="101"/>
      <c r="AJ139" s="101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2"/>
      <c r="AX139" s="100"/>
      <c r="AY139" s="101"/>
      <c r="AZ139" s="101"/>
      <c r="BA139" s="100"/>
      <c r="BB139" s="100"/>
      <c r="BC139" s="100"/>
      <c r="BD139" s="100"/>
      <c r="BE139" s="100"/>
      <c r="BF139" s="100"/>
      <c r="BG139" s="100"/>
      <c r="BH139" s="100"/>
      <c r="BI139" s="100"/>
      <c r="BJ139" s="100"/>
      <c r="BK139" s="102"/>
      <c r="BN139" s="100"/>
    </row>
    <row r="140" spans="1:66" x14ac:dyDescent="0.25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AG140" s="100"/>
      <c r="AH140" s="101"/>
      <c r="AI140" s="101"/>
      <c r="AJ140" s="101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2"/>
      <c r="AX140" s="100"/>
      <c r="AY140" s="101"/>
      <c r="AZ140" s="101"/>
      <c r="BA140" s="100"/>
      <c r="BB140" s="100"/>
      <c r="BC140" s="100"/>
      <c r="BD140" s="100"/>
      <c r="BE140" s="100"/>
      <c r="BF140" s="100"/>
      <c r="BG140" s="100"/>
      <c r="BH140" s="100"/>
      <c r="BI140" s="100"/>
      <c r="BJ140" s="100"/>
      <c r="BK140" s="102"/>
      <c r="BN140" s="100"/>
    </row>
    <row r="141" spans="1:66" x14ac:dyDescent="0.25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AG141" s="100"/>
      <c r="AH141" s="101"/>
      <c r="AI141" s="101"/>
      <c r="AJ141" s="101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2"/>
      <c r="AX141" s="100"/>
      <c r="AY141" s="101"/>
      <c r="AZ141" s="101"/>
      <c r="BA141" s="100"/>
      <c r="BB141" s="100"/>
      <c r="BC141" s="100"/>
      <c r="BD141" s="100"/>
      <c r="BE141" s="100"/>
      <c r="BF141" s="100"/>
      <c r="BG141" s="100"/>
      <c r="BH141" s="100"/>
      <c r="BI141" s="100"/>
      <c r="BJ141" s="100"/>
      <c r="BK141" s="102"/>
      <c r="BN141" s="100"/>
    </row>
    <row r="142" spans="1:66" x14ac:dyDescent="0.25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AG142" s="100"/>
      <c r="AH142" s="101"/>
      <c r="AI142" s="101"/>
      <c r="AJ142" s="101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2"/>
      <c r="AX142" s="100"/>
      <c r="AY142" s="101"/>
      <c r="AZ142" s="101"/>
      <c r="BA142" s="100"/>
      <c r="BB142" s="100"/>
      <c r="BC142" s="100"/>
      <c r="BD142" s="100"/>
      <c r="BE142" s="100"/>
      <c r="BF142" s="100"/>
      <c r="BG142" s="100"/>
      <c r="BH142" s="100"/>
      <c r="BI142" s="100"/>
      <c r="BJ142" s="100"/>
      <c r="BK142" s="102"/>
      <c r="BN142" s="100"/>
    </row>
    <row r="143" spans="1:66" x14ac:dyDescent="0.25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AG143" s="100"/>
      <c r="AH143" s="101"/>
      <c r="AI143" s="101"/>
      <c r="AJ143" s="101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2"/>
      <c r="AX143" s="100"/>
      <c r="AY143" s="101"/>
      <c r="AZ143" s="101"/>
      <c r="BA143" s="100"/>
      <c r="BB143" s="100"/>
      <c r="BC143" s="100"/>
      <c r="BD143" s="100"/>
      <c r="BE143" s="100"/>
      <c r="BF143" s="100"/>
      <c r="BG143" s="100"/>
      <c r="BH143" s="100"/>
      <c r="BI143" s="100"/>
      <c r="BJ143" s="100"/>
      <c r="BK143" s="102"/>
      <c r="BN143" s="100"/>
    </row>
    <row r="144" spans="1:66" x14ac:dyDescent="0.25">
      <c r="A144" s="100"/>
      <c r="B144" s="101"/>
      <c r="C144" s="101"/>
      <c r="D144" s="101"/>
      <c r="E144" s="100"/>
      <c r="F144" s="100"/>
      <c r="G144" s="100"/>
      <c r="H144" s="100"/>
      <c r="I144" s="100"/>
      <c r="J144" s="100"/>
      <c r="K144" s="100"/>
      <c r="L144" s="100"/>
      <c r="M144" s="100"/>
      <c r="N144" s="102"/>
      <c r="AG144" s="100"/>
      <c r="AH144" s="101"/>
      <c r="AI144" s="101"/>
      <c r="AJ144" s="101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2"/>
      <c r="AX144" s="100"/>
      <c r="AY144" s="101"/>
      <c r="AZ144" s="101"/>
      <c r="BA144" s="101"/>
      <c r="BB144" s="100"/>
      <c r="BC144" s="100"/>
      <c r="BD144" s="100"/>
      <c r="BE144" s="100"/>
      <c r="BF144" s="100"/>
      <c r="BG144" s="100"/>
      <c r="BH144" s="100"/>
      <c r="BI144" s="100"/>
      <c r="BJ144" s="100"/>
      <c r="BK144" s="102"/>
      <c r="BN144" s="100"/>
    </row>
    <row r="145" spans="1:66" x14ac:dyDescent="0.25">
      <c r="A145" s="100"/>
      <c r="B145" s="100"/>
      <c r="C145" s="100"/>
      <c r="D145" s="101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AG145" s="100"/>
      <c r="AH145" s="101"/>
      <c r="AI145" s="101"/>
      <c r="AJ145" s="101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2"/>
      <c r="AX145" s="100"/>
      <c r="AY145" s="101"/>
      <c r="AZ145" s="101"/>
      <c r="BA145" s="100"/>
      <c r="BB145" s="100"/>
      <c r="BC145" s="100"/>
      <c r="BD145" s="100"/>
      <c r="BE145" s="100"/>
      <c r="BF145" s="100"/>
      <c r="BG145" s="100"/>
      <c r="BH145" s="100"/>
      <c r="BI145" s="100"/>
      <c r="BJ145" s="100"/>
      <c r="BK145" s="102"/>
      <c r="BN145" s="100"/>
    </row>
    <row r="146" spans="1:66" x14ac:dyDescent="0.25">
      <c r="A146" s="100"/>
      <c r="B146" s="100"/>
      <c r="C146" s="100"/>
      <c r="D146" s="101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AG146" s="100"/>
      <c r="AH146" s="101"/>
      <c r="AI146" s="101"/>
      <c r="AJ146" s="101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2"/>
      <c r="AX146" s="100"/>
      <c r="AY146" s="101"/>
      <c r="AZ146" s="101"/>
      <c r="BA146" s="100"/>
      <c r="BB146" s="100"/>
      <c r="BC146" s="100"/>
      <c r="BD146" s="100"/>
      <c r="BE146" s="100"/>
      <c r="BF146" s="100"/>
      <c r="BG146" s="100"/>
      <c r="BH146" s="100"/>
      <c r="BI146" s="100"/>
      <c r="BJ146" s="100"/>
      <c r="BK146" s="102"/>
      <c r="BN146" s="100"/>
    </row>
    <row r="147" spans="1:66" x14ac:dyDescent="0.25">
      <c r="A147" s="100"/>
      <c r="B147" s="100"/>
      <c r="C147" s="100"/>
      <c r="D147" s="101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AG147" s="100"/>
      <c r="AH147" s="101"/>
      <c r="AI147" s="101"/>
      <c r="AJ147" s="101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2"/>
      <c r="AX147" s="100"/>
      <c r="AY147" s="101"/>
      <c r="AZ147" s="101"/>
      <c r="BA147" s="100"/>
      <c r="BB147" s="100"/>
      <c r="BC147" s="100"/>
      <c r="BD147" s="100"/>
      <c r="BE147" s="100"/>
      <c r="BF147" s="100"/>
      <c r="BG147" s="100"/>
      <c r="BH147" s="100"/>
      <c r="BI147" s="100"/>
      <c r="BJ147" s="100"/>
      <c r="BK147" s="102"/>
      <c r="BN147" s="100"/>
    </row>
    <row r="148" spans="1:66" x14ac:dyDescent="0.25">
      <c r="A148" s="100"/>
      <c r="B148" s="100"/>
      <c r="C148" s="100"/>
      <c r="D148" s="101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AG148" s="100"/>
      <c r="AH148" s="101"/>
      <c r="AI148" s="101"/>
      <c r="AJ148" s="101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2"/>
      <c r="AX148" s="100"/>
      <c r="AY148" s="101"/>
      <c r="AZ148" s="101"/>
      <c r="BA148" s="100"/>
      <c r="BB148" s="100"/>
      <c r="BC148" s="100"/>
      <c r="BD148" s="100"/>
      <c r="BE148" s="100"/>
      <c r="BF148" s="100"/>
      <c r="BG148" s="100"/>
      <c r="BH148" s="100"/>
      <c r="BI148" s="100"/>
      <c r="BJ148" s="100"/>
      <c r="BK148" s="102"/>
      <c r="BN148" s="100"/>
    </row>
    <row r="149" spans="1:66" x14ac:dyDescent="0.25">
      <c r="A149" s="100"/>
      <c r="B149" s="100"/>
      <c r="C149" s="100"/>
      <c r="D149" s="101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AG149" s="100"/>
      <c r="AH149" s="101"/>
      <c r="AI149" s="101"/>
      <c r="AJ149" s="101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2"/>
      <c r="AX149" s="100"/>
      <c r="AY149" s="101"/>
      <c r="AZ149" s="101"/>
      <c r="BA149" s="100"/>
      <c r="BB149" s="100"/>
      <c r="BC149" s="100"/>
      <c r="BD149" s="100"/>
      <c r="BE149" s="100"/>
      <c r="BF149" s="100"/>
      <c r="BG149" s="100"/>
      <c r="BH149" s="100"/>
      <c r="BI149" s="100"/>
      <c r="BJ149" s="100"/>
      <c r="BK149" s="102"/>
      <c r="BN149" s="100"/>
    </row>
    <row r="150" spans="1:66" x14ac:dyDescent="0.25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AG150" s="100"/>
      <c r="AH150" s="101"/>
      <c r="AI150" s="101"/>
      <c r="AJ150" s="101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2"/>
      <c r="AX150" s="100"/>
      <c r="AY150" s="101"/>
      <c r="AZ150" s="101"/>
      <c r="BA150" s="100"/>
      <c r="BB150" s="100"/>
      <c r="BC150" s="100"/>
      <c r="BD150" s="100"/>
      <c r="BE150" s="100"/>
      <c r="BF150" s="100"/>
      <c r="BG150" s="100"/>
      <c r="BH150" s="100"/>
      <c r="BI150" s="100"/>
      <c r="BJ150" s="100"/>
      <c r="BK150" s="102"/>
      <c r="BN150" s="100"/>
    </row>
    <row r="151" spans="1:66" x14ac:dyDescent="0.25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AG151" s="100"/>
      <c r="AH151" s="101"/>
      <c r="AI151" s="101"/>
      <c r="AJ151" s="101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2"/>
      <c r="AX151" s="100"/>
      <c r="AY151" s="101"/>
      <c r="AZ151" s="101"/>
      <c r="BA151" s="101"/>
      <c r="BB151" s="100"/>
      <c r="BC151" s="100"/>
      <c r="BD151" s="100"/>
      <c r="BE151" s="100"/>
      <c r="BF151" s="100"/>
      <c r="BG151" s="100"/>
      <c r="BH151" s="100"/>
      <c r="BI151" s="100"/>
      <c r="BJ151" s="100"/>
      <c r="BK151" s="102"/>
      <c r="BN151" s="100"/>
    </row>
    <row r="152" spans="1:66" x14ac:dyDescent="0.25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AG152" s="100"/>
      <c r="AH152" s="101"/>
      <c r="AI152" s="101"/>
      <c r="AJ152" s="101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2"/>
      <c r="AX152" s="100"/>
      <c r="AY152" s="101"/>
      <c r="AZ152" s="101"/>
      <c r="BA152" s="100"/>
      <c r="BB152" s="100"/>
      <c r="BC152" s="100"/>
      <c r="BD152" s="100"/>
      <c r="BE152" s="100"/>
      <c r="BF152" s="100"/>
      <c r="BG152" s="100"/>
      <c r="BH152" s="100"/>
      <c r="BI152" s="100"/>
      <c r="BJ152" s="100"/>
      <c r="BK152" s="102"/>
      <c r="BN152" s="100"/>
    </row>
    <row r="153" spans="1:66" x14ac:dyDescent="0.25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AG153" s="100"/>
      <c r="AH153" s="101"/>
      <c r="AI153" s="101"/>
      <c r="AJ153" s="101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2"/>
      <c r="AX153" s="100"/>
      <c r="AY153" s="100"/>
      <c r="AZ153" s="100"/>
      <c r="BA153" s="101"/>
      <c r="BB153" s="100"/>
      <c r="BC153" s="100"/>
      <c r="BD153" s="100"/>
      <c r="BE153" s="100"/>
      <c r="BF153" s="100"/>
      <c r="BG153" s="100"/>
      <c r="BH153" s="100"/>
      <c r="BI153" s="100"/>
      <c r="BJ153" s="100"/>
      <c r="BK153" s="100"/>
      <c r="BN153" s="100"/>
    </row>
    <row r="154" spans="1:66" x14ac:dyDescent="0.25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AG154" s="100"/>
      <c r="AH154" s="101"/>
      <c r="AI154" s="101"/>
      <c r="AJ154" s="101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2"/>
      <c r="AX154" s="100"/>
      <c r="AY154" s="101"/>
      <c r="AZ154" s="101"/>
      <c r="BA154" s="101"/>
      <c r="BB154" s="100"/>
      <c r="BC154" s="100"/>
      <c r="BD154" s="100"/>
      <c r="BE154" s="100"/>
      <c r="BF154" s="100"/>
      <c r="BG154" s="100"/>
      <c r="BH154" s="100"/>
      <c r="BI154" s="100"/>
      <c r="BJ154" s="100"/>
      <c r="BK154" s="102"/>
      <c r="BN154" s="100"/>
    </row>
    <row r="155" spans="1:66" x14ac:dyDescent="0.25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AG155" s="100"/>
      <c r="AH155" s="101"/>
      <c r="AI155" s="101"/>
      <c r="AJ155" s="101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2"/>
      <c r="AX155" s="100"/>
      <c r="AY155" s="101"/>
      <c r="AZ155" s="101"/>
      <c r="BA155" s="101"/>
      <c r="BB155" s="100"/>
      <c r="BC155" s="100"/>
      <c r="BD155" s="100"/>
      <c r="BE155" s="100"/>
      <c r="BF155" s="100"/>
      <c r="BG155" s="100"/>
      <c r="BH155" s="100"/>
      <c r="BI155" s="100"/>
      <c r="BJ155" s="100"/>
      <c r="BK155" s="102"/>
      <c r="BN155" s="100"/>
    </row>
    <row r="156" spans="1:66" x14ac:dyDescent="0.25">
      <c r="A156" s="100"/>
      <c r="B156" s="101"/>
      <c r="C156" s="101"/>
      <c r="D156" s="101"/>
      <c r="E156" s="100"/>
      <c r="F156" s="100"/>
      <c r="G156" s="100"/>
      <c r="H156" s="100"/>
      <c r="I156" s="100"/>
      <c r="J156" s="100"/>
      <c r="K156" s="100"/>
      <c r="L156" s="100"/>
      <c r="M156" s="100"/>
      <c r="N156" s="102"/>
      <c r="AG156" s="100"/>
      <c r="AH156" s="101"/>
      <c r="AI156" s="101"/>
      <c r="AJ156" s="101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2"/>
      <c r="AX156" s="100"/>
      <c r="AY156" s="100"/>
      <c r="AZ156" s="100"/>
      <c r="BA156" s="101"/>
      <c r="BB156" s="100"/>
      <c r="BC156" s="100"/>
      <c r="BD156" s="100"/>
      <c r="BE156" s="100"/>
      <c r="BF156" s="100"/>
      <c r="BG156" s="100"/>
      <c r="BH156" s="100"/>
      <c r="BI156" s="100"/>
      <c r="BJ156" s="100"/>
      <c r="BK156" s="100"/>
      <c r="BN156" s="100"/>
    </row>
    <row r="157" spans="1:66" x14ac:dyDescent="0.25">
      <c r="A157" s="100"/>
      <c r="B157" s="100"/>
      <c r="C157" s="100"/>
      <c r="D157" s="101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AG157" s="100"/>
      <c r="AH157" s="101"/>
      <c r="AI157" s="101"/>
      <c r="AJ157" s="101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2"/>
      <c r="AX157" s="100"/>
      <c r="AY157" s="101"/>
      <c r="AZ157" s="101"/>
      <c r="BA157" s="100"/>
      <c r="BB157" s="100"/>
      <c r="BC157" s="100"/>
      <c r="BD157" s="100"/>
      <c r="BE157" s="100"/>
      <c r="BF157" s="100"/>
      <c r="BG157" s="100"/>
      <c r="BH157" s="100"/>
      <c r="BI157" s="100"/>
      <c r="BJ157" s="100"/>
      <c r="BK157" s="102"/>
      <c r="BN157" s="100"/>
    </row>
    <row r="158" spans="1:66" x14ac:dyDescent="0.25">
      <c r="A158" s="100"/>
      <c r="B158" s="101"/>
      <c r="C158" s="101"/>
      <c r="D158" s="101"/>
      <c r="E158" s="100"/>
      <c r="F158" s="100"/>
      <c r="G158" s="100"/>
      <c r="H158" s="100"/>
      <c r="I158" s="100"/>
      <c r="J158" s="100"/>
      <c r="K158" s="100"/>
      <c r="L158" s="100"/>
      <c r="M158" s="100"/>
      <c r="N158" s="102"/>
      <c r="AG158" s="100"/>
      <c r="AH158" s="101"/>
      <c r="AI158" s="101"/>
      <c r="AJ158" s="101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2"/>
      <c r="AX158" s="100"/>
      <c r="AY158" s="101"/>
      <c r="AZ158" s="101"/>
      <c r="BA158" s="100"/>
      <c r="BB158" s="100"/>
      <c r="BC158" s="100"/>
      <c r="BD158" s="100"/>
      <c r="BE158" s="100"/>
      <c r="BF158" s="100"/>
      <c r="BG158" s="100"/>
      <c r="BH158" s="100"/>
      <c r="BI158" s="100"/>
      <c r="BJ158" s="100"/>
      <c r="BK158" s="102"/>
      <c r="BN158" s="100"/>
    </row>
    <row r="159" spans="1:66" x14ac:dyDescent="0.25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AG159" s="100"/>
      <c r="AH159" s="100"/>
      <c r="AI159" s="100"/>
      <c r="AJ159" s="101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X159" s="100"/>
      <c r="AY159" s="101"/>
      <c r="AZ159" s="101"/>
      <c r="BA159" s="101"/>
      <c r="BB159" s="100"/>
      <c r="BC159" s="100"/>
      <c r="BD159" s="100"/>
      <c r="BE159" s="100"/>
      <c r="BF159" s="100"/>
      <c r="BG159" s="100"/>
      <c r="BH159" s="100"/>
      <c r="BI159" s="100"/>
      <c r="BJ159" s="100"/>
      <c r="BK159" s="102"/>
      <c r="BN159" s="100"/>
    </row>
    <row r="160" spans="1:66" x14ac:dyDescent="0.25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AG160" s="100"/>
      <c r="AH160" s="101"/>
      <c r="AI160" s="101"/>
      <c r="AJ160" s="101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2"/>
      <c r="AX160" s="100"/>
      <c r="AY160" s="101"/>
      <c r="AZ160" s="101"/>
      <c r="BA160" s="100"/>
      <c r="BB160" s="100"/>
      <c r="BC160" s="100"/>
      <c r="BD160" s="100"/>
      <c r="BE160" s="100"/>
      <c r="BF160" s="100"/>
      <c r="BG160" s="100"/>
      <c r="BH160" s="100"/>
      <c r="BI160" s="100"/>
      <c r="BJ160" s="100"/>
      <c r="BK160" s="102"/>
      <c r="BN160" s="100"/>
    </row>
    <row r="161" spans="1:66" x14ac:dyDescent="0.25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AG161" s="100"/>
      <c r="AH161" s="101"/>
      <c r="AI161" s="101"/>
      <c r="AJ161" s="101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2"/>
      <c r="AX161" s="100"/>
      <c r="AY161" s="101"/>
      <c r="AZ161" s="101"/>
      <c r="BA161" s="100"/>
      <c r="BB161" s="100"/>
      <c r="BC161" s="100"/>
      <c r="BD161" s="100"/>
      <c r="BE161" s="100"/>
      <c r="BF161" s="100"/>
      <c r="BG161" s="100"/>
      <c r="BH161" s="100"/>
      <c r="BI161" s="100"/>
      <c r="BJ161" s="100"/>
      <c r="BK161" s="102"/>
      <c r="BN161" s="100"/>
    </row>
    <row r="162" spans="1:66" x14ac:dyDescent="0.25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AG162" s="100"/>
      <c r="AH162" s="101"/>
      <c r="AI162" s="101"/>
      <c r="AJ162" s="101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2"/>
      <c r="AX162" s="100"/>
      <c r="AY162" s="101"/>
      <c r="AZ162" s="101"/>
      <c r="BA162" s="100"/>
      <c r="BB162" s="100"/>
      <c r="BC162" s="100"/>
      <c r="BD162" s="100"/>
      <c r="BE162" s="100"/>
      <c r="BF162" s="100"/>
      <c r="BG162" s="100"/>
      <c r="BH162" s="100"/>
      <c r="BI162" s="100"/>
      <c r="BJ162" s="100"/>
      <c r="BK162" s="102"/>
      <c r="BN162" s="100"/>
    </row>
    <row r="163" spans="1:66" x14ac:dyDescent="0.25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AG163" s="100"/>
      <c r="AH163" s="101"/>
      <c r="AI163" s="101"/>
      <c r="AJ163" s="101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2"/>
      <c r="AX163" s="100"/>
      <c r="AY163" s="101"/>
      <c r="AZ163" s="101"/>
      <c r="BA163" s="101"/>
      <c r="BB163" s="100"/>
      <c r="BC163" s="100"/>
      <c r="BD163" s="100"/>
      <c r="BE163" s="100"/>
      <c r="BF163" s="100"/>
      <c r="BG163" s="100"/>
      <c r="BH163" s="100"/>
      <c r="BI163" s="100"/>
      <c r="BJ163" s="100"/>
      <c r="BK163" s="102"/>
      <c r="BN163" s="100"/>
    </row>
    <row r="164" spans="1:66" x14ac:dyDescent="0.25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AG164" s="100"/>
      <c r="AH164" s="101"/>
      <c r="AI164" s="101"/>
      <c r="AJ164" s="101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2"/>
      <c r="AX164" s="100"/>
      <c r="AY164" s="101"/>
      <c r="AZ164" s="101"/>
      <c r="BA164" s="100"/>
      <c r="BB164" s="100"/>
      <c r="BC164" s="100"/>
      <c r="BD164" s="100"/>
      <c r="BE164" s="100"/>
      <c r="BF164" s="100"/>
      <c r="BG164" s="100"/>
      <c r="BH164" s="100"/>
      <c r="BI164" s="100"/>
      <c r="BJ164" s="100"/>
      <c r="BK164" s="102"/>
      <c r="BN164" s="100"/>
    </row>
    <row r="165" spans="1:66" x14ac:dyDescent="0.25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AG165" s="100"/>
      <c r="AH165" s="101"/>
      <c r="AI165" s="101"/>
      <c r="AJ165" s="101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2"/>
      <c r="AX165" s="100"/>
      <c r="AY165" s="101"/>
      <c r="AZ165" s="101"/>
      <c r="BA165" s="100"/>
      <c r="BB165" s="100"/>
      <c r="BC165" s="100"/>
      <c r="BD165" s="100"/>
      <c r="BE165" s="100"/>
      <c r="BF165" s="100"/>
      <c r="BG165" s="100"/>
      <c r="BH165" s="100"/>
      <c r="BI165" s="100"/>
      <c r="BJ165" s="100"/>
      <c r="BK165" s="102"/>
      <c r="BN165" s="100"/>
    </row>
    <row r="166" spans="1:66" x14ac:dyDescent="0.25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AG166" s="100"/>
      <c r="AH166" s="101"/>
      <c r="AI166" s="101"/>
      <c r="AJ166" s="101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2"/>
      <c r="AX166" s="100"/>
      <c r="AY166" s="101"/>
      <c r="AZ166" s="101"/>
      <c r="BA166" s="100"/>
      <c r="BB166" s="100"/>
      <c r="BC166" s="100"/>
      <c r="BD166" s="100"/>
      <c r="BE166" s="100"/>
      <c r="BF166" s="100"/>
      <c r="BG166" s="100"/>
      <c r="BH166" s="100"/>
      <c r="BI166" s="100"/>
      <c r="BJ166" s="100"/>
      <c r="BK166" s="102"/>
      <c r="BN166" s="100"/>
    </row>
    <row r="167" spans="1:66" x14ac:dyDescent="0.25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AG167" s="100"/>
      <c r="AH167" s="101"/>
      <c r="AI167" s="101"/>
      <c r="AJ167" s="101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2"/>
      <c r="AX167" s="100"/>
      <c r="AY167" s="101"/>
      <c r="AZ167" s="101"/>
      <c r="BA167" s="100"/>
      <c r="BB167" s="100"/>
      <c r="BC167" s="100"/>
      <c r="BD167" s="100"/>
      <c r="BE167" s="100"/>
      <c r="BF167" s="100"/>
      <c r="BG167" s="100"/>
      <c r="BH167" s="100"/>
      <c r="BI167" s="100"/>
      <c r="BJ167" s="100"/>
      <c r="BK167" s="102"/>
      <c r="BN167" s="100"/>
    </row>
    <row r="168" spans="1:66" x14ac:dyDescent="0.25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AG168" s="100"/>
      <c r="AH168" s="101"/>
      <c r="AI168" s="101"/>
      <c r="AJ168" s="101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2"/>
      <c r="AX168" s="100"/>
      <c r="AY168" s="101"/>
      <c r="AZ168" s="101"/>
      <c r="BA168" s="100"/>
      <c r="BB168" s="100"/>
      <c r="BC168" s="100"/>
      <c r="BD168" s="100"/>
      <c r="BE168" s="100"/>
      <c r="BF168" s="100"/>
      <c r="BG168" s="100"/>
      <c r="BH168" s="100"/>
      <c r="BI168" s="100"/>
      <c r="BJ168" s="100"/>
      <c r="BK168" s="102"/>
      <c r="BN168" s="100"/>
    </row>
    <row r="169" spans="1:66" x14ac:dyDescent="0.25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AG169" s="100"/>
      <c r="AH169" s="101"/>
      <c r="AI169" s="101"/>
      <c r="AJ169" s="101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2"/>
      <c r="AX169" s="100"/>
      <c r="AY169" s="101"/>
      <c r="AZ169" s="101"/>
      <c r="BA169" s="100"/>
      <c r="BB169" s="100"/>
      <c r="BC169" s="100"/>
      <c r="BD169" s="100"/>
      <c r="BE169" s="100"/>
      <c r="BF169" s="100"/>
      <c r="BG169" s="100"/>
      <c r="BH169" s="100"/>
      <c r="BI169" s="100"/>
      <c r="BJ169" s="100"/>
      <c r="BK169" s="102"/>
      <c r="BN169" s="100"/>
    </row>
    <row r="170" spans="1:66" x14ac:dyDescent="0.25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AG170" s="100"/>
      <c r="AH170" s="101"/>
      <c r="AI170" s="101"/>
      <c r="AJ170" s="101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2"/>
      <c r="AX170" s="100"/>
      <c r="AY170" s="101"/>
      <c r="AZ170" s="101"/>
      <c r="BA170" s="100"/>
      <c r="BB170" s="100"/>
      <c r="BC170" s="100"/>
      <c r="BD170" s="100"/>
      <c r="BE170" s="100"/>
      <c r="BF170" s="100"/>
      <c r="BG170" s="100"/>
      <c r="BH170" s="100"/>
      <c r="BI170" s="100"/>
      <c r="BJ170" s="100"/>
      <c r="BK170" s="102"/>
      <c r="BN170" s="100"/>
    </row>
    <row r="171" spans="1:66" x14ac:dyDescent="0.25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AG171" s="100"/>
      <c r="AH171" s="101"/>
      <c r="AI171" s="101"/>
      <c r="AJ171" s="101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2"/>
      <c r="AX171" s="100"/>
      <c r="AY171" s="101"/>
      <c r="AZ171" s="101"/>
      <c r="BA171" s="100"/>
      <c r="BB171" s="100"/>
      <c r="BC171" s="100"/>
      <c r="BD171" s="100"/>
      <c r="BE171" s="100"/>
      <c r="BF171" s="100"/>
      <c r="BG171" s="100"/>
      <c r="BH171" s="100"/>
      <c r="BI171" s="100"/>
      <c r="BJ171" s="100"/>
      <c r="BK171" s="102"/>
      <c r="BN171" s="100"/>
    </row>
    <row r="172" spans="1:66" x14ac:dyDescent="0.25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AG172" s="100"/>
      <c r="AH172" s="101"/>
      <c r="AI172" s="101"/>
      <c r="AJ172" s="101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2"/>
      <c r="AX172" s="100"/>
      <c r="AY172" s="101"/>
      <c r="AZ172" s="101"/>
      <c r="BA172" s="100"/>
      <c r="BB172" s="100"/>
      <c r="BC172" s="100"/>
      <c r="BD172" s="100"/>
      <c r="BE172" s="100"/>
      <c r="BF172" s="100"/>
      <c r="BG172" s="100"/>
      <c r="BH172" s="100"/>
      <c r="BI172" s="100"/>
      <c r="BJ172" s="100"/>
      <c r="BK172" s="102"/>
      <c r="BN172" s="100"/>
    </row>
    <row r="173" spans="1:66" x14ac:dyDescent="0.25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AG173" s="100"/>
      <c r="AH173" s="101"/>
      <c r="AI173" s="101"/>
      <c r="AJ173" s="101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2"/>
      <c r="AX173" s="100"/>
      <c r="AY173" s="101"/>
      <c r="AZ173" s="101"/>
      <c r="BA173" s="100"/>
      <c r="BB173" s="100"/>
      <c r="BC173" s="100"/>
      <c r="BD173" s="100"/>
      <c r="BE173" s="100"/>
      <c r="BF173" s="100"/>
      <c r="BG173" s="100"/>
      <c r="BH173" s="100"/>
      <c r="BI173" s="100"/>
      <c r="BJ173" s="100"/>
      <c r="BK173" s="102"/>
      <c r="BN173" s="100"/>
    </row>
    <row r="174" spans="1:66" x14ac:dyDescent="0.25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AG174" s="100"/>
      <c r="AH174" s="101"/>
      <c r="AI174" s="101"/>
      <c r="AJ174" s="101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2"/>
      <c r="AX174" s="100"/>
      <c r="AY174" s="101"/>
      <c r="AZ174" s="101"/>
      <c r="BA174" s="100"/>
      <c r="BB174" s="100"/>
      <c r="BC174" s="100"/>
      <c r="BD174" s="100"/>
      <c r="BE174" s="100"/>
      <c r="BF174" s="100"/>
      <c r="BG174" s="100"/>
      <c r="BH174" s="100"/>
      <c r="BI174" s="100"/>
      <c r="BJ174" s="100"/>
      <c r="BK174" s="102"/>
      <c r="BN174" s="100"/>
    </row>
    <row r="175" spans="1:66" x14ac:dyDescent="0.25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AG175" s="100"/>
      <c r="AH175" s="101"/>
      <c r="AI175" s="101"/>
      <c r="AJ175" s="101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2"/>
      <c r="AX175" s="100"/>
      <c r="AY175" s="101"/>
      <c r="AZ175" s="101"/>
      <c r="BA175" s="100"/>
      <c r="BB175" s="100"/>
      <c r="BC175" s="100"/>
      <c r="BD175" s="100"/>
      <c r="BE175" s="100"/>
      <c r="BF175" s="100"/>
      <c r="BG175" s="100"/>
      <c r="BH175" s="100"/>
      <c r="BI175" s="100"/>
      <c r="BJ175" s="100"/>
      <c r="BK175" s="102"/>
      <c r="BN175" s="100"/>
    </row>
    <row r="176" spans="1:66" x14ac:dyDescent="0.25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AG176" s="100"/>
      <c r="AH176" s="101"/>
      <c r="AI176" s="101"/>
      <c r="AJ176" s="101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2"/>
      <c r="AX176" s="100"/>
      <c r="AY176" s="101"/>
      <c r="AZ176" s="101"/>
      <c r="BA176" s="100"/>
      <c r="BB176" s="100"/>
      <c r="BC176" s="100"/>
      <c r="BD176" s="100"/>
      <c r="BE176" s="100"/>
      <c r="BF176" s="100"/>
      <c r="BG176" s="100"/>
      <c r="BH176" s="100"/>
      <c r="BI176" s="100"/>
      <c r="BJ176" s="100"/>
      <c r="BK176" s="102"/>
      <c r="BN176" s="100"/>
    </row>
    <row r="177" spans="1:66" x14ac:dyDescent="0.25">
      <c r="A177" s="92"/>
      <c r="B177" s="93"/>
      <c r="C177" s="93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4"/>
      <c r="AG177" s="100"/>
      <c r="AH177" s="100"/>
      <c r="AI177" s="100"/>
      <c r="AJ177" s="101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X177" s="100"/>
      <c r="AY177" s="101"/>
      <c r="AZ177" s="101"/>
      <c r="BA177" s="100"/>
      <c r="BB177" s="100"/>
      <c r="BC177" s="100"/>
      <c r="BD177" s="100"/>
      <c r="BE177" s="100"/>
      <c r="BF177" s="100"/>
      <c r="BG177" s="100"/>
      <c r="BH177" s="100"/>
      <c r="BI177" s="100"/>
      <c r="BJ177" s="100"/>
      <c r="BK177" s="102"/>
      <c r="BN177" s="100"/>
    </row>
    <row r="178" spans="1:66" x14ac:dyDescent="0.25">
      <c r="A178" s="92"/>
      <c r="B178" s="93"/>
      <c r="C178" s="93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4"/>
      <c r="AG178" s="100"/>
      <c r="AH178" s="101"/>
      <c r="AI178" s="101"/>
      <c r="AJ178" s="101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2"/>
      <c r="AX178" s="100"/>
      <c r="AY178" s="101"/>
      <c r="AZ178" s="101"/>
      <c r="BA178" s="100"/>
      <c r="BB178" s="100"/>
      <c r="BC178" s="100"/>
      <c r="BD178" s="100"/>
      <c r="BE178" s="100"/>
      <c r="BF178" s="100"/>
      <c r="BG178" s="100"/>
      <c r="BH178" s="100"/>
      <c r="BI178" s="100"/>
      <c r="BJ178" s="100"/>
      <c r="BK178" s="102"/>
      <c r="BN178" s="100"/>
    </row>
    <row r="179" spans="1:66" x14ac:dyDescent="0.25">
      <c r="A179" s="92"/>
      <c r="B179" s="93"/>
      <c r="C179" s="93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4"/>
      <c r="AG179" s="100"/>
      <c r="AH179" s="101"/>
      <c r="AI179" s="101"/>
      <c r="AJ179" s="101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2"/>
      <c r="AX179" s="100"/>
      <c r="AY179" s="101"/>
      <c r="AZ179" s="101"/>
      <c r="BA179" s="101"/>
      <c r="BB179" s="100"/>
      <c r="BC179" s="100"/>
      <c r="BD179" s="100"/>
      <c r="BE179" s="100"/>
      <c r="BF179" s="100"/>
      <c r="BG179" s="100"/>
      <c r="BH179" s="100"/>
      <c r="BI179" s="100"/>
      <c r="BJ179" s="100"/>
      <c r="BK179" s="102"/>
      <c r="BN179" s="100"/>
    </row>
    <row r="180" spans="1:66" x14ac:dyDescent="0.25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AG180" s="100"/>
      <c r="AH180" s="101"/>
      <c r="AI180" s="101"/>
      <c r="AJ180" s="101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2"/>
      <c r="AX180" s="100"/>
      <c r="AY180" s="101"/>
      <c r="AZ180" s="101"/>
      <c r="BA180" s="100"/>
      <c r="BB180" s="100"/>
      <c r="BC180" s="100"/>
      <c r="BD180" s="100"/>
      <c r="BE180" s="100"/>
      <c r="BF180" s="100"/>
      <c r="BG180" s="100"/>
      <c r="BH180" s="100"/>
      <c r="BI180" s="100"/>
      <c r="BJ180" s="100"/>
      <c r="BK180" s="102"/>
      <c r="BN180" s="100"/>
    </row>
    <row r="181" spans="1:66" x14ac:dyDescent="0.25">
      <c r="A181" s="92"/>
      <c r="B181" s="93"/>
      <c r="C181" s="93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4"/>
      <c r="AG181" s="100"/>
      <c r="AH181" s="101"/>
      <c r="AI181" s="100"/>
      <c r="AJ181" s="101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2"/>
      <c r="AX181" s="100"/>
      <c r="AY181" s="101"/>
      <c r="AZ181" s="101"/>
      <c r="BA181" s="100"/>
      <c r="BB181" s="100"/>
      <c r="BC181" s="100"/>
      <c r="BD181" s="100"/>
      <c r="BE181" s="100"/>
      <c r="BF181" s="100"/>
      <c r="BG181" s="100"/>
      <c r="BH181" s="100"/>
      <c r="BI181" s="100"/>
      <c r="BJ181" s="100"/>
      <c r="BK181" s="102"/>
      <c r="BN181" s="100"/>
    </row>
    <row r="182" spans="1:66" x14ac:dyDescent="0.25">
      <c r="A182" s="92"/>
      <c r="B182" s="93"/>
      <c r="C182" s="93"/>
      <c r="D182" s="93"/>
      <c r="E182" s="92"/>
      <c r="F182" s="92"/>
      <c r="G182" s="92"/>
      <c r="H182" s="92"/>
      <c r="I182" s="92"/>
      <c r="J182" s="92"/>
      <c r="K182" s="92"/>
      <c r="L182" s="92"/>
      <c r="M182" s="92"/>
      <c r="N182" s="94"/>
      <c r="AG182" s="100"/>
      <c r="AH182" s="101"/>
      <c r="AI182" s="101"/>
      <c r="AJ182" s="101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2"/>
      <c r="AX182" s="100"/>
      <c r="AY182" s="101"/>
      <c r="AZ182" s="101"/>
      <c r="BA182" s="100"/>
      <c r="BB182" s="100"/>
      <c r="BC182" s="100"/>
      <c r="BD182" s="100"/>
      <c r="BE182" s="100"/>
      <c r="BF182" s="100"/>
      <c r="BG182" s="100"/>
      <c r="BH182" s="100"/>
      <c r="BI182" s="100"/>
      <c r="BJ182" s="100"/>
      <c r="BK182" s="102"/>
      <c r="BN182" s="100"/>
    </row>
    <row r="183" spans="1:66" x14ac:dyDescent="0.25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AG183" s="100"/>
      <c r="AH183" s="101"/>
      <c r="AI183" s="101"/>
      <c r="AJ183" s="101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2"/>
      <c r="AX183" s="100"/>
      <c r="AY183" s="101"/>
      <c r="AZ183" s="101"/>
      <c r="BA183" s="100"/>
      <c r="BB183" s="100"/>
      <c r="BC183" s="100"/>
      <c r="BD183" s="100"/>
      <c r="BE183" s="100"/>
      <c r="BF183" s="100"/>
      <c r="BG183" s="100"/>
      <c r="BH183" s="100"/>
      <c r="BI183" s="100"/>
      <c r="BJ183" s="100"/>
      <c r="BK183" s="102"/>
      <c r="BN183" s="100"/>
    </row>
    <row r="184" spans="1:66" x14ac:dyDescent="0.25">
      <c r="A184" s="92"/>
      <c r="B184" s="93"/>
      <c r="C184" s="93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4"/>
      <c r="AG184" s="100"/>
      <c r="AH184" s="101"/>
      <c r="AI184" s="101"/>
      <c r="AJ184" s="101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2"/>
      <c r="AX184" s="100"/>
      <c r="AY184" s="101"/>
      <c r="AZ184" s="101"/>
      <c r="BA184" s="101"/>
      <c r="BB184" s="100"/>
      <c r="BC184" s="100"/>
      <c r="BD184" s="100"/>
      <c r="BE184" s="100"/>
      <c r="BF184" s="100"/>
      <c r="BG184" s="100"/>
      <c r="BH184" s="100"/>
      <c r="BI184" s="100"/>
      <c r="BJ184" s="100"/>
      <c r="BK184" s="102"/>
      <c r="BN184" s="100"/>
    </row>
    <row r="185" spans="1:66" x14ac:dyDescent="0.25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AG185" s="100"/>
      <c r="AH185" s="101"/>
      <c r="AI185" s="101"/>
      <c r="AJ185" s="101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2"/>
      <c r="AX185" s="100"/>
      <c r="AY185" s="101"/>
      <c r="AZ185" s="101"/>
      <c r="BA185" s="100"/>
      <c r="BB185" s="100"/>
      <c r="BC185" s="100"/>
      <c r="BD185" s="100"/>
      <c r="BE185" s="100"/>
      <c r="BF185" s="100"/>
      <c r="BG185" s="100"/>
      <c r="BH185" s="100"/>
      <c r="BI185" s="100"/>
      <c r="BJ185" s="100"/>
      <c r="BK185" s="102"/>
      <c r="BN185" s="100"/>
    </row>
    <row r="186" spans="1:66" x14ac:dyDescent="0.25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AG186" s="100"/>
      <c r="AH186" s="101"/>
      <c r="AI186" s="101"/>
      <c r="AJ186" s="101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2"/>
      <c r="AX186" s="100"/>
      <c r="AY186" s="101"/>
      <c r="AZ186" s="101"/>
      <c r="BA186" s="101"/>
      <c r="BB186" s="100"/>
      <c r="BC186" s="100"/>
      <c r="BD186" s="100"/>
      <c r="BE186" s="100"/>
      <c r="BF186" s="100"/>
      <c r="BG186" s="100"/>
      <c r="BH186" s="100"/>
      <c r="BI186" s="100"/>
      <c r="BJ186" s="100"/>
      <c r="BK186" s="102"/>
      <c r="BN186" s="100"/>
    </row>
    <row r="187" spans="1:66" x14ac:dyDescent="0.25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AG187" s="100"/>
      <c r="AH187" s="101"/>
      <c r="AI187" s="101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2"/>
      <c r="AX187" s="100"/>
      <c r="AY187" s="101"/>
      <c r="AZ187" s="101"/>
      <c r="BA187" s="100"/>
      <c r="BB187" s="100"/>
      <c r="BC187" s="100"/>
      <c r="BD187" s="100"/>
      <c r="BE187" s="100"/>
      <c r="BF187" s="100"/>
      <c r="BG187" s="100"/>
      <c r="BH187" s="100"/>
      <c r="BI187" s="100"/>
      <c r="BJ187" s="100"/>
      <c r="BK187" s="102"/>
      <c r="BN187" s="100"/>
    </row>
    <row r="188" spans="1:66" x14ac:dyDescent="0.25">
      <c r="A188" s="92"/>
      <c r="B188" s="93"/>
      <c r="C188" s="93"/>
      <c r="D188" s="93"/>
      <c r="E188" s="92"/>
      <c r="F188" s="92"/>
      <c r="G188" s="92"/>
      <c r="H188" s="92"/>
      <c r="I188" s="92"/>
      <c r="J188" s="92"/>
      <c r="K188" s="92"/>
      <c r="L188" s="92"/>
      <c r="M188" s="92"/>
      <c r="N188" s="94"/>
      <c r="AG188" s="100"/>
      <c r="AH188" s="101"/>
      <c r="AI188" s="101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2"/>
      <c r="AX188" s="100"/>
      <c r="AY188" s="101"/>
      <c r="AZ188" s="101"/>
      <c r="BA188" s="100"/>
      <c r="BB188" s="100"/>
      <c r="BC188" s="100"/>
      <c r="BD188" s="100"/>
      <c r="BE188" s="100"/>
      <c r="BF188" s="100"/>
      <c r="BG188" s="100"/>
      <c r="BH188" s="100"/>
      <c r="BI188" s="100"/>
      <c r="BJ188" s="100"/>
      <c r="BK188" s="102"/>
      <c r="BN188" s="100"/>
    </row>
    <row r="189" spans="1:66" x14ac:dyDescent="0.25">
      <c r="A189" s="92"/>
      <c r="B189" s="93"/>
      <c r="C189" s="93"/>
      <c r="D189" s="93"/>
      <c r="E189" s="92"/>
      <c r="F189" s="92"/>
      <c r="G189" s="92"/>
      <c r="H189" s="92"/>
      <c r="I189" s="92"/>
      <c r="J189" s="92"/>
      <c r="K189" s="92"/>
      <c r="L189" s="92"/>
      <c r="M189" s="92"/>
      <c r="N189" s="94"/>
      <c r="AG189" s="100"/>
      <c r="AH189" s="101"/>
      <c r="AI189" s="101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2"/>
      <c r="AX189" s="100"/>
      <c r="AY189" s="101"/>
      <c r="AZ189" s="101"/>
      <c r="BA189" s="100"/>
      <c r="BB189" s="100"/>
      <c r="BC189" s="100"/>
      <c r="BD189" s="100"/>
      <c r="BE189" s="100"/>
      <c r="BF189" s="100"/>
      <c r="BG189" s="100"/>
      <c r="BH189" s="100"/>
      <c r="BI189" s="100"/>
      <c r="BJ189" s="100"/>
      <c r="BK189" s="102"/>
      <c r="BN189" s="100"/>
    </row>
    <row r="190" spans="1:66" x14ac:dyDescent="0.25">
      <c r="A190" s="92"/>
      <c r="B190" s="93"/>
      <c r="C190" s="93"/>
      <c r="D190" s="93"/>
      <c r="E190" s="92"/>
      <c r="F190" s="92"/>
      <c r="G190" s="92"/>
      <c r="H190" s="92"/>
      <c r="I190" s="92"/>
      <c r="J190" s="92"/>
      <c r="K190" s="92"/>
      <c r="L190" s="92"/>
      <c r="M190" s="92"/>
      <c r="N190" s="94"/>
      <c r="AG190" s="100"/>
      <c r="AH190" s="101"/>
      <c r="AI190" s="101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2"/>
      <c r="AX190" s="100"/>
      <c r="AY190" s="101"/>
      <c r="AZ190" s="101"/>
      <c r="BA190" s="100"/>
      <c r="BB190" s="100"/>
      <c r="BC190" s="100"/>
      <c r="BD190" s="100"/>
      <c r="BE190" s="100"/>
      <c r="BF190" s="100"/>
      <c r="BG190" s="100"/>
      <c r="BH190" s="100"/>
      <c r="BI190" s="100"/>
      <c r="BJ190" s="100"/>
      <c r="BK190" s="102"/>
      <c r="BN190" s="100"/>
    </row>
    <row r="191" spans="1:66" x14ac:dyDescent="0.25">
      <c r="A191" s="92"/>
      <c r="B191" s="92"/>
      <c r="C191" s="92"/>
      <c r="D191" s="93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AG191" s="100"/>
      <c r="AH191" s="101"/>
      <c r="AI191" s="101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2"/>
      <c r="AX191" s="100"/>
      <c r="AY191" s="101"/>
      <c r="AZ191" s="101"/>
      <c r="BA191" s="100"/>
      <c r="BB191" s="100"/>
      <c r="BC191" s="100"/>
      <c r="BD191" s="100"/>
      <c r="BE191" s="100"/>
      <c r="BF191" s="100"/>
      <c r="BG191" s="100"/>
      <c r="BH191" s="100"/>
      <c r="BI191" s="100"/>
      <c r="BJ191" s="100"/>
      <c r="BK191" s="102"/>
      <c r="BN191" s="100"/>
    </row>
    <row r="192" spans="1:66" x14ac:dyDescent="0.25">
      <c r="A192" s="92"/>
      <c r="B192" s="93"/>
      <c r="C192" s="93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4"/>
      <c r="AG192" s="100"/>
      <c r="AH192" s="101"/>
      <c r="AI192" s="101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2"/>
      <c r="AX192" s="100"/>
      <c r="AY192" s="101"/>
      <c r="AZ192" s="101"/>
      <c r="BA192" s="100"/>
      <c r="BB192" s="100"/>
      <c r="BC192" s="100"/>
      <c r="BD192" s="100"/>
      <c r="BE192" s="100"/>
      <c r="BF192" s="100"/>
      <c r="BG192" s="100"/>
      <c r="BH192" s="100"/>
      <c r="BI192" s="100"/>
      <c r="BJ192" s="100"/>
      <c r="BK192" s="102"/>
      <c r="BN192" s="100"/>
    </row>
    <row r="193" spans="1:66" x14ac:dyDescent="0.25">
      <c r="A193" s="92"/>
      <c r="B193" s="93"/>
      <c r="C193" s="93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4"/>
      <c r="AG193" s="100"/>
      <c r="AH193" s="101"/>
      <c r="AI193" s="101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2"/>
      <c r="AX193" s="100"/>
      <c r="AY193" s="101"/>
      <c r="AZ193" s="101"/>
      <c r="BA193" s="100"/>
      <c r="BB193" s="100"/>
      <c r="BC193" s="100"/>
      <c r="BD193" s="100"/>
      <c r="BE193" s="100"/>
      <c r="BF193" s="100"/>
      <c r="BG193" s="100"/>
      <c r="BH193" s="100"/>
      <c r="BI193" s="100"/>
      <c r="BJ193" s="100"/>
      <c r="BK193" s="102"/>
      <c r="BN193" s="100"/>
    </row>
    <row r="194" spans="1:66" x14ac:dyDescent="0.25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AG194" s="100"/>
      <c r="AH194" s="101"/>
      <c r="AI194" s="101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2"/>
      <c r="AX194" s="100"/>
      <c r="AY194" s="101"/>
      <c r="AZ194" s="101"/>
      <c r="BA194" s="100"/>
      <c r="BB194" s="100"/>
      <c r="BC194" s="100"/>
      <c r="BD194" s="100"/>
      <c r="BE194" s="100"/>
      <c r="BF194" s="100"/>
      <c r="BG194" s="100"/>
      <c r="BH194" s="100"/>
      <c r="BI194" s="100"/>
      <c r="BJ194" s="100"/>
      <c r="BK194" s="102"/>
      <c r="BN194" s="100"/>
    </row>
    <row r="195" spans="1:66" x14ac:dyDescent="0.25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AG195" s="100"/>
      <c r="AH195" s="101"/>
      <c r="AI195" s="101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2"/>
      <c r="AX195" s="100"/>
      <c r="AY195" s="101"/>
      <c r="AZ195" s="101"/>
      <c r="BA195" s="100"/>
      <c r="BB195" s="100"/>
      <c r="BC195" s="100"/>
      <c r="BD195" s="100"/>
      <c r="BE195" s="100"/>
      <c r="BF195" s="100"/>
      <c r="BG195" s="100"/>
      <c r="BH195" s="100"/>
      <c r="BI195" s="100"/>
      <c r="BJ195" s="100"/>
      <c r="BK195" s="102"/>
      <c r="BN195" s="100"/>
    </row>
    <row r="196" spans="1:66" x14ac:dyDescent="0.2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AG196" s="100"/>
      <c r="AH196" s="101"/>
      <c r="AI196" s="101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2"/>
      <c r="AX196" s="100"/>
      <c r="AY196" s="101"/>
      <c r="AZ196" s="101"/>
      <c r="BA196" s="100"/>
      <c r="BB196" s="100"/>
      <c r="BC196" s="100"/>
      <c r="BD196" s="100"/>
      <c r="BE196" s="100"/>
      <c r="BF196" s="100"/>
      <c r="BG196" s="100"/>
      <c r="BH196" s="100"/>
      <c r="BI196" s="100"/>
      <c r="BJ196" s="100"/>
      <c r="BK196" s="102"/>
      <c r="BN196" s="100"/>
    </row>
    <row r="197" spans="1:66" x14ac:dyDescent="0.2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AG197" s="100"/>
      <c r="AH197" s="101"/>
      <c r="AI197" s="101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2"/>
      <c r="AX197" s="100"/>
      <c r="AY197" s="101"/>
      <c r="AZ197" s="101"/>
      <c r="BA197" s="100"/>
      <c r="BB197" s="100"/>
      <c r="BC197" s="100"/>
      <c r="BD197" s="100"/>
      <c r="BE197" s="100"/>
      <c r="BF197" s="100"/>
      <c r="BG197" s="100"/>
      <c r="BH197" s="100"/>
      <c r="BI197" s="100"/>
      <c r="BJ197" s="100"/>
      <c r="BK197" s="102"/>
      <c r="BN197" s="100"/>
    </row>
    <row r="198" spans="1:66" x14ac:dyDescent="0.25">
      <c r="A198" s="92"/>
      <c r="B198" s="93"/>
      <c r="C198" s="93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4"/>
      <c r="AG198" s="100"/>
      <c r="AH198" s="101"/>
      <c r="AI198" s="101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2"/>
      <c r="AX198" s="100"/>
      <c r="AY198" s="101"/>
      <c r="AZ198" s="101"/>
      <c r="BA198" s="100"/>
      <c r="BB198" s="100"/>
      <c r="BC198" s="100"/>
      <c r="BD198" s="100"/>
      <c r="BE198" s="100"/>
      <c r="BF198" s="100"/>
      <c r="BG198" s="100"/>
      <c r="BH198" s="100"/>
      <c r="BI198" s="100"/>
      <c r="BJ198" s="100"/>
      <c r="BK198" s="102"/>
      <c r="BN198" s="100"/>
    </row>
    <row r="199" spans="1:66" x14ac:dyDescent="0.25">
      <c r="A199" s="92"/>
      <c r="B199" s="93"/>
      <c r="C199" s="93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4"/>
      <c r="AG199" s="100"/>
      <c r="AH199" s="101"/>
      <c r="AI199" s="101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2"/>
      <c r="AX199" s="100"/>
      <c r="AY199" s="101"/>
      <c r="AZ199" s="101"/>
      <c r="BA199" s="100"/>
      <c r="BB199" s="100"/>
      <c r="BC199" s="100"/>
      <c r="BD199" s="100"/>
      <c r="BE199" s="100"/>
      <c r="BF199" s="100"/>
      <c r="BG199" s="100"/>
      <c r="BH199" s="100"/>
      <c r="BI199" s="100"/>
      <c r="BJ199" s="100"/>
      <c r="BK199" s="102"/>
      <c r="BN199" s="100"/>
    </row>
    <row r="200" spans="1:66" x14ac:dyDescent="0.25">
      <c r="A200" s="92"/>
      <c r="B200" s="93"/>
      <c r="C200" s="93"/>
      <c r="D200" s="93"/>
      <c r="E200" s="92"/>
      <c r="F200" s="92"/>
      <c r="G200" s="92"/>
      <c r="H200" s="92"/>
      <c r="I200" s="92"/>
      <c r="J200" s="92"/>
      <c r="K200" s="92"/>
      <c r="L200" s="92"/>
      <c r="M200" s="92"/>
      <c r="N200" s="94"/>
      <c r="AG200" s="100"/>
      <c r="AH200" s="101"/>
      <c r="AI200" s="101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2"/>
      <c r="AX200" s="100"/>
      <c r="AY200" s="101"/>
      <c r="AZ200" s="101"/>
      <c r="BA200" s="100"/>
      <c r="BB200" s="100"/>
      <c r="BC200" s="100"/>
      <c r="BD200" s="100"/>
      <c r="BE200" s="100"/>
      <c r="BF200" s="100"/>
      <c r="BG200" s="100"/>
      <c r="BH200" s="100"/>
      <c r="BI200" s="100"/>
      <c r="BJ200" s="100"/>
      <c r="BK200" s="102"/>
      <c r="BN200" s="100"/>
    </row>
    <row r="201" spans="1:66" x14ac:dyDescent="0.25">
      <c r="A201" s="92"/>
      <c r="B201" s="92"/>
      <c r="C201" s="92"/>
      <c r="D201" s="93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AG201" s="100"/>
      <c r="AH201" s="101"/>
      <c r="AI201" s="101"/>
      <c r="AJ201" s="101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2"/>
      <c r="AX201" s="100"/>
      <c r="AY201" s="101"/>
      <c r="AZ201" s="101"/>
      <c r="BA201" s="100"/>
      <c r="BB201" s="100"/>
      <c r="BC201" s="100"/>
      <c r="BD201" s="100"/>
      <c r="BE201" s="100"/>
      <c r="BF201" s="100"/>
      <c r="BG201" s="100"/>
      <c r="BH201" s="100"/>
      <c r="BI201" s="100"/>
      <c r="BJ201" s="100"/>
      <c r="BK201" s="102"/>
      <c r="BN201" s="100"/>
    </row>
    <row r="202" spans="1:66" x14ac:dyDescent="0.25">
      <c r="A202" s="92"/>
      <c r="B202" s="93"/>
      <c r="C202" s="93"/>
      <c r="D202" s="93"/>
      <c r="E202" s="92"/>
      <c r="F202" s="92"/>
      <c r="G202" s="92"/>
      <c r="H202" s="92"/>
      <c r="I202" s="92"/>
      <c r="J202" s="92"/>
      <c r="K202" s="92"/>
      <c r="L202" s="92"/>
      <c r="M202" s="92"/>
      <c r="N202" s="94"/>
      <c r="AG202" s="100"/>
      <c r="AH202" s="101"/>
      <c r="AI202" s="101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2"/>
      <c r="AX202" s="100"/>
      <c r="AY202" s="101"/>
      <c r="AZ202" s="101"/>
      <c r="BA202" s="100"/>
      <c r="BB202" s="100"/>
      <c r="BC202" s="100"/>
      <c r="BD202" s="100"/>
      <c r="BE202" s="100"/>
      <c r="BF202" s="100"/>
      <c r="BG202" s="100"/>
      <c r="BH202" s="100"/>
      <c r="BI202" s="100"/>
      <c r="BJ202" s="100"/>
      <c r="BK202" s="102"/>
      <c r="BN202" s="100"/>
    </row>
    <row r="203" spans="1:66" x14ac:dyDescent="0.25">
      <c r="A203" s="92"/>
      <c r="B203" s="93"/>
      <c r="C203" s="93"/>
      <c r="D203" s="93"/>
      <c r="E203" s="92"/>
      <c r="F203" s="92"/>
      <c r="G203" s="92"/>
      <c r="H203" s="92"/>
      <c r="I203" s="92"/>
      <c r="J203" s="92"/>
      <c r="K203" s="92"/>
      <c r="L203" s="92"/>
      <c r="M203" s="92"/>
      <c r="N203" s="94"/>
      <c r="AG203" s="100"/>
      <c r="AH203" s="101"/>
      <c r="AI203" s="101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2"/>
      <c r="AX203" s="100"/>
      <c r="AY203" s="101"/>
      <c r="AZ203" s="101"/>
      <c r="BA203" s="100"/>
      <c r="BB203" s="100"/>
      <c r="BC203" s="100"/>
      <c r="BD203" s="100"/>
      <c r="BE203" s="100"/>
      <c r="BF203" s="100"/>
      <c r="BG203" s="100"/>
      <c r="BH203" s="100"/>
      <c r="BI203" s="100"/>
      <c r="BJ203" s="100"/>
      <c r="BK203" s="102"/>
      <c r="BN203" s="100"/>
    </row>
    <row r="204" spans="1:66" x14ac:dyDescent="0.25">
      <c r="A204" s="92"/>
      <c r="B204" s="93"/>
      <c r="C204" s="93"/>
      <c r="D204" s="93"/>
      <c r="E204" s="92"/>
      <c r="F204" s="92"/>
      <c r="G204" s="92"/>
      <c r="H204" s="92"/>
      <c r="I204" s="92"/>
      <c r="J204" s="92"/>
      <c r="K204" s="92"/>
      <c r="L204" s="92"/>
      <c r="M204" s="92"/>
      <c r="N204" s="94"/>
      <c r="AG204" s="100"/>
      <c r="AH204" s="101"/>
      <c r="AI204" s="101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2"/>
      <c r="AX204" s="100"/>
      <c r="AY204" s="101"/>
      <c r="AZ204" s="101"/>
      <c r="BA204" s="101"/>
      <c r="BB204" s="100"/>
      <c r="BC204" s="100"/>
      <c r="BD204" s="100"/>
      <c r="BE204" s="100"/>
      <c r="BF204" s="100"/>
      <c r="BG204" s="100"/>
      <c r="BH204" s="100"/>
      <c r="BI204" s="100"/>
      <c r="BJ204" s="100"/>
      <c r="BK204" s="102"/>
      <c r="BN204" s="100"/>
    </row>
    <row r="205" spans="1:66" x14ac:dyDescent="0.25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AG205" s="100"/>
      <c r="AH205" s="101"/>
      <c r="AI205" s="101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2"/>
      <c r="AX205" s="100"/>
      <c r="AY205" s="101"/>
      <c r="AZ205" s="101"/>
      <c r="BA205" s="100"/>
      <c r="BB205" s="100"/>
      <c r="BC205" s="100"/>
      <c r="BD205" s="100"/>
      <c r="BE205" s="100"/>
      <c r="BF205" s="100"/>
      <c r="BG205" s="100"/>
      <c r="BH205" s="100"/>
      <c r="BI205" s="100"/>
      <c r="BJ205" s="100"/>
      <c r="BK205" s="102"/>
      <c r="BN205" s="100"/>
    </row>
    <row r="206" spans="1:66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AG206" s="100"/>
      <c r="AH206" s="101"/>
      <c r="AI206" s="101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2"/>
      <c r="AX206" s="100"/>
      <c r="AY206" s="101"/>
      <c r="AZ206" s="101"/>
      <c r="BA206" s="100"/>
      <c r="BB206" s="100"/>
      <c r="BC206" s="100"/>
      <c r="BD206" s="100"/>
      <c r="BE206" s="100"/>
      <c r="BF206" s="100"/>
      <c r="BG206" s="100"/>
      <c r="BH206" s="100"/>
      <c r="BI206" s="100"/>
      <c r="BJ206" s="100"/>
      <c r="BK206" s="102"/>
      <c r="BN206" s="36"/>
    </row>
    <row r="207" spans="1:66" x14ac:dyDescent="0.25">
      <c r="A207" s="92"/>
      <c r="B207" s="93"/>
      <c r="C207" s="93"/>
      <c r="D207" s="93"/>
      <c r="E207" s="92"/>
      <c r="F207" s="92"/>
      <c r="G207" s="92"/>
      <c r="H207" s="92"/>
      <c r="I207" s="92"/>
      <c r="J207" s="92"/>
      <c r="K207" s="92"/>
      <c r="L207" s="92"/>
      <c r="M207" s="92"/>
      <c r="N207" s="94"/>
      <c r="AG207" s="100"/>
      <c r="AH207" s="101"/>
      <c r="AI207" s="101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2"/>
      <c r="AX207" s="100"/>
      <c r="AY207" s="101"/>
      <c r="AZ207" s="101"/>
      <c r="BA207" s="100"/>
      <c r="BB207" s="100"/>
      <c r="BC207" s="100"/>
      <c r="BD207" s="100"/>
      <c r="BE207" s="100"/>
      <c r="BF207" s="100"/>
      <c r="BG207" s="100"/>
      <c r="BH207" s="100"/>
      <c r="BI207" s="100"/>
      <c r="BJ207" s="100"/>
      <c r="BK207" s="102"/>
      <c r="BN207" s="36"/>
    </row>
    <row r="208" spans="1:66" x14ac:dyDescent="0.25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AG208" s="100"/>
      <c r="AH208" s="101"/>
      <c r="AI208" s="101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2"/>
      <c r="AX208" s="100"/>
      <c r="AY208" s="101"/>
      <c r="AZ208" s="101"/>
      <c r="BA208" s="100"/>
      <c r="BB208" s="100"/>
      <c r="BC208" s="100"/>
      <c r="BD208" s="100"/>
      <c r="BE208" s="100"/>
      <c r="BF208" s="100"/>
      <c r="BG208" s="100"/>
      <c r="BH208" s="100"/>
      <c r="BI208" s="100"/>
      <c r="BJ208" s="100"/>
      <c r="BK208" s="102"/>
      <c r="BN208" s="36"/>
    </row>
    <row r="209" spans="1:66" x14ac:dyDescent="0.25">
      <c r="A209" s="92"/>
      <c r="B209" s="93"/>
      <c r="C209" s="93"/>
      <c r="D209" s="93"/>
      <c r="E209" s="92"/>
      <c r="F209" s="92"/>
      <c r="G209" s="92"/>
      <c r="H209" s="92"/>
      <c r="I209" s="92"/>
      <c r="J209" s="92"/>
      <c r="K209" s="92"/>
      <c r="L209" s="92"/>
      <c r="M209" s="92"/>
      <c r="N209" s="94"/>
      <c r="AG209" s="100"/>
      <c r="AH209" s="101"/>
      <c r="AI209" s="101"/>
      <c r="AJ209" s="101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2"/>
      <c r="AX209" s="100"/>
      <c r="AY209" s="101"/>
      <c r="AZ209" s="101"/>
      <c r="BA209" s="100"/>
      <c r="BB209" s="100"/>
      <c r="BC209" s="100"/>
      <c r="BD209" s="100"/>
      <c r="BE209" s="100"/>
      <c r="BF209" s="100"/>
      <c r="BG209" s="100"/>
      <c r="BH209" s="100"/>
      <c r="BI209" s="100"/>
      <c r="BJ209" s="100"/>
      <c r="BK209" s="102"/>
      <c r="BN209" s="36"/>
    </row>
    <row r="210" spans="1:66" x14ac:dyDescent="0.25">
      <c r="A210" s="92"/>
      <c r="B210" s="93"/>
      <c r="C210" s="93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4"/>
      <c r="AG210" s="100"/>
      <c r="AH210" s="101"/>
      <c r="AI210" s="101"/>
      <c r="AJ210" s="101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2"/>
      <c r="AX210" s="100"/>
      <c r="AY210" s="101"/>
      <c r="AZ210" s="101"/>
      <c r="BA210" s="100"/>
      <c r="BB210" s="100"/>
      <c r="BC210" s="100"/>
      <c r="BD210" s="100"/>
      <c r="BE210" s="100"/>
      <c r="BF210" s="100"/>
      <c r="BG210" s="100"/>
      <c r="BH210" s="100"/>
      <c r="BI210" s="100"/>
      <c r="BJ210" s="100"/>
      <c r="BK210" s="102"/>
      <c r="BN210" s="36"/>
    </row>
    <row r="211" spans="1:66" x14ac:dyDescent="0.25">
      <c r="A211" s="92"/>
      <c r="B211" s="93"/>
      <c r="C211" s="93"/>
      <c r="D211" s="93"/>
      <c r="E211" s="92"/>
      <c r="F211" s="92"/>
      <c r="G211" s="92"/>
      <c r="H211" s="92"/>
      <c r="I211" s="92"/>
      <c r="J211" s="92"/>
      <c r="K211" s="92"/>
      <c r="L211" s="92"/>
      <c r="M211" s="92"/>
      <c r="N211" s="94"/>
      <c r="AG211" s="100"/>
      <c r="AH211" s="101"/>
      <c r="AI211" s="101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2"/>
      <c r="AX211" s="100"/>
      <c r="AY211" s="101"/>
      <c r="AZ211" s="101"/>
      <c r="BA211" s="100"/>
      <c r="BB211" s="100"/>
      <c r="BC211" s="100"/>
      <c r="BD211" s="100"/>
      <c r="BE211" s="100"/>
      <c r="BF211" s="100"/>
      <c r="BG211" s="100"/>
      <c r="BH211" s="100"/>
      <c r="BI211" s="100"/>
      <c r="BJ211" s="100"/>
      <c r="BK211" s="102"/>
      <c r="BN211" s="36"/>
    </row>
    <row r="212" spans="1:66" x14ac:dyDescent="0.25">
      <c r="A212" s="92"/>
      <c r="B212" s="92"/>
      <c r="C212" s="92"/>
      <c r="D212" s="93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AG212" s="100"/>
      <c r="AH212" s="101"/>
      <c r="AI212" s="101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2"/>
      <c r="AX212" s="100"/>
      <c r="AY212" s="101"/>
      <c r="AZ212" s="101"/>
      <c r="BA212" s="100"/>
      <c r="BB212" s="100"/>
      <c r="BC212" s="100"/>
      <c r="BD212" s="100"/>
      <c r="BE212" s="100"/>
      <c r="BF212" s="100"/>
      <c r="BG212" s="100"/>
      <c r="BH212" s="100"/>
      <c r="BI212" s="100"/>
      <c r="BJ212" s="100"/>
      <c r="BK212" s="102"/>
      <c r="BN212" s="36"/>
    </row>
    <row r="213" spans="1:66" x14ac:dyDescent="0.25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AG213" s="100"/>
      <c r="AH213" s="101"/>
      <c r="AI213" s="101"/>
      <c r="AJ213" s="101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2"/>
      <c r="AX213" s="100"/>
      <c r="AY213" s="101"/>
      <c r="AZ213" s="101"/>
      <c r="BA213" s="100"/>
      <c r="BB213" s="100"/>
      <c r="BC213" s="100"/>
      <c r="BD213" s="100"/>
      <c r="BE213" s="100"/>
      <c r="BF213" s="100"/>
      <c r="BG213" s="100"/>
      <c r="BH213" s="100"/>
      <c r="BI213" s="100"/>
      <c r="BJ213" s="100"/>
      <c r="BK213" s="102"/>
      <c r="BN213" s="36"/>
    </row>
    <row r="214" spans="1:66" x14ac:dyDescent="0.25">
      <c r="A214" s="92"/>
      <c r="B214" s="93"/>
      <c r="C214" s="93"/>
      <c r="D214" s="92"/>
      <c r="E214" s="92"/>
      <c r="F214" s="92"/>
      <c r="G214" s="92"/>
      <c r="H214" s="92"/>
      <c r="I214" s="92"/>
      <c r="J214" s="95"/>
      <c r="K214" s="92"/>
      <c r="L214" s="92"/>
      <c r="M214" s="92"/>
      <c r="N214" s="94"/>
      <c r="AG214" s="100"/>
      <c r="AH214" s="101"/>
      <c r="AI214" s="101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2"/>
      <c r="AX214" s="100"/>
      <c r="AY214" s="101"/>
      <c r="AZ214" s="101"/>
      <c r="BA214" s="100"/>
      <c r="BB214" s="100"/>
      <c r="BC214" s="100"/>
      <c r="BD214" s="100"/>
      <c r="BE214" s="100"/>
      <c r="BF214" s="100"/>
      <c r="BG214" s="100"/>
      <c r="BH214" s="100"/>
      <c r="BI214" s="100"/>
      <c r="BJ214" s="100"/>
      <c r="BK214" s="102"/>
      <c r="BN214" s="36"/>
    </row>
    <row r="215" spans="1:66" x14ac:dyDescent="0.25">
      <c r="A215" s="92"/>
      <c r="B215" s="93"/>
      <c r="C215" s="93"/>
      <c r="D215" s="93"/>
      <c r="E215" s="92"/>
      <c r="F215" s="92"/>
      <c r="G215" s="92"/>
      <c r="H215" s="92"/>
      <c r="I215" s="92"/>
      <c r="J215" s="92"/>
      <c r="K215" s="92"/>
      <c r="L215" s="92"/>
      <c r="M215" s="92"/>
      <c r="N215" s="94"/>
      <c r="AG215" s="100"/>
      <c r="AH215" s="101"/>
      <c r="AI215" s="101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2"/>
      <c r="AX215" s="100"/>
      <c r="AY215" s="101"/>
      <c r="AZ215" s="101"/>
      <c r="BA215" s="100"/>
      <c r="BB215" s="100"/>
      <c r="BC215" s="100"/>
      <c r="BD215" s="100"/>
      <c r="BE215" s="100"/>
      <c r="BF215" s="100"/>
      <c r="BG215" s="100"/>
      <c r="BH215" s="100"/>
      <c r="BI215" s="100"/>
      <c r="BJ215" s="100"/>
      <c r="BK215" s="102"/>
      <c r="BN215" s="36"/>
    </row>
    <row r="216" spans="1:66" x14ac:dyDescent="0.25">
      <c r="A216" s="92"/>
      <c r="B216" s="93"/>
      <c r="C216" s="93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4"/>
      <c r="AG216" s="100"/>
      <c r="AH216" s="101"/>
      <c r="AI216" s="101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2"/>
      <c r="AX216" s="100"/>
      <c r="AY216" s="101"/>
      <c r="AZ216" s="101"/>
      <c r="BA216" s="100"/>
      <c r="BB216" s="100"/>
      <c r="BC216" s="100"/>
      <c r="BD216" s="100"/>
      <c r="BE216" s="100"/>
      <c r="BF216" s="100"/>
      <c r="BG216" s="100"/>
      <c r="BH216" s="100"/>
      <c r="BI216" s="100"/>
      <c r="BJ216" s="100"/>
      <c r="BK216" s="102"/>
      <c r="BN216" s="36"/>
    </row>
    <row r="217" spans="1:66" x14ac:dyDescent="0.25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AG217" s="100"/>
      <c r="AH217" s="101"/>
      <c r="AI217" s="101"/>
      <c r="AJ217" s="101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2"/>
      <c r="AX217" s="100"/>
      <c r="AY217" s="101"/>
      <c r="AZ217" s="101"/>
      <c r="BA217" s="100"/>
      <c r="BB217" s="100"/>
      <c r="BC217" s="100"/>
      <c r="BD217" s="100"/>
      <c r="BE217" s="100"/>
      <c r="BF217" s="100"/>
      <c r="BG217" s="100"/>
      <c r="BH217" s="100"/>
      <c r="BI217" s="100"/>
      <c r="BJ217" s="100"/>
      <c r="BK217" s="102"/>
      <c r="BN217" s="36"/>
    </row>
    <row r="218" spans="1:66" x14ac:dyDescent="0.25">
      <c r="A218" s="92"/>
      <c r="B218" s="93"/>
      <c r="C218" s="93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4"/>
      <c r="AG218" s="100"/>
      <c r="AH218" s="101"/>
      <c r="AI218" s="101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2"/>
      <c r="AX218" s="100"/>
      <c r="AY218" s="101"/>
      <c r="AZ218" s="101"/>
      <c r="BA218" s="100"/>
      <c r="BB218" s="100"/>
      <c r="BC218" s="100"/>
      <c r="BD218" s="100"/>
      <c r="BE218" s="100"/>
      <c r="BF218" s="100"/>
      <c r="BG218" s="100"/>
      <c r="BH218" s="100"/>
      <c r="BI218" s="100"/>
      <c r="BJ218" s="100"/>
      <c r="BK218" s="102"/>
      <c r="BN218" s="36"/>
    </row>
    <row r="219" spans="1:66" x14ac:dyDescent="0.25">
      <c r="A219" s="92"/>
      <c r="B219" s="93"/>
      <c r="C219" s="93"/>
      <c r="D219" s="93"/>
      <c r="E219" s="92"/>
      <c r="F219" s="92"/>
      <c r="G219" s="92"/>
      <c r="H219" s="92"/>
      <c r="I219" s="92"/>
      <c r="J219" s="92"/>
      <c r="K219" s="92"/>
      <c r="L219" s="92"/>
      <c r="M219" s="92"/>
      <c r="N219" s="94"/>
      <c r="AG219" s="100"/>
      <c r="AH219" s="101"/>
      <c r="AI219" s="101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2"/>
      <c r="AX219" s="100"/>
      <c r="AY219" s="101"/>
      <c r="AZ219" s="101"/>
      <c r="BA219" s="100"/>
      <c r="BB219" s="100"/>
      <c r="BC219" s="100"/>
      <c r="BD219" s="100"/>
      <c r="BE219" s="100"/>
      <c r="BF219" s="100"/>
      <c r="BG219" s="100"/>
      <c r="BH219" s="100"/>
      <c r="BI219" s="100"/>
      <c r="BJ219" s="100"/>
      <c r="BK219" s="102"/>
      <c r="BN219" s="36"/>
    </row>
    <row r="220" spans="1:66" x14ac:dyDescent="0.25">
      <c r="A220" s="92"/>
      <c r="B220" s="93"/>
      <c r="C220" s="93"/>
      <c r="D220" s="93"/>
      <c r="E220" s="92"/>
      <c r="F220" s="92"/>
      <c r="G220" s="92"/>
      <c r="H220" s="92"/>
      <c r="I220" s="92"/>
      <c r="J220" s="92"/>
      <c r="K220" s="92"/>
      <c r="L220" s="92"/>
      <c r="M220" s="92"/>
      <c r="N220" s="94"/>
      <c r="AG220" s="100"/>
      <c r="AH220" s="101"/>
      <c r="AI220" s="101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2"/>
      <c r="AX220" s="100"/>
      <c r="AY220" s="101"/>
      <c r="AZ220" s="101"/>
      <c r="BA220" s="100"/>
      <c r="BB220" s="100"/>
      <c r="BC220" s="100"/>
      <c r="BD220" s="100"/>
      <c r="BE220" s="100"/>
      <c r="BF220" s="100"/>
      <c r="BG220" s="100"/>
      <c r="BH220" s="100"/>
      <c r="BI220" s="100"/>
      <c r="BJ220" s="100"/>
      <c r="BK220" s="102"/>
      <c r="BN220" s="36"/>
    </row>
    <row r="221" spans="1:66" x14ac:dyDescent="0.25">
      <c r="A221" s="92"/>
      <c r="B221" s="93"/>
      <c r="C221" s="93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4"/>
      <c r="AG221" s="100"/>
      <c r="AH221" s="101"/>
      <c r="AI221" s="101"/>
      <c r="AJ221" s="101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2"/>
      <c r="AX221" s="100"/>
      <c r="AY221" s="101"/>
      <c r="AZ221" s="101"/>
      <c r="BA221" s="101"/>
      <c r="BB221" s="100"/>
      <c r="BC221" s="100"/>
      <c r="BD221" s="100"/>
      <c r="BE221" s="100"/>
      <c r="BF221" s="100"/>
      <c r="BG221" s="100"/>
      <c r="BH221" s="100"/>
      <c r="BI221" s="100"/>
      <c r="BJ221" s="100"/>
      <c r="BK221" s="102"/>
      <c r="BN221" s="36"/>
    </row>
    <row r="222" spans="1:66" x14ac:dyDescent="0.25">
      <c r="A222" s="92"/>
      <c r="B222" s="93"/>
      <c r="C222" s="93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4"/>
      <c r="AG222" s="100"/>
      <c r="AH222" s="101"/>
      <c r="AI222" s="101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2"/>
      <c r="AX222" s="100"/>
      <c r="AY222" s="101"/>
      <c r="AZ222" s="101"/>
      <c r="BA222" s="100"/>
      <c r="BB222" s="100"/>
      <c r="BC222" s="100"/>
      <c r="BD222" s="100"/>
      <c r="BE222" s="100"/>
      <c r="BF222" s="100"/>
      <c r="BG222" s="100"/>
      <c r="BH222" s="100"/>
      <c r="BI222" s="100"/>
      <c r="BJ222" s="100"/>
      <c r="BK222" s="102"/>
      <c r="BN222" s="36"/>
    </row>
    <row r="223" spans="1:66" x14ac:dyDescent="0.25">
      <c r="A223" s="92"/>
      <c r="B223" s="93"/>
      <c r="C223" s="93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4"/>
      <c r="AG223" s="100"/>
      <c r="AH223" s="101"/>
      <c r="AI223" s="101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2"/>
      <c r="AX223" s="100"/>
      <c r="AY223" s="101"/>
      <c r="AZ223" s="101"/>
      <c r="BA223" s="100"/>
      <c r="BB223" s="100"/>
      <c r="BC223" s="100"/>
      <c r="BD223" s="100"/>
      <c r="BE223" s="100"/>
      <c r="BF223" s="100"/>
      <c r="BG223" s="100"/>
      <c r="BH223" s="100"/>
      <c r="BI223" s="100"/>
      <c r="BJ223" s="100"/>
      <c r="BK223" s="102"/>
      <c r="BN223" s="36"/>
    </row>
    <row r="224" spans="1:66" x14ac:dyDescent="0.25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AG224" s="100"/>
      <c r="AH224" s="101"/>
      <c r="AI224" s="101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2"/>
      <c r="AX224" s="100"/>
      <c r="AY224" s="101"/>
      <c r="AZ224" s="101"/>
      <c r="BA224" s="100"/>
      <c r="BB224" s="100"/>
      <c r="BC224" s="100"/>
      <c r="BD224" s="100"/>
      <c r="BE224" s="100"/>
      <c r="BF224" s="100"/>
      <c r="BG224" s="100"/>
      <c r="BH224" s="100"/>
      <c r="BI224" s="100"/>
      <c r="BJ224" s="100"/>
      <c r="BK224" s="102"/>
      <c r="BN224" s="36"/>
    </row>
    <row r="225" spans="1:66" x14ac:dyDescent="0.25">
      <c r="A225" s="92"/>
      <c r="B225" s="93"/>
      <c r="C225" s="93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4"/>
      <c r="AG225" s="100"/>
      <c r="AH225" s="101"/>
      <c r="AI225" s="101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2"/>
      <c r="AX225" s="100"/>
      <c r="AY225" s="101"/>
      <c r="AZ225" s="101"/>
      <c r="BA225" s="100"/>
      <c r="BB225" s="100"/>
      <c r="BC225" s="100"/>
      <c r="BD225" s="100"/>
      <c r="BE225" s="100"/>
      <c r="BF225" s="100"/>
      <c r="BG225" s="100"/>
      <c r="BH225" s="100"/>
      <c r="BI225" s="100"/>
      <c r="BJ225" s="100"/>
      <c r="BK225" s="102"/>
      <c r="BN225" s="36"/>
    </row>
    <row r="226" spans="1:66" x14ac:dyDescent="0.25">
      <c r="A226" s="92"/>
      <c r="B226" s="93"/>
      <c r="C226" s="93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4"/>
      <c r="AG226" s="100"/>
      <c r="AH226" s="101"/>
      <c r="AI226" s="101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2"/>
      <c r="AX226" s="100"/>
      <c r="AY226" s="101"/>
      <c r="AZ226" s="101"/>
      <c r="BA226" s="100"/>
      <c r="BB226" s="100"/>
      <c r="BC226" s="100"/>
      <c r="BD226" s="100"/>
      <c r="BE226" s="100"/>
      <c r="BF226" s="100"/>
      <c r="BG226" s="100"/>
      <c r="BH226" s="100"/>
      <c r="BI226" s="100"/>
      <c r="BJ226" s="100"/>
      <c r="BK226" s="102"/>
      <c r="BN226" s="36"/>
    </row>
    <row r="227" spans="1:66" x14ac:dyDescent="0.25">
      <c r="A227" s="92"/>
      <c r="B227" s="93"/>
      <c r="C227" s="93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4"/>
      <c r="AG227" s="100"/>
      <c r="AH227" s="101"/>
      <c r="AI227" s="101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2"/>
      <c r="AX227" s="100"/>
      <c r="AY227" s="101"/>
      <c r="AZ227" s="101"/>
      <c r="BA227" s="100"/>
      <c r="BB227" s="100"/>
      <c r="BC227" s="100"/>
      <c r="BD227" s="100"/>
      <c r="BE227" s="100"/>
      <c r="BF227" s="100"/>
      <c r="BG227" s="100"/>
      <c r="BH227" s="100"/>
      <c r="BI227" s="100"/>
      <c r="BJ227" s="100"/>
      <c r="BK227" s="102"/>
      <c r="BN227" s="36"/>
    </row>
    <row r="228" spans="1:66" x14ac:dyDescent="0.25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AG228" s="100"/>
      <c r="AH228" s="101"/>
      <c r="AI228" s="101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2"/>
      <c r="AX228" s="100"/>
      <c r="AY228" s="101"/>
      <c r="AZ228" s="101"/>
      <c r="BA228" s="100"/>
      <c r="BB228" s="100"/>
      <c r="BC228" s="100"/>
      <c r="BD228" s="100"/>
      <c r="BE228" s="100"/>
      <c r="BF228" s="100"/>
      <c r="BG228" s="100"/>
      <c r="BH228" s="100"/>
      <c r="BI228" s="100"/>
      <c r="BJ228" s="100"/>
      <c r="BK228" s="102"/>
      <c r="BN228" s="36"/>
    </row>
    <row r="229" spans="1:66" x14ac:dyDescent="0.25">
      <c r="A229" s="92"/>
      <c r="B229" s="93"/>
      <c r="C229" s="93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4"/>
      <c r="AG229" s="100"/>
      <c r="AH229" s="101"/>
      <c r="AI229" s="101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2"/>
      <c r="AX229" s="100"/>
      <c r="AY229" s="101"/>
      <c r="AZ229" s="101"/>
      <c r="BA229" s="101"/>
      <c r="BB229" s="100"/>
      <c r="BC229" s="100"/>
      <c r="BD229" s="100"/>
      <c r="BE229" s="100"/>
      <c r="BF229" s="100"/>
      <c r="BG229" s="100"/>
      <c r="BH229" s="100"/>
      <c r="BI229" s="100"/>
      <c r="BJ229" s="100"/>
      <c r="BK229" s="102"/>
      <c r="BN229" s="36"/>
    </row>
    <row r="230" spans="1:66" x14ac:dyDescent="0.2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AG230" s="100"/>
      <c r="AH230" s="101"/>
      <c r="AI230" s="101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2"/>
      <c r="AX230" s="100"/>
      <c r="AY230" s="101"/>
      <c r="AZ230" s="101"/>
      <c r="BA230" s="101"/>
      <c r="BB230" s="100"/>
      <c r="BC230" s="100"/>
      <c r="BD230" s="100"/>
      <c r="BE230" s="100"/>
      <c r="BF230" s="100"/>
      <c r="BG230" s="100"/>
      <c r="BH230" s="100"/>
      <c r="BI230" s="100"/>
      <c r="BJ230" s="100"/>
      <c r="BK230" s="102"/>
      <c r="BN230" s="36"/>
    </row>
    <row r="231" spans="1:66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AG231" s="100"/>
      <c r="AH231" s="101"/>
      <c r="AI231" s="101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2"/>
      <c r="AX231" s="100"/>
      <c r="AY231" s="101"/>
      <c r="AZ231" s="101"/>
      <c r="BA231" s="100"/>
      <c r="BB231" s="100"/>
      <c r="BC231" s="100"/>
      <c r="BD231" s="100"/>
      <c r="BE231" s="100"/>
      <c r="BF231" s="100"/>
      <c r="BG231" s="100"/>
      <c r="BH231" s="100"/>
      <c r="BI231" s="100"/>
      <c r="BJ231" s="100"/>
      <c r="BK231" s="102"/>
      <c r="BN231" s="36"/>
    </row>
    <row r="232" spans="1:66" x14ac:dyDescent="0.2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AG232" s="100"/>
      <c r="AH232" s="101"/>
      <c r="AI232" s="101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2"/>
      <c r="AX232" s="100"/>
      <c r="AY232" s="101"/>
      <c r="AZ232" s="101"/>
      <c r="BA232" s="100"/>
      <c r="BB232" s="100"/>
      <c r="BC232" s="100"/>
      <c r="BD232" s="100"/>
      <c r="BE232" s="100"/>
      <c r="BF232" s="100"/>
      <c r="BG232" s="100"/>
      <c r="BH232" s="100"/>
      <c r="BI232" s="100"/>
      <c r="BJ232" s="100"/>
      <c r="BK232" s="102"/>
      <c r="BN232" s="36"/>
    </row>
    <row r="233" spans="1:66" x14ac:dyDescent="0.2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AG233" s="100"/>
      <c r="AH233" s="101"/>
      <c r="AI233" s="101"/>
      <c r="AJ233" s="101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2"/>
      <c r="AX233" s="100"/>
      <c r="AY233" s="101"/>
      <c r="AZ233" s="101"/>
      <c r="BA233" s="101"/>
      <c r="BB233" s="100"/>
      <c r="BC233" s="100"/>
      <c r="BD233" s="100"/>
      <c r="BE233" s="100"/>
      <c r="BF233" s="100"/>
      <c r="BG233" s="100"/>
      <c r="BH233" s="100"/>
      <c r="BI233" s="100"/>
      <c r="BJ233" s="100"/>
      <c r="BK233" s="102"/>
      <c r="BN233" s="36"/>
    </row>
    <row r="234" spans="1:66" x14ac:dyDescent="0.2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AG234" s="100"/>
      <c r="AH234" s="101"/>
      <c r="AI234" s="101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2"/>
      <c r="AX234" s="100"/>
      <c r="AY234" s="101"/>
      <c r="AZ234" s="101"/>
      <c r="BA234" s="100"/>
      <c r="BB234" s="100"/>
      <c r="BC234" s="100"/>
      <c r="BD234" s="100"/>
      <c r="BE234" s="100"/>
      <c r="BF234" s="100"/>
      <c r="BG234" s="100"/>
      <c r="BH234" s="100"/>
      <c r="BI234" s="100"/>
      <c r="BJ234" s="100"/>
      <c r="BK234" s="102"/>
      <c r="BN234" s="36"/>
    </row>
    <row r="235" spans="1:66" x14ac:dyDescent="0.25">
      <c r="A235" s="92"/>
      <c r="B235" s="93"/>
      <c r="C235" s="93"/>
      <c r="D235" s="93"/>
      <c r="E235" s="92"/>
      <c r="F235" s="92"/>
      <c r="G235" s="92"/>
      <c r="H235" s="92"/>
      <c r="I235" s="92"/>
      <c r="J235" s="92"/>
      <c r="K235" s="92"/>
      <c r="L235" s="92"/>
      <c r="M235" s="92"/>
      <c r="N235" s="94"/>
      <c r="AG235" s="100"/>
      <c r="AH235" s="101"/>
      <c r="AI235" s="101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2"/>
      <c r="AX235" s="100"/>
      <c r="AY235" s="101"/>
      <c r="AZ235" s="101"/>
      <c r="BA235" s="100"/>
      <c r="BB235" s="100"/>
      <c r="BC235" s="100"/>
      <c r="BD235" s="100"/>
      <c r="BE235" s="100"/>
      <c r="BF235" s="100"/>
      <c r="BG235" s="100"/>
      <c r="BH235" s="100"/>
      <c r="BI235" s="100"/>
      <c r="BJ235" s="100"/>
      <c r="BK235" s="102"/>
      <c r="BN235" s="36"/>
    </row>
    <row r="236" spans="1:66" x14ac:dyDescent="0.25">
      <c r="A236" s="92"/>
      <c r="B236" s="93"/>
      <c r="C236" s="93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4"/>
      <c r="AG236" s="100"/>
      <c r="AH236" s="101"/>
      <c r="AI236" s="101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2"/>
      <c r="AX236" s="100"/>
      <c r="AY236" s="101"/>
      <c r="AZ236" s="101"/>
      <c r="BA236" s="100"/>
      <c r="BB236" s="100"/>
      <c r="BC236" s="100"/>
      <c r="BD236" s="100"/>
      <c r="BE236" s="100"/>
      <c r="BF236" s="100"/>
      <c r="BG236" s="100"/>
      <c r="BH236" s="100"/>
      <c r="BI236" s="100"/>
      <c r="BJ236" s="100"/>
      <c r="BK236" s="102"/>
      <c r="BN236" s="36"/>
    </row>
    <row r="237" spans="1:66" x14ac:dyDescent="0.25">
      <c r="A237" s="92"/>
      <c r="B237" s="93"/>
      <c r="C237" s="93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4"/>
      <c r="AG237" s="100"/>
      <c r="AH237" s="101"/>
      <c r="AI237" s="101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2"/>
      <c r="AX237" s="100"/>
      <c r="AY237" s="101"/>
      <c r="AZ237" s="101"/>
      <c r="BA237" s="101"/>
      <c r="BB237" s="100"/>
      <c r="BC237" s="100"/>
      <c r="BD237" s="100"/>
      <c r="BE237" s="100"/>
      <c r="BF237" s="100"/>
      <c r="BG237" s="100"/>
      <c r="BH237" s="100"/>
      <c r="BI237" s="100"/>
      <c r="BJ237" s="100"/>
      <c r="BK237" s="102"/>
      <c r="BN237" s="36"/>
    </row>
    <row r="238" spans="1:66" x14ac:dyDescent="0.2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AG238" s="100"/>
      <c r="AH238" s="101"/>
      <c r="AI238" s="101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2"/>
      <c r="AX238" s="100"/>
      <c r="AY238" s="101"/>
      <c r="AZ238" s="101"/>
      <c r="BA238" s="100"/>
      <c r="BB238" s="100"/>
      <c r="BC238" s="100"/>
      <c r="BD238" s="100"/>
      <c r="BE238" s="100"/>
      <c r="BF238" s="100"/>
      <c r="BG238" s="100"/>
      <c r="BH238" s="100"/>
      <c r="BI238" s="100"/>
      <c r="BJ238" s="100"/>
      <c r="BK238" s="102"/>
      <c r="BN238" s="36"/>
    </row>
    <row r="239" spans="1:66" x14ac:dyDescent="0.2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AG239" s="100"/>
      <c r="AH239" s="101"/>
      <c r="AI239" s="101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2"/>
      <c r="AX239" s="100"/>
      <c r="AY239" s="101"/>
      <c r="AZ239" s="101"/>
      <c r="BA239" s="100"/>
      <c r="BB239" s="100"/>
      <c r="BC239" s="100"/>
      <c r="BD239" s="100"/>
      <c r="BE239" s="100"/>
      <c r="BF239" s="100"/>
      <c r="BG239" s="100"/>
      <c r="BH239" s="100"/>
      <c r="BI239" s="100"/>
      <c r="BJ239" s="100"/>
      <c r="BK239" s="102"/>
      <c r="BN239" s="36"/>
    </row>
    <row r="240" spans="1:66" x14ac:dyDescent="0.25">
      <c r="A240" s="92"/>
      <c r="B240" s="93"/>
      <c r="C240" s="93"/>
      <c r="D240" s="93"/>
      <c r="E240" s="92"/>
      <c r="F240" s="92"/>
      <c r="G240" s="92"/>
      <c r="H240" s="92"/>
      <c r="I240" s="92"/>
      <c r="J240" s="92"/>
      <c r="K240" s="92"/>
      <c r="L240" s="92"/>
      <c r="M240" s="92"/>
      <c r="N240" s="94"/>
      <c r="AG240" s="100"/>
      <c r="AH240" s="101"/>
      <c r="AI240" s="101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2"/>
      <c r="AX240" s="100"/>
      <c r="AY240" s="101"/>
      <c r="AZ240" s="101"/>
      <c r="BA240" s="100"/>
      <c r="BB240" s="100"/>
      <c r="BC240" s="100"/>
      <c r="BD240" s="100"/>
      <c r="BE240" s="100"/>
      <c r="BF240" s="100"/>
      <c r="BG240" s="100"/>
      <c r="BH240" s="100"/>
      <c r="BI240" s="100"/>
      <c r="BJ240" s="100"/>
      <c r="BK240" s="102"/>
      <c r="BN240" s="36"/>
    </row>
    <row r="241" spans="1:66" x14ac:dyDescent="0.25">
      <c r="A241" s="92"/>
      <c r="B241" s="93"/>
      <c r="C241" s="93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4"/>
      <c r="AG241" s="100"/>
      <c r="AH241" s="101"/>
      <c r="AI241" s="101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2"/>
      <c r="AX241" s="100"/>
      <c r="AY241" s="101"/>
      <c r="AZ241" s="101"/>
      <c r="BA241" s="101"/>
      <c r="BB241" s="100"/>
      <c r="BC241" s="100"/>
      <c r="BD241" s="100"/>
      <c r="BE241" s="100"/>
      <c r="BF241" s="100"/>
      <c r="BG241" s="100"/>
      <c r="BH241" s="100"/>
      <c r="BI241" s="100"/>
      <c r="BJ241" s="100"/>
      <c r="BK241" s="102"/>
      <c r="BN241" s="36"/>
    </row>
    <row r="242" spans="1:66" x14ac:dyDescent="0.25">
      <c r="A242" s="92"/>
      <c r="B242" s="93"/>
      <c r="C242" s="93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4"/>
      <c r="AG242" s="100"/>
      <c r="AH242" s="101"/>
      <c r="AI242" s="101"/>
      <c r="AJ242" s="101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2"/>
      <c r="AX242" s="100"/>
      <c r="AY242" s="101"/>
      <c r="AZ242" s="101"/>
      <c r="BA242" s="100"/>
      <c r="BB242" s="100"/>
      <c r="BC242" s="100"/>
      <c r="BD242" s="100"/>
      <c r="BE242" s="100"/>
      <c r="BF242" s="100"/>
      <c r="BG242" s="100"/>
      <c r="BH242" s="100"/>
      <c r="BI242" s="100"/>
      <c r="BJ242" s="100"/>
      <c r="BK242" s="102"/>
      <c r="BN242" s="36"/>
    </row>
    <row r="243" spans="1:66" x14ac:dyDescent="0.25">
      <c r="A243" s="92"/>
      <c r="B243" s="93"/>
      <c r="C243" s="93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4"/>
      <c r="AG243" s="100"/>
      <c r="AH243" s="101"/>
      <c r="AI243" s="101"/>
      <c r="AJ243" s="101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2"/>
      <c r="AX243" s="100"/>
      <c r="AY243" s="101"/>
      <c r="AZ243" s="101"/>
      <c r="BA243" s="100"/>
      <c r="BB243" s="100"/>
      <c r="BC243" s="100"/>
      <c r="BD243" s="100"/>
      <c r="BE243" s="100"/>
      <c r="BF243" s="100"/>
      <c r="BG243" s="100"/>
      <c r="BH243" s="100"/>
      <c r="BI243" s="100"/>
      <c r="BJ243" s="100"/>
      <c r="BK243" s="102"/>
      <c r="BN243" s="36"/>
    </row>
    <row r="244" spans="1:66" x14ac:dyDescent="0.25">
      <c r="A244" s="92"/>
      <c r="B244" s="93"/>
      <c r="C244" s="93"/>
      <c r="D244" s="93"/>
      <c r="E244" s="92"/>
      <c r="F244" s="92"/>
      <c r="G244" s="92"/>
      <c r="H244" s="92"/>
      <c r="I244" s="92"/>
      <c r="J244" s="92"/>
      <c r="K244" s="92"/>
      <c r="L244" s="92"/>
      <c r="M244" s="92"/>
      <c r="N244" s="94"/>
      <c r="AG244" s="100"/>
      <c r="AH244" s="101"/>
      <c r="AI244" s="101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2"/>
      <c r="AX244" s="100"/>
      <c r="AY244" s="101"/>
      <c r="AZ244" s="101"/>
      <c r="BA244" s="100"/>
      <c r="BB244" s="100"/>
      <c r="BC244" s="100"/>
      <c r="BD244" s="100"/>
      <c r="BE244" s="100"/>
      <c r="BF244" s="100"/>
      <c r="BG244" s="100"/>
      <c r="BH244" s="100"/>
      <c r="BI244" s="100"/>
      <c r="BJ244" s="100"/>
      <c r="BK244" s="102"/>
      <c r="BN244" s="36"/>
    </row>
    <row r="245" spans="1:66" x14ac:dyDescent="0.25">
      <c r="A245" s="92"/>
      <c r="B245" s="92"/>
      <c r="C245" s="92"/>
      <c r="D245" s="93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AG245" s="100"/>
      <c r="AH245" s="101"/>
      <c r="AI245" s="101"/>
      <c r="AJ245" s="101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2"/>
      <c r="AX245" s="100"/>
      <c r="AY245" s="101"/>
      <c r="AZ245" s="101"/>
      <c r="BA245" s="100"/>
      <c r="BB245" s="100"/>
      <c r="BC245" s="100"/>
      <c r="BD245" s="100"/>
      <c r="BE245" s="100"/>
      <c r="BF245" s="100"/>
      <c r="BG245" s="100"/>
      <c r="BH245" s="100"/>
      <c r="BI245" s="100"/>
      <c r="BJ245" s="100"/>
      <c r="BK245" s="102"/>
      <c r="BN245" s="36"/>
    </row>
    <row r="246" spans="1:66" x14ac:dyDescent="0.2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AG246" s="100"/>
      <c r="AH246" s="101"/>
      <c r="AI246" s="101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2"/>
      <c r="AX246" s="100"/>
      <c r="AY246" s="101"/>
      <c r="AZ246" s="101"/>
      <c r="BA246" s="100"/>
      <c r="BB246" s="100"/>
      <c r="BC246" s="100"/>
      <c r="BD246" s="100"/>
      <c r="BE246" s="100"/>
      <c r="BF246" s="100"/>
      <c r="BG246" s="100"/>
      <c r="BH246" s="100"/>
      <c r="BI246" s="100"/>
      <c r="BJ246" s="100"/>
      <c r="BK246" s="102"/>
      <c r="BN246" s="36"/>
    </row>
    <row r="247" spans="1:66" x14ac:dyDescent="0.2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AG247" s="100"/>
      <c r="AH247" s="101"/>
      <c r="AI247" s="101"/>
      <c r="AJ247" s="101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2"/>
      <c r="AX247" s="100"/>
      <c r="AY247" s="101"/>
      <c r="AZ247" s="101"/>
      <c r="BA247" s="100"/>
      <c r="BB247" s="100"/>
      <c r="BC247" s="100"/>
      <c r="BD247" s="100"/>
      <c r="BE247" s="100"/>
      <c r="BF247" s="100"/>
      <c r="BG247" s="100"/>
      <c r="BH247" s="100"/>
      <c r="BI247" s="100"/>
      <c r="BJ247" s="100"/>
      <c r="BK247" s="102"/>
      <c r="BN247" s="36"/>
    </row>
    <row r="248" spans="1:66" x14ac:dyDescent="0.2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AG248" s="100"/>
      <c r="AH248" s="101"/>
      <c r="AI248" s="101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2"/>
      <c r="AX248" s="100"/>
      <c r="AY248" s="101"/>
      <c r="AZ248" s="101"/>
      <c r="BA248" s="100"/>
      <c r="BB248" s="100"/>
      <c r="BC248" s="100"/>
      <c r="BD248" s="100"/>
      <c r="BE248" s="100"/>
      <c r="BF248" s="100"/>
      <c r="BG248" s="100"/>
      <c r="BH248" s="100"/>
      <c r="BI248" s="100"/>
      <c r="BJ248" s="100"/>
      <c r="BK248" s="102"/>
      <c r="BN248" s="36"/>
    </row>
    <row r="249" spans="1:66" x14ac:dyDescent="0.25">
      <c r="A249" s="92"/>
      <c r="B249" s="93"/>
      <c r="C249" s="93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4"/>
      <c r="AG249" s="100"/>
      <c r="AH249" s="101"/>
      <c r="AI249" s="101"/>
      <c r="AJ249" s="101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2"/>
      <c r="AX249" s="100"/>
      <c r="AY249" s="101"/>
      <c r="AZ249" s="101"/>
      <c r="BA249" s="100"/>
      <c r="BB249" s="100"/>
      <c r="BC249" s="100"/>
      <c r="BD249" s="100"/>
      <c r="BE249" s="100"/>
      <c r="BF249" s="100"/>
      <c r="BG249" s="100"/>
      <c r="BH249" s="100"/>
      <c r="BI249" s="100"/>
      <c r="BJ249" s="100"/>
      <c r="BK249" s="102"/>
      <c r="BN249" s="36"/>
    </row>
    <row r="250" spans="1:66" x14ac:dyDescent="0.25">
      <c r="A250" s="92"/>
      <c r="B250" s="93"/>
      <c r="C250" s="93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4"/>
      <c r="AG250" s="100"/>
      <c r="AH250" s="101"/>
      <c r="AI250" s="101"/>
      <c r="AJ250" s="101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2"/>
      <c r="AX250" s="100"/>
      <c r="AY250" s="101"/>
      <c r="AZ250" s="101"/>
      <c r="BA250" s="100"/>
      <c r="BB250" s="100"/>
      <c r="BC250" s="100"/>
      <c r="BD250" s="100"/>
      <c r="BE250" s="100"/>
      <c r="BF250" s="100"/>
      <c r="BG250" s="100"/>
      <c r="BH250" s="100"/>
      <c r="BI250" s="100"/>
      <c r="BJ250" s="100"/>
      <c r="BK250" s="102"/>
      <c r="BN250" s="36"/>
    </row>
    <row r="251" spans="1:66" x14ac:dyDescent="0.25">
      <c r="A251" s="92"/>
      <c r="B251" s="93"/>
      <c r="C251" s="93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4"/>
      <c r="AG251" s="100"/>
      <c r="AH251" s="101"/>
      <c r="AI251" s="101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2"/>
      <c r="AX251" s="100"/>
      <c r="AY251" s="101"/>
      <c r="AZ251" s="101"/>
      <c r="BA251" s="100"/>
      <c r="BB251" s="100"/>
      <c r="BC251" s="100"/>
      <c r="BD251" s="100"/>
      <c r="BE251" s="100"/>
      <c r="BF251" s="100"/>
      <c r="BG251" s="100"/>
      <c r="BH251" s="100"/>
      <c r="BI251" s="100"/>
      <c r="BJ251" s="100"/>
      <c r="BK251" s="102"/>
      <c r="BN251" s="36"/>
    </row>
    <row r="252" spans="1:66" x14ac:dyDescent="0.25">
      <c r="A252" s="92"/>
      <c r="B252" s="93"/>
      <c r="C252" s="93"/>
      <c r="D252" s="93"/>
      <c r="E252" s="92"/>
      <c r="F252" s="92"/>
      <c r="G252" s="92"/>
      <c r="H252" s="92"/>
      <c r="I252" s="92"/>
      <c r="J252" s="92"/>
      <c r="K252" s="92"/>
      <c r="L252" s="92"/>
      <c r="M252" s="92"/>
      <c r="N252" s="94"/>
      <c r="AG252" s="100"/>
      <c r="AH252" s="101"/>
      <c r="AI252" s="101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2"/>
      <c r="AX252" s="100"/>
      <c r="AY252" s="101"/>
      <c r="AZ252" s="101"/>
      <c r="BA252" s="100"/>
      <c r="BB252" s="100"/>
      <c r="BC252" s="100"/>
      <c r="BD252" s="100"/>
      <c r="BE252" s="100"/>
      <c r="BF252" s="100"/>
      <c r="BG252" s="100"/>
      <c r="BH252" s="100"/>
      <c r="BI252" s="100"/>
      <c r="BJ252" s="100"/>
      <c r="BK252" s="102"/>
      <c r="BN252" s="36"/>
    </row>
    <row r="253" spans="1:66" x14ac:dyDescent="0.25">
      <c r="A253" s="92"/>
      <c r="B253" s="93"/>
      <c r="C253" s="93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4"/>
      <c r="AG253" s="100"/>
      <c r="AH253" s="101"/>
      <c r="AI253" s="101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2"/>
      <c r="AX253" s="100"/>
      <c r="AY253" s="101"/>
      <c r="AZ253" s="101"/>
      <c r="BA253" s="101"/>
      <c r="BB253" s="100"/>
      <c r="BC253" s="100"/>
      <c r="BD253" s="100"/>
      <c r="BE253" s="100"/>
      <c r="BF253" s="100"/>
      <c r="BG253" s="100"/>
      <c r="BH253" s="100"/>
      <c r="BI253" s="100"/>
      <c r="BJ253" s="100"/>
      <c r="BK253" s="102"/>
      <c r="BN253" s="36"/>
    </row>
    <row r="254" spans="1:66" x14ac:dyDescent="0.25">
      <c r="A254" s="92"/>
      <c r="B254" s="93"/>
      <c r="C254" s="93"/>
      <c r="D254" s="93"/>
      <c r="E254" s="92"/>
      <c r="F254" s="92"/>
      <c r="G254" s="92"/>
      <c r="H254" s="92"/>
      <c r="I254" s="92"/>
      <c r="J254" s="92"/>
      <c r="K254" s="92"/>
      <c r="L254" s="92"/>
      <c r="M254" s="92"/>
      <c r="N254" s="94"/>
      <c r="AG254" s="100"/>
      <c r="AH254" s="101"/>
      <c r="AI254" s="101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2"/>
      <c r="AX254" s="100"/>
      <c r="AY254" s="101"/>
      <c r="AZ254" s="101"/>
      <c r="BA254" s="100"/>
      <c r="BB254" s="100"/>
      <c r="BC254" s="100"/>
      <c r="BD254" s="100"/>
      <c r="BE254" s="100"/>
      <c r="BF254" s="100"/>
      <c r="BG254" s="100"/>
      <c r="BH254" s="100"/>
      <c r="BI254" s="100"/>
      <c r="BJ254" s="100"/>
      <c r="BK254" s="102"/>
      <c r="BN254" s="36"/>
    </row>
    <row r="255" spans="1:66" x14ac:dyDescent="0.25">
      <c r="A255" s="92"/>
      <c r="B255" s="93"/>
      <c r="C255" s="93"/>
      <c r="D255" s="93"/>
      <c r="E255" s="92"/>
      <c r="F255" s="92"/>
      <c r="G255" s="92"/>
      <c r="H255" s="92"/>
      <c r="I255" s="92"/>
      <c r="J255" s="92"/>
      <c r="K255" s="92"/>
      <c r="L255" s="92"/>
      <c r="M255" s="92"/>
      <c r="N255" s="94"/>
      <c r="AG255" s="100"/>
      <c r="AH255" s="101"/>
      <c r="AI255" s="101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2"/>
      <c r="AX255" s="100"/>
      <c r="AY255" s="101"/>
      <c r="AZ255" s="101"/>
      <c r="BA255" s="100"/>
      <c r="BB255" s="100"/>
      <c r="BC255" s="100"/>
      <c r="BD255" s="100"/>
      <c r="BE255" s="100"/>
      <c r="BF255" s="100"/>
      <c r="BG255" s="100"/>
      <c r="BH255" s="100"/>
      <c r="BI255" s="100"/>
      <c r="BJ255" s="100"/>
      <c r="BK255" s="102"/>
      <c r="BN255" s="36"/>
    </row>
    <row r="256" spans="1:66" x14ac:dyDescent="0.25">
      <c r="A256" s="92"/>
      <c r="B256" s="93"/>
      <c r="C256" s="93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4"/>
      <c r="AG256" s="100"/>
      <c r="AH256" s="101"/>
      <c r="AI256" s="101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2"/>
      <c r="AX256" s="100"/>
      <c r="AY256" s="101"/>
      <c r="AZ256" s="101"/>
      <c r="BA256" s="100"/>
      <c r="BB256" s="100"/>
      <c r="BC256" s="100"/>
      <c r="BD256" s="100"/>
      <c r="BE256" s="100"/>
      <c r="BF256" s="100"/>
      <c r="BG256" s="100"/>
      <c r="BH256" s="100"/>
      <c r="BI256" s="100"/>
      <c r="BJ256" s="100"/>
      <c r="BK256" s="102"/>
      <c r="BN256" s="36"/>
    </row>
    <row r="257" spans="1:66" x14ac:dyDescent="0.2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AG257" s="100"/>
      <c r="AH257" s="101"/>
      <c r="AI257" s="101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2"/>
      <c r="AX257" s="100"/>
      <c r="AY257" s="101"/>
      <c r="AZ257" s="101"/>
      <c r="BA257" s="100"/>
      <c r="BB257" s="100"/>
      <c r="BC257" s="100"/>
      <c r="BD257" s="100"/>
      <c r="BE257" s="100"/>
      <c r="BF257" s="100"/>
      <c r="BG257" s="100"/>
      <c r="BH257" s="100"/>
      <c r="BI257" s="100"/>
      <c r="BJ257" s="100"/>
      <c r="BK257" s="102"/>
      <c r="BN257" s="36"/>
    </row>
    <row r="258" spans="1:66" x14ac:dyDescent="0.2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AG258" s="100"/>
      <c r="AH258" s="101"/>
      <c r="AI258" s="101"/>
      <c r="AJ258" s="101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2"/>
      <c r="AX258" s="100"/>
      <c r="AY258" s="101"/>
      <c r="AZ258" s="101"/>
      <c r="BA258" s="100"/>
      <c r="BB258" s="100"/>
      <c r="BC258" s="100"/>
      <c r="BD258" s="100"/>
      <c r="BE258" s="100"/>
      <c r="BF258" s="100"/>
      <c r="BG258" s="100"/>
      <c r="BH258" s="100"/>
      <c r="BI258" s="100"/>
      <c r="BJ258" s="100"/>
      <c r="BK258" s="102"/>
      <c r="BN258" s="36"/>
    </row>
    <row r="259" spans="1:66" x14ac:dyDescent="0.25">
      <c r="A259" s="92"/>
      <c r="B259" s="93"/>
      <c r="C259" s="93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4"/>
      <c r="AG259" s="100"/>
      <c r="AH259" s="101"/>
      <c r="AI259" s="101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2"/>
      <c r="AX259" s="100"/>
      <c r="AY259" s="101"/>
      <c r="AZ259" s="101"/>
      <c r="BA259" s="100"/>
      <c r="BB259" s="100"/>
      <c r="BC259" s="100"/>
      <c r="BD259" s="100"/>
      <c r="BE259" s="100"/>
      <c r="BF259" s="100"/>
      <c r="BG259" s="100"/>
      <c r="BH259" s="100"/>
      <c r="BI259" s="100"/>
      <c r="BJ259" s="100"/>
      <c r="BK259" s="102"/>
      <c r="BN259" s="36"/>
    </row>
    <row r="260" spans="1:66" x14ac:dyDescent="0.25">
      <c r="A260" s="92"/>
      <c r="B260" s="93"/>
      <c r="C260" s="93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4"/>
      <c r="AG260" s="100"/>
      <c r="AH260" s="101"/>
      <c r="AI260" s="101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2"/>
      <c r="AX260" s="100"/>
      <c r="AY260" s="101"/>
      <c r="AZ260" s="101"/>
      <c r="BA260" s="100"/>
      <c r="BB260" s="100"/>
      <c r="BC260" s="100"/>
      <c r="BD260" s="100"/>
      <c r="BE260" s="100"/>
      <c r="BF260" s="100"/>
      <c r="BG260" s="100"/>
      <c r="BH260" s="100"/>
      <c r="BI260" s="100"/>
      <c r="BJ260" s="100"/>
      <c r="BK260" s="102"/>
      <c r="BN260" s="36"/>
    </row>
    <row r="261" spans="1:66" x14ac:dyDescent="0.25">
      <c r="A261" s="92"/>
      <c r="B261" s="93"/>
      <c r="C261" s="93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4"/>
      <c r="AG261" s="100"/>
      <c r="AH261" s="101"/>
      <c r="AI261" s="101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2"/>
      <c r="AX261" s="100"/>
      <c r="AY261" s="101"/>
      <c r="AZ261" s="101"/>
      <c r="BA261" s="100"/>
      <c r="BB261" s="100"/>
      <c r="BC261" s="100"/>
      <c r="BD261" s="100"/>
      <c r="BE261" s="100"/>
      <c r="BF261" s="100"/>
      <c r="BG261" s="100"/>
      <c r="BH261" s="100"/>
      <c r="BI261" s="100"/>
      <c r="BJ261" s="100"/>
      <c r="BK261" s="102"/>
      <c r="BN261" s="36"/>
    </row>
    <row r="262" spans="1:66" x14ac:dyDescent="0.25">
      <c r="A262" s="92"/>
      <c r="B262" s="93"/>
      <c r="C262" s="93"/>
      <c r="D262" s="93"/>
      <c r="E262" s="92"/>
      <c r="F262" s="92"/>
      <c r="G262" s="92"/>
      <c r="H262" s="92"/>
      <c r="I262" s="92"/>
      <c r="J262" s="92"/>
      <c r="K262" s="92"/>
      <c r="L262" s="92"/>
      <c r="M262" s="92"/>
      <c r="N262" s="94"/>
      <c r="AG262" s="100"/>
      <c r="AH262" s="101"/>
      <c r="AI262" s="101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2"/>
      <c r="AX262" s="100"/>
      <c r="AY262" s="101"/>
      <c r="AZ262" s="101"/>
      <c r="BA262" s="101"/>
      <c r="BB262" s="100"/>
      <c r="BC262" s="100"/>
      <c r="BD262" s="100"/>
      <c r="BE262" s="100"/>
      <c r="BF262" s="100"/>
      <c r="BG262" s="100"/>
      <c r="BH262" s="100"/>
      <c r="BI262" s="100"/>
      <c r="BJ262" s="100"/>
      <c r="BK262" s="102"/>
      <c r="BN262" s="36"/>
    </row>
    <row r="263" spans="1:66" x14ac:dyDescent="0.2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AG263" s="100"/>
      <c r="AH263" s="101"/>
      <c r="AI263" s="101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2"/>
      <c r="AX263" s="100"/>
      <c r="AY263" s="101"/>
      <c r="AZ263" s="101"/>
      <c r="BA263" s="101"/>
      <c r="BB263" s="100"/>
      <c r="BC263" s="100"/>
      <c r="BD263" s="100"/>
      <c r="BE263" s="100"/>
      <c r="BF263" s="100"/>
      <c r="BG263" s="100"/>
      <c r="BH263" s="100"/>
      <c r="BI263" s="100"/>
      <c r="BJ263" s="100"/>
      <c r="BK263" s="102"/>
      <c r="BN263" s="36"/>
    </row>
    <row r="264" spans="1:66" x14ac:dyDescent="0.2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AG264" s="100"/>
      <c r="AH264" s="101"/>
      <c r="AI264" s="101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2"/>
      <c r="AX264" s="100"/>
      <c r="AY264" s="101"/>
      <c r="AZ264" s="101"/>
      <c r="BA264" s="100"/>
      <c r="BB264" s="100"/>
      <c r="BC264" s="100"/>
      <c r="BD264" s="100"/>
      <c r="BE264" s="100"/>
      <c r="BF264" s="100"/>
      <c r="BG264" s="100"/>
      <c r="BH264" s="100"/>
      <c r="BI264" s="100"/>
      <c r="BJ264" s="100"/>
      <c r="BK264" s="102"/>
      <c r="BN264" s="36"/>
    </row>
    <row r="265" spans="1:66" x14ac:dyDescent="0.25">
      <c r="A265" s="92"/>
      <c r="B265" s="93"/>
      <c r="C265" s="93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4"/>
      <c r="AG265" s="100"/>
      <c r="AH265" s="101"/>
      <c r="AI265" s="101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2"/>
      <c r="AX265" s="100"/>
      <c r="AY265" s="101"/>
      <c r="AZ265" s="101"/>
      <c r="BA265" s="101"/>
      <c r="BB265" s="100"/>
      <c r="BC265" s="100"/>
      <c r="BD265" s="100"/>
      <c r="BE265" s="100"/>
      <c r="BF265" s="100"/>
      <c r="BG265" s="100"/>
      <c r="BH265" s="100"/>
      <c r="BI265" s="100"/>
      <c r="BJ265" s="100"/>
      <c r="BK265" s="102"/>
      <c r="BN265" s="36"/>
    </row>
    <row r="266" spans="1:66" x14ac:dyDescent="0.25">
      <c r="A266" s="92"/>
      <c r="B266" s="93"/>
      <c r="C266" s="93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4"/>
      <c r="AG266" s="100"/>
      <c r="AH266" s="101"/>
      <c r="AI266" s="101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2"/>
      <c r="AX266" s="100"/>
      <c r="AY266" s="101"/>
      <c r="AZ266" s="101"/>
      <c r="BA266" s="100"/>
      <c r="BB266" s="100"/>
      <c r="BC266" s="100"/>
      <c r="BD266" s="100"/>
      <c r="BE266" s="100"/>
      <c r="BF266" s="100"/>
      <c r="BG266" s="100"/>
      <c r="BH266" s="100"/>
      <c r="BI266" s="100"/>
      <c r="BJ266" s="100"/>
      <c r="BK266" s="102"/>
      <c r="BN266" s="36"/>
    </row>
    <row r="267" spans="1:66" x14ac:dyDescent="0.25">
      <c r="A267" s="92"/>
      <c r="B267" s="93"/>
      <c r="C267" s="93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4"/>
      <c r="AG267" s="100"/>
      <c r="AH267" s="101"/>
      <c r="AI267" s="101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2"/>
      <c r="AX267" s="100"/>
      <c r="AY267" s="101"/>
      <c r="AZ267" s="101"/>
      <c r="BA267" s="101"/>
      <c r="BB267" s="100"/>
      <c r="BC267" s="100"/>
      <c r="BD267" s="100"/>
      <c r="BE267" s="100"/>
      <c r="BF267" s="100"/>
      <c r="BG267" s="100"/>
      <c r="BH267" s="100"/>
      <c r="BI267" s="100"/>
      <c r="BJ267" s="100"/>
      <c r="BK267" s="102"/>
      <c r="BN267" s="36"/>
    </row>
    <row r="268" spans="1:66" x14ac:dyDescent="0.2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AG268" s="100"/>
      <c r="AH268" s="101"/>
      <c r="AI268" s="101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2"/>
      <c r="AX268" s="100"/>
      <c r="AY268" s="101"/>
      <c r="AZ268" s="101"/>
      <c r="BA268" s="100"/>
      <c r="BB268" s="100"/>
      <c r="BC268" s="100"/>
      <c r="BD268" s="100"/>
      <c r="BE268" s="100"/>
      <c r="BF268" s="100"/>
      <c r="BG268" s="100"/>
      <c r="BH268" s="100"/>
      <c r="BI268" s="100"/>
      <c r="BJ268" s="100"/>
      <c r="BK268" s="102"/>
      <c r="BN268" s="36"/>
    </row>
    <row r="269" spans="1:66" x14ac:dyDescent="0.2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AG269" s="100"/>
      <c r="AH269" s="101"/>
      <c r="AI269" s="101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2"/>
      <c r="AX269" s="100"/>
      <c r="AY269" s="101"/>
      <c r="AZ269" s="101"/>
      <c r="BA269" s="101"/>
      <c r="BB269" s="100"/>
      <c r="BC269" s="100"/>
      <c r="BD269" s="100"/>
      <c r="BE269" s="100"/>
      <c r="BF269" s="100"/>
      <c r="BG269" s="100"/>
      <c r="BH269" s="100"/>
      <c r="BI269" s="100"/>
      <c r="BJ269" s="100"/>
      <c r="BK269" s="102"/>
      <c r="BN269" s="36"/>
    </row>
    <row r="270" spans="1:66" x14ac:dyDescent="0.2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AG270" s="100"/>
      <c r="AH270" s="101"/>
      <c r="AI270" s="101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2"/>
      <c r="AX270" s="100"/>
      <c r="AY270" s="101"/>
      <c r="AZ270" s="101"/>
      <c r="BA270" s="101"/>
      <c r="BB270" s="100"/>
      <c r="BC270" s="100"/>
      <c r="BD270" s="100"/>
      <c r="BE270" s="100"/>
      <c r="BF270" s="100"/>
      <c r="BG270" s="100"/>
      <c r="BH270" s="100"/>
      <c r="BI270" s="100"/>
      <c r="BJ270" s="100"/>
      <c r="BK270" s="102"/>
      <c r="BN270" s="36"/>
    </row>
    <row r="271" spans="1:66" x14ac:dyDescent="0.2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AG271" s="100"/>
      <c r="AH271" s="101"/>
      <c r="AI271" s="101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2"/>
      <c r="AX271" s="100"/>
      <c r="AY271" s="101"/>
      <c r="AZ271" s="101"/>
      <c r="BA271" s="100"/>
      <c r="BB271" s="100"/>
      <c r="BC271" s="100"/>
      <c r="BD271" s="100"/>
      <c r="BE271" s="100"/>
      <c r="BF271" s="100"/>
      <c r="BG271" s="100"/>
      <c r="BH271" s="100"/>
      <c r="BI271" s="100"/>
      <c r="BJ271" s="100"/>
      <c r="BK271" s="102"/>
      <c r="BN271" s="36"/>
    </row>
    <row r="272" spans="1:66" x14ac:dyDescent="0.2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AG272" s="100"/>
      <c r="AH272" s="101"/>
      <c r="AI272" s="101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2"/>
      <c r="AX272" s="100"/>
      <c r="AY272" s="101"/>
      <c r="AZ272" s="101"/>
      <c r="BA272" s="100"/>
      <c r="BB272" s="100"/>
      <c r="BC272" s="100"/>
      <c r="BD272" s="100"/>
      <c r="BE272" s="100"/>
      <c r="BF272" s="100"/>
      <c r="BG272" s="100"/>
      <c r="BH272" s="100"/>
      <c r="BI272" s="100"/>
      <c r="BJ272" s="100"/>
      <c r="BK272" s="102"/>
      <c r="BN272" s="36"/>
    </row>
    <row r="273" spans="1:66" x14ac:dyDescent="0.2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AG273" s="100"/>
      <c r="AH273" s="101"/>
      <c r="AI273" s="101"/>
      <c r="AJ273" s="101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2"/>
      <c r="AX273" s="100"/>
      <c r="AY273" s="101"/>
      <c r="AZ273" s="101"/>
      <c r="BA273" s="100"/>
      <c r="BB273" s="100"/>
      <c r="BC273" s="100"/>
      <c r="BD273" s="100"/>
      <c r="BE273" s="100"/>
      <c r="BF273" s="100"/>
      <c r="BG273" s="100"/>
      <c r="BH273" s="100"/>
      <c r="BI273" s="100"/>
      <c r="BJ273" s="100"/>
      <c r="BK273" s="102"/>
      <c r="BN273" s="36"/>
    </row>
    <row r="274" spans="1:66" x14ac:dyDescent="0.2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AG274" s="100"/>
      <c r="AH274" s="101"/>
      <c r="AI274" s="101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2"/>
      <c r="AX274" s="100"/>
      <c r="AY274" s="101"/>
      <c r="AZ274" s="101"/>
      <c r="BA274" s="100"/>
      <c r="BB274" s="100"/>
      <c r="BC274" s="100"/>
      <c r="BD274" s="100"/>
      <c r="BE274" s="100"/>
      <c r="BF274" s="100"/>
      <c r="BG274" s="100"/>
      <c r="BH274" s="100"/>
      <c r="BI274" s="100"/>
      <c r="BJ274" s="100"/>
      <c r="BK274" s="102"/>
      <c r="BN274" s="36"/>
    </row>
    <row r="275" spans="1:66" x14ac:dyDescent="0.25">
      <c r="A275" s="92"/>
      <c r="B275" s="93"/>
      <c r="C275" s="93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4"/>
      <c r="AG275" s="100"/>
      <c r="AH275" s="101"/>
      <c r="AI275" s="101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2"/>
      <c r="AX275" s="100"/>
      <c r="AY275" s="101"/>
      <c r="AZ275" s="101"/>
      <c r="BA275" s="100"/>
      <c r="BB275" s="100"/>
      <c r="BC275" s="100"/>
      <c r="BD275" s="100"/>
      <c r="BE275" s="100"/>
      <c r="BF275" s="100"/>
      <c r="BG275" s="100"/>
      <c r="BH275" s="100"/>
      <c r="BI275" s="100"/>
      <c r="BJ275" s="100"/>
      <c r="BK275" s="102"/>
      <c r="BN275" s="36"/>
    </row>
    <row r="276" spans="1:66" x14ac:dyDescent="0.2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AG276" s="100"/>
      <c r="AH276" s="101"/>
      <c r="AI276" s="101"/>
      <c r="AJ276" s="101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2"/>
      <c r="AX276" s="100"/>
      <c r="AY276" s="101"/>
      <c r="AZ276" s="101"/>
      <c r="BA276" s="100"/>
      <c r="BB276" s="100"/>
      <c r="BC276" s="100"/>
      <c r="BD276" s="100"/>
      <c r="BE276" s="100"/>
      <c r="BF276" s="100"/>
      <c r="BG276" s="100"/>
      <c r="BH276" s="100"/>
      <c r="BI276" s="100"/>
      <c r="BJ276" s="100"/>
      <c r="BK276" s="102"/>
      <c r="BN276" s="36"/>
    </row>
    <row r="277" spans="1:66" x14ac:dyDescent="0.25">
      <c r="A277" s="92"/>
      <c r="B277" s="93"/>
      <c r="C277" s="93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4"/>
      <c r="AG277" s="100"/>
      <c r="AH277" s="101"/>
      <c r="AI277" s="101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2"/>
      <c r="AX277" s="100"/>
      <c r="AY277" s="101"/>
      <c r="AZ277" s="101"/>
      <c r="BA277" s="100"/>
      <c r="BB277" s="100"/>
      <c r="BC277" s="100"/>
      <c r="BD277" s="100"/>
      <c r="BE277" s="100"/>
      <c r="BF277" s="100"/>
      <c r="BG277" s="100"/>
      <c r="BH277" s="100"/>
      <c r="BI277" s="100"/>
      <c r="BJ277" s="100"/>
      <c r="BK277" s="102"/>
      <c r="BN277" s="36"/>
    </row>
    <row r="278" spans="1:66" x14ac:dyDescent="0.25">
      <c r="A278" s="92"/>
      <c r="B278" s="93"/>
      <c r="C278" s="93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4"/>
      <c r="AG278" s="100"/>
      <c r="AH278" s="101"/>
      <c r="AI278" s="101"/>
      <c r="AJ278" s="101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2"/>
      <c r="AX278" s="100"/>
      <c r="AY278" s="101"/>
      <c r="AZ278" s="101"/>
      <c r="BA278" s="101"/>
      <c r="BB278" s="100"/>
      <c r="BC278" s="100"/>
      <c r="BD278" s="100"/>
      <c r="BE278" s="100"/>
      <c r="BF278" s="100"/>
      <c r="BG278" s="100"/>
      <c r="BH278" s="100"/>
      <c r="BI278" s="100"/>
      <c r="BJ278" s="100"/>
      <c r="BK278" s="102"/>
      <c r="BN278" s="36"/>
    </row>
    <row r="279" spans="1:66" x14ac:dyDescent="0.25">
      <c r="A279" s="92"/>
      <c r="B279" s="93"/>
      <c r="C279" s="93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4"/>
      <c r="AG279" s="100"/>
      <c r="AH279" s="101"/>
      <c r="AI279" s="101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2"/>
      <c r="AX279" s="100"/>
      <c r="AY279" s="101"/>
      <c r="AZ279" s="101"/>
      <c r="BA279" s="100"/>
      <c r="BB279" s="100"/>
      <c r="BC279" s="100"/>
      <c r="BD279" s="100"/>
      <c r="BE279" s="100"/>
      <c r="BF279" s="100"/>
      <c r="BG279" s="100"/>
      <c r="BH279" s="100"/>
      <c r="BI279" s="100"/>
      <c r="BJ279" s="100"/>
      <c r="BK279" s="102"/>
      <c r="BN279" s="36"/>
    </row>
    <row r="280" spans="1:66" x14ac:dyDescent="0.25">
      <c r="A280" s="92"/>
      <c r="B280" s="93"/>
      <c r="C280" s="93"/>
      <c r="D280" s="93"/>
      <c r="E280" s="92"/>
      <c r="F280" s="92"/>
      <c r="G280" s="92"/>
      <c r="H280" s="92"/>
      <c r="I280" s="92"/>
      <c r="J280" s="92"/>
      <c r="K280" s="92"/>
      <c r="L280" s="92"/>
      <c r="M280" s="92"/>
      <c r="N280" s="94"/>
      <c r="AG280" s="100"/>
      <c r="AH280" s="101"/>
      <c r="AI280" s="101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2"/>
      <c r="AX280" s="100"/>
      <c r="AY280" s="101"/>
      <c r="AZ280" s="101"/>
      <c r="BA280" s="100"/>
      <c r="BB280" s="100"/>
      <c r="BC280" s="100"/>
      <c r="BD280" s="100"/>
      <c r="BE280" s="100"/>
      <c r="BF280" s="100"/>
      <c r="BG280" s="100"/>
      <c r="BH280" s="100"/>
      <c r="BI280" s="100"/>
      <c r="BJ280" s="100"/>
      <c r="BK280" s="102"/>
      <c r="BN280" s="36"/>
    </row>
    <row r="281" spans="1:66" x14ac:dyDescent="0.25">
      <c r="A281" s="92"/>
      <c r="B281" s="93"/>
      <c r="C281" s="93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4"/>
      <c r="AG281" s="100"/>
      <c r="AH281" s="101"/>
      <c r="AI281" s="101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2"/>
      <c r="AX281" s="100"/>
      <c r="AY281" s="101"/>
      <c r="AZ281" s="101"/>
      <c r="BA281" s="100"/>
      <c r="BB281" s="100"/>
      <c r="BC281" s="100"/>
      <c r="BD281" s="100"/>
      <c r="BE281" s="100"/>
      <c r="BF281" s="100"/>
      <c r="BG281" s="100"/>
      <c r="BH281" s="100"/>
      <c r="BI281" s="100"/>
      <c r="BJ281" s="100"/>
      <c r="BK281" s="102"/>
      <c r="BN281" s="36"/>
    </row>
    <row r="282" spans="1:66" x14ac:dyDescent="0.25">
      <c r="A282" s="92"/>
      <c r="B282" s="93"/>
      <c r="C282" s="93"/>
      <c r="D282" s="93"/>
      <c r="E282" s="92"/>
      <c r="F282" s="92"/>
      <c r="G282" s="92"/>
      <c r="H282" s="92"/>
      <c r="I282" s="92"/>
      <c r="J282" s="92"/>
      <c r="K282" s="92"/>
      <c r="L282" s="92"/>
      <c r="M282" s="92"/>
      <c r="N282" s="94"/>
      <c r="AG282" s="100"/>
      <c r="AH282" s="101"/>
      <c r="AI282" s="101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2"/>
      <c r="AX282" s="100"/>
      <c r="AY282" s="101"/>
      <c r="AZ282" s="101"/>
      <c r="BA282" s="100"/>
      <c r="BB282" s="100"/>
      <c r="BC282" s="100"/>
      <c r="BD282" s="100"/>
      <c r="BE282" s="100"/>
      <c r="BF282" s="100"/>
      <c r="BG282" s="100"/>
      <c r="BH282" s="100"/>
      <c r="BI282" s="100"/>
      <c r="BJ282" s="100"/>
      <c r="BK282" s="102"/>
      <c r="BN282" s="36"/>
    </row>
    <row r="283" spans="1:66" x14ac:dyDescent="0.2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AG283" s="100"/>
      <c r="AH283" s="101"/>
      <c r="AI283" s="101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2"/>
      <c r="AX283" s="100"/>
      <c r="AY283" s="101"/>
      <c r="AZ283" s="101"/>
      <c r="BA283" s="100"/>
      <c r="BB283" s="100"/>
      <c r="BC283" s="100"/>
      <c r="BD283" s="100"/>
      <c r="BE283" s="100"/>
      <c r="BF283" s="100"/>
      <c r="BG283" s="100"/>
      <c r="BH283" s="100"/>
      <c r="BI283" s="100"/>
      <c r="BJ283" s="100"/>
      <c r="BK283" s="102"/>
      <c r="BN283" s="36"/>
    </row>
    <row r="284" spans="1:66" x14ac:dyDescent="0.2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AG284" s="100"/>
      <c r="AH284" s="101"/>
      <c r="AI284" s="101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2"/>
      <c r="AX284" s="100"/>
      <c r="AY284" s="101"/>
      <c r="AZ284" s="101"/>
      <c r="BA284" s="100"/>
      <c r="BB284" s="100"/>
      <c r="BC284" s="100"/>
      <c r="BD284" s="100"/>
      <c r="BE284" s="100"/>
      <c r="BF284" s="100"/>
      <c r="BG284" s="100"/>
      <c r="BH284" s="100"/>
      <c r="BI284" s="100"/>
      <c r="BJ284" s="100"/>
      <c r="BK284" s="102"/>
      <c r="BN284" s="36"/>
    </row>
    <row r="285" spans="1:66" x14ac:dyDescent="0.2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AG285" s="100"/>
      <c r="AH285" s="101"/>
      <c r="AI285" s="101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2"/>
      <c r="AX285" s="100"/>
      <c r="AY285" s="101"/>
      <c r="AZ285" s="101"/>
      <c r="BA285" s="100"/>
      <c r="BB285" s="100"/>
      <c r="BC285" s="100"/>
      <c r="BD285" s="100"/>
      <c r="BE285" s="100"/>
      <c r="BF285" s="100"/>
      <c r="BG285" s="100"/>
      <c r="BH285" s="100"/>
      <c r="BI285" s="100"/>
      <c r="BJ285" s="100"/>
      <c r="BK285" s="102"/>
      <c r="BN285" s="36"/>
    </row>
    <row r="286" spans="1:66" x14ac:dyDescent="0.2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AG286" s="100"/>
      <c r="AH286" s="101"/>
      <c r="AI286" s="101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2"/>
      <c r="AX286" s="100"/>
      <c r="AY286" s="101"/>
      <c r="AZ286" s="101"/>
      <c r="BA286" s="100"/>
      <c r="BB286" s="100"/>
      <c r="BC286" s="100"/>
      <c r="BD286" s="100"/>
      <c r="BE286" s="100"/>
      <c r="BF286" s="100"/>
      <c r="BG286" s="100"/>
      <c r="BH286" s="100"/>
      <c r="BI286" s="100"/>
      <c r="BJ286" s="100"/>
      <c r="BK286" s="102"/>
      <c r="BN286" s="36"/>
    </row>
    <row r="287" spans="1:66" x14ac:dyDescent="0.2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AG287" s="100"/>
      <c r="AH287" s="101"/>
      <c r="AI287" s="101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2"/>
      <c r="AX287" s="100"/>
      <c r="AY287" s="101"/>
      <c r="AZ287" s="101"/>
      <c r="BA287" s="100"/>
      <c r="BB287" s="100"/>
      <c r="BC287" s="100"/>
      <c r="BD287" s="100"/>
      <c r="BE287" s="100"/>
      <c r="BF287" s="100"/>
      <c r="BG287" s="100"/>
      <c r="BH287" s="100"/>
      <c r="BI287" s="100"/>
      <c r="BJ287" s="100"/>
      <c r="BK287" s="102"/>
      <c r="BN287" s="36"/>
    </row>
    <row r="288" spans="1:66" x14ac:dyDescent="0.2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AG288" s="100"/>
      <c r="AH288" s="101"/>
      <c r="AI288" s="101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2"/>
      <c r="AX288" s="100"/>
      <c r="AY288" s="101"/>
      <c r="AZ288" s="101"/>
      <c r="BA288" s="100"/>
      <c r="BB288" s="100"/>
      <c r="BC288" s="100"/>
      <c r="BD288" s="100"/>
      <c r="BE288" s="100"/>
      <c r="BF288" s="100"/>
      <c r="BG288" s="100"/>
      <c r="BH288" s="100"/>
      <c r="BI288" s="100"/>
      <c r="BJ288" s="100"/>
      <c r="BK288" s="102"/>
      <c r="BN288" s="36"/>
    </row>
    <row r="289" spans="1:66" x14ac:dyDescent="0.2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AG289" s="100"/>
      <c r="AH289" s="101"/>
      <c r="AI289" s="101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2"/>
      <c r="AX289" s="100"/>
      <c r="AY289" s="101"/>
      <c r="AZ289" s="101"/>
      <c r="BA289" s="100"/>
      <c r="BB289" s="100"/>
      <c r="BC289" s="100"/>
      <c r="BD289" s="100"/>
      <c r="BE289" s="100"/>
      <c r="BF289" s="100"/>
      <c r="BG289" s="100"/>
      <c r="BH289" s="100"/>
      <c r="BI289" s="100"/>
      <c r="BJ289" s="100"/>
      <c r="BK289" s="102"/>
      <c r="BN289" s="36"/>
    </row>
    <row r="290" spans="1:66" x14ac:dyDescent="0.25">
      <c r="A290" s="92"/>
      <c r="B290" s="93"/>
      <c r="C290" s="93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4"/>
      <c r="AG290" s="100"/>
      <c r="AH290" s="101"/>
      <c r="AI290" s="101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2"/>
      <c r="AX290" s="100"/>
      <c r="AY290" s="101"/>
      <c r="AZ290" s="101"/>
      <c r="BA290" s="100"/>
      <c r="BB290" s="100"/>
      <c r="BC290" s="100"/>
      <c r="BD290" s="100"/>
      <c r="BE290" s="100"/>
      <c r="BF290" s="100"/>
      <c r="BG290" s="100"/>
      <c r="BH290" s="100"/>
      <c r="BI290" s="100"/>
      <c r="BJ290" s="100"/>
      <c r="BK290" s="102"/>
      <c r="BN290" s="36"/>
    </row>
    <row r="291" spans="1:66" x14ac:dyDescent="0.2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AG291" s="100"/>
      <c r="AH291" s="101"/>
      <c r="AI291" s="101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2"/>
      <c r="AX291" s="100"/>
      <c r="AY291" s="101"/>
      <c r="AZ291" s="101"/>
      <c r="BA291" s="100"/>
      <c r="BB291" s="100"/>
      <c r="BC291" s="100"/>
      <c r="BD291" s="100"/>
      <c r="BE291" s="100"/>
      <c r="BF291" s="100"/>
      <c r="BG291" s="100"/>
      <c r="BH291" s="100"/>
      <c r="BI291" s="100"/>
      <c r="BJ291" s="100"/>
      <c r="BK291" s="102"/>
      <c r="BN291" s="36"/>
    </row>
    <row r="292" spans="1:66" x14ac:dyDescent="0.2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AG292" s="100"/>
      <c r="AH292" s="101"/>
      <c r="AI292" s="101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2"/>
      <c r="AX292" s="100"/>
      <c r="AY292" s="101"/>
      <c r="AZ292" s="101"/>
      <c r="BA292" s="100"/>
      <c r="BB292" s="100"/>
      <c r="BC292" s="100"/>
      <c r="BD292" s="100"/>
      <c r="BE292" s="100"/>
      <c r="BF292" s="100"/>
      <c r="BG292" s="100"/>
      <c r="BH292" s="100"/>
      <c r="BI292" s="100"/>
      <c r="BJ292" s="100"/>
      <c r="BK292" s="102"/>
      <c r="BN292" s="36"/>
    </row>
    <row r="293" spans="1:66" x14ac:dyDescent="0.25">
      <c r="A293" s="92"/>
      <c r="B293" s="93"/>
      <c r="C293" s="93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4"/>
      <c r="AG293" s="100"/>
      <c r="AH293" s="101"/>
      <c r="AI293" s="101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2"/>
      <c r="AX293" s="100"/>
      <c r="AY293" s="101"/>
      <c r="AZ293" s="101"/>
      <c r="BA293" s="101"/>
      <c r="BB293" s="100"/>
      <c r="BC293" s="100"/>
      <c r="BD293" s="100"/>
      <c r="BE293" s="100"/>
      <c r="BF293" s="100"/>
      <c r="BG293" s="100"/>
      <c r="BH293" s="100"/>
      <c r="BI293" s="100"/>
      <c r="BJ293" s="100"/>
      <c r="BK293" s="102"/>
      <c r="BN293" s="36"/>
    </row>
    <row r="294" spans="1:66" x14ac:dyDescent="0.25">
      <c r="A294" s="92"/>
      <c r="B294" s="93"/>
      <c r="C294" s="93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4"/>
      <c r="AG294" s="100"/>
      <c r="AH294" s="101"/>
      <c r="AI294" s="101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2"/>
      <c r="AX294" s="100"/>
      <c r="AY294" s="101"/>
      <c r="AZ294" s="101"/>
      <c r="BA294" s="100"/>
      <c r="BB294" s="100"/>
      <c r="BC294" s="100"/>
      <c r="BD294" s="100"/>
      <c r="BE294" s="100"/>
      <c r="BF294" s="100"/>
      <c r="BG294" s="100"/>
      <c r="BH294" s="100"/>
      <c r="BI294" s="100"/>
      <c r="BJ294" s="100"/>
      <c r="BK294" s="102"/>
      <c r="BN294" s="36"/>
    </row>
    <row r="295" spans="1:66" x14ac:dyDescent="0.25">
      <c r="A295" s="92"/>
      <c r="B295" s="93"/>
      <c r="C295" s="93"/>
      <c r="D295" s="93"/>
      <c r="E295" s="92"/>
      <c r="F295" s="92"/>
      <c r="G295" s="92"/>
      <c r="H295" s="92"/>
      <c r="I295" s="92"/>
      <c r="J295" s="92"/>
      <c r="K295" s="92"/>
      <c r="L295" s="92"/>
      <c r="M295" s="92"/>
      <c r="N295" s="94"/>
      <c r="AG295" s="100"/>
      <c r="AH295" s="101"/>
      <c r="AI295" s="101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2"/>
      <c r="AX295" s="100"/>
      <c r="AY295" s="101"/>
      <c r="AZ295" s="101"/>
      <c r="BA295" s="100"/>
      <c r="BB295" s="100"/>
      <c r="BC295" s="100"/>
      <c r="BD295" s="100"/>
      <c r="BE295" s="100"/>
      <c r="BF295" s="100"/>
      <c r="BG295" s="100"/>
      <c r="BH295" s="100"/>
      <c r="BI295" s="100"/>
      <c r="BJ295" s="100"/>
      <c r="BK295" s="102"/>
      <c r="BN295" s="36"/>
    </row>
    <row r="296" spans="1:66" x14ac:dyDescent="0.25">
      <c r="A296" s="92"/>
      <c r="B296" s="93"/>
      <c r="C296" s="93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4"/>
      <c r="AG296" s="100"/>
      <c r="AH296" s="101"/>
      <c r="AI296" s="101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2"/>
      <c r="AX296" s="100"/>
      <c r="AY296" s="101"/>
      <c r="AZ296" s="101"/>
      <c r="BA296" s="101"/>
      <c r="BB296" s="100"/>
      <c r="BC296" s="100"/>
      <c r="BD296" s="100"/>
      <c r="BE296" s="100"/>
      <c r="BF296" s="100"/>
      <c r="BG296" s="100"/>
      <c r="BH296" s="100"/>
      <c r="BI296" s="100"/>
      <c r="BJ296" s="100"/>
      <c r="BK296" s="102"/>
      <c r="BN296" s="36"/>
    </row>
    <row r="297" spans="1:66" x14ac:dyDescent="0.25">
      <c r="A297" s="92"/>
      <c r="B297" s="93"/>
      <c r="C297" s="93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4"/>
      <c r="AG297" s="100"/>
      <c r="AH297" s="101"/>
      <c r="AI297" s="101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2"/>
      <c r="AX297" s="100"/>
      <c r="AY297" s="101"/>
      <c r="AZ297" s="101"/>
      <c r="BA297" s="100"/>
      <c r="BB297" s="100"/>
      <c r="BC297" s="100"/>
      <c r="BD297" s="100"/>
      <c r="BE297" s="100"/>
      <c r="BF297" s="100"/>
      <c r="BG297" s="100"/>
      <c r="BH297" s="100"/>
      <c r="BI297" s="100"/>
      <c r="BJ297" s="100"/>
      <c r="BK297" s="102"/>
      <c r="BN297" s="36"/>
    </row>
    <row r="298" spans="1:66" x14ac:dyDescent="0.25">
      <c r="A298" s="92"/>
      <c r="B298" s="93"/>
      <c r="C298" s="93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4"/>
      <c r="AG298" s="100"/>
      <c r="AH298" s="101"/>
      <c r="AI298" s="101"/>
      <c r="AJ298" s="101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2"/>
      <c r="AX298" s="100"/>
      <c r="AY298" s="101"/>
      <c r="AZ298" s="101"/>
      <c r="BA298" s="101"/>
      <c r="BB298" s="100"/>
      <c r="BC298" s="100"/>
      <c r="BD298" s="100"/>
      <c r="BE298" s="100"/>
      <c r="BF298" s="100"/>
      <c r="BG298" s="100"/>
      <c r="BH298" s="100"/>
      <c r="BI298" s="100"/>
      <c r="BJ298" s="100"/>
      <c r="BK298" s="102"/>
      <c r="BN298" s="36"/>
    </row>
    <row r="299" spans="1:66" x14ac:dyDescent="0.2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AG299" s="100"/>
      <c r="AH299" s="101"/>
      <c r="AI299" s="101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2"/>
      <c r="AX299" s="100"/>
      <c r="AY299" s="101"/>
      <c r="AZ299" s="101"/>
      <c r="BA299" s="100"/>
      <c r="BB299" s="100"/>
      <c r="BC299" s="100"/>
      <c r="BD299" s="100"/>
      <c r="BE299" s="100"/>
      <c r="BF299" s="100"/>
      <c r="BG299" s="100"/>
      <c r="BH299" s="100"/>
      <c r="BI299" s="100"/>
      <c r="BJ299" s="100"/>
      <c r="BK299" s="102"/>
      <c r="BN299" s="36"/>
    </row>
    <row r="300" spans="1:66" x14ac:dyDescent="0.25">
      <c r="A300" s="92"/>
      <c r="B300" s="93"/>
      <c r="C300" s="93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4"/>
      <c r="AG300" s="100"/>
      <c r="AH300" s="101"/>
      <c r="AI300" s="101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2"/>
      <c r="AX300" s="100"/>
      <c r="AY300" s="101"/>
      <c r="AZ300" s="101"/>
      <c r="BA300" s="100"/>
      <c r="BB300" s="100"/>
      <c r="BC300" s="100"/>
      <c r="BD300" s="100"/>
      <c r="BE300" s="100"/>
      <c r="BF300" s="100"/>
      <c r="BG300" s="100"/>
      <c r="BH300" s="100"/>
      <c r="BI300" s="100"/>
      <c r="BJ300" s="100"/>
      <c r="BK300" s="102"/>
      <c r="BN300" s="36"/>
    </row>
    <row r="301" spans="1:66" x14ac:dyDescent="0.25">
      <c r="A301" s="92"/>
      <c r="B301" s="93"/>
      <c r="C301" s="93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4"/>
      <c r="AG301" s="100"/>
      <c r="AH301" s="101"/>
      <c r="AI301" s="101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2"/>
      <c r="AX301" s="100"/>
      <c r="AY301" s="101"/>
      <c r="AZ301" s="101"/>
      <c r="BA301" s="100"/>
      <c r="BB301" s="100"/>
      <c r="BC301" s="100"/>
      <c r="BD301" s="100"/>
      <c r="BE301" s="100"/>
      <c r="BF301" s="100"/>
      <c r="BG301" s="100"/>
      <c r="BH301" s="100"/>
      <c r="BI301" s="100"/>
      <c r="BJ301" s="100"/>
      <c r="BK301" s="102"/>
      <c r="BN301" s="36"/>
    </row>
    <row r="302" spans="1:66" x14ac:dyDescent="0.25">
      <c r="A302" s="92"/>
      <c r="B302" s="93"/>
      <c r="C302" s="93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4"/>
      <c r="AG302" s="100"/>
      <c r="AH302" s="101"/>
      <c r="AI302" s="101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2"/>
      <c r="AX302" s="100"/>
      <c r="AY302" s="101"/>
      <c r="AZ302" s="101"/>
      <c r="BA302" s="100"/>
      <c r="BB302" s="100"/>
      <c r="BC302" s="100"/>
      <c r="BD302" s="100"/>
      <c r="BE302" s="100"/>
      <c r="BF302" s="100"/>
      <c r="BG302" s="100"/>
      <c r="BH302" s="100"/>
      <c r="BI302" s="100"/>
      <c r="BJ302" s="100"/>
      <c r="BK302" s="102"/>
      <c r="BN302" s="36"/>
    </row>
    <row r="303" spans="1:66" x14ac:dyDescent="0.25">
      <c r="A303" s="92"/>
      <c r="B303" s="93"/>
      <c r="C303" s="93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4"/>
      <c r="AG303" s="100"/>
      <c r="AH303" s="101"/>
      <c r="AI303" s="101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2"/>
      <c r="AX303" s="100"/>
      <c r="AY303" s="101"/>
      <c r="AZ303" s="101"/>
      <c r="BA303" s="100"/>
      <c r="BB303" s="100"/>
      <c r="BC303" s="100"/>
      <c r="BD303" s="100"/>
      <c r="BE303" s="100"/>
      <c r="BF303" s="100"/>
      <c r="BG303" s="100"/>
      <c r="BH303" s="100"/>
      <c r="BI303" s="100"/>
      <c r="BJ303" s="100"/>
      <c r="BK303" s="102"/>
      <c r="BN303" s="36"/>
    </row>
    <row r="304" spans="1:66" x14ac:dyDescent="0.25">
      <c r="A304" s="92"/>
      <c r="B304" s="93"/>
      <c r="C304" s="93"/>
      <c r="D304" s="93"/>
      <c r="E304" s="92"/>
      <c r="F304" s="92"/>
      <c r="G304" s="92"/>
      <c r="H304" s="92"/>
      <c r="I304" s="92"/>
      <c r="J304" s="92"/>
      <c r="K304" s="92"/>
      <c r="L304" s="92"/>
      <c r="M304" s="92"/>
      <c r="N304" s="94"/>
      <c r="AG304" s="100"/>
      <c r="AH304" s="101"/>
      <c r="AI304" s="101"/>
      <c r="AJ304" s="101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2"/>
      <c r="AX304" s="100"/>
      <c r="AY304" s="101"/>
      <c r="AZ304" s="101"/>
      <c r="BA304" s="100"/>
      <c r="BB304" s="100"/>
      <c r="BC304" s="100"/>
      <c r="BD304" s="100"/>
      <c r="BE304" s="100"/>
      <c r="BF304" s="100"/>
      <c r="BG304" s="100"/>
      <c r="BH304" s="100"/>
      <c r="BI304" s="100"/>
      <c r="BJ304" s="100"/>
      <c r="BK304" s="102"/>
      <c r="BN304" s="36"/>
    </row>
    <row r="305" spans="1:66" x14ac:dyDescent="0.25">
      <c r="A305" s="92"/>
      <c r="B305" s="93"/>
      <c r="C305" s="93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4"/>
      <c r="AG305" s="100"/>
      <c r="AH305" s="101"/>
      <c r="AI305" s="101"/>
      <c r="AJ305" s="101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2"/>
      <c r="AX305" s="100"/>
      <c r="AY305" s="101"/>
      <c r="AZ305" s="101"/>
      <c r="BA305" s="100"/>
      <c r="BB305" s="100"/>
      <c r="BC305" s="100"/>
      <c r="BD305" s="100"/>
      <c r="BE305" s="100"/>
      <c r="BF305" s="100"/>
      <c r="BG305" s="100"/>
      <c r="BH305" s="100"/>
      <c r="BI305" s="100"/>
      <c r="BJ305" s="100"/>
      <c r="BK305" s="102"/>
      <c r="BN305" s="36"/>
    </row>
    <row r="306" spans="1:66" x14ac:dyDescent="0.25">
      <c r="A306" s="92"/>
      <c r="B306" s="93"/>
      <c r="C306" s="93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4"/>
      <c r="AG306" s="100"/>
      <c r="AH306" s="101"/>
      <c r="AI306" s="101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2"/>
      <c r="AX306" s="100"/>
      <c r="AY306" s="101"/>
      <c r="AZ306" s="101"/>
      <c r="BA306" s="100"/>
      <c r="BB306" s="100"/>
      <c r="BC306" s="100"/>
      <c r="BD306" s="100"/>
      <c r="BE306" s="100"/>
      <c r="BF306" s="100"/>
      <c r="BG306" s="100"/>
      <c r="BH306" s="100"/>
      <c r="BI306" s="100"/>
      <c r="BJ306" s="100"/>
      <c r="BK306" s="102"/>
      <c r="BN306" s="36"/>
    </row>
    <row r="307" spans="1:66" x14ac:dyDescent="0.25">
      <c r="A307" s="92"/>
      <c r="B307" s="93"/>
      <c r="C307" s="93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4"/>
      <c r="AG307" s="100"/>
      <c r="AH307" s="101"/>
      <c r="AI307" s="101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2"/>
      <c r="AX307" s="100"/>
      <c r="AY307" s="101"/>
      <c r="AZ307" s="101"/>
      <c r="BA307" s="100"/>
      <c r="BB307" s="100"/>
      <c r="BC307" s="100"/>
      <c r="BD307" s="100"/>
      <c r="BE307" s="100"/>
      <c r="BF307" s="100"/>
      <c r="BG307" s="100"/>
      <c r="BH307" s="100"/>
      <c r="BI307" s="100"/>
      <c r="BJ307" s="100"/>
      <c r="BK307" s="102"/>
      <c r="BN307" s="36"/>
    </row>
    <row r="308" spans="1:66" x14ac:dyDescent="0.2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AG308" s="100"/>
      <c r="AH308" s="101"/>
      <c r="AI308" s="101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2"/>
      <c r="AX308" s="100"/>
      <c r="AY308" s="101"/>
      <c r="AZ308" s="101"/>
      <c r="BA308" s="100"/>
      <c r="BB308" s="100"/>
      <c r="BC308" s="100"/>
      <c r="BD308" s="100"/>
      <c r="BE308" s="100"/>
      <c r="BF308" s="100"/>
      <c r="BG308" s="100"/>
      <c r="BH308" s="100"/>
      <c r="BI308" s="100"/>
      <c r="BJ308" s="100"/>
      <c r="BK308" s="102"/>
      <c r="BN308" s="36"/>
    </row>
    <row r="309" spans="1:66" x14ac:dyDescent="0.25">
      <c r="A309" s="92"/>
      <c r="B309" s="93"/>
      <c r="C309" s="93"/>
      <c r="D309" s="93"/>
      <c r="E309" s="92"/>
      <c r="F309" s="92"/>
      <c r="G309" s="92"/>
      <c r="H309" s="92"/>
      <c r="I309" s="92"/>
      <c r="J309" s="92"/>
      <c r="K309" s="92"/>
      <c r="L309" s="92"/>
      <c r="M309" s="92"/>
      <c r="N309" s="94"/>
      <c r="AG309" s="100"/>
      <c r="AH309" s="101"/>
      <c r="AI309" s="101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2"/>
      <c r="AX309" s="100"/>
      <c r="AY309" s="101"/>
      <c r="AZ309" s="101"/>
      <c r="BA309" s="100"/>
      <c r="BB309" s="100"/>
      <c r="BC309" s="100"/>
      <c r="BD309" s="100"/>
      <c r="BE309" s="100"/>
      <c r="BF309" s="100"/>
      <c r="BG309" s="100"/>
      <c r="BH309" s="100"/>
      <c r="BI309" s="100"/>
      <c r="BJ309" s="100"/>
      <c r="BK309" s="102"/>
      <c r="BN309" s="36"/>
    </row>
    <row r="310" spans="1:66" x14ac:dyDescent="0.25">
      <c r="A310" s="92"/>
      <c r="B310" s="93"/>
      <c r="C310" s="93"/>
      <c r="D310" s="93"/>
      <c r="E310" s="92"/>
      <c r="F310" s="92"/>
      <c r="G310" s="92"/>
      <c r="H310" s="92"/>
      <c r="I310" s="92"/>
      <c r="J310" s="92"/>
      <c r="K310" s="92"/>
      <c r="L310" s="92"/>
      <c r="M310" s="92"/>
      <c r="N310" s="94"/>
      <c r="AG310" s="100"/>
      <c r="AH310" s="101"/>
      <c r="AI310" s="101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2"/>
      <c r="AX310" s="100"/>
      <c r="AY310" s="101"/>
      <c r="AZ310" s="101"/>
      <c r="BA310" s="100"/>
      <c r="BB310" s="100"/>
      <c r="BC310" s="100"/>
      <c r="BD310" s="100"/>
      <c r="BE310" s="100"/>
      <c r="BF310" s="100"/>
      <c r="BG310" s="100"/>
      <c r="BH310" s="100"/>
      <c r="BI310" s="100"/>
      <c r="BJ310" s="100"/>
      <c r="BK310" s="102"/>
      <c r="BN310" s="36"/>
    </row>
    <row r="311" spans="1:66" x14ac:dyDescent="0.25">
      <c r="A311" s="92"/>
      <c r="B311" s="93"/>
      <c r="C311" s="93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4"/>
      <c r="AG311" s="100"/>
      <c r="AH311" s="101"/>
      <c r="AI311" s="101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2"/>
      <c r="AX311" s="100"/>
      <c r="AY311" s="101"/>
      <c r="AZ311" s="101"/>
      <c r="BA311" s="100"/>
      <c r="BB311" s="100"/>
      <c r="BC311" s="100"/>
      <c r="BD311" s="100"/>
      <c r="BE311" s="100"/>
      <c r="BF311" s="100"/>
      <c r="BG311" s="100"/>
      <c r="BH311" s="100"/>
      <c r="BI311" s="100"/>
      <c r="BJ311" s="100"/>
      <c r="BK311" s="102"/>
      <c r="BN311" s="36"/>
    </row>
    <row r="312" spans="1:66" x14ac:dyDescent="0.25">
      <c r="A312" s="92"/>
      <c r="B312" s="93"/>
      <c r="C312" s="93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4"/>
      <c r="AG312" s="100"/>
      <c r="AH312" s="101"/>
      <c r="AI312" s="101"/>
      <c r="AJ312" s="101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2"/>
      <c r="AX312" s="100"/>
      <c r="AY312" s="101"/>
      <c r="AZ312" s="101"/>
      <c r="BA312" s="100"/>
      <c r="BB312" s="100"/>
      <c r="BC312" s="100"/>
      <c r="BD312" s="100"/>
      <c r="BE312" s="100"/>
      <c r="BF312" s="100"/>
      <c r="BG312" s="100"/>
      <c r="BH312" s="100"/>
      <c r="BI312" s="100"/>
      <c r="BJ312" s="100"/>
      <c r="BK312" s="102"/>
      <c r="BN312" s="36"/>
    </row>
    <row r="313" spans="1:66" x14ac:dyDescent="0.2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AG313" s="100"/>
      <c r="AH313" s="101"/>
      <c r="AI313" s="101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2"/>
      <c r="AX313" s="100"/>
      <c r="AY313" s="101"/>
      <c r="AZ313" s="101"/>
      <c r="BA313" s="100"/>
      <c r="BB313" s="100"/>
      <c r="BC313" s="100"/>
      <c r="BD313" s="100"/>
      <c r="BE313" s="100"/>
      <c r="BF313" s="100"/>
      <c r="BG313" s="100"/>
      <c r="BH313" s="100"/>
      <c r="BI313" s="100"/>
      <c r="BJ313" s="100"/>
      <c r="BK313" s="102"/>
      <c r="BN313" s="36"/>
    </row>
    <row r="314" spans="1:66" x14ac:dyDescent="0.2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AG314" s="100"/>
      <c r="AH314" s="101"/>
      <c r="AI314" s="101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2"/>
      <c r="AX314" s="100"/>
      <c r="AY314" s="101"/>
      <c r="AZ314" s="101"/>
      <c r="BA314" s="100"/>
      <c r="BB314" s="100"/>
      <c r="BC314" s="100"/>
      <c r="BD314" s="100"/>
      <c r="BE314" s="100"/>
      <c r="BF314" s="100"/>
      <c r="BG314" s="100"/>
      <c r="BH314" s="100"/>
      <c r="BI314" s="100"/>
      <c r="BJ314" s="100"/>
      <c r="BK314" s="102"/>
      <c r="BN314" s="36"/>
    </row>
    <row r="315" spans="1:66" x14ac:dyDescent="0.2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AG315" s="100"/>
      <c r="AH315" s="101"/>
      <c r="AI315" s="101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2"/>
      <c r="AX315" s="100"/>
      <c r="AY315" s="101"/>
      <c r="AZ315" s="101"/>
      <c r="BA315" s="100"/>
      <c r="BB315" s="100"/>
      <c r="BC315" s="100"/>
      <c r="BD315" s="100"/>
      <c r="BE315" s="100"/>
      <c r="BF315" s="100"/>
      <c r="BG315" s="100"/>
      <c r="BH315" s="100"/>
      <c r="BI315" s="100"/>
      <c r="BJ315" s="100"/>
      <c r="BK315" s="102"/>
      <c r="BN315" s="36"/>
    </row>
    <row r="316" spans="1:66" x14ac:dyDescent="0.25">
      <c r="A316" s="92"/>
      <c r="B316" s="93"/>
      <c r="C316" s="93"/>
      <c r="D316" s="93"/>
      <c r="E316" s="92"/>
      <c r="F316" s="92"/>
      <c r="G316" s="92"/>
      <c r="H316" s="92"/>
      <c r="I316" s="92"/>
      <c r="J316" s="92"/>
      <c r="K316" s="92"/>
      <c r="L316" s="92"/>
      <c r="M316" s="92"/>
      <c r="N316" s="94"/>
      <c r="AG316" s="100"/>
      <c r="AH316" s="101"/>
      <c r="AI316" s="101"/>
      <c r="AJ316" s="101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2"/>
      <c r="AX316" s="100"/>
      <c r="AY316" s="101"/>
      <c r="AZ316" s="101"/>
      <c r="BA316" s="100"/>
      <c r="BB316" s="100"/>
      <c r="BC316" s="100"/>
      <c r="BD316" s="100"/>
      <c r="BE316" s="100"/>
      <c r="BF316" s="100"/>
      <c r="BG316" s="100"/>
      <c r="BH316" s="100"/>
      <c r="BI316" s="100"/>
      <c r="BJ316" s="100"/>
      <c r="BK316" s="102"/>
      <c r="BN316" s="36"/>
    </row>
    <row r="317" spans="1:66" x14ac:dyDescent="0.25">
      <c r="A317" s="92"/>
      <c r="B317" s="93"/>
      <c r="C317" s="93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4"/>
      <c r="AG317" s="100"/>
      <c r="AH317" s="101"/>
      <c r="AI317" s="101"/>
      <c r="AJ317" s="101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2"/>
      <c r="AX317" s="100"/>
      <c r="AY317" s="101"/>
      <c r="AZ317" s="101"/>
      <c r="BA317" s="100"/>
      <c r="BB317" s="100"/>
      <c r="BC317" s="100"/>
      <c r="BD317" s="100"/>
      <c r="BE317" s="100"/>
      <c r="BF317" s="100"/>
      <c r="BG317" s="100"/>
      <c r="BH317" s="100"/>
      <c r="BI317" s="100"/>
      <c r="BJ317" s="100"/>
      <c r="BK317" s="102"/>
      <c r="BN317" s="36"/>
    </row>
    <row r="318" spans="1:66" x14ac:dyDescent="0.25">
      <c r="A318" s="92"/>
      <c r="B318" s="93"/>
      <c r="C318" s="93"/>
      <c r="D318" s="93"/>
      <c r="E318" s="92"/>
      <c r="F318" s="92"/>
      <c r="G318" s="92"/>
      <c r="H318" s="92"/>
      <c r="I318" s="92"/>
      <c r="J318" s="92"/>
      <c r="K318" s="92"/>
      <c r="L318" s="92"/>
      <c r="M318" s="92"/>
      <c r="N318" s="94"/>
      <c r="AG318" s="100"/>
      <c r="AH318" s="101"/>
      <c r="AI318" s="101"/>
      <c r="AJ318" s="101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2"/>
      <c r="AX318" s="100"/>
      <c r="AY318" s="101"/>
      <c r="AZ318" s="101"/>
      <c r="BA318" s="101"/>
      <c r="BB318" s="100"/>
      <c r="BC318" s="100"/>
      <c r="BD318" s="100"/>
      <c r="BE318" s="100"/>
      <c r="BF318" s="100"/>
      <c r="BG318" s="100"/>
      <c r="BH318" s="100"/>
      <c r="BI318" s="100"/>
      <c r="BJ318" s="100"/>
      <c r="BK318" s="102"/>
      <c r="BN318" s="36"/>
    </row>
    <row r="319" spans="1:66" x14ac:dyDescent="0.25">
      <c r="A319" s="92"/>
      <c r="B319" s="93"/>
      <c r="C319" s="93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4"/>
      <c r="AG319" s="100"/>
      <c r="AH319" s="101"/>
      <c r="AI319" s="101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2"/>
      <c r="AX319" s="100"/>
      <c r="AY319" s="101"/>
      <c r="AZ319" s="101"/>
      <c r="BA319" s="100"/>
      <c r="BB319" s="100"/>
      <c r="BC319" s="100"/>
      <c r="BD319" s="100"/>
      <c r="BE319" s="100"/>
      <c r="BF319" s="100"/>
      <c r="BG319" s="100"/>
      <c r="BH319" s="100"/>
      <c r="BI319" s="100"/>
      <c r="BJ319" s="100"/>
      <c r="BK319" s="102"/>
      <c r="BN319" s="36"/>
    </row>
    <row r="320" spans="1:66" x14ac:dyDescent="0.25">
      <c r="A320" s="92"/>
      <c r="B320" s="93"/>
      <c r="C320" s="93"/>
      <c r="D320" s="93"/>
      <c r="E320" s="92"/>
      <c r="F320" s="92"/>
      <c r="G320" s="92"/>
      <c r="H320" s="92"/>
      <c r="I320" s="92"/>
      <c r="J320" s="92"/>
      <c r="K320" s="92"/>
      <c r="L320" s="92"/>
      <c r="M320" s="92"/>
      <c r="N320" s="94"/>
      <c r="AG320" s="100"/>
      <c r="AH320" s="101"/>
      <c r="AI320" s="101"/>
      <c r="AJ320" s="101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2"/>
      <c r="AX320" s="100"/>
      <c r="AY320" s="101"/>
      <c r="AZ320" s="101"/>
      <c r="BA320" s="100"/>
      <c r="BB320" s="100"/>
      <c r="BC320" s="100"/>
      <c r="BD320" s="100"/>
      <c r="BE320" s="100"/>
      <c r="BF320" s="100"/>
      <c r="BG320" s="100"/>
      <c r="BH320" s="100"/>
      <c r="BI320" s="100"/>
      <c r="BJ320" s="100"/>
      <c r="BK320" s="102"/>
      <c r="BN320" s="36"/>
    </row>
    <row r="321" spans="1:66" x14ac:dyDescent="0.25">
      <c r="A321" s="92"/>
      <c r="B321" s="93"/>
      <c r="C321" s="93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4"/>
      <c r="AG321" s="100"/>
      <c r="AH321" s="101"/>
      <c r="AI321" s="101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2"/>
      <c r="AX321" s="100"/>
      <c r="AY321" s="101"/>
      <c r="AZ321" s="101"/>
      <c r="BA321" s="100"/>
      <c r="BB321" s="100"/>
      <c r="BC321" s="100"/>
      <c r="BD321" s="100"/>
      <c r="BE321" s="100"/>
      <c r="BF321" s="100"/>
      <c r="BG321" s="100"/>
      <c r="BH321" s="100"/>
      <c r="BI321" s="100"/>
      <c r="BJ321" s="100"/>
      <c r="BK321" s="102"/>
      <c r="BN321" s="36"/>
    </row>
    <row r="322" spans="1:66" x14ac:dyDescent="0.2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AG322" s="100"/>
      <c r="AH322" s="101"/>
      <c r="AI322" s="101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2"/>
      <c r="AX322" s="100"/>
      <c r="AY322" s="101"/>
      <c r="AZ322" s="101"/>
      <c r="BA322" s="100"/>
      <c r="BB322" s="100"/>
      <c r="BC322" s="100"/>
      <c r="BD322" s="100"/>
      <c r="BE322" s="100"/>
      <c r="BF322" s="100"/>
      <c r="BG322" s="100"/>
      <c r="BH322" s="100"/>
      <c r="BI322" s="100"/>
      <c r="BJ322" s="100"/>
      <c r="BK322" s="102"/>
      <c r="BN322" s="36"/>
    </row>
    <row r="323" spans="1:66" x14ac:dyDescent="0.25">
      <c r="A323" s="92"/>
      <c r="B323" s="93"/>
      <c r="C323" s="93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4"/>
      <c r="AG323" s="100"/>
      <c r="AH323" s="101"/>
      <c r="AI323" s="101"/>
      <c r="AJ323" s="101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2"/>
      <c r="AX323" s="100"/>
      <c r="AY323" s="101"/>
      <c r="AZ323" s="101"/>
      <c r="BA323" s="100"/>
      <c r="BB323" s="100"/>
      <c r="BC323" s="100"/>
      <c r="BD323" s="100"/>
      <c r="BE323" s="100"/>
      <c r="BF323" s="100"/>
      <c r="BG323" s="100"/>
      <c r="BH323" s="100"/>
      <c r="BI323" s="100"/>
      <c r="BJ323" s="100"/>
      <c r="BK323" s="102"/>
      <c r="BN323" s="36"/>
    </row>
    <row r="324" spans="1:66" x14ac:dyDescent="0.25">
      <c r="A324" s="92"/>
      <c r="B324" s="93"/>
      <c r="C324" s="93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4"/>
      <c r="AG324" s="100"/>
      <c r="AH324" s="101"/>
      <c r="AI324" s="101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2"/>
      <c r="AX324" s="100"/>
      <c r="AY324" s="101"/>
      <c r="AZ324" s="101"/>
      <c r="BA324" s="101"/>
      <c r="BB324" s="100"/>
      <c r="BC324" s="100"/>
      <c r="BD324" s="100"/>
      <c r="BE324" s="100"/>
      <c r="BF324" s="100"/>
      <c r="BG324" s="100"/>
      <c r="BH324" s="100"/>
      <c r="BI324" s="100"/>
      <c r="BJ324" s="100"/>
      <c r="BK324" s="102"/>
      <c r="BN324" s="36"/>
    </row>
    <row r="325" spans="1:66" x14ac:dyDescent="0.25">
      <c r="A325" s="92"/>
      <c r="B325" s="93"/>
      <c r="C325" s="93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4"/>
      <c r="AG325" s="100"/>
      <c r="AH325" s="101"/>
      <c r="AI325" s="101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2"/>
      <c r="AX325" s="100"/>
      <c r="AY325" s="101"/>
      <c r="AZ325" s="101"/>
      <c r="BA325" s="101"/>
      <c r="BB325" s="100"/>
      <c r="BC325" s="100"/>
      <c r="BD325" s="100"/>
      <c r="BE325" s="100"/>
      <c r="BF325" s="100"/>
      <c r="BG325" s="100"/>
      <c r="BH325" s="100"/>
      <c r="BI325" s="100"/>
      <c r="BJ325" s="100"/>
      <c r="BK325" s="102"/>
      <c r="BN325" s="36"/>
    </row>
    <row r="326" spans="1:66" x14ac:dyDescent="0.2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AG326" s="100"/>
      <c r="AH326" s="101"/>
      <c r="AI326" s="101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2"/>
      <c r="AX326" s="100"/>
      <c r="AY326" s="101"/>
      <c r="AZ326" s="101"/>
      <c r="BA326" s="100"/>
      <c r="BB326" s="100"/>
      <c r="BC326" s="100"/>
      <c r="BD326" s="100"/>
      <c r="BE326" s="100"/>
      <c r="BF326" s="100"/>
      <c r="BG326" s="100"/>
      <c r="BH326" s="100"/>
      <c r="BI326" s="100"/>
      <c r="BJ326" s="100"/>
      <c r="BK326" s="102"/>
      <c r="BN326" s="36"/>
    </row>
    <row r="327" spans="1:66" x14ac:dyDescent="0.2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AG327" s="100"/>
      <c r="AH327" s="101"/>
      <c r="AI327" s="101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2"/>
      <c r="AX327" s="100"/>
      <c r="AY327" s="101"/>
      <c r="AZ327" s="101"/>
      <c r="BA327" s="100"/>
      <c r="BB327" s="100"/>
      <c r="BC327" s="100"/>
      <c r="BD327" s="100"/>
      <c r="BE327" s="100"/>
      <c r="BF327" s="100"/>
      <c r="BG327" s="100"/>
      <c r="BH327" s="100"/>
      <c r="BI327" s="100"/>
      <c r="BJ327" s="100"/>
      <c r="BK327" s="102"/>
      <c r="BN327" s="36"/>
    </row>
    <row r="328" spans="1:66" x14ac:dyDescent="0.2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AG328" s="100"/>
      <c r="AH328" s="101"/>
      <c r="AI328" s="101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2"/>
      <c r="AX328" s="100"/>
      <c r="AY328" s="101"/>
      <c r="AZ328" s="101"/>
      <c r="BA328" s="100"/>
      <c r="BB328" s="100"/>
      <c r="BC328" s="100"/>
      <c r="BD328" s="100"/>
      <c r="BE328" s="100"/>
      <c r="BF328" s="100"/>
      <c r="BG328" s="100"/>
      <c r="BH328" s="100"/>
      <c r="BI328" s="100"/>
      <c r="BJ328" s="100"/>
      <c r="BK328" s="102"/>
      <c r="BN328" s="36"/>
    </row>
    <row r="329" spans="1:66" x14ac:dyDescent="0.2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AG329" s="100"/>
      <c r="AH329" s="101"/>
      <c r="AI329" s="101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2"/>
      <c r="AX329" s="100"/>
      <c r="AY329" s="101"/>
      <c r="AZ329" s="101"/>
      <c r="BA329" s="100"/>
      <c r="BB329" s="100"/>
      <c r="BC329" s="100"/>
      <c r="BD329" s="100"/>
      <c r="BE329" s="100"/>
      <c r="BF329" s="100"/>
      <c r="BG329" s="100"/>
      <c r="BH329" s="100"/>
      <c r="BI329" s="100"/>
      <c r="BJ329" s="100"/>
      <c r="BK329" s="102"/>
      <c r="BN329" s="36"/>
    </row>
    <row r="330" spans="1:66" x14ac:dyDescent="0.2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AG330" s="100"/>
      <c r="AH330" s="101"/>
      <c r="AI330" s="101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2"/>
      <c r="AX330" s="100"/>
      <c r="AY330" s="101"/>
      <c r="AZ330" s="101"/>
      <c r="BA330" s="100"/>
      <c r="BB330" s="100"/>
      <c r="BC330" s="100"/>
      <c r="BD330" s="100"/>
      <c r="BE330" s="100"/>
      <c r="BF330" s="100"/>
      <c r="BG330" s="100"/>
      <c r="BH330" s="100"/>
      <c r="BI330" s="100"/>
      <c r="BJ330" s="100"/>
      <c r="BK330" s="102"/>
      <c r="BN330" s="36"/>
    </row>
    <row r="331" spans="1:66" x14ac:dyDescent="0.25">
      <c r="A331" s="92"/>
      <c r="B331" s="93"/>
      <c r="C331" s="93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4"/>
      <c r="AG331" s="100"/>
      <c r="AH331" s="101"/>
      <c r="AI331" s="101"/>
      <c r="AJ331" s="101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2"/>
      <c r="AX331" s="100"/>
      <c r="AY331" s="101"/>
      <c r="AZ331" s="101"/>
      <c r="BA331" s="100"/>
      <c r="BB331" s="100"/>
      <c r="BC331" s="100"/>
      <c r="BD331" s="100"/>
      <c r="BE331" s="100"/>
      <c r="BF331" s="100"/>
      <c r="BG331" s="100"/>
      <c r="BH331" s="100"/>
      <c r="BI331" s="100"/>
      <c r="BJ331" s="100"/>
      <c r="BK331" s="102"/>
      <c r="BN331" s="36"/>
    </row>
    <row r="332" spans="1:66" x14ac:dyDescent="0.25">
      <c r="A332" s="92"/>
      <c r="B332" s="93"/>
      <c r="C332" s="93"/>
      <c r="D332" s="93"/>
      <c r="E332" s="92"/>
      <c r="F332" s="92"/>
      <c r="G332" s="92"/>
      <c r="H332" s="92"/>
      <c r="I332" s="92"/>
      <c r="J332" s="92"/>
      <c r="K332" s="92"/>
      <c r="L332" s="92"/>
      <c r="M332" s="92"/>
      <c r="N332" s="94"/>
      <c r="AG332" s="100"/>
      <c r="AH332" s="101"/>
      <c r="AI332" s="101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2"/>
      <c r="AX332" s="100"/>
      <c r="AY332" s="101"/>
      <c r="AZ332" s="101"/>
      <c r="BA332" s="101"/>
      <c r="BB332" s="100"/>
      <c r="BC332" s="100"/>
      <c r="BD332" s="100"/>
      <c r="BE332" s="100"/>
      <c r="BF332" s="100"/>
      <c r="BG332" s="100"/>
      <c r="BH332" s="100"/>
      <c r="BI332" s="100"/>
      <c r="BJ332" s="100"/>
      <c r="BK332" s="102"/>
      <c r="BN332" s="36"/>
    </row>
    <row r="333" spans="1:66" x14ac:dyDescent="0.25">
      <c r="A333" s="92"/>
      <c r="B333" s="93"/>
      <c r="C333" s="93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4"/>
      <c r="AG333" s="100"/>
      <c r="AH333" s="101"/>
      <c r="AI333" s="101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2"/>
      <c r="AX333" s="100"/>
      <c r="AY333" s="101"/>
      <c r="AZ333" s="101"/>
      <c r="BA333" s="100"/>
      <c r="BB333" s="100"/>
      <c r="BC333" s="100"/>
      <c r="BD333" s="100"/>
      <c r="BE333" s="100"/>
      <c r="BF333" s="100"/>
      <c r="BG333" s="100"/>
      <c r="BH333" s="100"/>
      <c r="BI333" s="100"/>
      <c r="BJ333" s="100"/>
      <c r="BK333" s="102"/>
      <c r="BN333" s="36"/>
    </row>
    <row r="334" spans="1:66" x14ac:dyDescent="0.25">
      <c r="A334" s="92"/>
      <c r="B334" s="93"/>
      <c r="C334" s="93"/>
      <c r="D334" s="93"/>
      <c r="E334" s="92"/>
      <c r="F334" s="92"/>
      <c r="G334" s="92"/>
      <c r="H334" s="92"/>
      <c r="I334" s="92"/>
      <c r="J334" s="92"/>
      <c r="K334" s="92"/>
      <c r="L334" s="92"/>
      <c r="M334" s="92"/>
      <c r="N334" s="94"/>
      <c r="AG334" s="100"/>
      <c r="AH334" s="101"/>
      <c r="AI334" s="101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2"/>
      <c r="AX334" s="100"/>
      <c r="AY334" s="101"/>
      <c r="AZ334" s="101"/>
      <c r="BA334" s="100"/>
      <c r="BB334" s="100"/>
      <c r="BC334" s="100"/>
      <c r="BD334" s="100"/>
      <c r="BE334" s="100"/>
      <c r="BF334" s="100"/>
      <c r="BG334" s="100"/>
      <c r="BH334" s="100"/>
      <c r="BI334" s="100"/>
      <c r="BJ334" s="100"/>
      <c r="BK334" s="102"/>
      <c r="BN334" s="36"/>
    </row>
    <row r="335" spans="1:66" x14ac:dyDescent="0.2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AG335" s="100"/>
      <c r="AH335" s="101"/>
      <c r="AI335" s="101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2"/>
      <c r="AX335" s="100"/>
      <c r="AY335" s="101"/>
      <c r="AZ335" s="101"/>
      <c r="BA335" s="100"/>
      <c r="BB335" s="100"/>
      <c r="BC335" s="100"/>
      <c r="BD335" s="100"/>
      <c r="BE335" s="100"/>
      <c r="BF335" s="100"/>
      <c r="BG335" s="100"/>
      <c r="BH335" s="100"/>
      <c r="BI335" s="100"/>
      <c r="BJ335" s="100"/>
      <c r="BK335" s="102"/>
      <c r="BN335" s="36"/>
    </row>
    <row r="336" spans="1:66" x14ac:dyDescent="0.25">
      <c r="A336" s="92"/>
      <c r="B336" s="93"/>
      <c r="C336" s="93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4"/>
      <c r="AG336" s="100"/>
      <c r="AH336" s="101"/>
      <c r="AI336" s="101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2"/>
      <c r="AX336" s="100"/>
      <c r="AY336" s="101"/>
      <c r="AZ336" s="101"/>
      <c r="BA336" s="101"/>
      <c r="BB336" s="100"/>
      <c r="BC336" s="100"/>
      <c r="BD336" s="100"/>
      <c r="BE336" s="100"/>
      <c r="BF336" s="100"/>
      <c r="BG336" s="100"/>
      <c r="BH336" s="100"/>
      <c r="BI336" s="100"/>
      <c r="BJ336" s="100"/>
      <c r="BK336" s="102"/>
      <c r="BN336" s="36"/>
    </row>
    <row r="337" spans="1:66" x14ac:dyDescent="0.25">
      <c r="A337" s="92"/>
      <c r="B337" s="93"/>
      <c r="C337" s="93"/>
      <c r="D337" s="93"/>
      <c r="E337" s="92"/>
      <c r="F337" s="92"/>
      <c r="G337" s="92"/>
      <c r="H337" s="92"/>
      <c r="I337" s="92"/>
      <c r="J337" s="92"/>
      <c r="K337" s="92"/>
      <c r="L337" s="92"/>
      <c r="M337" s="92"/>
      <c r="N337" s="94"/>
      <c r="AG337" s="100"/>
      <c r="AH337" s="101"/>
      <c r="AI337" s="101"/>
      <c r="AJ337" s="101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2"/>
      <c r="AX337" s="100"/>
      <c r="AY337" s="101"/>
      <c r="AZ337" s="101"/>
      <c r="BA337" s="101"/>
      <c r="BB337" s="100"/>
      <c r="BC337" s="100"/>
      <c r="BD337" s="100"/>
      <c r="BE337" s="100"/>
      <c r="BF337" s="100"/>
      <c r="BG337" s="100"/>
      <c r="BH337" s="100"/>
      <c r="BI337" s="100"/>
      <c r="BJ337" s="100"/>
      <c r="BK337" s="102"/>
      <c r="BN337" s="36"/>
    </row>
    <row r="338" spans="1:66" x14ac:dyDescent="0.25">
      <c r="A338" s="92"/>
      <c r="B338" s="93"/>
      <c r="C338" s="93"/>
      <c r="D338" s="93"/>
      <c r="E338" s="92"/>
      <c r="F338" s="92"/>
      <c r="G338" s="92"/>
      <c r="H338" s="92"/>
      <c r="I338" s="92"/>
      <c r="J338" s="92"/>
      <c r="K338" s="92"/>
      <c r="L338" s="92"/>
      <c r="M338" s="92"/>
      <c r="N338" s="94"/>
      <c r="AG338" s="100"/>
      <c r="AH338" s="101"/>
      <c r="AI338" s="101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2"/>
      <c r="AX338" s="100"/>
      <c r="AY338" s="101"/>
      <c r="AZ338" s="101"/>
      <c r="BA338" s="101"/>
      <c r="BB338" s="100"/>
      <c r="BC338" s="100"/>
      <c r="BD338" s="100"/>
      <c r="BE338" s="100"/>
      <c r="BF338" s="100"/>
      <c r="BG338" s="100"/>
      <c r="BH338" s="100"/>
      <c r="BI338" s="100"/>
      <c r="BJ338" s="100"/>
      <c r="BK338" s="102"/>
      <c r="BN338" s="36"/>
    </row>
    <row r="339" spans="1:66" x14ac:dyDescent="0.2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AG339" s="100"/>
      <c r="AH339" s="101"/>
      <c r="AI339" s="101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2"/>
      <c r="AX339" s="100"/>
      <c r="AY339" s="101"/>
      <c r="AZ339" s="101"/>
      <c r="BA339" s="100"/>
      <c r="BB339" s="100"/>
      <c r="BC339" s="100"/>
      <c r="BD339" s="100"/>
      <c r="BE339" s="100"/>
      <c r="BF339" s="100"/>
      <c r="BG339" s="100"/>
      <c r="BH339" s="100"/>
      <c r="BI339" s="100"/>
      <c r="BJ339" s="100"/>
      <c r="BK339" s="102"/>
      <c r="BN339" s="36"/>
    </row>
    <row r="340" spans="1:66" x14ac:dyDescent="0.2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AG340" s="100"/>
      <c r="AH340" s="101"/>
      <c r="AI340" s="101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2"/>
      <c r="AX340" s="100"/>
      <c r="AY340" s="101"/>
      <c r="AZ340" s="101"/>
      <c r="BA340" s="101"/>
      <c r="BB340" s="100"/>
      <c r="BC340" s="100"/>
      <c r="BD340" s="100"/>
      <c r="BE340" s="100"/>
      <c r="BF340" s="100"/>
      <c r="BG340" s="100"/>
      <c r="BH340" s="100"/>
      <c r="BI340" s="100"/>
      <c r="BJ340" s="100"/>
      <c r="BK340" s="102"/>
      <c r="BN340" s="36"/>
    </row>
    <row r="341" spans="1:66" x14ac:dyDescent="0.2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AG341" s="100"/>
      <c r="AH341" s="101"/>
      <c r="AI341" s="101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2"/>
      <c r="AX341" s="100"/>
      <c r="AY341" s="101"/>
      <c r="AZ341" s="101"/>
      <c r="BA341" s="100"/>
      <c r="BB341" s="100"/>
      <c r="BC341" s="100"/>
      <c r="BD341" s="100"/>
      <c r="BE341" s="100"/>
      <c r="BF341" s="100"/>
      <c r="BG341" s="100"/>
      <c r="BH341" s="100"/>
      <c r="BI341" s="100"/>
      <c r="BJ341" s="100"/>
      <c r="BK341" s="102"/>
      <c r="BN341" s="36"/>
    </row>
    <row r="342" spans="1:66" x14ac:dyDescent="0.25">
      <c r="A342" s="92"/>
      <c r="B342" s="93"/>
      <c r="C342" s="93"/>
      <c r="D342" s="93"/>
      <c r="E342" s="92"/>
      <c r="F342" s="92"/>
      <c r="G342" s="92"/>
      <c r="H342" s="92"/>
      <c r="I342" s="92"/>
      <c r="J342" s="92"/>
      <c r="K342" s="92"/>
      <c r="L342" s="92"/>
      <c r="M342" s="92"/>
      <c r="N342" s="94"/>
      <c r="AG342" s="100"/>
      <c r="AH342" s="101"/>
      <c r="AI342" s="101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2"/>
      <c r="AX342" s="100"/>
      <c r="AY342" s="101"/>
      <c r="AZ342" s="101"/>
      <c r="BA342" s="100"/>
      <c r="BB342" s="100"/>
      <c r="BC342" s="100"/>
      <c r="BD342" s="100"/>
      <c r="BE342" s="100"/>
      <c r="BF342" s="100"/>
      <c r="BG342" s="100"/>
      <c r="BH342" s="100"/>
      <c r="BI342" s="100"/>
      <c r="BJ342" s="100"/>
      <c r="BK342" s="102"/>
      <c r="BN342" s="36"/>
    </row>
    <row r="343" spans="1:66" x14ac:dyDescent="0.25">
      <c r="A343" s="92"/>
      <c r="B343" s="93"/>
      <c r="C343" s="93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4"/>
      <c r="AG343" s="100"/>
      <c r="AH343" s="101"/>
      <c r="AI343" s="101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2"/>
      <c r="AX343" s="100"/>
      <c r="AY343" s="101"/>
      <c r="AZ343" s="101"/>
      <c r="BA343" s="101"/>
      <c r="BB343" s="100"/>
      <c r="BC343" s="100"/>
      <c r="BD343" s="100"/>
      <c r="BE343" s="100"/>
      <c r="BF343" s="100"/>
      <c r="BG343" s="100"/>
      <c r="BH343" s="100"/>
      <c r="BI343" s="100"/>
      <c r="BJ343" s="100"/>
      <c r="BK343" s="102"/>
      <c r="BN343" s="36"/>
    </row>
    <row r="344" spans="1:66" x14ac:dyDescent="0.25">
      <c r="A344" s="92"/>
      <c r="B344" s="93"/>
      <c r="C344" s="93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4"/>
      <c r="AG344" s="100"/>
      <c r="AH344" s="101"/>
      <c r="AI344" s="101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2"/>
      <c r="AX344" s="100"/>
      <c r="AY344" s="101"/>
      <c r="AZ344" s="101"/>
      <c r="BA344" s="100"/>
      <c r="BB344" s="100"/>
      <c r="BC344" s="100"/>
      <c r="BD344" s="100"/>
      <c r="BE344" s="100"/>
      <c r="BF344" s="100"/>
      <c r="BG344" s="100"/>
      <c r="BH344" s="100"/>
      <c r="BI344" s="100"/>
      <c r="BJ344" s="100"/>
      <c r="BK344" s="102"/>
      <c r="BN344" s="36"/>
    </row>
    <row r="345" spans="1:66" x14ac:dyDescent="0.2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AG345" s="100"/>
      <c r="AH345" s="101"/>
      <c r="AI345" s="101"/>
      <c r="AJ345" s="101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2"/>
      <c r="AX345" s="100"/>
      <c r="AY345" s="101"/>
      <c r="AZ345" s="101"/>
      <c r="BA345" s="100"/>
      <c r="BB345" s="100"/>
      <c r="BC345" s="100"/>
      <c r="BD345" s="100"/>
      <c r="BE345" s="100"/>
      <c r="BF345" s="100"/>
      <c r="BG345" s="100"/>
      <c r="BH345" s="100"/>
      <c r="BI345" s="100"/>
      <c r="BJ345" s="100"/>
      <c r="BK345" s="102"/>
      <c r="BN345" s="36"/>
    </row>
    <row r="346" spans="1:66" x14ac:dyDescent="0.25">
      <c r="A346" s="92"/>
      <c r="B346" s="93"/>
      <c r="C346" s="93"/>
      <c r="D346" s="93"/>
      <c r="E346" s="92"/>
      <c r="F346" s="92"/>
      <c r="G346" s="92"/>
      <c r="H346" s="92"/>
      <c r="I346" s="92"/>
      <c r="J346" s="92"/>
      <c r="K346" s="92"/>
      <c r="L346" s="92"/>
      <c r="M346" s="92"/>
      <c r="N346" s="94"/>
      <c r="AG346" s="100"/>
      <c r="AH346" s="101"/>
      <c r="AI346" s="101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2"/>
      <c r="AX346" s="100"/>
      <c r="AY346" s="101"/>
      <c r="AZ346" s="101"/>
      <c r="BA346" s="100"/>
      <c r="BB346" s="100"/>
      <c r="BC346" s="100"/>
      <c r="BD346" s="100"/>
      <c r="BE346" s="100"/>
      <c r="BF346" s="100"/>
      <c r="BG346" s="100"/>
      <c r="BH346" s="100"/>
      <c r="BI346" s="100"/>
      <c r="BJ346" s="100"/>
      <c r="BK346" s="102"/>
      <c r="BN346" s="36"/>
    </row>
    <row r="347" spans="1:66" x14ac:dyDescent="0.25">
      <c r="A347" s="92"/>
      <c r="B347" s="92"/>
      <c r="C347" s="92"/>
      <c r="D347" s="93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AG347" s="100"/>
      <c r="AH347" s="101"/>
      <c r="AI347" s="101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2"/>
      <c r="AX347" s="100"/>
      <c r="AY347" s="101"/>
      <c r="AZ347" s="101"/>
      <c r="BA347" s="100"/>
      <c r="BB347" s="100"/>
      <c r="BC347" s="100"/>
      <c r="BD347" s="100"/>
      <c r="BE347" s="100"/>
      <c r="BF347" s="100"/>
      <c r="BG347" s="100"/>
      <c r="BH347" s="100"/>
      <c r="BI347" s="100"/>
      <c r="BJ347" s="100"/>
      <c r="BK347" s="102"/>
      <c r="BN347" s="36"/>
    </row>
    <row r="348" spans="1:66" x14ac:dyDescent="0.25">
      <c r="A348" s="92"/>
      <c r="B348" s="93"/>
      <c r="C348" s="93"/>
      <c r="D348" s="93"/>
      <c r="E348" s="92"/>
      <c r="F348" s="92"/>
      <c r="G348" s="92"/>
      <c r="H348" s="92"/>
      <c r="I348" s="92"/>
      <c r="J348" s="92"/>
      <c r="K348" s="92"/>
      <c r="L348" s="92"/>
      <c r="M348" s="92"/>
      <c r="N348" s="94"/>
      <c r="AG348" s="100"/>
      <c r="AH348" s="101"/>
      <c r="AI348" s="101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2"/>
      <c r="AX348" s="100"/>
      <c r="AY348" s="101"/>
      <c r="AZ348" s="101"/>
      <c r="BA348" s="100"/>
      <c r="BB348" s="100"/>
      <c r="BC348" s="100"/>
      <c r="BD348" s="100"/>
      <c r="BE348" s="100"/>
      <c r="BF348" s="100"/>
      <c r="BG348" s="100"/>
      <c r="BH348" s="100"/>
      <c r="BI348" s="100"/>
      <c r="BJ348" s="100"/>
      <c r="BK348" s="102"/>
      <c r="BN348" s="36"/>
    </row>
    <row r="349" spans="1:66" x14ac:dyDescent="0.25">
      <c r="A349" s="92"/>
      <c r="B349" s="93"/>
      <c r="C349" s="93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4"/>
      <c r="AG349" s="100"/>
      <c r="AH349" s="101"/>
      <c r="AI349" s="101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2"/>
      <c r="AX349" s="100"/>
      <c r="AY349" s="101"/>
      <c r="AZ349" s="101"/>
      <c r="BA349" s="100"/>
      <c r="BB349" s="100"/>
      <c r="BC349" s="100"/>
      <c r="BD349" s="100"/>
      <c r="BE349" s="100"/>
      <c r="BF349" s="100"/>
      <c r="BG349" s="100"/>
      <c r="BH349" s="100"/>
      <c r="BI349" s="100"/>
      <c r="BJ349" s="100"/>
      <c r="BK349" s="102"/>
      <c r="BN349" s="36"/>
    </row>
    <row r="350" spans="1:66" x14ac:dyDescent="0.25">
      <c r="A350" s="92"/>
      <c r="B350" s="93"/>
      <c r="C350" s="93"/>
      <c r="D350" s="93"/>
      <c r="E350" s="92"/>
      <c r="F350" s="92"/>
      <c r="G350" s="92"/>
      <c r="H350" s="92"/>
      <c r="I350" s="92"/>
      <c r="J350" s="92"/>
      <c r="K350" s="92"/>
      <c r="L350" s="92"/>
      <c r="M350" s="92"/>
      <c r="N350" s="94"/>
      <c r="AG350" s="100"/>
      <c r="AH350" s="101"/>
      <c r="AI350" s="101"/>
      <c r="AJ350" s="101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2"/>
      <c r="AX350" s="100"/>
      <c r="AY350" s="101"/>
      <c r="AZ350" s="101"/>
      <c r="BA350" s="100"/>
      <c r="BB350" s="100"/>
      <c r="BC350" s="100"/>
      <c r="BD350" s="100"/>
      <c r="BE350" s="100"/>
      <c r="BF350" s="100"/>
      <c r="BG350" s="100"/>
      <c r="BH350" s="100"/>
      <c r="BI350" s="100"/>
      <c r="BJ350" s="100"/>
      <c r="BK350" s="102"/>
      <c r="BN350" s="36"/>
    </row>
    <row r="351" spans="1:66" x14ac:dyDescent="0.25">
      <c r="A351" s="92"/>
      <c r="B351" s="93"/>
      <c r="C351" s="93"/>
      <c r="D351" s="93"/>
      <c r="E351" s="92"/>
      <c r="F351" s="92"/>
      <c r="G351" s="92"/>
      <c r="H351" s="92"/>
      <c r="I351" s="92"/>
      <c r="J351" s="92"/>
      <c r="K351" s="92"/>
      <c r="L351" s="92"/>
      <c r="M351" s="92"/>
      <c r="N351" s="94"/>
      <c r="AG351" s="100"/>
      <c r="AH351" s="101"/>
      <c r="AI351" s="101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2"/>
      <c r="AX351" s="100"/>
      <c r="AY351" s="101"/>
      <c r="AZ351" s="101"/>
      <c r="BA351" s="101"/>
      <c r="BB351" s="100"/>
      <c r="BC351" s="100"/>
      <c r="BD351" s="100"/>
      <c r="BE351" s="100"/>
      <c r="BF351" s="100"/>
      <c r="BG351" s="100"/>
      <c r="BH351" s="100"/>
      <c r="BI351" s="100"/>
      <c r="BJ351" s="100"/>
      <c r="BK351" s="102"/>
      <c r="BN351" s="36"/>
    </row>
    <row r="352" spans="1:66" x14ac:dyDescent="0.25">
      <c r="A352" s="92"/>
      <c r="B352" s="93"/>
      <c r="C352" s="93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4"/>
      <c r="AG352" s="100"/>
      <c r="AH352" s="101"/>
      <c r="AI352" s="101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2"/>
      <c r="AX352" s="100"/>
      <c r="AY352" s="101"/>
      <c r="AZ352" s="101"/>
      <c r="BA352" s="100"/>
      <c r="BB352" s="100"/>
      <c r="BC352" s="100"/>
      <c r="BD352" s="100"/>
      <c r="BE352" s="100"/>
      <c r="BF352" s="100"/>
      <c r="BG352" s="100"/>
      <c r="BH352" s="100"/>
      <c r="BI352" s="100"/>
      <c r="BJ352" s="100"/>
      <c r="BK352" s="102"/>
      <c r="BN352" s="36"/>
    </row>
    <row r="353" spans="1:66" x14ac:dyDescent="0.25">
      <c r="A353" s="92"/>
      <c r="B353" s="93"/>
      <c r="C353" s="93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4"/>
      <c r="AG353" s="100"/>
      <c r="AH353" s="101"/>
      <c r="AI353" s="101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2"/>
      <c r="AX353" s="100"/>
      <c r="AY353" s="101"/>
      <c r="AZ353" s="101"/>
      <c r="BA353" s="100"/>
      <c r="BB353" s="100"/>
      <c r="BC353" s="100"/>
      <c r="BD353" s="100"/>
      <c r="BE353" s="100"/>
      <c r="BF353" s="100"/>
      <c r="BG353" s="100"/>
      <c r="BH353" s="100"/>
      <c r="BI353" s="100"/>
      <c r="BJ353" s="100"/>
      <c r="BK353" s="102"/>
      <c r="BN353" s="36"/>
    </row>
    <row r="354" spans="1:66" x14ac:dyDescent="0.25">
      <c r="A354" s="92"/>
      <c r="B354" s="93"/>
      <c r="C354" s="93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4"/>
      <c r="AG354" s="100"/>
      <c r="AH354" s="101"/>
      <c r="AI354" s="101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2"/>
      <c r="AX354" s="100"/>
      <c r="AY354" s="101"/>
      <c r="AZ354" s="101"/>
      <c r="BA354" s="100"/>
      <c r="BB354" s="100"/>
      <c r="BC354" s="100"/>
      <c r="BD354" s="100"/>
      <c r="BE354" s="100"/>
      <c r="BF354" s="100"/>
      <c r="BG354" s="100"/>
      <c r="BH354" s="100"/>
      <c r="BI354" s="100"/>
      <c r="BJ354" s="100"/>
      <c r="BK354" s="102"/>
      <c r="BN354" s="36"/>
    </row>
    <row r="355" spans="1:66" x14ac:dyDescent="0.25">
      <c r="A355" s="92"/>
      <c r="B355" s="93"/>
      <c r="C355" s="93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4"/>
      <c r="AG355" s="100"/>
      <c r="AH355" s="101"/>
      <c r="AI355" s="101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2"/>
      <c r="AX355" s="100"/>
      <c r="AY355" s="101"/>
      <c r="AZ355" s="101"/>
      <c r="BA355" s="100"/>
      <c r="BB355" s="100"/>
      <c r="BC355" s="100"/>
      <c r="BD355" s="100"/>
      <c r="BE355" s="100"/>
      <c r="BF355" s="100"/>
      <c r="BG355" s="100"/>
      <c r="BH355" s="100"/>
      <c r="BI355" s="100"/>
      <c r="BJ355" s="100"/>
      <c r="BK355" s="102"/>
      <c r="BN355" s="36"/>
    </row>
    <row r="356" spans="1:66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AG356" s="100"/>
      <c r="AH356" s="101"/>
      <c r="AI356" s="101"/>
      <c r="AJ356" s="101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2"/>
      <c r="AX356" s="100"/>
      <c r="AY356" s="101"/>
      <c r="AZ356" s="101"/>
      <c r="BA356" s="100"/>
      <c r="BB356" s="100"/>
      <c r="BC356" s="100"/>
      <c r="BD356" s="100"/>
      <c r="BE356" s="100"/>
      <c r="BF356" s="100"/>
      <c r="BG356" s="100"/>
      <c r="BH356" s="100"/>
      <c r="BI356" s="100"/>
      <c r="BJ356" s="100"/>
      <c r="BK356" s="102"/>
      <c r="BN356" s="36"/>
    </row>
    <row r="357" spans="1:66" x14ac:dyDescent="0.25">
      <c r="A357" s="92"/>
      <c r="B357" s="93"/>
      <c r="C357" s="93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4"/>
      <c r="AG357" s="100"/>
      <c r="AH357" s="101"/>
      <c r="AI357" s="101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2"/>
      <c r="AX357" s="100"/>
      <c r="AY357" s="101"/>
      <c r="AZ357" s="101"/>
      <c r="BA357" s="101"/>
      <c r="BB357" s="100"/>
      <c r="BC357" s="100"/>
      <c r="BD357" s="100"/>
      <c r="BE357" s="100"/>
      <c r="BF357" s="100"/>
      <c r="BG357" s="100"/>
      <c r="BH357" s="100"/>
      <c r="BI357" s="100"/>
      <c r="BJ357" s="100"/>
      <c r="BK357" s="102"/>
      <c r="BN357" s="36"/>
    </row>
    <row r="358" spans="1:66" x14ac:dyDescent="0.2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AG358" s="100"/>
      <c r="AH358" s="101"/>
      <c r="AI358" s="101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2"/>
      <c r="AX358" s="100"/>
      <c r="AY358" s="101"/>
      <c r="AZ358" s="101"/>
      <c r="BA358" s="100"/>
      <c r="BB358" s="100"/>
      <c r="BC358" s="100"/>
      <c r="BD358" s="100"/>
      <c r="BE358" s="100"/>
      <c r="BF358" s="100"/>
      <c r="BG358" s="100"/>
      <c r="BH358" s="100"/>
      <c r="BI358" s="100"/>
      <c r="BJ358" s="100"/>
      <c r="BK358" s="102"/>
      <c r="BN358" s="36"/>
    </row>
    <row r="359" spans="1:66" x14ac:dyDescent="0.25">
      <c r="A359" s="92"/>
      <c r="B359" s="93"/>
      <c r="C359" s="93"/>
      <c r="D359" s="93"/>
      <c r="E359" s="92"/>
      <c r="F359" s="92"/>
      <c r="G359" s="92"/>
      <c r="H359" s="92"/>
      <c r="I359" s="92"/>
      <c r="J359" s="92"/>
      <c r="K359" s="92"/>
      <c r="L359" s="92"/>
      <c r="M359" s="92"/>
      <c r="N359" s="94"/>
      <c r="AG359" s="100"/>
      <c r="AH359" s="101"/>
      <c r="AI359" s="101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2"/>
      <c r="AX359" s="100"/>
      <c r="AY359" s="101"/>
      <c r="AZ359" s="101"/>
      <c r="BA359" s="100"/>
      <c r="BB359" s="100"/>
      <c r="BC359" s="100"/>
      <c r="BD359" s="100"/>
      <c r="BE359" s="100"/>
      <c r="BF359" s="100"/>
      <c r="BG359" s="100"/>
      <c r="BH359" s="100"/>
      <c r="BI359" s="100"/>
      <c r="BJ359" s="100"/>
      <c r="BK359" s="102"/>
      <c r="BN359" s="36"/>
    </row>
    <row r="360" spans="1:66" x14ac:dyDescent="0.2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AG360" s="100"/>
      <c r="AH360" s="101"/>
      <c r="AI360" s="101"/>
      <c r="AJ360" s="101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2"/>
      <c r="AX360" s="100"/>
      <c r="AY360" s="101"/>
      <c r="AZ360" s="101"/>
      <c r="BA360" s="100"/>
      <c r="BB360" s="100"/>
      <c r="BC360" s="100"/>
      <c r="BD360" s="100"/>
      <c r="BE360" s="100"/>
      <c r="BF360" s="100"/>
      <c r="BG360" s="100"/>
      <c r="BH360" s="100"/>
      <c r="BI360" s="100"/>
      <c r="BJ360" s="100"/>
      <c r="BK360" s="102"/>
      <c r="BN360" s="36"/>
    </row>
    <row r="361" spans="1:66" x14ac:dyDescent="0.2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AG361" s="100"/>
      <c r="AH361" s="101"/>
      <c r="AI361" s="101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2"/>
      <c r="AX361" s="100"/>
      <c r="AY361" s="101"/>
      <c r="AZ361" s="101"/>
      <c r="BA361" s="100"/>
      <c r="BB361" s="100"/>
      <c r="BC361" s="100"/>
      <c r="BD361" s="100"/>
      <c r="BE361" s="100"/>
      <c r="BF361" s="100"/>
      <c r="BG361" s="100"/>
      <c r="BH361" s="100"/>
      <c r="BI361" s="100"/>
      <c r="BJ361" s="100"/>
      <c r="BK361" s="102"/>
      <c r="BN361" s="36"/>
    </row>
    <row r="362" spans="1:66" x14ac:dyDescent="0.25">
      <c r="A362" s="92"/>
      <c r="B362" s="93"/>
      <c r="C362" s="93"/>
      <c r="D362" s="93"/>
      <c r="E362" s="92"/>
      <c r="F362" s="92"/>
      <c r="G362" s="92"/>
      <c r="H362" s="92"/>
      <c r="I362" s="92"/>
      <c r="J362" s="92"/>
      <c r="K362" s="92"/>
      <c r="L362" s="92"/>
      <c r="M362" s="92"/>
      <c r="N362" s="94"/>
      <c r="AG362" s="100"/>
      <c r="AH362" s="101"/>
      <c r="AI362" s="101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2"/>
      <c r="AX362" s="100"/>
      <c r="AY362" s="101"/>
      <c r="AZ362" s="101"/>
      <c r="BA362" s="100"/>
      <c r="BB362" s="100"/>
      <c r="BC362" s="100"/>
      <c r="BD362" s="100"/>
      <c r="BE362" s="100"/>
      <c r="BF362" s="100"/>
      <c r="BG362" s="100"/>
      <c r="BH362" s="100"/>
      <c r="BI362" s="100"/>
      <c r="BJ362" s="100"/>
      <c r="BK362" s="102"/>
      <c r="BN362" s="36"/>
    </row>
    <row r="363" spans="1:66" x14ac:dyDescent="0.25">
      <c r="A363" s="92"/>
      <c r="B363" s="93"/>
      <c r="C363" s="93"/>
      <c r="D363" s="93"/>
      <c r="E363" s="92"/>
      <c r="F363" s="92"/>
      <c r="G363" s="92"/>
      <c r="H363" s="92"/>
      <c r="I363" s="92"/>
      <c r="J363" s="92"/>
      <c r="K363" s="92"/>
      <c r="L363" s="92"/>
      <c r="M363" s="92"/>
      <c r="N363" s="94"/>
      <c r="AG363" s="100"/>
      <c r="AH363" s="101"/>
      <c r="AI363" s="101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2"/>
      <c r="AX363" s="100"/>
      <c r="AY363" s="101"/>
      <c r="AZ363" s="101"/>
      <c r="BA363" s="100"/>
      <c r="BB363" s="100"/>
      <c r="BC363" s="100"/>
      <c r="BD363" s="100"/>
      <c r="BE363" s="100"/>
      <c r="BF363" s="100"/>
      <c r="BG363" s="100"/>
      <c r="BH363" s="100"/>
      <c r="BI363" s="100"/>
      <c r="BJ363" s="100"/>
      <c r="BK363" s="102"/>
      <c r="BN363" s="36"/>
    </row>
    <row r="364" spans="1:66" x14ac:dyDescent="0.2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AG364" s="100"/>
      <c r="AH364" s="101"/>
      <c r="AI364" s="101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2"/>
      <c r="AX364" s="100"/>
      <c r="AY364" s="101"/>
      <c r="AZ364" s="101"/>
      <c r="BA364" s="100"/>
      <c r="BB364" s="100"/>
      <c r="BC364" s="100"/>
      <c r="BD364" s="100"/>
      <c r="BE364" s="100"/>
      <c r="BF364" s="100"/>
      <c r="BG364" s="100"/>
      <c r="BH364" s="100"/>
      <c r="BI364" s="100"/>
      <c r="BJ364" s="100"/>
      <c r="BK364" s="102"/>
      <c r="BN364" s="36"/>
    </row>
    <row r="365" spans="1:66" x14ac:dyDescent="0.25">
      <c r="A365" s="92"/>
      <c r="B365" s="93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4"/>
      <c r="AG365" s="100"/>
      <c r="AH365" s="101"/>
      <c r="AI365" s="101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2"/>
      <c r="AX365" s="100"/>
      <c r="AY365" s="101"/>
      <c r="AZ365" s="101"/>
      <c r="BA365" s="101"/>
      <c r="BB365" s="100"/>
      <c r="BC365" s="100"/>
      <c r="BD365" s="100"/>
      <c r="BE365" s="100"/>
      <c r="BF365" s="100"/>
      <c r="BG365" s="100"/>
      <c r="BH365" s="100"/>
      <c r="BI365" s="100"/>
      <c r="BJ365" s="100"/>
      <c r="BK365" s="102"/>
      <c r="BN365" s="36"/>
    </row>
    <row r="366" spans="1:66" x14ac:dyDescent="0.25">
      <c r="A366" s="92"/>
      <c r="B366" s="93"/>
      <c r="C366" s="93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4"/>
      <c r="AG366" s="100"/>
      <c r="AH366" s="101"/>
      <c r="AI366" s="101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2"/>
      <c r="AX366" s="100"/>
      <c r="AY366" s="101"/>
      <c r="AZ366" s="101"/>
      <c r="BA366" s="100"/>
      <c r="BB366" s="100"/>
      <c r="BC366" s="100"/>
      <c r="BD366" s="100"/>
      <c r="BE366" s="100"/>
      <c r="BF366" s="100"/>
      <c r="BG366" s="100"/>
      <c r="BH366" s="100"/>
      <c r="BI366" s="100"/>
      <c r="BJ366" s="100"/>
      <c r="BK366" s="102"/>
      <c r="BN366" s="36"/>
    </row>
    <row r="367" spans="1:66" x14ac:dyDescent="0.25">
      <c r="A367" s="92"/>
      <c r="B367" s="93"/>
      <c r="C367" s="92"/>
      <c r="D367" s="93"/>
      <c r="E367" s="92"/>
      <c r="F367" s="92"/>
      <c r="G367" s="92"/>
      <c r="H367" s="92"/>
      <c r="I367" s="92"/>
      <c r="J367" s="92"/>
      <c r="K367" s="92"/>
      <c r="L367" s="92"/>
      <c r="M367" s="92"/>
      <c r="N367" s="94"/>
      <c r="AG367" s="100"/>
      <c r="AH367" s="101"/>
      <c r="AI367" s="101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2"/>
      <c r="AX367" s="100"/>
      <c r="AY367" s="101"/>
      <c r="AZ367" s="101"/>
      <c r="BA367" s="100"/>
      <c r="BB367" s="100"/>
      <c r="BC367" s="100"/>
      <c r="BD367" s="100"/>
      <c r="BE367" s="100"/>
      <c r="BF367" s="100"/>
      <c r="BG367" s="100"/>
      <c r="BH367" s="100"/>
      <c r="BI367" s="100"/>
      <c r="BJ367" s="100"/>
      <c r="BK367" s="102"/>
      <c r="BN367" s="36"/>
    </row>
    <row r="368" spans="1:66" x14ac:dyDescent="0.25">
      <c r="A368" s="92"/>
      <c r="B368" s="93"/>
      <c r="C368" s="93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4"/>
      <c r="AG368" s="100"/>
      <c r="AH368" s="101"/>
      <c r="AI368" s="101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2"/>
      <c r="AX368" s="100"/>
      <c r="AY368" s="101"/>
      <c r="AZ368" s="101"/>
      <c r="BA368" s="100"/>
      <c r="BB368" s="100"/>
      <c r="BC368" s="100"/>
      <c r="BD368" s="100"/>
      <c r="BE368" s="100"/>
      <c r="BF368" s="100"/>
      <c r="BG368" s="100"/>
      <c r="BH368" s="100"/>
      <c r="BI368" s="100"/>
      <c r="BJ368" s="100"/>
      <c r="BK368" s="102"/>
      <c r="BN368" s="36"/>
    </row>
    <row r="369" spans="1:66" x14ac:dyDescent="0.25">
      <c r="A369" s="92"/>
      <c r="B369" s="93"/>
      <c r="C369" s="93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4"/>
      <c r="AG369" s="100"/>
      <c r="AH369" s="101"/>
      <c r="AI369" s="101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2"/>
      <c r="AX369" s="100"/>
      <c r="AY369" s="101"/>
      <c r="AZ369" s="101"/>
      <c r="BA369" s="100"/>
      <c r="BB369" s="100"/>
      <c r="BC369" s="100"/>
      <c r="BD369" s="100"/>
      <c r="BE369" s="100"/>
      <c r="BF369" s="100"/>
      <c r="BG369" s="100"/>
      <c r="BH369" s="100"/>
      <c r="BI369" s="100"/>
      <c r="BJ369" s="100"/>
      <c r="BK369" s="102"/>
      <c r="BN369" s="36"/>
    </row>
    <row r="370" spans="1:66" x14ac:dyDescent="0.2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AG370" s="100"/>
      <c r="AH370" s="101"/>
      <c r="AI370" s="101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2"/>
      <c r="AX370" s="100"/>
      <c r="AY370" s="101"/>
      <c r="AZ370" s="101"/>
      <c r="BA370" s="101"/>
      <c r="BB370" s="100"/>
      <c r="BC370" s="100"/>
      <c r="BD370" s="100"/>
      <c r="BE370" s="100"/>
      <c r="BF370" s="100"/>
      <c r="BG370" s="100"/>
      <c r="BH370" s="100"/>
      <c r="BI370" s="100"/>
      <c r="BJ370" s="100"/>
      <c r="BK370" s="102"/>
      <c r="BN370" s="36"/>
    </row>
    <row r="371" spans="1:66" x14ac:dyDescent="0.2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AG371" s="100"/>
      <c r="AH371" s="101"/>
      <c r="AI371" s="101"/>
      <c r="AJ371" s="101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2"/>
      <c r="AX371" s="100"/>
      <c r="AY371" s="101"/>
      <c r="AZ371" s="101"/>
      <c r="BA371" s="100"/>
      <c r="BB371" s="100"/>
      <c r="BC371" s="100"/>
      <c r="BD371" s="100"/>
      <c r="BE371" s="100"/>
      <c r="BF371" s="100"/>
      <c r="BG371" s="100"/>
      <c r="BH371" s="100"/>
      <c r="BI371" s="100"/>
      <c r="BJ371" s="100"/>
      <c r="BK371" s="102"/>
      <c r="BN371" s="36"/>
    </row>
    <row r="372" spans="1:66" x14ac:dyDescent="0.25">
      <c r="A372" s="92"/>
      <c r="B372" s="93"/>
      <c r="C372" s="93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4"/>
      <c r="AG372" s="100"/>
      <c r="AH372" s="101"/>
      <c r="AI372" s="101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2"/>
      <c r="AX372" s="100"/>
      <c r="AY372" s="101"/>
      <c r="AZ372" s="101"/>
      <c r="BA372" s="100"/>
      <c r="BB372" s="100"/>
      <c r="BC372" s="100"/>
      <c r="BD372" s="100"/>
      <c r="BE372" s="100"/>
      <c r="BF372" s="100"/>
      <c r="BG372" s="100"/>
      <c r="BH372" s="100"/>
      <c r="BI372" s="100"/>
      <c r="BJ372" s="100"/>
      <c r="BK372" s="102"/>
      <c r="BN372" s="36"/>
    </row>
    <row r="373" spans="1:66" x14ac:dyDescent="0.25">
      <c r="A373" s="92"/>
      <c r="B373" s="93"/>
      <c r="C373" s="93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4"/>
      <c r="AG373" s="100"/>
      <c r="AH373" s="101"/>
      <c r="AI373" s="101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2"/>
      <c r="AX373" s="100"/>
      <c r="AY373" s="101"/>
      <c r="AZ373" s="101"/>
      <c r="BA373" s="100"/>
      <c r="BB373" s="100"/>
      <c r="BC373" s="100"/>
      <c r="BD373" s="100"/>
      <c r="BE373" s="100"/>
      <c r="BF373" s="100"/>
      <c r="BG373" s="100"/>
      <c r="BH373" s="100"/>
      <c r="BI373" s="100"/>
      <c r="BJ373" s="100"/>
      <c r="BK373" s="102"/>
      <c r="BN373" s="36"/>
    </row>
    <row r="374" spans="1:66" x14ac:dyDescent="0.25">
      <c r="A374" s="92"/>
      <c r="B374" s="93"/>
      <c r="C374" s="93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4"/>
      <c r="AG374" s="100"/>
      <c r="AH374" s="101"/>
      <c r="AI374" s="101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2"/>
      <c r="AX374" s="100"/>
      <c r="AY374" s="101"/>
      <c r="AZ374" s="101"/>
      <c r="BA374" s="100"/>
      <c r="BB374" s="100"/>
      <c r="BC374" s="100"/>
      <c r="BD374" s="100"/>
      <c r="BE374" s="100"/>
      <c r="BF374" s="100"/>
      <c r="BG374" s="100"/>
      <c r="BH374" s="100"/>
      <c r="BI374" s="100"/>
      <c r="BJ374" s="100"/>
      <c r="BK374" s="102"/>
      <c r="BN374" s="36"/>
    </row>
    <row r="375" spans="1:66" x14ac:dyDescent="0.25">
      <c r="A375" s="92"/>
      <c r="B375" s="93"/>
      <c r="C375" s="93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4"/>
      <c r="AG375" s="100"/>
      <c r="AH375" s="101"/>
      <c r="AI375" s="101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2"/>
      <c r="AX375" s="100"/>
      <c r="AY375" s="101"/>
      <c r="AZ375" s="101"/>
      <c r="BA375" s="100"/>
      <c r="BB375" s="100"/>
      <c r="BC375" s="100"/>
      <c r="BD375" s="100"/>
      <c r="BE375" s="100"/>
      <c r="BF375" s="100"/>
      <c r="BG375" s="100"/>
      <c r="BH375" s="100"/>
      <c r="BI375" s="100"/>
      <c r="BJ375" s="100"/>
      <c r="BK375" s="102"/>
      <c r="BN375" s="36"/>
    </row>
    <row r="376" spans="1:66" x14ac:dyDescent="0.25">
      <c r="A376" s="92"/>
      <c r="B376" s="93"/>
      <c r="C376" s="93"/>
      <c r="D376" s="93"/>
      <c r="E376" s="92"/>
      <c r="F376" s="92"/>
      <c r="G376" s="92"/>
      <c r="H376" s="92"/>
      <c r="I376" s="92"/>
      <c r="J376" s="92"/>
      <c r="K376" s="92"/>
      <c r="L376" s="92"/>
      <c r="M376" s="92"/>
      <c r="N376" s="94"/>
      <c r="AG376" s="100"/>
      <c r="AH376" s="101"/>
      <c r="AI376" s="101"/>
      <c r="AJ376" s="101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2"/>
      <c r="AX376" s="100"/>
      <c r="AY376" s="101"/>
      <c r="AZ376" s="101"/>
      <c r="BA376" s="101"/>
      <c r="BB376" s="100"/>
      <c r="BC376" s="100"/>
      <c r="BD376" s="100"/>
      <c r="BE376" s="100"/>
      <c r="BF376" s="100"/>
      <c r="BG376" s="100"/>
      <c r="BH376" s="100"/>
      <c r="BI376" s="100"/>
      <c r="BJ376" s="100"/>
      <c r="BK376" s="102"/>
      <c r="BN376" s="36"/>
    </row>
    <row r="377" spans="1:66" x14ac:dyDescent="0.25">
      <c r="A377" s="92"/>
      <c r="B377" s="93"/>
      <c r="C377" s="93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4"/>
      <c r="AG377" s="100"/>
      <c r="AH377" s="101"/>
      <c r="AI377" s="101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2"/>
      <c r="AX377" s="100"/>
      <c r="AY377" s="101"/>
      <c r="AZ377" s="101"/>
      <c r="BA377" s="100"/>
      <c r="BB377" s="100"/>
      <c r="BC377" s="100"/>
      <c r="BD377" s="100"/>
      <c r="BE377" s="100"/>
      <c r="BF377" s="100"/>
      <c r="BG377" s="100"/>
      <c r="BH377" s="100"/>
      <c r="BI377" s="100"/>
      <c r="BJ377" s="100"/>
      <c r="BK377" s="102"/>
      <c r="BN377" s="36"/>
    </row>
    <row r="378" spans="1:66" x14ac:dyDescent="0.25">
      <c r="A378" s="92"/>
      <c r="B378" s="93"/>
      <c r="C378" s="93"/>
      <c r="D378" s="93"/>
      <c r="E378" s="92"/>
      <c r="F378" s="92"/>
      <c r="G378" s="92"/>
      <c r="H378" s="92"/>
      <c r="I378" s="92"/>
      <c r="J378" s="92"/>
      <c r="K378" s="92"/>
      <c r="L378" s="92"/>
      <c r="M378" s="92"/>
      <c r="N378" s="94"/>
      <c r="AG378" s="100"/>
      <c r="AH378" s="101"/>
      <c r="AI378" s="101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2"/>
      <c r="AX378" s="100"/>
      <c r="AY378" s="101"/>
      <c r="AZ378" s="101"/>
      <c r="BA378" s="100"/>
      <c r="BB378" s="100"/>
      <c r="BC378" s="100"/>
      <c r="BD378" s="100"/>
      <c r="BE378" s="100"/>
      <c r="BF378" s="100"/>
      <c r="BG378" s="100"/>
      <c r="BH378" s="100"/>
      <c r="BI378" s="100"/>
      <c r="BJ378" s="100"/>
      <c r="BK378" s="102"/>
      <c r="BN378" s="36"/>
    </row>
    <row r="379" spans="1:66" x14ac:dyDescent="0.25">
      <c r="A379" s="92"/>
      <c r="B379" s="93"/>
      <c r="C379" s="93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4"/>
      <c r="AG379" s="100"/>
      <c r="AH379" s="101"/>
      <c r="AI379" s="101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2"/>
      <c r="AX379" s="100"/>
      <c r="AY379" s="101"/>
      <c r="AZ379" s="101"/>
      <c r="BA379" s="100"/>
      <c r="BB379" s="100"/>
      <c r="BC379" s="100"/>
      <c r="BD379" s="100"/>
      <c r="BE379" s="100"/>
      <c r="BF379" s="100"/>
      <c r="BG379" s="100"/>
      <c r="BH379" s="100"/>
      <c r="BI379" s="100"/>
      <c r="BJ379" s="100"/>
      <c r="BK379" s="102"/>
      <c r="BN379" s="36"/>
    </row>
    <row r="380" spans="1:66" x14ac:dyDescent="0.25">
      <c r="A380" s="92"/>
      <c r="B380" s="93"/>
      <c r="C380" s="93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4"/>
      <c r="AG380" s="100"/>
      <c r="AH380" s="101"/>
      <c r="AI380" s="101"/>
      <c r="AJ380" s="101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2"/>
      <c r="AX380" s="100"/>
      <c r="AY380" s="101"/>
      <c r="AZ380" s="101"/>
      <c r="BA380" s="101"/>
      <c r="BB380" s="100"/>
      <c r="BC380" s="100"/>
      <c r="BD380" s="100"/>
      <c r="BE380" s="100"/>
      <c r="BF380" s="100"/>
      <c r="BG380" s="100"/>
      <c r="BH380" s="100"/>
      <c r="BI380" s="100"/>
      <c r="BJ380" s="100"/>
      <c r="BK380" s="102"/>
      <c r="BN380" s="36"/>
    </row>
    <row r="381" spans="1:66" x14ac:dyDescent="0.25">
      <c r="A381" s="92"/>
      <c r="B381" s="93"/>
      <c r="C381" s="93"/>
      <c r="D381" s="93"/>
      <c r="E381" s="92"/>
      <c r="F381" s="92"/>
      <c r="G381" s="92"/>
      <c r="H381" s="92"/>
      <c r="I381" s="92"/>
      <c r="J381" s="92"/>
      <c r="K381" s="92"/>
      <c r="L381" s="92"/>
      <c r="M381" s="92"/>
      <c r="N381" s="94"/>
      <c r="AG381" s="100"/>
      <c r="AH381" s="101"/>
      <c r="AI381" s="101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2"/>
      <c r="AX381" s="100"/>
      <c r="AY381" s="101"/>
      <c r="AZ381" s="101"/>
      <c r="BA381" s="100"/>
      <c r="BB381" s="100"/>
      <c r="BC381" s="100"/>
      <c r="BD381" s="100"/>
      <c r="BE381" s="100"/>
      <c r="BF381" s="100"/>
      <c r="BG381" s="100"/>
      <c r="BH381" s="100"/>
      <c r="BI381" s="100"/>
      <c r="BJ381" s="100"/>
      <c r="BK381" s="102"/>
      <c r="BN381" s="36"/>
    </row>
    <row r="382" spans="1:66" x14ac:dyDescent="0.2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AG382" s="100"/>
      <c r="AH382" s="101"/>
      <c r="AI382" s="101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2"/>
      <c r="AX382" s="100"/>
      <c r="AY382" s="101"/>
      <c r="AZ382" s="101"/>
      <c r="BA382" s="100"/>
      <c r="BB382" s="100"/>
      <c r="BC382" s="100"/>
      <c r="BD382" s="100"/>
      <c r="BE382" s="100"/>
      <c r="BF382" s="100"/>
      <c r="BG382" s="100"/>
      <c r="BH382" s="100"/>
      <c r="BI382" s="100"/>
      <c r="BJ382" s="100"/>
      <c r="BK382" s="102"/>
      <c r="BN382" s="36"/>
    </row>
    <row r="383" spans="1:66" x14ac:dyDescent="0.2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AG383" s="100"/>
      <c r="AH383" s="101"/>
      <c r="AI383" s="101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2"/>
      <c r="AX383" s="100"/>
      <c r="AY383" s="101"/>
      <c r="AZ383" s="101"/>
      <c r="BA383" s="100"/>
      <c r="BB383" s="100"/>
      <c r="BC383" s="100"/>
      <c r="BD383" s="100"/>
      <c r="BE383" s="100"/>
      <c r="BF383" s="100"/>
      <c r="BG383" s="100"/>
      <c r="BH383" s="100"/>
      <c r="BI383" s="100"/>
      <c r="BJ383" s="100"/>
      <c r="BK383" s="102"/>
      <c r="BN383" s="36"/>
    </row>
    <row r="384" spans="1:66" x14ac:dyDescent="0.2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AG384" s="100"/>
      <c r="AH384" s="101"/>
      <c r="AI384" s="101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2"/>
      <c r="AX384" s="100"/>
      <c r="AY384" s="101"/>
      <c r="AZ384" s="101"/>
      <c r="BA384" s="100"/>
      <c r="BB384" s="100"/>
      <c r="BC384" s="100"/>
      <c r="BD384" s="100"/>
      <c r="BE384" s="100"/>
      <c r="BF384" s="100"/>
      <c r="BG384" s="100"/>
      <c r="BH384" s="100"/>
      <c r="BI384" s="100"/>
      <c r="BJ384" s="100"/>
      <c r="BK384" s="102"/>
      <c r="BN384" s="36"/>
    </row>
    <row r="385" spans="1:66" x14ac:dyDescent="0.2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AG385" s="100"/>
      <c r="AH385" s="101"/>
      <c r="AI385" s="101"/>
      <c r="AJ385" s="101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2"/>
      <c r="AX385" s="100"/>
      <c r="AY385" s="101"/>
      <c r="AZ385" s="101"/>
      <c r="BA385" s="100"/>
      <c r="BB385" s="100"/>
      <c r="BC385" s="100"/>
      <c r="BD385" s="100"/>
      <c r="BE385" s="100"/>
      <c r="BF385" s="100"/>
      <c r="BG385" s="100"/>
      <c r="BH385" s="100"/>
      <c r="BI385" s="100"/>
      <c r="BJ385" s="100"/>
      <c r="BK385" s="102"/>
      <c r="BN385" s="36"/>
    </row>
    <row r="386" spans="1:66" x14ac:dyDescent="0.25">
      <c r="A386" s="92"/>
      <c r="B386" s="93"/>
      <c r="C386" s="93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4"/>
      <c r="AG386" s="100"/>
      <c r="AH386" s="101"/>
      <c r="AI386" s="101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2"/>
      <c r="AX386" s="100"/>
      <c r="AY386" s="101"/>
      <c r="AZ386" s="101"/>
      <c r="BA386" s="100"/>
      <c r="BB386" s="100"/>
      <c r="BC386" s="100"/>
      <c r="BD386" s="100"/>
      <c r="BE386" s="100"/>
      <c r="BF386" s="100"/>
      <c r="BG386" s="100"/>
      <c r="BH386" s="100"/>
      <c r="BI386" s="100"/>
      <c r="BJ386" s="100"/>
      <c r="BK386" s="102"/>
      <c r="BN386" s="36"/>
    </row>
    <row r="387" spans="1:66" x14ac:dyDescent="0.25">
      <c r="A387" s="92"/>
      <c r="B387" s="93"/>
      <c r="C387" s="93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4"/>
      <c r="AG387" s="100"/>
      <c r="AH387" s="101"/>
      <c r="AI387" s="101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2"/>
      <c r="AX387" s="100"/>
      <c r="AY387" s="101"/>
      <c r="AZ387" s="101"/>
      <c r="BA387" s="100"/>
      <c r="BB387" s="100"/>
      <c r="BC387" s="100"/>
      <c r="BD387" s="100"/>
      <c r="BE387" s="100"/>
      <c r="BF387" s="100"/>
      <c r="BG387" s="100"/>
      <c r="BH387" s="100"/>
      <c r="BI387" s="100"/>
      <c r="BJ387" s="100"/>
      <c r="BK387" s="102"/>
      <c r="BN387" s="36"/>
    </row>
    <row r="388" spans="1:66" x14ac:dyDescent="0.25">
      <c r="A388" s="92"/>
      <c r="B388" s="93"/>
      <c r="C388" s="93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4"/>
      <c r="AG388" s="100"/>
      <c r="AH388" s="101"/>
      <c r="AI388" s="101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2"/>
      <c r="AX388" s="100"/>
      <c r="AY388" s="101"/>
      <c r="AZ388" s="101"/>
      <c r="BA388" s="100"/>
      <c r="BB388" s="100"/>
      <c r="BC388" s="100"/>
      <c r="BD388" s="100"/>
      <c r="BE388" s="100"/>
      <c r="BF388" s="100"/>
      <c r="BG388" s="100"/>
      <c r="BH388" s="100"/>
      <c r="BI388" s="100"/>
      <c r="BJ388" s="100"/>
      <c r="BK388" s="102"/>
      <c r="BN388" s="36"/>
    </row>
    <row r="389" spans="1:66" x14ac:dyDescent="0.2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AG389" s="100"/>
      <c r="AH389" s="101"/>
      <c r="AI389" s="101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2"/>
      <c r="AX389" s="100"/>
      <c r="AY389" s="101"/>
      <c r="AZ389" s="101"/>
      <c r="BA389" s="100"/>
      <c r="BB389" s="100"/>
      <c r="BC389" s="100"/>
      <c r="BD389" s="100"/>
      <c r="BE389" s="100"/>
      <c r="BF389" s="100"/>
      <c r="BG389" s="100"/>
      <c r="BH389" s="100"/>
      <c r="BI389" s="100"/>
      <c r="BJ389" s="100"/>
      <c r="BK389" s="102"/>
      <c r="BN389" s="36"/>
    </row>
    <row r="390" spans="1:66" x14ac:dyDescent="0.2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AG390" s="100"/>
      <c r="AH390" s="101"/>
      <c r="AI390" s="101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2"/>
      <c r="AX390" s="100"/>
      <c r="AY390" s="101"/>
      <c r="AZ390" s="101"/>
      <c r="BA390" s="100"/>
      <c r="BB390" s="100"/>
      <c r="BC390" s="100"/>
      <c r="BD390" s="100"/>
      <c r="BE390" s="100"/>
      <c r="BF390" s="100"/>
      <c r="BG390" s="100"/>
      <c r="BH390" s="100"/>
      <c r="BI390" s="100"/>
      <c r="BJ390" s="100"/>
      <c r="BK390" s="102"/>
      <c r="BN390" s="36"/>
    </row>
    <row r="391" spans="1:66" x14ac:dyDescent="0.25">
      <c r="A391" s="92"/>
      <c r="B391" s="93"/>
      <c r="C391" s="93"/>
      <c r="D391" s="93"/>
      <c r="E391" s="92"/>
      <c r="F391" s="92"/>
      <c r="G391" s="92"/>
      <c r="H391" s="92"/>
      <c r="I391" s="92"/>
      <c r="J391" s="92"/>
      <c r="K391" s="92"/>
      <c r="L391" s="92"/>
      <c r="M391" s="92"/>
      <c r="N391" s="94"/>
      <c r="AG391" s="100"/>
      <c r="AH391" s="101"/>
      <c r="AI391" s="101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2"/>
      <c r="AX391" s="100"/>
      <c r="AY391" s="101"/>
      <c r="AZ391" s="101"/>
      <c r="BA391" s="101"/>
      <c r="BB391" s="100"/>
      <c r="BC391" s="100"/>
      <c r="BD391" s="100"/>
      <c r="BE391" s="100"/>
      <c r="BF391" s="100"/>
      <c r="BG391" s="100"/>
      <c r="BH391" s="100"/>
      <c r="BI391" s="100"/>
      <c r="BJ391" s="100"/>
      <c r="BK391" s="102"/>
      <c r="BN391" s="36"/>
    </row>
    <row r="392" spans="1:66" x14ac:dyDescent="0.25">
      <c r="A392" s="92"/>
      <c r="B392" s="93"/>
      <c r="C392" s="93"/>
      <c r="D392" s="93"/>
      <c r="E392" s="92"/>
      <c r="F392" s="92"/>
      <c r="G392" s="92"/>
      <c r="H392" s="92"/>
      <c r="I392" s="92"/>
      <c r="J392" s="92"/>
      <c r="K392" s="92"/>
      <c r="L392" s="92"/>
      <c r="M392" s="92"/>
      <c r="N392" s="94"/>
      <c r="AG392" s="100"/>
      <c r="AH392" s="101"/>
      <c r="AI392" s="101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2"/>
      <c r="AX392" s="100"/>
      <c r="AY392" s="101"/>
      <c r="AZ392" s="101"/>
      <c r="BA392" s="100"/>
      <c r="BB392" s="100"/>
      <c r="BC392" s="100"/>
      <c r="BD392" s="100"/>
      <c r="BE392" s="100"/>
      <c r="BF392" s="100"/>
      <c r="BG392" s="100"/>
      <c r="BH392" s="100"/>
      <c r="BI392" s="100"/>
      <c r="BJ392" s="100"/>
      <c r="BK392" s="102"/>
      <c r="BN392" s="36"/>
    </row>
    <row r="393" spans="1:66" x14ac:dyDescent="0.2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AG393" s="100"/>
      <c r="AH393" s="101"/>
      <c r="AI393" s="101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2"/>
      <c r="AX393" s="100"/>
      <c r="AY393" s="101"/>
      <c r="AZ393" s="101"/>
      <c r="BA393" s="100"/>
      <c r="BB393" s="100"/>
      <c r="BC393" s="100"/>
      <c r="BD393" s="100"/>
      <c r="BE393" s="100"/>
      <c r="BF393" s="100"/>
      <c r="BG393" s="100"/>
      <c r="BH393" s="100"/>
      <c r="BI393" s="100"/>
      <c r="BJ393" s="100"/>
      <c r="BK393" s="102"/>
      <c r="BN393" s="36"/>
    </row>
    <row r="394" spans="1:66" x14ac:dyDescent="0.25">
      <c r="A394" s="92"/>
      <c r="B394" s="93"/>
      <c r="C394" s="93"/>
      <c r="D394" s="93"/>
      <c r="E394" s="92"/>
      <c r="F394" s="92"/>
      <c r="G394" s="92"/>
      <c r="H394" s="92"/>
      <c r="I394" s="92"/>
      <c r="J394" s="92"/>
      <c r="K394" s="92"/>
      <c r="L394" s="92"/>
      <c r="M394" s="92"/>
      <c r="N394" s="94"/>
      <c r="AG394" s="100"/>
      <c r="AH394" s="101"/>
      <c r="AI394" s="101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2"/>
      <c r="AX394" s="100"/>
      <c r="AY394" s="101"/>
      <c r="AZ394" s="101"/>
      <c r="BA394" s="100"/>
      <c r="BB394" s="100"/>
      <c r="BC394" s="100"/>
      <c r="BD394" s="100"/>
      <c r="BE394" s="100"/>
      <c r="BF394" s="100"/>
      <c r="BG394" s="100"/>
      <c r="BH394" s="100"/>
      <c r="BI394" s="100"/>
      <c r="BJ394" s="100"/>
      <c r="BK394" s="102"/>
      <c r="BN394" s="36"/>
    </row>
    <row r="395" spans="1:66" x14ac:dyDescent="0.2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AG395" s="100"/>
      <c r="AH395" s="101"/>
      <c r="AI395" s="100"/>
      <c r="AJ395" s="101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2"/>
      <c r="AX395" s="100"/>
      <c r="AY395" s="101"/>
      <c r="AZ395" s="101"/>
      <c r="BA395" s="100"/>
      <c r="BB395" s="100"/>
      <c r="BC395" s="100"/>
      <c r="BD395" s="100"/>
      <c r="BE395" s="100"/>
      <c r="BF395" s="100"/>
      <c r="BG395" s="100"/>
      <c r="BH395" s="100"/>
      <c r="BI395" s="100"/>
      <c r="BJ395" s="100"/>
      <c r="BK395" s="102"/>
      <c r="BN395" s="36"/>
    </row>
    <row r="396" spans="1:66" x14ac:dyDescent="0.25">
      <c r="A396" s="92"/>
      <c r="B396" s="93"/>
      <c r="C396" s="93"/>
      <c r="D396" s="93"/>
      <c r="E396" s="92"/>
      <c r="F396" s="92"/>
      <c r="G396" s="92"/>
      <c r="H396" s="92"/>
      <c r="I396" s="92"/>
      <c r="J396" s="92"/>
      <c r="K396" s="92"/>
      <c r="L396" s="92"/>
      <c r="M396" s="92"/>
      <c r="N396" s="94"/>
      <c r="AG396" s="100"/>
      <c r="AH396" s="101"/>
      <c r="AI396" s="100"/>
      <c r="AJ396" s="101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2"/>
      <c r="AX396" s="100"/>
      <c r="AY396" s="101"/>
      <c r="AZ396" s="101"/>
      <c r="BA396" s="101"/>
      <c r="BB396" s="100"/>
      <c r="BC396" s="100"/>
      <c r="BD396" s="100"/>
      <c r="BE396" s="100"/>
      <c r="BF396" s="100"/>
      <c r="BG396" s="100"/>
      <c r="BH396" s="100"/>
      <c r="BI396" s="100"/>
      <c r="BJ396" s="100"/>
      <c r="BK396" s="102"/>
      <c r="BN396" s="36"/>
    </row>
    <row r="397" spans="1:66" x14ac:dyDescent="0.25">
      <c r="A397" s="92"/>
      <c r="B397" s="93"/>
      <c r="C397" s="93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4"/>
      <c r="AG397" s="100"/>
      <c r="AH397" s="101"/>
      <c r="AI397" s="101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2"/>
      <c r="AX397" s="100"/>
      <c r="AY397" s="101"/>
      <c r="AZ397" s="101"/>
      <c r="BA397" s="100"/>
      <c r="BB397" s="100"/>
      <c r="BC397" s="100"/>
      <c r="BD397" s="100"/>
      <c r="BE397" s="100"/>
      <c r="BF397" s="100"/>
      <c r="BG397" s="100"/>
      <c r="BH397" s="100"/>
      <c r="BI397" s="100"/>
      <c r="BJ397" s="100"/>
      <c r="BK397" s="102"/>
      <c r="BN397" s="36"/>
    </row>
    <row r="398" spans="1:66" x14ac:dyDescent="0.25">
      <c r="A398" s="92"/>
      <c r="B398" s="93"/>
      <c r="C398" s="93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4"/>
      <c r="AG398" s="100"/>
      <c r="AH398" s="101"/>
      <c r="AI398" s="101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2"/>
      <c r="AX398" s="100"/>
      <c r="AY398" s="101"/>
      <c r="AZ398" s="101"/>
      <c r="BA398" s="100"/>
      <c r="BB398" s="100"/>
      <c r="BC398" s="100"/>
      <c r="BD398" s="100"/>
      <c r="BE398" s="100"/>
      <c r="BF398" s="100"/>
      <c r="BG398" s="100"/>
      <c r="BH398" s="100"/>
      <c r="BI398" s="100"/>
      <c r="BJ398" s="100"/>
      <c r="BK398" s="102"/>
      <c r="BN398" s="36"/>
    </row>
    <row r="399" spans="1:66" x14ac:dyDescent="0.25">
      <c r="A399" s="92"/>
      <c r="B399" s="93"/>
      <c r="C399" s="93"/>
      <c r="D399" s="93"/>
      <c r="E399" s="92"/>
      <c r="F399" s="92"/>
      <c r="G399" s="92"/>
      <c r="H399" s="92"/>
      <c r="I399" s="92"/>
      <c r="J399" s="92"/>
      <c r="K399" s="92"/>
      <c r="L399" s="92"/>
      <c r="M399" s="92"/>
      <c r="N399" s="94"/>
      <c r="AG399" s="100"/>
      <c r="AH399" s="101"/>
      <c r="AI399" s="101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2"/>
      <c r="AX399" s="100"/>
      <c r="AY399" s="101"/>
      <c r="AZ399" s="101"/>
      <c r="BA399" s="100"/>
      <c r="BB399" s="100"/>
      <c r="BC399" s="100"/>
      <c r="BD399" s="100"/>
      <c r="BE399" s="100"/>
      <c r="BF399" s="100"/>
      <c r="BG399" s="100"/>
      <c r="BH399" s="100"/>
      <c r="BI399" s="100"/>
      <c r="BJ399" s="100"/>
      <c r="BK399" s="102"/>
      <c r="BN399" s="36"/>
    </row>
    <row r="400" spans="1:66" x14ac:dyDescent="0.25">
      <c r="A400" s="92"/>
      <c r="B400" s="93"/>
      <c r="C400" s="93"/>
      <c r="D400" s="93"/>
      <c r="E400" s="92"/>
      <c r="F400" s="92"/>
      <c r="G400" s="92"/>
      <c r="H400" s="92"/>
      <c r="I400" s="92"/>
      <c r="J400" s="92"/>
      <c r="K400" s="92"/>
      <c r="L400" s="92"/>
      <c r="M400" s="92"/>
      <c r="N400" s="94"/>
      <c r="AG400" s="100"/>
      <c r="AH400" s="101"/>
      <c r="AI400" s="101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2"/>
      <c r="AX400" s="100"/>
      <c r="AY400" s="101"/>
      <c r="AZ400" s="101"/>
      <c r="BA400" s="101"/>
      <c r="BB400" s="100"/>
      <c r="BC400" s="100"/>
      <c r="BD400" s="100"/>
      <c r="BE400" s="100"/>
      <c r="BF400" s="100"/>
      <c r="BG400" s="100"/>
      <c r="BH400" s="100"/>
      <c r="BI400" s="100"/>
      <c r="BJ400" s="100"/>
      <c r="BK400" s="102"/>
      <c r="BN400" s="36"/>
    </row>
    <row r="401" spans="1:66" x14ac:dyDescent="0.25">
      <c r="A401" s="92"/>
      <c r="B401" s="93"/>
      <c r="C401" s="93"/>
      <c r="D401" s="93"/>
      <c r="E401" s="92"/>
      <c r="F401" s="92"/>
      <c r="G401" s="92"/>
      <c r="H401" s="92"/>
      <c r="I401" s="92"/>
      <c r="J401" s="92"/>
      <c r="K401" s="92"/>
      <c r="L401" s="92"/>
      <c r="M401" s="92"/>
      <c r="N401" s="94"/>
      <c r="AG401" s="100"/>
      <c r="AH401" s="101"/>
      <c r="AI401" s="101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2"/>
      <c r="AX401" s="100"/>
      <c r="AY401" s="101"/>
      <c r="AZ401" s="101"/>
      <c r="BA401" s="100"/>
      <c r="BB401" s="100"/>
      <c r="BC401" s="100"/>
      <c r="BD401" s="100"/>
      <c r="BE401" s="100"/>
      <c r="BF401" s="100"/>
      <c r="BG401" s="100"/>
      <c r="BH401" s="100"/>
      <c r="BI401" s="100"/>
      <c r="BJ401" s="100"/>
      <c r="BK401" s="102"/>
      <c r="BN401" s="36"/>
    </row>
    <row r="402" spans="1:66" x14ac:dyDescent="0.25">
      <c r="A402" s="92"/>
      <c r="B402" s="93"/>
      <c r="C402" s="93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4"/>
      <c r="AG402" s="100"/>
      <c r="AH402" s="101"/>
      <c r="AI402" s="101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2"/>
      <c r="AX402" s="100"/>
      <c r="AY402" s="101"/>
      <c r="AZ402" s="101"/>
      <c r="BA402" s="100"/>
      <c r="BB402" s="100"/>
      <c r="BC402" s="100"/>
      <c r="BD402" s="100"/>
      <c r="BE402" s="100"/>
      <c r="BF402" s="100"/>
      <c r="BG402" s="100"/>
      <c r="BH402" s="100"/>
      <c r="BI402" s="100"/>
      <c r="BJ402" s="100"/>
      <c r="BK402" s="102"/>
      <c r="BN402" s="36"/>
    </row>
    <row r="403" spans="1:66" x14ac:dyDescent="0.25">
      <c r="A403" s="92"/>
      <c r="B403" s="93"/>
      <c r="C403" s="93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4"/>
      <c r="AG403" s="100"/>
      <c r="AH403" s="101"/>
      <c r="AI403" s="101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2"/>
      <c r="AX403" s="100"/>
      <c r="AY403" s="101"/>
      <c r="AZ403" s="101"/>
      <c r="BA403" s="100"/>
      <c r="BB403" s="100"/>
      <c r="BC403" s="100"/>
      <c r="BD403" s="100"/>
      <c r="BE403" s="100"/>
      <c r="BF403" s="100"/>
      <c r="BG403" s="100"/>
      <c r="BH403" s="100"/>
      <c r="BI403" s="100"/>
      <c r="BJ403" s="100"/>
      <c r="BK403" s="102"/>
      <c r="BN403" s="36"/>
    </row>
    <row r="404" spans="1:66" x14ac:dyDescent="0.25">
      <c r="A404" s="92"/>
      <c r="B404" s="93"/>
      <c r="C404" s="93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4"/>
      <c r="AG404" s="100"/>
      <c r="AH404" s="101"/>
      <c r="AI404" s="101"/>
      <c r="AJ404" s="101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2"/>
      <c r="AX404" s="100"/>
      <c r="AY404" s="101"/>
      <c r="AZ404" s="101"/>
      <c r="BA404" s="100"/>
      <c r="BB404" s="100"/>
      <c r="BC404" s="100"/>
      <c r="BD404" s="100"/>
      <c r="BE404" s="100"/>
      <c r="BF404" s="100"/>
      <c r="BG404" s="100"/>
      <c r="BH404" s="100"/>
      <c r="BI404" s="100"/>
      <c r="BJ404" s="100"/>
      <c r="BK404" s="102"/>
      <c r="BN404" s="36"/>
    </row>
    <row r="405" spans="1:66" x14ac:dyDescent="0.25">
      <c r="A405" s="92"/>
      <c r="B405" s="93"/>
      <c r="C405" s="93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4"/>
      <c r="AG405" s="100"/>
      <c r="AH405" s="101"/>
      <c r="AI405" s="101"/>
      <c r="AJ405" s="101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2"/>
      <c r="AX405" s="100"/>
      <c r="AY405" s="101"/>
      <c r="AZ405" s="101"/>
      <c r="BA405" s="101"/>
      <c r="BB405" s="100"/>
      <c r="BC405" s="100"/>
      <c r="BD405" s="100"/>
      <c r="BE405" s="100"/>
      <c r="BF405" s="100"/>
      <c r="BG405" s="100"/>
      <c r="BH405" s="100"/>
      <c r="BI405" s="100"/>
      <c r="BJ405" s="100"/>
      <c r="BK405" s="102"/>
      <c r="BN405" s="36"/>
    </row>
    <row r="406" spans="1:66" x14ac:dyDescent="0.25">
      <c r="A406" s="92"/>
      <c r="B406" s="93"/>
      <c r="C406" s="93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4"/>
      <c r="AG406" s="100"/>
      <c r="AH406" s="101"/>
      <c r="AI406" s="101"/>
      <c r="AJ406" s="101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2"/>
      <c r="AX406" s="100"/>
      <c r="AY406" s="101"/>
      <c r="AZ406" s="101"/>
      <c r="BA406" s="100"/>
      <c r="BB406" s="100"/>
      <c r="BC406" s="100"/>
      <c r="BD406" s="100"/>
      <c r="BE406" s="100"/>
      <c r="BF406" s="100"/>
      <c r="BG406" s="100"/>
      <c r="BH406" s="100"/>
      <c r="BI406" s="100"/>
      <c r="BJ406" s="100"/>
      <c r="BK406" s="102"/>
      <c r="BN406" s="36"/>
    </row>
    <row r="407" spans="1:66" x14ac:dyDescent="0.25">
      <c r="A407" s="92"/>
      <c r="B407" s="93"/>
      <c r="C407" s="93"/>
      <c r="D407" s="93"/>
      <c r="E407" s="92"/>
      <c r="F407" s="92"/>
      <c r="G407" s="92"/>
      <c r="H407" s="92"/>
      <c r="I407" s="92"/>
      <c r="J407" s="92"/>
      <c r="K407" s="92"/>
      <c r="L407" s="92"/>
      <c r="M407" s="92"/>
      <c r="N407" s="94"/>
      <c r="AG407" s="100"/>
      <c r="AH407" s="101"/>
      <c r="AI407" s="101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2"/>
      <c r="AX407" s="100"/>
      <c r="AY407" s="101"/>
      <c r="AZ407" s="101"/>
      <c r="BA407" s="100"/>
      <c r="BB407" s="100"/>
      <c r="BC407" s="100"/>
      <c r="BD407" s="100"/>
      <c r="BE407" s="100"/>
      <c r="BF407" s="100"/>
      <c r="BG407" s="100"/>
      <c r="BH407" s="100"/>
      <c r="BI407" s="100"/>
      <c r="BJ407" s="100"/>
      <c r="BK407" s="102"/>
      <c r="BN407" s="36"/>
    </row>
    <row r="408" spans="1:66" x14ac:dyDescent="0.2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AG408" s="100"/>
      <c r="AH408" s="101"/>
      <c r="AI408" s="101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2"/>
      <c r="AX408" s="100"/>
      <c r="AY408" s="101"/>
      <c r="AZ408" s="101"/>
      <c r="BA408" s="100"/>
      <c r="BB408" s="100"/>
      <c r="BC408" s="100"/>
      <c r="BD408" s="100"/>
      <c r="BE408" s="100"/>
      <c r="BF408" s="100"/>
      <c r="BG408" s="100"/>
      <c r="BH408" s="100"/>
      <c r="BI408" s="100"/>
      <c r="BJ408" s="100"/>
      <c r="BK408" s="102"/>
      <c r="BN408" s="36"/>
    </row>
    <row r="409" spans="1:66" x14ac:dyDescent="0.25">
      <c r="A409" s="92"/>
      <c r="B409" s="93"/>
      <c r="C409" s="93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4"/>
      <c r="AG409" s="100"/>
      <c r="AH409" s="101"/>
      <c r="AI409" s="101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2"/>
      <c r="AX409" s="100"/>
      <c r="AY409" s="101"/>
      <c r="AZ409" s="101"/>
      <c r="BA409" s="100"/>
      <c r="BB409" s="100"/>
      <c r="BC409" s="100"/>
      <c r="BD409" s="100"/>
      <c r="BE409" s="100"/>
      <c r="BF409" s="100"/>
      <c r="BG409" s="100"/>
      <c r="BH409" s="100"/>
      <c r="BI409" s="100"/>
      <c r="BJ409" s="100"/>
      <c r="BK409" s="102"/>
      <c r="BN409" s="36"/>
    </row>
    <row r="410" spans="1:66" x14ac:dyDescent="0.2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AG410" s="100"/>
      <c r="AH410" s="101"/>
      <c r="AI410" s="101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2"/>
      <c r="AX410" s="100"/>
      <c r="AY410" s="101"/>
      <c r="AZ410" s="101"/>
      <c r="BA410" s="100"/>
      <c r="BB410" s="100"/>
      <c r="BC410" s="100"/>
      <c r="BD410" s="100"/>
      <c r="BE410" s="100"/>
      <c r="BF410" s="100"/>
      <c r="BG410" s="100"/>
      <c r="BH410" s="100"/>
      <c r="BI410" s="100"/>
      <c r="BJ410" s="100"/>
      <c r="BK410" s="102"/>
      <c r="BN410" s="36"/>
    </row>
    <row r="411" spans="1:66" x14ac:dyDescent="0.25">
      <c r="A411" s="92"/>
      <c r="B411" s="93"/>
      <c r="C411" s="93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4"/>
      <c r="AG411" s="100"/>
      <c r="AH411" s="101"/>
      <c r="AI411" s="101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2"/>
      <c r="AX411" s="100"/>
      <c r="AY411" s="101"/>
      <c r="AZ411" s="101"/>
      <c r="BA411" s="100"/>
      <c r="BB411" s="100"/>
      <c r="BC411" s="100"/>
      <c r="BD411" s="100"/>
      <c r="BE411" s="100"/>
      <c r="BF411" s="100"/>
      <c r="BG411" s="100"/>
      <c r="BH411" s="100"/>
      <c r="BI411" s="100"/>
      <c r="BJ411" s="100"/>
      <c r="BK411" s="102"/>
      <c r="BN411" s="36"/>
    </row>
    <row r="412" spans="1:66" x14ac:dyDescent="0.25">
      <c r="A412" s="92"/>
      <c r="B412" s="93"/>
      <c r="C412" s="93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4"/>
      <c r="AG412" s="100"/>
      <c r="AH412" s="101"/>
      <c r="AI412" s="101"/>
      <c r="AJ412" s="101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2"/>
      <c r="AX412" s="100"/>
      <c r="AY412" s="101"/>
      <c r="AZ412" s="101"/>
      <c r="BA412" s="100"/>
      <c r="BB412" s="100"/>
      <c r="BC412" s="100"/>
      <c r="BD412" s="100"/>
      <c r="BE412" s="100"/>
      <c r="BF412" s="100"/>
      <c r="BG412" s="100"/>
      <c r="BH412" s="100"/>
      <c r="BI412" s="100"/>
      <c r="BJ412" s="100"/>
      <c r="BK412" s="102"/>
      <c r="BN412" s="36"/>
    </row>
    <row r="413" spans="1:66" x14ac:dyDescent="0.25">
      <c r="A413" s="92"/>
      <c r="B413" s="93"/>
      <c r="C413" s="93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4"/>
      <c r="AG413" s="100"/>
      <c r="AH413" s="101"/>
      <c r="AI413" s="101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2"/>
      <c r="AX413" s="100"/>
      <c r="AY413" s="101"/>
      <c r="AZ413" s="101"/>
      <c r="BA413" s="100"/>
      <c r="BB413" s="100"/>
      <c r="BC413" s="100"/>
      <c r="BD413" s="100"/>
      <c r="BE413" s="100"/>
      <c r="BF413" s="100"/>
      <c r="BG413" s="100"/>
      <c r="BH413" s="100"/>
      <c r="BI413" s="100"/>
      <c r="BJ413" s="100"/>
      <c r="BK413" s="102"/>
      <c r="BN413" s="36"/>
    </row>
    <row r="414" spans="1:66" x14ac:dyDescent="0.25">
      <c r="A414" s="92"/>
      <c r="B414" s="93"/>
      <c r="C414" s="93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4"/>
      <c r="AG414" s="100"/>
      <c r="AH414" s="101"/>
      <c r="AI414" s="101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2"/>
      <c r="AX414" s="100"/>
      <c r="AY414" s="101"/>
      <c r="AZ414" s="101"/>
      <c r="BA414" s="100"/>
      <c r="BB414" s="100"/>
      <c r="BC414" s="100"/>
      <c r="BD414" s="100"/>
      <c r="BE414" s="100"/>
      <c r="BF414" s="100"/>
      <c r="BG414" s="100"/>
      <c r="BH414" s="100"/>
      <c r="BI414" s="100"/>
      <c r="BJ414" s="100"/>
      <c r="BK414" s="102"/>
      <c r="BN414" s="36"/>
    </row>
    <row r="415" spans="1:66" x14ac:dyDescent="0.25">
      <c r="A415" s="92"/>
      <c r="B415" s="93"/>
      <c r="C415" s="93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4"/>
      <c r="AG415" s="100"/>
      <c r="AH415" s="101"/>
      <c r="AI415" s="101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2"/>
      <c r="AX415" s="100"/>
      <c r="AY415" s="101"/>
      <c r="AZ415" s="100"/>
      <c r="BA415" s="101"/>
      <c r="BB415" s="100"/>
      <c r="BC415" s="100"/>
      <c r="BD415" s="100"/>
      <c r="BE415" s="100"/>
      <c r="BF415" s="100"/>
      <c r="BG415" s="100"/>
      <c r="BH415" s="100"/>
      <c r="BI415" s="100"/>
      <c r="BJ415" s="100"/>
      <c r="BK415" s="102"/>
      <c r="BN415" s="36"/>
    </row>
    <row r="416" spans="1:66" x14ac:dyDescent="0.2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AG416" s="100"/>
      <c r="AH416" s="101"/>
      <c r="AI416" s="101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2"/>
      <c r="AX416" s="100"/>
      <c r="AY416" s="101"/>
      <c r="AZ416" s="100"/>
      <c r="BA416" s="101"/>
      <c r="BB416" s="100"/>
      <c r="BC416" s="100"/>
      <c r="BD416" s="100"/>
      <c r="BE416" s="100"/>
      <c r="BF416" s="100"/>
      <c r="BG416" s="100"/>
      <c r="BH416" s="100"/>
      <c r="BI416" s="100"/>
      <c r="BJ416" s="100"/>
      <c r="BK416" s="102"/>
      <c r="BN416" s="36"/>
    </row>
    <row r="417" spans="1:66" x14ac:dyDescent="0.2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AG417" s="100"/>
      <c r="AH417" s="101"/>
      <c r="AI417" s="101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2"/>
      <c r="AX417" s="100"/>
      <c r="AY417" s="101"/>
      <c r="AZ417" s="101"/>
      <c r="BA417" s="100"/>
      <c r="BB417" s="100"/>
      <c r="BC417" s="100"/>
      <c r="BD417" s="100"/>
      <c r="BE417" s="100"/>
      <c r="BF417" s="100"/>
      <c r="BG417" s="100"/>
      <c r="BH417" s="100"/>
      <c r="BI417" s="100"/>
      <c r="BJ417" s="100"/>
      <c r="BK417" s="102"/>
      <c r="BN417" s="36"/>
    </row>
    <row r="418" spans="1:66" x14ac:dyDescent="0.25">
      <c r="A418" s="92"/>
      <c r="B418" s="93"/>
      <c r="C418" s="93"/>
      <c r="D418" s="93"/>
      <c r="E418" s="92"/>
      <c r="F418" s="92"/>
      <c r="G418" s="92"/>
      <c r="H418" s="92"/>
      <c r="I418" s="92"/>
      <c r="J418" s="92"/>
      <c r="K418" s="92"/>
      <c r="L418" s="92"/>
      <c r="M418" s="92"/>
      <c r="N418" s="94"/>
      <c r="AG418" s="100"/>
      <c r="AH418" s="101"/>
      <c r="AI418" s="101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2"/>
      <c r="AX418" s="100"/>
      <c r="AY418" s="101"/>
      <c r="AZ418" s="101"/>
      <c r="BA418" s="100"/>
      <c r="BB418" s="100"/>
      <c r="BC418" s="100"/>
      <c r="BD418" s="100"/>
      <c r="BE418" s="100"/>
      <c r="BF418" s="100"/>
      <c r="BG418" s="100"/>
      <c r="BH418" s="100"/>
      <c r="BI418" s="100"/>
      <c r="BJ418" s="100"/>
      <c r="BK418" s="102"/>
      <c r="BN418" s="36"/>
    </row>
    <row r="419" spans="1:66" x14ac:dyDescent="0.2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AG419" s="100"/>
      <c r="AH419" s="101"/>
      <c r="AI419" s="101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2"/>
      <c r="AX419" s="100"/>
      <c r="AY419" s="101"/>
      <c r="AZ419" s="101"/>
      <c r="BA419" s="100"/>
      <c r="BB419" s="100"/>
      <c r="BC419" s="100"/>
      <c r="BD419" s="100"/>
      <c r="BE419" s="100"/>
      <c r="BF419" s="100"/>
      <c r="BG419" s="100"/>
      <c r="BH419" s="100"/>
      <c r="BI419" s="100"/>
      <c r="BJ419" s="100"/>
      <c r="BK419" s="102"/>
      <c r="BN419" s="36"/>
    </row>
    <row r="420" spans="1:66" x14ac:dyDescent="0.25">
      <c r="A420" s="92"/>
      <c r="B420" s="93"/>
      <c r="C420" s="93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4"/>
      <c r="AG420" s="100"/>
      <c r="AH420" s="101"/>
      <c r="AI420" s="101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2"/>
      <c r="AX420" s="100"/>
      <c r="AY420" s="101"/>
      <c r="AZ420" s="101"/>
      <c r="BA420" s="100"/>
      <c r="BB420" s="100"/>
      <c r="BC420" s="100"/>
      <c r="BD420" s="100"/>
      <c r="BE420" s="100"/>
      <c r="BF420" s="100"/>
      <c r="BG420" s="100"/>
      <c r="BH420" s="100"/>
      <c r="BI420" s="100"/>
      <c r="BJ420" s="100"/>
      <c r="BK420" s="102"/>
      <c r="BN420" s="36"/>
    </row>
    <row r="421" spans="1:66" x14ac:dyDescent="0.25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AG421" s="100"/>
      <c r="AH421" s="101"/>
      <c r="AI421" s="101"/>
      <c r="AJ421" s="101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2"/>
      <c r="AX421" s="100"/>
      <c r="AY421" s="101"/>
      <c r="AZ421" s="101"/>
      <c r="BA421" s="100"/>
      <c r="BB421" s="100"/>
      <c r="BC421" s="100"/>
      <c r="BD421" s="100"/>
      <c r="BE421" s="100"/>
      <c r="BF421" s="100"/>
      <c r="BG421" s="100"/>
      <c r="BH421" s="100"/>
      <c r="BI421" s="100"/>
      <c r="BJ421" s="100"/>
      <c r="BK421" s="102"/>
      <c r="BN421" s="36"/>
    </row>
    <row r="422" spans="1:66" x14ac:dyDescent="0.25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AG422" s="100"/>
      <c r="AH422" s="101"/>
      <c r="AI422" s="101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2"/>
      <c r="AX422" s="100"/>
      <c r="AY422" s="101"/>
      <c r="AZ422" s="101"/>
      <c r="BA422" s="100"/>
      <c r="BB422" s="100"/>
      <c r="BC422" s="100"/>
      <c r="BD422" s="100"/>
      <c r="BE422" s="100"/>
      <c r="BF422" s="100"/>
      <c r="BG422" s="100"/>
      <c r="BH422" s="100"/>
      <c r="BI422" s="100"/>
      <c r="BJ422" s="100"/>
      <c r="BK422" s="102"/>
      <c r="BN422" s="36"/>
    </row>
    <row r="423" spans="1:66" x14ac:dyDescent="0.25">
      <c r="A423" s="92"/>
      <c r="B423" s="93"/>
      <c r="C423" s="93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4"/>
      <c r="AG423" s="100"/>
      <c r="AH423" s="101"/>
      <c r="AI423" s="101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2"/>
      <c r="AX423" s="100"/>
      <c r="AY423" s="101"/>
      <c r="AZ423" s="101"/>
      <c r="BA423" s="100"/>
      <c r="BB423" s="100"/>
      <c r="BC423" s="100"/>
      <c r="BD423" s="100"/>
      <c r="BE423" s="100"/>
      <c r="BF423" s="100"/>
      <c r="BG423" s="100"/>
      <c r="BH423" s="100"/>
      <c r="BI423" s="100"/>
      <c r="BJ423" s="100"/>
      <c r="BK423" s="102"/>
      <c r="BN423" s="36"/>
    </row>
    <row r="424" spans="1:66" x14ac:dyDescent="0.25">
      <c r="A424" s="92"/>
      <c r="B424" s="93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4"/>
      <c r="AG424" s="100"/>
      <c r="AH424" s="101"/>
      <c r="AI424" s="101"/>
      <c r="AJ424" s="101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2"/>
      <c r="AX424" s="100"/>
      <c r="AY424" s="101"/>
      <c r="AZ424" s="101"/>
      <c r="BA424" s="101"/>
      <c r="BB424" s="100"/>
      <c r="BC424" s="100"/>
      <c r="BD424" s="100"/>
      <c r="BE424" s="100"/>
      <c r="BF424" s="100"/>
      <c r="BG424" s="100"/>
      <c r="BH424" s="100"/>
      <c r="BI424" s="100"/>
      <c r="BJ424" s="100"/>
      <c r="BK424" s="102"/>
      <c r="BN424" s="36"/>
    </row>
    <row r="425" spans="1:66" x14ac:dyDescent="0.25">
      <c r="A425" s="92"/>
      <c r="B425" s="93"/>
      <c r="C425" s="93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4"/>
      <c r="AG425" s="100"/>
      <c r="AH425" s="101"/>
      <c r="AI425" s="101"/>
      <c r="AJ425" s="101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2"/>
      <c r="AX425" s="100"/>
      <c r="AY425" s="101"/>
      <c r="AZ425" s="101"/>
      <c r="BA425" s="101"/>
      <c r="BB425" s="100"/>
      <c r="BC425" s="100"/>
      <c r="BD425" s="100"/>
      <c r="BE425" s="100"/>
      <c r="BF425" s="100"/>
      <c r="BG425" s="100"/>
      <c r="BH425" s="100"/>
      <c r="BI425" s="100"/>
      <c r="BJ425" s="100"/>
      <c r="BK425" s="102"/>
      <c r="BN425" s="36"/>
    </row>
    <row r="426" spans="1:66" x14ac:dyDescent="0.25">
      <c r="A426" s="92"/>
      <c r="B426" s="93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4"/>
      <c r="AG426" s="100"/>
      <c r="AH426" s="101"/>
      <c r="AI426" s="101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2"/>
      <c r="AX426" s="100"/>
      <c r="AY426" s="101"/>
      <c r="AZ426" s="101"/>
      <c r="BA426" s="101"/>
      <c r="BB426" s="100"/>
      <c r="BC426" s="100"/>
      <c r="BD426" s="100"/>
      <c r="BE426" s="100"/>
      <c r="BF426" s="100"/>
      <c r="BG426" s="100"/>
      <c r="BH426" s="100"/>
      <c r="BI426" s="100"/>
      <c r="BJ426" s="100"/>
      <c r="BK426" s="102"/>
      <c r="BN426" s="36"/>
    </row>
    <row r="427" spans="1:66" x14ac:dyDescent="0.25">
      <c r="A427" s="92"/>
      <c r="B427" s="93"/>
      <c r="C427" s="93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4"/>
      <c r="AG427" s="100"/>
      <c r="AH427" s="101"/>
      <c r="AI427" s="101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2"/>
      <c r="AX427" s="100"/>
      <c r="AY427" s="101"/>
      <c r="AZ427" s="101"/>
      <c r="BA427" s="100"/>
      <c r="BB427" s="100"/>
      <c r="BC427" s="100"/>
      <c r="BD427" s="100"/>
      <c r="BE427" s="100"/>
      <c r="BF427" s="100"/>
      <c r="BG427" s="100"/>
      <c r="BH427" s="100"/>
      <c r="BI427" s="100"/>
      <c r="BJ427" s="100"/>
      <c r="BK427" s="102"/>
      <c r="BN427" s="36"/>
    </row>
    <row r="428" spans="1:66" x14ac:dyDescent="0.25">
      <c r="A428" s="92"/>
      <c r="B428" s="93"/>
      <c r="C428" s="93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4"/>
      <c r="AG428" s="100"/>
      <c r="AH428" s="101"/>
      <c r="AI428" s="101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2"/>
      <c r="AX428" s="100"/>
      <c r="AY428" s="101"/>
      <c r="AZ428" s="101"/>
      <c r="BA428" s="100"/>
      <c r="BB428" s="100"/>
      <c r="BC428" s="100"/>
      <c r="BD428" s="100"/>
      <c r="BE428" s="100"/>
      <c r="BF428" s="100"/>
      <c r="BG428" s="100"/>
      <c r="BH428" s="100"/>
      <c r="BI428" s="100"/>
      <c r="BJ428" s="100"/>
      <c r="BK428" s="102"/>
      <c r="BN428" s="36"/>
    </row>
    <row r="429" spans="1:66" x14ac:dyDescent="0.25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AG429" s="100"/>
      <c r="AH429" s="101"/>
      <c r="AI429" s="101"/>
      <c r="AJ429" s="101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2"/>
      <c r="AX429" s="100"/>
      <c r="AY429" s="101"/>
      <c r="AZ429" s="101"/>
      <c r="BA429" s="100"/>
      <c r="BB429" s="100"/>
      <c r="BC429" s="100"/>
      <c r="BD429" s="100"/>
      <c r="BE429" s="100"/>
      <c r="BF429" s="100"/>
      <c r="BG429" s="100"/>
      <c r="BH429" s="100"/>
      <c r="BI429" s="100"/>
      <c r="BJ429" s="100"/>
      <c r="BK429" s="102"/>
      <c r="BN429" s="36"/>
    </row>
    <row r="430" spans="1:66" x14ac:dyDescent="0.25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AG430" s="100"/>
      <c r="AH430" s="101"/>
      <c r="AI430" s="101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2"/>
      <c r="AX430" s="100"/>
      <c r="AY430" s="101"/>
      <c r="AZ430" s="101"/>
      <c r="BA430" s="100"/>
      <c r="BB430" s="100"/>
      <c r="BC430" s="100"/>
      <c r="BD430" s="100"/>
      <c r="BE430" s="100"/>
      <c r="BF430" s="100"/>
      <c r="BG430" s="100"/>
      <c r="BH430" s="100"/>
      <c r="BI430" s="100"/>
      <c r="BJ430" s="100"/>
      <c r="BK430" s="102"/>
      <c r="BN430" s="36"/>
    </row>
    <row r="431" spans="1:66" x14ac:dyDescent="0.25">
      <c r="A431" s="92"/>
      <c r="B431" s="93"/>
      <c r="C431" s="93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4"/>
      <c r="AG431" s="100"/>
      <c r="AH431" s="101"/>
      <c r="AI431" s="101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2"/>
      <c r="AX431" s="100"/>
      <c r="AY431" s="101"/>
      <c r="AZ431" s="101"/>
      <c r="BA431" s="100"/>
      <c r="BB431" s="100"/>
      <c r="BC431" s="100"/>
      <c r="BD431" s="100"/>
      <c r="BE431" s="100"/>
      <c r="BF431" s="100"/>
      <c r="BG431" s="100"/>
      <c r="BH431" s="100"/>
      <c r="BI431" s="100"/>
      <c r="BJ431" s="100"/>
      <c r="BK431" s="102"/>
      <c r="BN431" s="36"/>
    </row>
    <row r="432" spans="1:66" x14ac:dyDescent="0.25">
      <c r="A432" s="92"/>
      <c r="B432" s="93"/>
      <c r="C432" s="93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4"/>
      <c r="AG432" s="100"/>
      <c r="AH432" s="101"/>
      <c r="AI432" s="101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2"/>
      <c r="AX432" s="100"/>
      <c r="AY432" s="101"/>
      <c r="AZ432" s="101"/>
      <c r="BA432" s="101"/>
      <c r="BB432" s="100"/>
      <c r="BC432" s="100"/>
      <c r="BD432" s="100"/>
      <c r="BE432" s="100"/>
      <c r="BF432" s="100"/>
      <c r="BG432" s="100"/>
      <c r="BH432" s="100"/>
      <c r="BI432" s="100"/>
      <c r="BJ432" s="100"/>
      <c r="BK432" s="102"/>
      <c r="BN432" s="36"/>
    </row>
    <row r="433" spans="1:66" x14ac:dyDescent="0.25">
      <c r="A433" s="92"/>
      <c r="B433" s="93"/>
      <c r="C433" s="93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4"/>
      <c r="AG433" s="100"/>
      <c r="AH433" s="101"/>
      <c r="AI433" s="101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2"/>
      <c r="AX433" s="100"/>
      <c r="AY433" s="101"/>
      <c r="AZ433" s="101"/>
      <c r="BA433" s="100"/>
      <c r="BB433" s="100"/>
      <c r="BC433" s="100"/>
      <c r="BD433" s="100"/>
      <c r="BE433" s="100"/>
      <c r="BF433" s="100"/>
      <c r="BG433" s="100"/>
      <c r="BH433" s="100"/>
      <c r="BI433" s="100"/>
      <c r="BJ433" s="100"/>
      <c r="BK433" s="102"/>
      <c r="BN433" s="36"/>
    </row>
    <row r="434" spans="1:66" x14ac:dyDescent="0.25">
      <c r="A434" s="92"/>
      <c r="B434" s="93"/>
      <c r="C434" s="93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4"/>
      <c r="AG434" s="100"/>
      <c r="AH434" s="101"/>
      <c r="AI434" s="101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2"/>
      <c r="AX434" s="100"/>
      <c r="AY434" s="101"/>
      <c r="AZ434" s="101"/>
      <c r="BA434" s="100"/>
      <c r="BB434" s="100"/>
      <c r="BC434" s="100"/>
      <c r="BD434" s="100"/>
      <c r="BE434" s="100"/>
      <c r="BF434" s="100"/>
      <c r="BG434" s="100"/>
      <c r="BH434" s="100"/>
      <c r="BI434" s="100"/>
      <c r="BJ434" s="100"/>
      <c r="BK434" s="102"/>
      <c r="BN434" s="36"/>
    </row>
    <row r="435" spans="1:66" x14ac:dyDescent="0.25">
      <c r="A435" s="92"/>
      <c r="B435" s="93"/>
      <c r="C435" s="93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4"/>
      <c r="AG435" s="100"/>
      <c r="AH435" s="101"/>
      <c r="AI435" s="101"/>
      <c r="AJ435" s="101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2"/>
      <c r="AX435" s="100"/>
      <c r="AY435" s="101"/>
      <c r="AZ435" s="101"/>
      <c r="BA435" s="100"/>
      <c r="BB435" s="100"/>
      <c r="BC435" s="100"/>
      <c r="BD435" s="100"/>
      <c r="BE435" s="100"/>
      <c r="BF435" s="100"/>
      <c r="BG435" s="100"/>
      <c r="BH435" s="100"/>
      <c r="BI435" s="100"/>
      <c r="BJ435" s="100"/>
      <c r="BK435" s="102"/>
      <c r="BN435" s="36"/>
    </row>
    <row r="436" spans="1:66" x14ac:dyDescent="0.25">
      <c r="A436" s="92"/>
      <c r="B436" s="93"/>
      <c r="C436" s="93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4"/>
      <c r="AG436" s="100"/>
      <c r="AH436" s="101"/>
      <c r="AI436" s="101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2"/>
      <c r="AX436" s="100"/>
      <c r="AY436" s="101"/>
      <c r="AZ436" s="101"/>
      <c r="BA436" s="100"/>
      <c r="BB436" s="100"/>
      <c r="BC436" s="100"/>
      <c r="BD436" s="100"/>
      <c r="BE436" s="100"/>
      <c r="BF436" s="100"/>
      <c r="BG436" s="100"/>
      <c r="BH436" s="100"/>
      <c r="BI436" s="100"/>
      <c r="BJ436" s="100"/>
      <c r="BK436" s="102"/>
      <c r="BN436" s="36"/>
    </row>
    <row r="437" spans="1:66" x14ac:dyDescent="0.25">
      <c r="A437" s="92"/>
      <c r="B437" s="93"/>
      <c r="C437" s="93"/>
      <c r="D437" s="93"/>
      <c r="E437" s="92"/>
      <c r="F437" s="92"/>
      <c r="G437" s="92"/>
      <c r="H437" s="92"/>
      <c r="I437" s="92"/>
      <c r="J437" s="92"/>
      <c r="K437" s="92"/>
      <c r="L437" s="92"/>
      <c r="M437" s="92"/>
      <c r="N437" s="94"/>
      <c r="AG437" s="100"/>
      <c r="AH437" s="101"/>
      <c r="AI437" s="101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2"/>
      <c r="AX437" s="100"/>
      <c r="AY437" s="101"/>
      <c r="AZ437" s="101"/>
      <c r="BA437" s="100"/>
      <c r="BB437" s="100"/>
      <c r="BC437" s="100"/>
      <c r="BD437" s="100"/>
      <c r="BE437" s="100"/>
      <c r="BF437" s="100"/>
      <c r="BG437" s="100"/>
      <c r="BH437" s="100"/>
      <c r="BI437" s="100"/>
      <c r="BJ437" s="100"/>
      <c r="BK437" s="102"/>
      <c r="BN437" s="36"/>
    </row>
    <row r="438" spans="1:66" x14ac:dyDescent="0.25">
      <c r="A438" s="92"/>
      <c r="B438" s="93"/>
      <c r="C438" s="93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4"/>
      <c r="AG438" s="100"/>
      <c r="AH438" s="101"/>
      <c r="AI438" s="101"/>
      <c r="AJ438" s="101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2"/>
      <c r="AX438" s="100"/>
      <c r="AY438" s="101"/>
      <c r="AZ438" s="101"/>
      <c r="BA438" s="100"/>
      <c r="BB438" s="100"/>
      <c r="BC438" s="100"/>
      <c r="BD438" s="100"/>
      <c r="BE438" s="100"/>
      <c r="BF438" s="100"/>
      <c r="BG438" s="100"/>
      <c r="BH438" s="100"/>
      <c r="BI438" s="100"/>
      <c r="BJ438" s="100"/>
      <c r="BK438" s="102"/>
      <c r="BN438" s="36"/>
    </row>
    <row r="439" spans="1:66" x14ac:dyDescent="0.25">
      <c r="A439" s="92"/>
      <c r="B439" s="93"/>
      <c r="C439" s="93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4"/>
      <c r="AG439" s="100"/>
      <c r="AH439" s="101"/>
      <c r="AI439" s="101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2"/>
      <c r="AX439" s="100"/>
      <c r="AY439" s="101"/>
      <c r="AZ439" s="101"/>
      <c r="BA439" s="100"/>
      <c r="BB439" s="100"/>
      <c r="BC439" s="100"/>
      <c r="BD439" s="100"/>
      <c r="BE439" s="100"/>
      <c r="BF439" s="100"/>
      <c r="BG439" s="100"/>
      <c r="BH439" s="100"/>
      <c r="BI439" s="100"/>
      <c r="BJ439" s="100"/>
      <c r="BK439" s="102"/>
      <c r="BN439" s="36"/>
    </row>
    <row r="440" spans="1:66" x14ac:dyDescent="0.25">
      <c r="A440" s="92"/>
      <c r="B440" s="93"/>
      <c r="C440" s="93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4"/>
      <c r="AG440" s="100"/>
      <c r="AH440" s="101"/>
      <c r="AI440" s="101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2"/>
      <c r="AX440" s="100"/>
      <c r="AY440" s="101"/>
      <c r="AZ440" s="101"/>
      <c r="BA440" s="100"/>
      <c r="BB440" s="100"/>
      <c r="BC440" s="100"/>
      <c r="BD440" s="100"/>
      <c r="BE440" s="100"/>
      <c r="BF440" s="100"/>
      <c r="BG440" s="100"/>
      <c r="BH440" s="100"/>
      <c r="BI440" s="100"/>
      <c r="BJ440" s="100"/>
      <c r="BK440" s="102"/>
      <c r="BN440" s="36"/>
    </row>
    <row r="441" spans="1:66" x14ac:dyDescent="0.25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AG441" s="100"/>
      <c r="AH441" s="101"/>
      <c r="AI441" s="101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2"/>
      <c r="AX441" s="100"/>
      <c r="AY441" s="101"/>
      <c r="AZ441" s="101"/>
      <c r="BA441" s="101"/>
      <c r="BB441" s="100"/>
      <c r="BC441" s="100"/>
      <c r="BD441" s="100"/>
      <c r="BE441" s="100"/>
      <c r="BF441" s="100"/>
      <c r="BG441" s="100"/>
      <c r="BH441" s="100"/>
      <c r="BI441" s="100"/>
      <c r="BJ441" s="100"/>
      <c r="BK441" s="102"/>
      <c r="BN441" s="36"/>
    </row>
    <row r="442" spans="1:66" x14ac:dyDescent="0.25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AG442" s="100"/>
      <c r="AH442" s="101"/>
      <c r="AI442" s="101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2"/>
      <c r="AX442" s="100"/>
      <c r="AY442" s="101"/>
      <c r="AZ442" s="101"/>
      <c r="BA442" s="100"/>
      <c r="BB442" s="100"/>
      <c r="BC442" s="100"/>
      <c r="BD442" s="100"/>
      <c r="BE442" s="100"/>
      <c r="BF442" s="100"/>
      <c r="BG442" s="100"/>
      <c r="BH442" s="100"/>
      <c r="BI442" s="100"/>
      <c r="BJ442" s="100"/>
      <c r="BK442" s="102"/>
      <c r="BN442" s="36"/>
    </row>
    <row r="443" spans="1:66" x14ac:dyDescent="0.25">
      <c r="A443" s="92"/>
      <c r="B443" s="93"/>
      <c r="C443" s="93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4"/>
      <c r="AG443" s="100"/>
      <c r="AH443" s="101"/>
      <c r="AI443" s="101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2"/>
      <c r="AX443" s="100"/>
      <c r="AY443" s="101"/>
      <c r="AZ443" s="101"/>
      <c r="BA443" s="100"/>
      <c r="BB443" s="100"/>
      <c r="BC443" s="100"/>
      <c r="BD443" s="100"/>
      <c r="BE443" s="100"/>
      <c r="BF443" s="100"/>
      <c r="BG443" s="100"/>
      <c r="BH443" s="100"/>
      <c r="BI443" s="100"/>
      <c r="BJ443" s="100"/>
      <c r="BK443" s="102"/>
      <c r="BN443" s="36"/>
    </row>
    <row r="444" spans="1:66" x14ac:dyDescent="0.25">
      <c r="A444" s="92"/>
      <c r="B444" s="93"/>
      <c r="C444" s="93"/>
      <c r="D444" s="93"/>
      <c r="E444" s="92"/>
      <c r="F444" s="92"/>
      <c r="G444" s="92"/>
      <c r="H444" s="92"/>
      <c r="I444" s="92"/>
      <c r="J444" s="92"/>
      <c r="K444" s="92"/>
      <c r="L444" s="92"/>
      <c r="M444" s="92"/>
      <c r="N444" s="94"/>
      <c r="AG444" s="100"/>
      <c r="AH444" s="101"/>
      <c r="AI444" s="101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2"/>
      <c r="AX444" s="100"/>
      <c r="AY444" s="101"/>
      <c r="AZ444" s="101"/>
      <c r="BA444" s="101"/>
      <c r="BB444" s="100"/>
      <c r="BC444" s="100"/>
      <c r="BD444" s="100"/>
      <c r="BE444" s="100"/>
      <c r="BF444" s="100"/>
      <c r="BG444" s="100"/>
      <c r="BH444" s="100"/>
      <c r="BI444" s="100"/>
      <c r="BJ444" s="100"/>
      <c r="BK444" s="102"/>
      <c r="BN444" s="36"/>
    </row>
    <row r="445" spans="1:66" x14ac:dyDescent="0.25">
      <c r="A445" s="92"/>
      <c r="B445" s="93"/>
      <c r="C445" s="93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4"/>
      <c r="AG445" s="100"/>
      <c r="AH445" s="101"/>
      <c r="AI445" s="101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2"/>
      <c r="AX445" s="100"/>
      <c r="AY445" s="101"/>
      <c r="AZ445" s="101"/>
      <c r="BA445" s="101"/>
      <c r="BB445" s="100"/>
      <c r="BC445" s="100"/>
      <c r="BD445" s="100"/>
      <c r="BE445" s="100"/>
      <c r="BF445" s="100"/>
      <c r="BG445" s="100"/>
      <c r="BH445" s="100"/>
      <c r="BI445" s="100"/>
      <c r="BJ445" s="100"/>
      <c r="BK445" s="102"/>
      <c r="BN445" s="36"/>
    </row>
    <row r="446" spans="1:66" x14ac:dyDescent="0.25">
      <c r="A446" s="92"/>
      <c r="B446" s="93"/>
      <c r="C446" s="93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4"/>
      <c r="AG446" s="100"/>
      <c r="AH446" s="101"/>
      <c r="AI446" s="101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2"/>
      <c r="AX446" s="100"/>
      <c r="AY446" s="101"/>
      <c r="AZ446" s="101"/>
      <c r="BA446" s="100"/>
      <c r="BB446" s="100"/>
      <c r="BC446" s="100"/>
      <c r="BD446" s="100"/>
      <c r="BE446" s="100"/>
      <c r="BF446" s="100"/>
      <c r="BG446" s="100"/>
      <c r="BH446" s="100"/>
      <c r="BI446" s="100"/>
      <c r="BJ446" s="100"/>
      <c r="BK446" s="102"/>
      <c r="BN446" s="36"/>
    </row>
    <row r="447" spans="1:66" x14ac:dyDescent="0.25">
      <c r="A447" s="92"/>
      <c r="B447" s="93"/>
      <c r="C447" s="93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4"/>
      <c r="AG447" s="100"/>
      <c r="AH447" s="101"/>
      <c r="AI447" s="101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2"/>
      <c r="AX447" s="100"/>
      <c r="AY447" s="101"/>
      <c r="AZ447" s="101"/>
      <c r="BA447" s="100"/>
      <c r="BB447" s="100"/>
      <c r="BC447" s="100"/>
      <c r="BD447" s="100"/>
      <c r="BE447" s="100"/>
      <c r="BF447" s="100"/>
      <c r="BG447" s="100"/>
      <c r="BH447" s="100"/>
      <c r="BI447" s="100"/>
      <c r="BJ447" s="100"/>
      <c r="BK447" s="102"/>
      <c r="BN447" s="36"/>
    </row>
    <row r="448" spans="1:66" x14ac:dyDescent="0.25">
      <c r="A448" s="92"/>
      <c r="B448" s="93"/>
      <c r="C448" s="93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4"/>
      <c r="AG448" s="100"/>
      <c r="AH448" s="101"/>
      <c r="AI448" s="101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2"/>
      <c r="AX448" s="100"/>
      <c r="AY448" s="101"/>
      <c r="AZ448" s="101"/>
      <c r="BA448" s="100"/>
      <c r="BB448" s="100"/>
      <c r="BC448" s="100"/>
      <c r="BD448" s="100"/>
      <c r="BE448" s="100"/>
      <c r="BF448" s="100"/>
      <c r="BG448" s="100"/>
      <c r="BH448" s="100"/>
      <c r="BI448" s="100"/>
      <c r="BJ448" s="100"/>
      <c r="BK448" s="102"/>
      <c r="BN448" s="36"/>
    </row>
    <row r="449" spans="1:66" x14ac:dyDescent="0.25">
      <c r="A449" s="92"/>
      <c r="B449" s="93"/>
      <c r="C449" s="93"/>
      <c r="D449" s="93"/>
      <c r="E449" s="92"/>
      <c r="F449" s="92"/>
      <c r="G449" s="92"/>
      <c r="H449" s="92"/>
      <c r="I449" s="92"/>
      <c r="J449" s="92"/>
      <c r="K449" s="92"/>
      <c r="L449" s="92"/>
      <c r="M449" s="92"/>
      <c r="N449" s="94"/>
      <c r="AG449" s="100"/>
      <c r="AH449" s="101"/>
      <c r="AI449" s="101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2"/>
      <c r="AX449" s="100"/>
      <c r="AY449" s="101"/>
      <c r="AZ449" s="101"/>
      <c r="BA449" s="101"/>
      <c r="BB449" s="100"/>
      <c r="BC449" s="100"/>
      <c r="BD449" s="100"/>
      <c r="BE449" s="100"/>
      <c r="BF449" s="100"/>
      <c r="BG449" s="100"/>
      <c r="BH449" s="100"/>
      <c r="BI449" s="100"/>
      <c r="BJ449" s="100"/>
      <c r="BK449" s="102"/>
      <c r="BN449" s="36"/>
    </row>
    <row r="450" spans="1:66" x14ac:dyDescent="0.25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AG450" s="100"/>
      <c r="AH450" s="101"/>
      <c r="AI450" s="101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2"/>
      <c r="AX450" s="100"/>
      <c r="AY450" s="101"/>
      <c r="AZ450" s="101"/>
      <c r="BA450" s="100"/>
      <c r="BB450" s="100"/>
      <c r="BC450" s="100"/>
      <c r="BD450" s="100"/>
      <c r="BE450" s="100"/>
      <c r="BF450" s="100"/>
      <c r="BG450" s="100"/>
      <c r="BH450" s="100"/>
      <c r="BI450" s="100"/>
      <c r="BJ450" s="100"/>
      <c r="BK450" s="102"/>
      <c r="BN450" s="36"/>
    </row>
    <row r="451" spans="1:66" x14ac:dyDescent="0.25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AG451" s="100"/>
      <c r="AH451" s="101"/>
      <c r="AI451" s="101"/>
      <c r="AJ451" s="101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2"/>
      <c r="AX451" s="100"/>
      <c r="AY451" s="101"/>
      <c r="AZ451" s="101"/>
      <c r="BA451" s="100"/>
      <c r="BB451" s="100"/>
      <c r="BC451" s="100"/>
      <c r="BD451" s="100"/>
      <c r="BE451" s="100"/>
      <c r="BF451" s="100"/>
      <c r="BG451" s="100"/>
      <c r="BH451" s="100"/>
      <c r="BI451" s="100"/>
      <c r="BJ451" s="100"/>
      <c r="BK451" s="102"/>
      <c r="BN451" s="36"/>
    </row>
    <row r="452" spans="1:66" x14ac:dyDescent="0.25">
      <c r="A452" s="92"/>
      <c r="B452" s="93"/>
      <c r="C452" s="93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4"/>
      <c r="AG452" s="100"/>
      <c r="AH452" s="101"/>
      <c r="AI452" s="101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2"/>
      <c r="AX452" s="100"/>
      <c r="AY452" s="101"/>
      <c r="AZ452" s="101"/>
      <c r="BA452" s="100"/>
      <c r="BB452" s="100"/>
      <c r="BC452" s="100"/>
      <c r="BD452" s="100"/>
      <c r="BE452" s="100"/>
      <c r="BF452" s="100"/>
      <c r="BG452" s="100"/>
      <c r="BH452" s="100"/>
      <c r="BI452" s="100"/>
      <c r="BJ452" s="100"/>
      <c r="BK452" s="102"/>
      <c r="BN452" s="36"/>
    </row>
    <row r="453" spans="1:66" x14ac:dyDescent="0.25">
      <c r="A453" s="92"/>
      <c r="B453" s="93"/>
      <c r="C453" s="93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4"/>
      <c r="AG453" s="100"/>
      <c r="AH453" s="101"/>
      <c r="AI453" s="101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2"/>
      <c r="AX453" s="100"/>
      <c r="AY453" s="101"/>
      <c r="AZ453" s="101"/>
      <c r="BA453" s="100"/>
      <c r="BB453" s="100"/>
      <c r="BC453" s="100"/>
      <c r="BD453" s="100"/>
      <c r="BE453" s="100"/>
      <c r="BF453" s="100"/>
      <c r="BG453" s="100"/>
      <c r="BH453" s="100"/>
      <c r="BI453" s="100"/>
      <c r="BJ453" s="100"/>
      <c r="BK453" s="102"/>
      <c r="BN453" s="36"/>
    </row>
    <row r="454" spans="1:66" x14ac:dyDescent="0.25">
      <c r="A454" s="92"/>
      <c r="B454" s="93"/>
      <c r="C454" s="93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4"/>
      <c r="AG454" s="100"/>
      <c r="AH454" s="101"/>
      <c r="AI454" s="101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2"/>
      <c r="AX454" s="100"/>
      <c r="AY454" s="101"/>
      <c r="AZ454" s="101"/>
      <c r="BA454" s="100"/>
      <c r="BB454" s="100"/>
      <c r="BC454" s="100"/>
      <c r="BD454" s="100"/>
      <c r="BE454" s="100"/>
      <c r="BF454" s="100"/>
      <c r="BG454" s="100"/>
      <c r="BH454" s="100"/>
      <c r="BI454" s="100"/>
      <c r="BJ454" s="100"/>
      <c r="BK454" s="102"/>
      <c r="BN454" s="36"/>
    </row>
    <row r="455" spans="1:66" x14ac:dyDescent="0.25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AG455" s="100"/>
      <c r="AH455" s="101"/>
      <c r="AI455" s="101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2"/>
      <c r="AX455" s="100"/>
      <c r="AY455" s="101"/>
      <c r="AZ455" s="101"/>
      <c r="BA455" s="101"/>
      <c r="BB455" s="100"/>
      <c r="BC455" s="100"/>
      <c r="BD455" s="100"/>
      <c r="BE455" s="100"/>
      <c r="BF455" s="100"/>
      <c r="BG455" s="100"/>
      <c r="BH455" s="100"/>
      <c r="BI455" s="100"/>
      <c r="BJ455" s="100"/>
      <c r="BK455" s="102"/>
      <c r="BN455" s="36"/>
    </row>
    <row r="456" spans="1:66" x14ac:dyDescent="0.25">
      <c r="A456" s="92"/>
      <c r="B456" s="93"/>
      <c r="C456" s="93"/>
      <c r="D456" s="93"/>
      <c r="E456" s="92"/>
      <c r="F456" s="92"/>
      <c r="G456" s="92"/>
      <c r="H456" s="92"/>
      <c r="I456" s="92"/>
      <c r="J456" s="92"/>
      <c r="K456" s="92"/>
      <c r="L456" s="92"/>
      <c r="M456" s="92"/>
      <c r="N456" s="94"/>
      <c r="AG456" s="100"/>
      <c r="AH456" s="101"/>
      <c r="AI456" s="101"/>
      <c r="AJ456" s="101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2"/>
      <c r="AX456" s="100"/>
      <c r="AY456" s="101"/>
      <c r="AZ456" s="101"/>
      <c r="BA456" s="100"/>
      <c r="BB456" s="100"/>
      <c r="BC456" s="100"/>
      <c r="BD456" s="100"/>
      <c r="BE456" s="100"/>
      <c r="BF456" s="100"/>
      <c r="BG456" s="100"/>
      <c r="BH456" s="100"/>
      <c r="BI456" s="100"/>
      <c r="BJ456" s="100"/>
      <c r="BK456" s="102"/>
      <c r="BN456" s="36"/>
    </row>
    <row r="457" spans="1:66" x14ac:dyDescent="0.25">
      <c r="A457" s="92"/>
      <c r="B457" s="92"/>
      <c r="C457" s="92"/>
      <c r="D457" s="93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AG457" s="100"/>
      <c r="AH457" s="101"/>
      <c r="AI457" s="101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2"/>
      <c r="AX457" s="100"/>
      <c r="AY457" s="101"/>
      <c r="AZ457" s="101"/>
      <c r="BA457" s="100"/>
      <c r="BB457" s="100"/>
      <c r="BC457" s="100"/>
      <c r="BD457" s="100"/>
      <c r="BE457" s="100"/>
      <c r="BF457" s="100"/>
      <c r="BG457" s="100"/>
      <c r="BH457" s="100"/>
      <c r="BI457" s="100"/>
      <c r="BJ457" s="100"/>
      <c r="BK457" s="102"/>
      <c r="BN457" s="36"/>
    </row>
    <row r="458" spans="1:66" x14ac:dyDescent="0.25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AG458" s="100"/>
      <c r="AH458" s="101"/>
      <c r="AI458" s="101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2"/>
      <c r="AX458" s="100"/>
      <c r="AY458" s="101"/>
      <c r="AZ458" s="101"/>
      <c r="BA458" s="101"/>
      <c r="BB458" s="100"/>
      <c r="BC458" s="100"/>
      <c r="BD458" s="100"/>
      <c r="BE458" s="100"/>
      <c r="BF458" s="100"/>
      <c r="BG458" s="100"/>
      <c r="BH458" s="100"/>
      <c r="BI458" s="100"/>
      <c r="BJ458" s="100"/>
      <c r="BK458" s="102"/>
      <c r="BN458" s="36"/>
    </row>
    <row r="459" spans="1:66" x14ac:dyDescent="0.25">
      <c r="A459" s="92"/>
      <c r="B459" s="93"/>
      <c r="C459" s="93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4"/>
      <c r="AG459" s="100"/>
      <c r="AH459" s="101"/>
      <c r="AI459" s="101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2"/>
      <c r="AX459" s="100"/>
      <c r="AY459" s="101"/>
      <c r="AZ459" s="101"/>
      <c r="BA459" s="100"/>
      <c r="BB459" s="100"/>
      <c r="BC459" s="100"/>
      <c r="BD459" s="100"/>
      <c r="BE459" s="100"/>
      <c r="BF459" s="100"/>
      <c r="BG459" s="100"/>
      <c r="BH459" s="100"/>
      <c r="BI459" s="100"/>
      <c r="BJ459" s="100"/>
      <c r="BK459" s="102"/>
      <c r="BN459" s="36"/>
    </row>
    <row r="460" spans="1:66" x14ac:dyDescent="0.25">
      <c r="A460" s="92"/>
      <c r="B460" s="93"/>
      <c r="C460" s="93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4"/>
      <c r="AG460" s="100"/>
      <c r="AH460" s="101"/>
      <c r="AI460" s="101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2"/>
      <c r="AX460" s="100"/>
      <c r="AY460" s="101"/>
      <c r="AZ460" s="101"/>
      <c r="BA460" s="100"/>
      <c r="BB460" s="100"/>
      <c r="BC460" s="100"/>
      <c r="BD460" s="100"/>
      <c r="BE460" s="100"/>
      <c r="BF460" s="100"/>
      <c r="BG460" s="100"/>
      <c r="BH460" s="100"/>
      <c r="BI460" s="100"/>
      <c r="BJ460" s="100"/>
      <c r="BK460" s="102"/>
      <c r="BN460" s="36"/>
    </row>
    <row r="461" spans="1:66" x14ac:dyDescent="0.25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AG461" s="100"/>
      <c r="AH461" s="101"/>
      <c r="AI461" s="101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2"/>
      <c r="AX461" s="100"/>
      <c r="AY461" s="101"/>
      <c r="AZ461" s="101"/>
      <c r="BA461" s="100"/>
      <c r="BB461" s="100"/>
      <c r="BC461" s="100"/>
      <c r="BD461" s="100"/>
      <c r="BE461" s="100"/>
      <c r="BF461" s="100"/>
      <c r="BG461" s="100"/>
      <c r="BH461" s="100"/>
      <c r="BI461" s="100"/>
      <c r="BJ461" s="100"/>
      <c r="BK461" s="102"/>
      <c r="BN461" s="36"/>
    </row>
    <row r="462" spans="1:66" x14ac:dyDescent="0.25">
      <c r="A462" s="92"/>
      <c r="B462" s="93"/>
      <c r="C462" s="93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4"/>
      <c r="AG462" s="100"/>
      <c r="AH462" s="101"/>
      <c r="AI462" s="101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2"/>
      <c r="AX462" s="100"/>
      <c r="AY462" s="101"/>
      <c r="AZ462" s="101"/>
      <c r="BA462" s="100"/>
      <c r="BB462" s="100"/>
      <c r="BC462" s="100"/>
      <c r="BD462" s="100"/>
      <c r="BE462" s="100"/>
      <c r="BF462" s="100"/>
      <c r="BG462" s="100"/>
      <c r="BH462" s="100"/>
      <c r="BI462" s="100"/>
      <c r="BJ462" s="100"/>
      <c r="BK462" s="102"/>
      <c r="BN462" s="36"/>
    </row>
    <row r="463" spans="1:66" x14ac:dyDescent="0.25">
      <c r="A463" s="92"/>
      <c r="B463" s="93"/>
      <c r="C463" s="93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4"/>
      <c r="AG463" s="100"/>
      <c r="AH463" s="101"/>
      <c r="AI463" s="101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2"/>
      <c r="AX463" s="100"/>
      <c r="AY463" s="101"/>
      <c r="AZ463" s="101"/>
      <c r="BA463" s="100"/>
      <c r="BB463" s="100"/>
      <c r="BC463" s="100"/>
      <c r="BD463" s="100"/>
      <c r="BE463" s="100"/>
      <c r="BF463" s="100"/>
      <c r="BG463" s="100"/>
      <c r="BH463" s="100"/>
      <c r="BI463" s="100"/>
      <c r="BJ463" s="100"/>
      <c r="BK463" s="102"/>
      <c r="BN463" s="36"/>
    </row>
    <row r="464" spans="1:66" x14ac:dyDescent="0.25">
      <c r="A464" s="92"/>
      <c r="B464" s="93"/>
      <c r="C464" s="93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4"/>
      <c r="AG464" s="100"/>
      <c r="AH464" s="101"/>
      <c r="AI464" s="101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2"/>
      <c r="AX464" s="100"/>
      <c r="AY464" s="101"/>
      <c r="AZ464" s="101"/>
      <c r="BA464" s="100"/>
      <c r="BB464" s="100"/>
      <c r="BC464" s="100"/>
      <c r="BD464" s="100"/>
      <c r="BE464" s="100"/>
      <c r="BF464" s="100"/>
      <c r="BG464" s="100"/>
      <c r="BH464" s="100"/>
      <c r="BI464" s="100"/>
      <c r="BJ464" s="100"/>
      <c r="BK464" s="102"/>
      <c r="BN464" s="36"/>
    </row>
    <row r="465" spans="1:66" x14ac:dyDescent="0.25">
      <c r="A465" s="92"/>
      <c r="B465" s="93"/>
      <c r="C465" s="93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4"/>
      <c r="AG465" s="100"/>
      <c r="AH465" s="101"/>
      <c r="AI465" s="101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2"/>
      <c r="AX465" s="100"/>
      <c r="AY465" s="101"/>
      <c r="AZ465" s="101"/>
      <c r="BA465" s="100"/>
      <c r="BB465" s="100"/>
      <c r="BC465" s="100"/>
      <c r="BD465" s="100"/>
      <c r="BE465" s="100"/>
      <c r="BF465" s="100"/>
      <c r="BG465" s="100"/>
      <c r="BH465" s="100"/>
      <c r="BI465" s="100"/>
      <c r="BJ465" s="100"/>
      <c r="BK465" s="102"/>
      <c r="BN465" s="36"/>
    </row>
    <row r="466" spans="1:66" x14ac:dyDescent="0.25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AG466" s="100"/>
      <c r="AH466" s="101"/>
      <c r="AI466" s="101"/>
      <c r="AJ466" s="101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2"/>
      <c r="AX466" s="100"/>
      <c r="AY466" s="101"/>
      <c r="AZ466" s="101"/>
      <c r="BA466" s="100"/>
      <c r="BB466" s="100"/>
      <c r="BC466" s="100"/>
      <c r="BD466" s="100"/>
      <c r="BE466" s="100"/>
      <c r="BF466" s="100"/>
      <c r="BG466" s="100"/>
      <c r="BH466" s="100"/>
      <c r="BI466" s="100"/>
      <c r="BJ466" s="100"/>
      <c r="BK466" s="102"/>
      <c r="BN466" s="36"/>
    </row>
    <row r="467" spans="1:66" x14ac:dyDescent="0.25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AG467" s="100"/>
      <c r="AH467" s="101"/>
      <c r="AI467" s="101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2"/>
      <c r="AX467" s="100"/>
      <c r="AY467" s="101"/>
      <c r="AZ467" s="101"/>
      <c r="BA467" s="100"/>
      <c r="BB467" s="100"/>
      <c r="BC467" s="100"/>
      <c r="BD467" s="100"/>
      <c r="BE467" s="100"/>
      <c r="BF467" s="100"/>
      <c r="BG467" s="100"/>
      <c r="BH467" s="100"/>
      <c r="BI467" s="100"/>
      <c r="BJ467" s="100"/>
      <c r="BK467" s="102"/>
      <c r="BN467" s="36"/>
    </row>
    <row r="468" spans="1:66" x14ac:dyDescent="0.25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AG468" s="100"/>
      <c r="AH468" s="101"/>
      <c r="AI468" s="101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2"/>
      <c r="AX468" s="100"/>
      <c r="AY468" s="101"/>
      <c r="AZ468" s="101"/>
      <c r="BA468" s="100"/>
      <c r="BB468" s="100"/>
      <c r="BC468" s="100"/>
      <c r="BD468" s="100"/>
      <c r="BE468" s="100"/>
      <c r="BF468" s="100"/>
      <c r="BG468" s="100"/>
      <c r="BH468" s="100"/>
      <c r="BI468" s="100"/>
      <c r="BJ468" s="100"/>
      <c r="BK468" s="102"/>
      <c r="BN468" s="36"/>
    </row>
    <row r="469" spans="1:66" x14ac:dyDescent="0.25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AG469" s="100"/>
      <c r="AH469" s="101"/>
      <c r="AI469" s="101"/>
      <c r="AJ469" s="101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2"/>
      <c r="AX469" s="100"/>
      <c r="AY469" s="101"/>
      <c r="AZ469" s="101"/>
      <c r="BA469" s="100"/>
      <c r="BB469" s="100"/>
      <c r="BC469" s="100"/>
      <c r="BD469" s="100"/>
      <c r="BE469" s="100"/>
      <c r="BF469" s="100"/>
      <c r="BG469" s="100"/>
      <c r="BH469" s="100"/>
      <c r="BI469" s="100"/>
      <c r="BJ469" s="100"/>
      <c r="BK469" s="102"/>
      <c r="BN469" s="36"/>
    </row>
    <row r="470" spans="1:66" x14ac:dyDescent="0.25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AG470" s="100"/>
      <c r="AH470" s="101"/>
      <c r="AI470" s="101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2"/>
      <c r="AX470" s="100"/>
      <c r="AY470" s="101"/>
      <c r="AZ470" s="101"/>
      <c r="BA470" s="100"/>
      <c r="BB470" s="100"/>
      <c r="BC470" s="100"/>
      <c r="BD470" s="100"/>
      <c r="BE470" s="100"/>
      <c r="BF470" s="100"/>
      <c r="BG470" s="100"/>
      <c r="BH470" s="100"/>
      <c r="BI470" s="100"/>
      <c r="BJ470" s="100"/>
      <c r="BK470" s="102"/>
      <c r="BN470" s="36"/>
    </row>
    <row r="471" spans="1:66" x14ac:dyDescent="0.25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AG471" s="100"/>
      <c r="AH471" s="101"/>
      <c r="AI471" s="101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2"/>
      <c r="AX471" s="100"/>
      <c r="AY471" s="101"/>
      <c r="AZ471" s="101"/>
      <c r="BA471" s="101"/>
      <c r="BB471" s="100"/>
      <c r="BC471" s="100"/>
      <c r="BD471" s="100"/>
      <c r="BE471" s="100"/>
      <c r="BF471" s="100"/>
      <c r="BG471" s="100"/>
      <c r="BH471" s="100"/>
      <c r="BI471" s="100"/>
      <c r="BJ471" s="100"/>
      <c r="BK471" s="102"/>
      <c r="BN471" s="36"/>
    </row>
    <row r="472" spans="1:66" x14ac:dyDescent="0.25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AG472" s="100"/>
      <c r="AH472" s="101"/>
      <c r="AI472" s="101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2"/>
      <c r="AX472" s="100"/>
      <c r="AY472" s="101"/>
      <c r="AZ472" s="101"/>
      <c r="BA472" s="100"/>
      <c r="BB472" s="100"/>
      <c r="BC472" s="100"/>
      <c r="BD472" s="100"/>
      <c r="BE472" s="100"/>
      <c r="BF472" s="100"/>
      <c r="BG472" s="100"/>
      <c r="BH472" s="100"/>
      <c r="BI472" s="100"/>
      <c r="BJ472" s="100"/>
      <c r="BK472" s="102"/>
      <c r="BN472" s="36"/>
    </row>
    <row r="473" spans="1:66" x14ac:dyDescent="0.25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AG473" s="100"/>
      <c r="AH473" s="101"/>
      <c r="AI473" s="101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2"/>
      <c r="AX473" s="100"/>
      <c r="AY473" s="101"/>
      <c r="AZ473" s="101"/>
      <c r="BA473" s="100"/>
      <c r="BB473" s="100"/>
      <c r="BC473" s="100"/>
      <c r="BD473" s="100"/>
      <c r="BE473" s="100"/>
      <c r="BF473" s="100"/>
      <c r="BG473" s="100"/>
      <c r="BH473" s="100"/>
      <c r="BI473" s="100"/>
      <c r="BJ473" s="100"/>
      <c r="BK473" s="102"/>
      <c r="BN473" s="36"/>
    </row>
    <row r="474" spans="1:66" x14ac:dyDescent="0.25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AG474" s="100"/>
      <c r="AH474" s="101"/>
      <c r="AI474" s="101"/>
      <c r="AJ474" s="101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2"/>
      <c r="AX474" s="100"/>
      <c r="AY474" s="101"/>
      <c r="AZ474" s="101"/>
      <c r="BA474" s="100"/>
      <c r="BB474" s="100"/>
      <c r="BC474" s="100"/>
      <c r="BD474" s="100"/>
      <c r="BE474" s="100"/>
      <c r="BF474" s="100"/>
      <c r="BG474" s="100"/>
      <c r="BH474" s="100"/>
      <c r="BI474" s="100"/>
      <c r="BJ474" s="100"/>
      <c r="BK474" s="102"/>
      <c r="BN474" s="36"/>
    </row>
    <row r="475" spans="1:66" x14ac:dyDescent="0.25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AG475" s="100"/>
      <c r="AH475" s="101"/>
      <c r="AI475" s="101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2"/>
      <c r="AX475" s="100"/>
      <c r="AY475" s="101"/>
      <c r="AZ475" s="101"/>
      <c r="BA475" s="100"/>
      <c r="BB475" s="100"/>
      <c r="BC475" s="100"/>
      <c r="BD475" s="100"/>
      <c r="BE475" s="100"/>
      <c r="BF475" s="100"/>
      <c r="BG475" s="100"/>
      <c r="BH475" s="100"/>
      <c r="BI475" s="100"/>
      <c r="BJ475" s="100"/>
      <c r="BK475" s="102"/>
      <c r="BN475" s="36"/>
    </row>
    <row r="476" spans="1:66" x14ac:dyDescent="0.25">
      <c r="A476" s="92"/>
      <c r="B476" s="93"/>
      <c r="C476" s="93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4"/>
      <c r="AG476" s="100"/>
      <c r="AH476" s="101"/>
      <c r="AI476" s="101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2"/>
      <c r="AX476" s="100"/>
      <c r="AY476" s="101"/>
      <c r="AZ476" s="101"/>
      <c r="BA476" s="101"/>
      <c r="BB476" s="100"/>
      <c r="BC476" s="100"/>
      <c r="BD476" s="100"/>
      <c r="BE476" s="100"/>
      <c r="BF476" s="100"/>
      <c r="BG476" s="100"/>
      <c r="BH476" s="100"/>
      <c r="BI476" s="100"/>
      <c r="BJ476" s="100"/>
      <c r="BK476" s="102"/>
      <c r="BN476" s="36"/>
    </row>
    <row r="477" spans="1:66" x14ac:dyDescent="0.25">
      <c r="A477" s="92"/>
      <c r="B477" s="93"/>
      <c r="C477" s="93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4"/>
      <c r="AG477" s="100"/>
      <c r="AH477" s="101"/>
      <c r="AI477" s="101"/>
      <c r="AJ477" s="101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2"/>
      <c r="AX477" s="100"/>
      <c r="AY477" s="101"/>
      <c r="AZ477" s="101"/>
      <c r="BA477" s="100"/>
      <c r="BB477" s="100"/>
      <c r="BC477" s="100"/>
      <c r="BD477" s="100"/>
      <c r="BE477" s="100"/>
      <c r="BF477" s="100"/>
      <c r="BG477" s="100"/>
      <c r="BH477" s="100"/>
      <c r="BI477" s="100"/>
      <c r="BJ477" s="100"/>
      <c r="BK477" s="102"/>
      <c r="BN477" s="36"/>
    </row>
    <row r="478" spans="1:66" x14ac:dyDescent="0.25">
      <c r="A478" s="92"/>
      <c r="B478" s="93"/>
      <c r="C478" s="93"/>
      <c r="D478" s="93"/>
      <c r="E478" s="92"/>
      <c r="F478" s="92"/>
      <c r="G478" s="92"/>
      <c r="H478" s="92"/>
      <c r="I478" s="92"/>
      <c r="J478" s="92"/>
      <c r="K478" s="92"/>
      <c r="L478" s="92"/>
      <c r="M478" s="92"/>
      <c r="N478" s="94"/>
      <c r="AG478" s="100"/>
      <c r="AH478" s="101"/>
      <c r="AI478" s="101"/>
      <c r="AJ478" s="101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2"/>
      <c r="AX478" s="100"/>
      <c r="AY478" s="101"/>
      <c r="AZ478" s="101"/>
      <c r="BA478" s="100"/>
      <c r="BB478" s="100"/>
      <c r="BC478" s="100"/>
      <c r="BD478" s="100"/>
      <c r="BE478" s="100"/>
      <c r="BF478" s="100"/>
      <c r="BG478" s="100"/>
      <c r="BH478" s="100"/>
      <c r="BI478" s="100"/>
      <c r="BJ478" s="100"/>
      <c r="BK478" s="102"/>
      <c r="BN478" s="36"/>
    </row>
    <row r="479" spans="1:66" x14ac:dyDescent="0.25">
      <c r="A479" s="92"/>
      <c r="B479" s="93"/>
      <c r="C479" s="93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4"/>
      <c r="AG479" s="100"/>
      <c r="AH479" s="101"/>
      <c r="AI479" s="101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2"/>
      <c r="AX479" s="100"/>
      <c r="AY479" s="101"/>
      <c r="AZ479" s="101"/>
      <c r="BA479" s="100"/>
      <c r="BB479" s="100"/>
      <c r="BC479" s="100"/>
      <c r="BD479" s="100"/>
      <c r="BE479" s="100"/>
      <c r="BF479" s="100"/>
      <c r="BG479" s="100"/>
      <c r="BH479" s="100"/>
      <c r="BI479" s="100"/>
      <c r="BJ479" s="100"/>
      <c r="BK479" s="102"/>
      <c r="BN479" s="36"/>
    </row>
    <row r="480" spans="1:66" x14ac:dyDescent="0.25">
      <c r="A480" s="92"/>
      <c r="B480" s="93"/>
      <c r="C480" s="93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4"/>
      <c r="AG480" s="100"/>
      <c r="AH480" s="101"/>
      <c r="AI480" s="101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2"/>
      <c r="AX480" s="100"/>
      <c r="AY480" s="101"/>
      <c r="AZ480" s="101"/>
      <c r="BA480" s="100"/>
      <c r="BB480" s="100"/>
      <c r="BC480" s="100"/>
      <c r="BD480" s="100"/>
      <c r="BE480" s="100"/>
      <c r="BF480" s="100"/>
      <c r="BG480" s="100"/>
      <c r="BH480" s="100"/>
      <c r="BI480" s="100"/>
      <c r="BJ480" s="100"/>
      <c r="BK480" s="102"/>
      <c r="BN480" s="36"/>
    </row>
    <row r="481" spans="1:66" x14ac:dyDescent="0.25">
      <c r="A481" s="92"/>
      <c r="B481" s="93"/>
      <c r="C481" s="93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4"/>
      <c r="AG481" s="100"/>
      <c r="AH481" s="101"/>
      <c r="AI481" s="101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2"/>
      <c r="AX481" s="100"/>
      <c r="AY481" s="101"/>
      <c r="AZ481" s="101"/>
      <c r="BA481" s="100"/>
      <c r="BB481" s="100"/>
      <c r="BC481" s="100"/>
      <c r="BD481" s="100"/>
      <c r="BE481" s="100"/>
      <c r="BF481" s="100"/>
      <c r="BG481" s="100"/>
      <c r="BH481" s="100"/>
      <c r="BI481" s="100"/>
      <c r="BJ481" s="100"/>
      <c r="BK481" s="102"/>
      <c r="BN481" s="36"/>
    </row>
    <row r="482" spans="1:66" x14ac:dyDescent="0.25">
      <c r="A482" s="92"/>
      <c r="B482" s="93"/>
      <c r="C482" s="93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4"/>
      <c r="AG482" s="100"/>
      <c r="AH482" s="101"/>
      <c r="AI482" s="101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2"/>
      <c r="AX482" s="100"/>
      <c r="AY482" s="101"/>
      <c r="AZ482" s="101"/>
      <c r="BA482" s="100"/>
      <c r="BB482" s="100"/>
      <c r="BC482" s="100"/>
      <c r="BD482" s="100"/>
      <c r="BE482" s="100"/>
      <c r="BF482" s="100"/>
      <c r="BG482" s="100"/>
      <c r="BH482" s="100"/>
      <c r="BI482" s="100"/>
      <c r="BJ482" s="100"/>
      <c r="BK482" s="102"/>
      <c r="BN482" s="36"/>
    </row>
    <row r="483" spans="1:66" x14ac:dyDescent="0.25">
      <c r="A483" s="92"/>
      <c r="B483" s="93"/>
      <c r="C483" s="93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4"/>
      <c r="AG483" s="100"/>
      <c r="AH483" s="101"/>
      <c r="AI483" s="101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2"/>
      <c r="AX483" s="100"/>
      <c r="AY483" s="101"/>
      <c r="AZ483" s="101"/>
      <c r="BA483" s="100"/>
      <c r="BB483" s="100"/>
      <c r="BC483" s="100"/>
      <c r="BD483" s="100"/>
      <c r="BE483" s="100"/>
      <c r="BF483" s="100"/>
      <c r="BG483" s="100"/>
      <c r="BH483" s="100"/>
      <c r="BI483" s="100"/>
      <c r="BJ483" s="100"/>
      <c r="BK483" s="102"/>
      <c r="BN483" s="36"/>
    </row>
    <row r="484" spans="1:66" x14ac:dyDescent="0.25">
      <c r="A484" s="92"/>
      <c r="B484" s="93"/>
      <c r="C484" s="93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4"/>
      <c r="AG484" s="100"/>
      <c r="AH484" s="101"/>
      <c r="AI484" s="101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2"/>
      <c r="AX484" s="100"/>
      <c r="AY484" s="101"/>
      <c r="AZ484" s="101"/>
      <c r="BA484" s="100"/>
      <c r="BB484" s="100"/>
      <c r="BC484" s="100"/>
      <c r="BD484" s="100"/>
      <c r="BE484" s="100"/>
      <c r="BF484" s="100"/>
      <c r="BG484" s="100"/>
      <c r="BH484" s="100"/>
      <c r="BI484" s="100"/>
      <c r="BJ484" s="100"/>
      <c r="BK484" s="102"/>
      <c r="BN484" s="36"/>
    </row>
    <row r="485" spans="1:66" x14ac:dyDescent="0.25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AG485" s="100"/>
      <c r="AH485" s="101"/>
      <c r="AI485" s="101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2"/>
      <c r="AX485" s="100"/>
      <c r="AY485" s="101"/>
      <c r="AZ485" s="101"/>
      <c r="BA485" s="100"/>
      <c r="BB485" s="100"/>
      <c r="BC485" s="100"/>
      <c r="BD485" s="100"/>
      <c r="BE485" s="100"/>
      <c r="BF485" s="100"/>
      <c r="BG485" s="100"/>
      <c r="BH485" s="100"/>
      <c r="BI485" s="100"/>
      <c r="BJ485" s="100"/>
      <c r="BK485" s="102"/>
      <c r="BN485" s="36"/>
    </row>
    <row r="486" spans="1:66" x14ac:dyDescent="0.25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AG486" s="100"/>
      <c r="AH486" s="101"/>
      <c r="AI486" s="101"/>
      <c r="AJ486" s="101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2"/>
      <c r="AX486" s="100"/>
      <c r="AY486" s="101"/>
      <c r="AZ486" s="101"/>
      <c r="BA486" s="101"/>
      <c r="BB486" s="100"/>
      <c r="BC486" s="100"/>
      <c r="BD486" s="100"/>
      <c r="BE486" s="100"/>
      <c r="BF486" s="100"/>
      <c r="BG486" s="100"/>
      <c r="BH486" s="100"/>
      <c r="BI486" s="100"/>
      <c r="BJ486" s="100"/>
      <c r="BK486" s="102"/>
      <c r="BN486" s="36"/>
    </row>
    <row r="487" spans="1:66" x14ac:dyDescent="0.25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AG487" s="100"/>
      <c r="AH487" s="101"/>
      <c r="AI487" s="101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2"/>
      <c r="AX487" s="100"/>
      <c r="AY487" s="101"/>
      <c r="AZ487" s="101"/>
      <c r="BA487" s="100"/>
      <c r="BB487" s="100"/>
      <c r="BC487" s="100"/>
      <c r="BD487" s="100"/>
      <c r="BE487" s="100"/>
      <c r="BF487" s="100"/>
      <c r="BG487" s="100"/>
      <c r="BH487" s="100"/>
      <c r="BI487" s="100"/>
      <c r="BJ487" s="100"/>
      <c r="BK487" s="102"/>
      <c r="BN487" s="36"/>
    </row>
    <row r="488" spans="1:66" x14ac:dyDescent="0.25">
      <c r="A488" s="92"/>
      <c r="B488" s="93"/>
      <c r="C488" s="93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4"/>
      <c r="AG488" s="100"/>
      <c r="AH488" s="101"/>
      <c r="AI488" s="101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2"/>
      <c r="AX488" s="100"/>
      <c r="AY488" s="101"/>
      <c r="AZ488" s="101"/>
      <c r="BA488" s="100"/>
      <c r="BB488" s="100"/>
      <c r="BC488" s="100"/>
      <c r="BD488" s="100"/>
      <c r="BE488" s="100"/>
      <c r="BF488" s="100"/>
      <c r="BG488" s="100"/>
      <c r="BH488" s="100"/>
      <c r="BI488" s="100"/>
      <c r="BJ488" s="100"/>
      <c r="BK488" s="102"/>
      <c r="BN488" s="36"/>
    </row>
    <row r="489" spans="1:66" x14ac:dyDescent="0.25">
      <c r="A489" s="92"/>
      <c r="B489" s="93"/>
      <c r="C489" s="93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4"/>
      <c r="AG489" s="100"/>
      <c r="AH489" s="101"/>
      <c r="AI489" s="101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2"/>
      <c r="AX489" s="100"/>
      <c r="AY489" s="101"/>
      <c r="AZ489" s="101"/>
      <c r="BA489" s="101"/>
      <c r="BB489" s="100"/>
      <c r="BC489" s="100"/>
      <c r="BD489" s="100"/>
      <c r="BE489" s="100"/>
      <c r="BF489" s="100"/>
      <c r="BG489" s="100"/>
      <c r="BH489" s="100"/>
      <c r="BI489" s="100"/>
      <c r="BJ489" s="100"/>
      <c r="BK489" s="102"/>
      <c r="BN489" s="36"/>
    </row>
    <row r="490" spans="1:66" x14ac:dyDescent="0.25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AG490" s="100"/>
      <c r="AH490" s="101"/>
      <c r="AI490" s="101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2"/>
      <c r="AX490" s="100"/>
      <c r="AY490" s="101"/>
      <c r="AZ490" s="101"/>
      <c r="BA490" s="100"/>
      <c r="BB490" s="100"/>
      <c r="BC490" s="100"/>
      <c r="BD490" s="100"/>
      <c r="BE490" s="100"/>
      <c r="BF490" s="100"/>
      <c r="BG490" s="100"/>
      <c r="BH490" s="100"/>
      <c r="BI490" s="100"/>
      <c r="BJ490" s="100"/>
      <c r="BK490" s="102"/>
      <c r="BN490" s="36"/>
    </row>
    <row r="491" spans="1:66" x14ac:dyDescent="0.25">
      <c r="A491" s="92"/>
      <c r="B491" s="93"/>
      <c r="C491" s="93"/>
      <c r="D491" s="93"/>
      <c r="E491" s="92"/>
      <c r="F491" s="92"/>
      <c r="G491" s="92"/>
      <c r="H491" s="92"/>
      <c r="I491" s="92"/>
      <c r="J491" s="92"/>
      <c r="K491" s="92"/>
      <c r="L491" s="92"/>
      <c r="M491" s="92"/>
      <c r="N491" s="94"/>
      <c r="AG491" s="100"/>
      <c r="AH491" s="101"/>
      <c r="AI491" s="101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2"/>
      <c r="AX491" s="100"/>
      <c r="AY491" s="101"/>
      <c r="AZ491" s="101"/>
      <c r="BA491" s="100"/>
      <c r="BB491" s="100"/>
      <c r="BC491" s="100"/>
      <c r="BD491" s="100"/>
      <c r="BE491" s="100"/>
      <c r="BF491" s="100"/>
      <c r="BG491" s="100"/>
      <c r="BH491" s="100"/>
      <c r="BI491" s="100"/>
      <c r="BJ491" s="100"/>
      <c r="BK491" s="102"/>
      <c r="BN491" s="36"/>
    </row>
    <row r="492" spans="1:66" x14ac:dyDescent="0.25">
      <c r="A492" s="92"/>
      <c r="B492" s="93"/>
      <c r="C492" s="93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4"/>
      <c r="AG492" s="100"/>
      <c r="AH492" s="101"/>
      <c r="AI492" s="101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2"/>
      <c r="AX492" s="100"/>
      <c r="AY492" s="101"/>
      <c r="AZ492" s="101"/>
      <c r="BA492" s="100"/>
      <c r="BB492" s="100"/>
      <c r="BC492" s="100"/>
      <c r="BD492" s="100"/>
      <c r="BE492" s="100"/>
      <c r="BF492" s="100"/>
      <c r="BG492" s="100"/>
      <c r="BH492" s="100"/>
      <c r="BI492" s="100"/>
      <c r="BJ492" s="100"/>
      <c r="BK492" s="102"/>
      <c r="BN492" s="36"/>
    </row>
    <row r="493" spans="1:66" x14ac:dyDescent="0.25">
      <c r="A493" s="92"/>
      <c r="B493" s="93"/>
      <c r="C493" s="93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4"/>
      <c r="AG493" s="100"/>
      <c r="AH493" s="101"/>
      <c r="AI493" s="101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2"/>
      <c r="AX493" s="100"/>
      <c r="AY493" s="101"/>
      <c r="AZ493" s="101"/>
      <c r="BA493" s="100"/>
      <c r="BB493" s="100"/>
      <c r="BC493" s="100"/>
      <c r="BD493" s="100"/>
      <c r="BE493" s="100"/>
      <c r="BF493" s="100"/>
      <c r="BG493" s="100"/>
      <c r="BH493" s="100"/>
      <c r="BI493" s="100"/>
      <c r="BJ493" s="100"/>
      <c r="BK493" s="102"/>
      <c r="BN493" s="36"/>
    </row>
    <row r="494" spans="1:66" x14ac:dyDescent="0.25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AG494" s="100"/>
      <c r="AH494" s="101"/>
      <c r="AI494" s="101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2"/>
      <c r="AX494" s="100"/>
      <c r="AY494" s="101"/>
      <c r="AZ494" s="101"/>
      <c r="BA494" s="101"/>
      <c r="BB494" s="100"/>
      <c r="BC494" s="100"/>
      <c r="BD494" s="100"/>
      <c r="BE494" s="100"/>
      <c r="BF494" s="100"/>
      <c r="BG494" s="100"/>
      <c r="BH494" s="100"/>
      <c r="BI494" s="100"/>
      <c r="BJ494" s="100"/>
      <c r="BK494" s="102"/>
      <c r="BN494" s="36"/>
    </row>
    <row r="495" spans="1:66" x14ac:dyDescent="0.25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AG495" s="100"/>
      <c r="AH495" s="101"/>
      <c r="AI495" s="101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2"/>
      <c r="AX495" s="100"/>
      <c r="AY495" s="101"/>
      <c r="AZ495" s="101"/>
      <c r="BA495" s="100"/>
      <c r="BB495" s="100"/>
      <c r="BC495" s="100"/>
      <c r="BD495" s="100"/>
      <c r="BE495" s="100"/>
      <c r="BF495" s="100"/>
      <c r="BG495" s="100"/>
      <c r="BH495" s="100"/>
      <c r="BI495" s="100"/>
      <c r="BJ495" s="100"/>
      <c r="BK495" s="102"/>
      <c r="BN495" s="36"/>
    </row>
    <row r="496" spans="1:66" x14ac:dyDescent="0.25">
      <c r="A496" s="92"/>
      <c r="B496" s="93"/>
      <c r="C496" s="93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4"/>
      <c r="AG496" s="100"/>
      <c r="AH496" s="101"/>
      <c r="AI496" s="101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2"/>
      <c r="AX496" s="100"/>
      <c r="AY496" s="101"/>
      <c r="AZ496" s="101"/>
      <c r="BA496" s="100"/>
      <c r="BB496" s="100"/>
      <c r="BC496" s="100"/>
      <c r="BD496" s="100"/>
      <c r="BE496" s="100"/>
      <c r="BF496" s="100"/>
      <c r="BG496" s="100"/>
      <c r="BH496" s="100"/>
      <c r="BI496" s="100"/>
      <c r="BJ496" s="100"/>
      <c r="BK496" s="102"/>
      <c r="BN496" s="36"/>
    </row>
    <row r="497" spans="1:66" x14ac:dyDescent="0.25">
      <c r="A497" s="92"/>
      <c r="B497" s="93"/>
      <c r="C497" s="93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4"/>
      <c r="AG497" s="100"/>
      <c r="AH497" s="101"/>
      <c r="AI497" s="101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2"/>
      <c r="AX497" s="100"/>
      <c r="AY497" s="101"/>
      <c r="AZ497" s="101"/>
      <c r="BA497" s="101"/>
      <c r="BB497" s="100"/>
      <c r="BC497" s="100"/>
      <c r="BD497" s="100"/>
      <c r="BE497" s="100"/>
      <c r="BF497" s="100"/>
      <c r="BG497" s="100"/>
      <c r="BH497" s="100"/>
      <c r="BI497" s="100"/>
      <c r="BJ497" s="100"/>
      <c r="BK497" s="102"/>
      <c r="BN497" s="36"/>
    </row>
    <row r="498" spans="1:66" x14ac:dyDescent="0.25">
      <c r="A498" s="92"/>
      <c r="B498" s="93"/>
      <c r="C498" s="93"/>
      <c r="D498" s="93"/>
      <c r="E498" s="92"/>
      <c r="F498" s="92"/>
      <c r="G498" s="92"/>
      <c r="H498" s="92"/>
      <c r="I498" s="92"/>
      <c r="J498" s="92"/>
      <c r="K498" s="92"/>
      <c r="L498" s="92"/>
      <c r="M498" s="92"/>
      <c r="N498" s="94"/>
      <c r="AG498" s="100"/>
      <c r="AH498" s="101"/>
      <c r="AI498" s="101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2"/>
      <c r="AX498" s="100"/>
      <c r="AY498" s="101"/>
      <c r="AZ498" s="101"/>
      <c r="BA498" s="101"/>
      <c r="BB498" s="100"/>
      <c r="BC498" s="100"/>
      <c r="BD498" s="100"/>
      <c r="BE498" s="100"/>
      <c r="BF498" s="100"/>
      <c r="BG498" s="100"/>
      <c r="BH498" s="100"/>
      <c r="BI498" s="100"/>
      <c r="BJ498" s="100"/>
      <c r="BK498" s="102"/>
      <c r="BN498" s="36"/>
    </row>
    <row r="499" spans="1:66" x14ac:dyDescent="0.25">
      <c r="A499" s="92"/>
      <c r="B499" s="93"/>
      <c r="C499" s="93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4"/>
      <c r="AG499" s="100"/>
      <c r="AH499" s="101"/>
      <c r="AI499" s="101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2"/>
      <c r="AX499" s="100"/>
      <c r="AY499" s="101"/>
      <c r="AZ499" s="101"/>
      <c r="BA499" s="100"/>
      <c r="BB499" s="100"/>
      <c r="BC499" s="100"/>
      <c r="BD499" s="100"/>
      <c r="BE499" s="100"/>
      <c r="BF499" s="100"/>
      <c r="BG499" s="100"/>
      <c r="BH499" s="100"/>
      <c r="BI499" s="100"/>
      <c r="BJ499" s="100"/>
      <c r="BK499" s="102"/>
      <c r="BN499" s="36"/>
    </row>
    <row r="500" spans="1:66" x14ac:dyDescent="0.25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AG500" s="100"/>
      <c r="AH500" s="101"/>
      <c r="AI500" s="101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2"/>
      <c r="AX500" s="100"/>
      <c r="AY500" s="101"/>
      <c r="AZ500" s="101"/>
      <c r="BA500" s="100"/>
      <c r="BB500" s="100"/>
      <c r="BC500" s="100"/>
      <c r="BD500" s="100"/>
      <c r="BE500" s="100"/>
      <c r="BF500" s="100"/>
      <c r="BG500" s="100"/>
      <c r="BH500" s="100"/>
      <c r="BI500" s="100"/>
      <c r="BJ500" s="100"/>
      <c r="BK500" s="102"/>
      <c r="BN500" s="36"/>
    </row>
    <row r="501" spans="1:66" x14ac:dyDescent="0.25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AG501" s="100"/>
      <c r="AH501" s="101"/>
      <c r="AI501" s="101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2"/>
      <c r="AX501" s="100"/>
      <c r="AY501" s="101"/>
      <c r="AZ501" s="101"/>
      <c r="BA501" s="100"/>
      <c r="BB501" s="100"/>
      <c r="BC501" s="100"/>
      <c r="BD501" s="100"/>
      <c r="BE501" s="100"/>
      <c r="BF501" s="100"/>
      <c r="BG501" s="100"/>
      <c r="BH501" s="100"/>
      <c r="BI501" s="100"/>
      <c r="BJ501" s="100"/>
      <c r="BK501" s="102"/>
      <c r="BN501" s="36"/>
    </row>
    <row r="502" spans="1:66" x14ac:dyDescent="0.25">
      <c r="A502" s="92"/>
      <c r="B502" s="93"/>
      <c r="C502" s="93"/>
      <c r="D502" s="93"/>
      <c r="E502" s="92"/>
      <c r="F502" s="92"/>
      <c r="G502" s="92"/>
      <c r="H502" s="92"/>
      <c r="I502" s="92"/>
      <c r="J502" s="92"/>
      <c r="K502" s="92"/>
      <c r="L502" s="92"/>
      <c r="M502" s="92"/>
      <c r="N502" s="94"/>
      <c r="AG502" s="100"/>
      <c r="AH502" s="101"/>
      <c r="AI502" s="101"/>
      <c r="AJ502" s="101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2"/>
      <c r="AX502" s="100"/>
      <c r="AY502" s="101"/>
      <c r="AZ502" s="101"/>
      <c r="BA502" s="100"/>
      <c r="BB502" s="100"/>
      <c r="BC502" s="100"/>
      <c r="BD502" s="100"/>
      <c r="BE502" s="100"/>
      <c r="BF502" s="100"/>
      <c r="BG502" s="100"/>
      <c r="BH502" s="100"/>
      <c r="BI502" s="100"/>
      <c r="BJ502" s="100"/>
      <c r="BK502" s="102"/>
      <c r="BN502" s="36"/>
    </row>
    <row r="503" spans="1:66" x14ac:dyDescent="0.25">
      <c r="A503" s="92"/>
      <c r="B503" s="93"/>
      <c r="C503" s="93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4"/>
      <c r="AG503" s="100"/>
      <c r="AH503" s="101"/>
      <c r="AI503" s="101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2"/>
      <c r="AX503" s="100"/>
      <c r="AY503" s="101"/>
      <c r="AZ503" s="101"/>
      <c r="BA503" s="100"/>
      <c r="BB503" s="100"/>
      <c r="BC503" s="100"/>
      <c r="BD503" s="100"/>
      <c r="BE503" s="100"/>
      <c r="BF503" s="100"/>
      <c r="BG503" s="100"/>
      <c r="BH503" s="100"/>
      <c r="BI503" s="100"/>
      <c r="BJ503" s="100"/>
      <c r="BK503" s="102"/>
      <c r="BN503" s="36"/>
    </row>
    <row r="504" spans="1:66" x14ac:dyDescent="0.25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AG504" s="100"/>
      <c r="AH504" s="101"/>
      <c r="AI504" s="101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2"/>
      <c r="AX504" s="100"/>
      <c r="AY504" s="101"/>
      <c r="AZ504" s="101"/>
      <c r="BA504" s="100"/>
      <c r="BB504" s="100"/>
      <c r="BC504" s="100"/>
      <c r="BD504" s="100"/>
      <c r="BE504" s="100"/>
      <c r="BF504" s="100"/>
      <c r="BG504" s="100"/>
      <c r="BH504" s="100"/>
      <c r="BI504" s="100"/>
      <c r="BJ504" s="100"/>
      <c r="BK504" s="102"/>
      <c r="BN504" s="36"/>
    </row>
    <row r="505" spans="1:66" x14ac:dyDescent="0.25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AG505" s="100"/>
      <c r="AH505" s="101"/>
      <c r="AI505" s="101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2"/>
      <c r="AX505" s="100"/>
      <c r="AY505" s="101"/>
      <c r="AZ505" s="101"/>
      <c r="BA505" s="100"/>
      <c r="BB505" s="100"/>
      <c r="BC505" s="100"/>
      <c r="BD505" s="100"/>
      <c r="BE505" s="100"/>
      <c r="BF505" s="100"/>
      <c r="BG505" s="100"/>
      <c r="BH505" s="100"/>
      <c r="BI505" s="100"/>
      <c r="BJ505" s="100"/>
      <c r="BK505" s="102"/>
      <c r="BN505" s="36"/>
    </row>
    <row r="506" spans="1:66" x14ac:dyDescent="0.25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AG506" s="100"/>
      <c r="AH506" s="101"/>
      <c r="AI506" s="101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2"/>
      <c r="AX506" s="100"/>
      <c r="AY506" s="101"/>
      <c r="AZ506" s="101"/>
      <c r="BA506" s="101"/>
      <c r="BB506" s="100"/>
      <c r="BC506" s="100"/>
      <c r="BD506" s="100"/>
      <c r="BE506" s="100"/>
      <c r="BF506" s="100"/>
      <c r="BG506" s="100"/>
      <c r="BH506" s="100"/>
      <c r="BI506" s="100"/>
      <c r="BJ506" s="100"/>
      <c r="BK506" s="102"/>
      <c r="BN506" s="36"/>
    </row>
    <row r="507" spans="1:66" x14ac:dyDescent="0.25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AG507" s="100"/>
      <c r="AH507" s="101"/>
      <c r="AI507" s="101"/>
      <c r="AJ507" s="101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2"/>
      <c r="AX507" s="100"/>
      <c r="AY507" s="101"/>
      <c r="AZ507" s="101"/>
      <c r="BA507" s="100"/>
      <c r="BB507" s="100"/>
      <c r="BC507" s="100"/>
      <c r="BD507" s="100"/>
      <c r="BE507" s="100"/>
      <c r="BF507" s="100"/>
      <c r="BG507" s="100"/>
      <c r="BH507" s="100"/>
      <c r="BI507" s="100"/>
      <c r="BJ507" s="100"/>
      <c r="BK507" s="102"/>
      <c r="BN507" s="36"/>
    </row>
    <row r="508" spans="1:66" x14ac:dyDescent="0.25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AG508" s="100"/>
      <c r="AH508" s="101"/>
      <c r="AI508" s="101"/>
      <c r="AJ508" s="100"/>
      <c r="AK508" s="100"/>
      <c r="AL508" s="100"/>
      <c r="AM508" s="100"/>
      <c r="AN508" s="100"/>
      <c r="AO508" s="100"/>
      <c r="AP508" s="96"/>
      <c r="AQ508" s="100"/>
      <c r="AR508" s="100"/>
      <c r="AS508" s="100"/>
      <c r="AT508" s="102"/>
      <c r="AX508" s="100"/>
      <c r="AY508" s="101"/>
      <c r="AZ508" s="101"/>
      <c r="BA508" s="100"/>
      <c r="BB508" s="100"/>
      <c r="BC508" s="100"/>
      <c r="BD508" s="100"/>
      <c r="BE508" s="100"/>
      <c r="BF508" s="100"/>
      <c r="BG508" s="100"/>
      <c r="BH508" s="100"/>
      <c r="BI508" s="100"/>
      <c r="BJ508" s="100"/>
      <c r="BK508" s="102"/>
      <c r="BN508" s="36"/>
    </row>
    <row r="509" spans="1:66" x14ac:dyDescent="0.25">
      <c r="A509" s="92"/>
      <c r="B509" s="93"/>
      <c r="C509" s="93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4"/>
      <c r="AG509" s="100"/>
      <c r="AH509" s="101"/>
      <c r="AI509" s="101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2"/>
      <c r="AX509" s="100"/>
      <c r="AY509" s="101"/>
      <c r="AZ509" s="101"/>
      <c r="BA509" s="100"/>
      <c r="BB509" s="100"/>
      <c r="BC509" s="100"/>
      <c r="BD509" s="100"/>
      <c r="BE509" s="100"/>
      <c r="BF509" s="100"/>
      <c r="BG509" s="100"/>
      <c r="BH509" s="100"/>
      <c r="BI509" s="100"/>
      <c r="BJ509" s="100"/>
      <c r="BK509" s="102"/>
      <c r="BN509" s="36"/>
    </row>
    <row r="510" spans="1:66" x14ac:dyDescent="0.25">
      <c r="A510" s="92"/>
      <c r="B510" s="93"/>
      <c r="C510" s="93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4"/>
      <c r="AG510" s="100"/>
      <c r="AH510" s="101"/>
      <c r="AI510" s="101"/>
      <c r="AJ510" s="101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2"/>
      <c r="AX510" s="100"/>
      <c r="AY510" s="101"/>
      <c r="AZ510" s="101"/>
      <c r="BA510" s="100"/>
      <c r="BB510" s="100"/>
      <c r="BC510" s="100"/>
      <c r="BD510" s="100"/>
      <c r="BE510" s="100"/>
      <c r="BF510" s="100"/>
      <c r="BG510" s="100"/>
      <c r="BH510" s="100"/>
      <c r="BI510" s="100"/>
      <c r="BJ510" s="100"/>
      <c r="BK510" s="102"/>
      <c r="BN510" s="36"/>
    </row>
    <row r="511" spans="1:66" x14ac:dyDescent="0.25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AG511" s="100"/>
      <c r="AH511" s="101"/>
      <c r="AI511" s="101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2"/>
      <c r="AX511" s="100"/>
      <c r="AY511" s="101"/>
      <c r="AZ511" s="101"/>
      <c r="BA511" s="100"/>
      <c r="BB511" s="100"/>
      <c r="BC511" s="100"/>
      <c r="BD511" s="100"/>
      <c r="BE511" s="100"/>
      <c r="BF511" s="100"/>
      <c r="BG511" s="100"/>
      <c r="BH511" s="100"/>
      <c r="BI511" s="100"/>
      <c r="BJ511" s="100"/>
      <c r="BK511" s="102"/>
      <c r="BN511" s="36"/>
    </row>
    <row r="512" spans="1:66" x14ac:dyDescent="0.25">
      <c r="A512" s="92"/>
      <c r="B512" s="93"/>
      <c r="C512" s="93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4"/>
      <c r="AG512" s="100"/>
      <c r="AH512" s="101"/>
      <c r="AI512" s="101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2"/>
      <c r="AX512" s="100"/>
      <c r="AY512" s="101"/>
      <c r="AZ512" s="101"/>
      <c r="BA512" s="100"/>
      <c r="BB512" s="100"/>
      <c r="BC512" s="100"/>
      <c r="BD512" s="100"/>
      <c r="BE512" s="100"/>
      <c r="BF512" s="100"/>
      <c r="BG512" s="100"/>
      <c r="BH512" s="100"/>
      <c r="BI512" s="100"/>
      <c r="BJ512" s="100"/>
      <c r="BK512" s="102"/>
      <c r="BN512" s="36"/>
    </row>
    <row r="513" spans="1:66" x14ac:dyDescent="0.25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AG513" s="100"/>
      <c r="AH513" s="101"/>
      <c r="AI513" s="101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2"/>
      <c r="AX513" s="100"/>
      <c r="AY513" s="101"/>
      <c r="AZ513" s="101"/>
      <c r="BA513" s="100"/>
      <c r="BB513" s="100"/>
      <c r="BC513" s="100"/>
      <c r="BD513" s="100"/>
      <c r="BE513" s="100"/>
      <c r="BF513" s="100"/>
      <c r="BG513" s="100"/>
      <c r="BH513" s="100"/>
      <c r="BI513" s="100"/>
      <c r="BJ513" s="100"/>
      <c r="BK513" s="102"/>
      <c r="BN513" s="36"/>
    </row>
    <row r="514" spans="1:66" x14ac:dyDescent="0.25">
      <c r="A514" s="92"/>
      <c r="B514" s="93"/>
      <c r="C514" s="93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4"/>
      <c r="AG514" s="100"/>
      <c r="AH514" s="101"/>
      <c r="AI514" s="101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2"/>
      <c r="AX514" s="100"/>
      <c r="AY514" s="101"/>
      <c r="AZ514" s="101"/>
      <c r="BA514" s="100"/>
      <c r="BB514" s="100"/>
      <c r="BC514" s="100"/>
      <c r="BD514" s="100"/>
      <c r="BE514" s="100"/>
      <c r="BF514" s="100"/>
      <c r="BG514" s="100"/>
      <c r="BH514" s="100"/>
      <c r="BI514" s="100"/>
      <c r="BJ514" s="100"/>
      <c r="BK514" s="102"/>
      <c r="BN514" s="36"/>
    </row>
    <row r="515" spans="1:66" x14ac:dyDescent="0.25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AG515" s="100"/>
      <c r="AH515" s="101"/>
      <c r="AI515" s="101"/>
      <c r="AJ515" s="101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2"/>
      <c r="AX515" s="100"/>
      <c r="AY515" s="101"/>
      <c r="AZ515" s="101"/>
      <c r="BA515" s="100"/>
      <c r="BB515" s="100"/>
      <c r="BC515" s="100"/>
      <c r="BD515" s="100"/>
      <c r="BE515" s="100"/>
      <c r="BF515" s="100"/>
      <c r="BG515" s="100"/>
      <c r="BH515" s="100"/>
      <c r="BI515" s="100"/>
      <c r="BJ515" s="100"/>
      <c r="BK515" s="102"/>
      <c r="BN515" s="36"/>
    </row>
    <row r="516" spans="1:66" x14ac:dyDescent="0.25">
      <c r="A516" s="92"/>
      <c r="B516" s="93"/>
      <c r="C516" s="93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4"/>
      <c r="AG516" s="100"/>
      <c r="AH516" s="101"/>
      <c r="AI516" s="101"/>
      <c r="AJ516" s="101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2"/>
      <c r="AX516" s="100"/>
      <c r="AY516" s="101"/>
      <c r="AZ516" s="101"/>
      <c r="BA516" s="100"/>
      <c r="BB516" s="100"/>
      <c r="BC516" s="100"/>
      <c r="BD516" s="100"/>
      <c r="BE516" s="100"/>
      <c r="BF516" s="100"/>
      <c r="BG516" s="100"/>
      <c r="BH516" s="100"/>
      <c r="BI516" s="100"/>
      <c r="BJ516" s="100"/>
      <c r="BK516" s="102"/>
      <c r="BN516" s="36"/>
    </row>
    <row r="517" spans="1:66" x14ac:dyDescent="0.25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AG517" s="100"/>
      <c r="AH517" s="101"/>
      <c r="AI517" s="101"/>
      <c r="AJ517" s="101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2"/>
      <c r="AX517" s="100"/>
      <c r="AY517" s="101"/>
      <c r="AZ517" s="101"/>
      <c r="BA517" s="100"/>
      <c r="BB517" s="100"/>
      <c r="BC517" s="100"/>
      <c r="BD517" s="100"/>
      <c r="BE517" s="100"/>
      <c r="BF517" s="100"/>
      <c r="BG517" s="100"/>
      <c r="BH517" s="100"/>
      <c r="BI517" s="100"/>
      <c r="BJ517" s="100"/>
      <c r="BK517" s="102"/>
      <c r="BN517" s="36"/>
    </row>
    <row r="518" spans="1:66" x14ac:dyDescent="0.25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AG518" s="100"/>
      <c r="AH518" s="101"/>
      <c r="AI518" s="101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2"/>
      <c r="AX518" s="100"/>
      <c r="AY518" s="101"/>
      <c r="AZ518" s="101"/>
      <c r="BA518" s="100"/>
      <c r="BB518" s="100"/>
      <c r="BC518" s="100"/>
      <c r="BD518" s="100"/>
      <c r="BE518" s="100"/>
      <c r="BF518" s="100"/>
      <c r="BG518" s="100"/>
      <c r="BH518" s="100"/>
      <c r="BI518" s="100"/>
      <c r="BJ518" s="100"/>
      <c r="BK518" s="102"/>
      <c r="BN518" s="36"/>
    </row>
    <row r="519" spans="1:66" x14ac:dyDescent="0.25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AG519" s="100"/>
      <c r="AH519" s="101"/>
      <c r="AI519" s="101"/>
      <c r="AJ519" s="100"/>
      <c r="AK519" s="100"/>
      <c r="AL519" s="100"/>
      <c r="AM519" s="100"/>
      <c r="AN519" s="100"/>
      <c r="AO519" s="100"/>
      <c r="AP519" s="96"/>
      <c r="AQ519" s="100"/>
      <c r="AR519" s="100"/>
      <c r="AS519" s="100"/>
      <c r="AT519" s="102"/>
      <c r="AX519" s="100"/>
      <c r="AY519" s="101"/>
      <c r="AZ519" s="101"/>
      <c r="BA519" s="100"/>
      <c r="BB519" s="100"/>
      <c r="BC519" s="100"/>
      <c r="BD519" s="100"/>
      <c r="BE519" s="100"/>
      <c r="BF519" s="100"/>
      <c r="BG519" s="100"/>
      <c r="BH519" s="100"/>
      <c r="BI519" s="100"/>
      <c r="BJ519" s="100"/>
      <c r="BK519" s="102"/>
      <c r="BN519" s="36"/>
    </row>
    <row r="520" spans="1:66" x14ac:dyDescent="0.25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AG520" s="100"/>
      <c r="AH520" s="101"/>
      <c r="AI520" s="101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2"/>
      <c r="AX520" s="100"/>
      <c r="AY520" s="101"/>
      <c r="AZ520" s="101"/>
      <c r="BA520" s="100"/>
      <c r="BB520" s="100"/>
      <c r="BC520" s="100"/>
      <c r="BD520" s="100"/>
      <c r="BE520" s="100"/>
      <c r="BF520" s="100"/>
      <c r="BG520" s="100"/>
      <c r="BH520" s="100"/>
      <c r="BI520" s="100"/>
      <c r="BJ520" s="100"/>
      <c r="BK520" s="102"/>
      <c r="BN520" s="36"/>
    </row>
    <row r="521" spans="1:66" x14ac:dyDescent="0.25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AG521" s="100"/>
      <c r="AH521" s="101"/>
      <c r="AI521" s="101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2"/>
      <c r="AX521" s="100"/>
      <c r="AY521" s="101"/>
      <c r="AZ521" s="101"/>
      <c r="BA521" s="100"/>
      <c r="BB521" s="100"/>
      <c r="BC521" s="100"/>
      <c r="BD521" s="100"/>
      <c r="BE521" s="100"/>
      <c r="BF521" s="100"/>
      <c r="BG521" s="100"/>
      <c r="BH521" s="100"/>
      <c r="BI521" s="100"/>
      <c r="BJ521" s="100"/>
      <c r="BK521" s="102"/>
      <c r="BN521" s="36"/>
    </row>
    <row r="522" spans="1:66" x14ac:dyDescent="0.25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AG522" s="100"/>
      <c r="AH522" s="101"/>
      <c r="AI522" s="101"/>
      <c r="AJ522" s="101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2"/>
      <c r="AX522" s="100"/>
      <c r="AY522" s="101"/>
      <c r="AZ522" s="101"/>
      <c r="BA522" s="101"/>
      <c r="BB522" s="100"/>
      <c r="BC522" s="100"/>
      <c r="BD522" s="100"/>
      <c r="BE522" s="100"/>
      <c r="BF522" s="100"/>
      <c r="BG522" s="100"/>
      <c r="BH522" s="100"/>
      <c r="BI522" s="100"/>
      <c r="BJ522" s="100"/>
      <c r="BK522" s="102"/>
      <c r="BN522" s="36"/>
    </row>
    <row r="523" spans="1:66" x14ac:dyDescent="0.25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AG523" s="100"/>
      <c r="AH523" s="101"/>
      <c r="AI523" s="101"/>
      <c r="AJ523" s="100"/>
      <c r="AK523" s="100"/>
      <c r="AL523" s="100"/>
      <c r="AM523" s="100"/>
      <c r="AN523" s="100"/>
      <c r="AO523" s="100"/>
      <c r="AP523" s="96"/>
      <c r="AQ523" s="100"/>
      <c r="AR523" s="100"/>
      <c r="AS523" s="100"/>
      <c r="AT523" s="102"/>
      <c r="AX523" s="100"/>
      <c r="AY523" s="101"/>
      <c r="AZ523" s="101"/>
      <c r="BA523" s="100"/>
      <c r="BB523" s="100"/>
      <c r="BC523" s="100"/>
      <c r="BD523" s="100"/>
      <c r="BE523" s="100"/>
      <c r="BF523" s="100"/>
      <c r="BG523" s="100"/>
      <c r="BH523" s="100"/>
      <c r="BI523" s="100"/>
      <c r="BJ523" s="100"/>
      <c r="BK523" s="102"/>
      <c r="BN523" s="36"/>
    </row>
    <row r="524" spans="1:66" x14ac:dyDescent="0.25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AG524" s="100"/>
      <c r="AH524" s="101"/>
      <c r="AI524" s="101"/>
      <c r="AJ524" s="101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2"/>
      <c r="AX524" s="100"/>
      <c r="AY524" s="101"/>
      <c r="AZ524" s="101"/>
      <c r="BA524" s="100"/>
      <c r="BB524" s="100"/>
      <c r="BC524" s="100"/>
      <c r="BD524" s="100"/>
      <c r="BE524" s="100"/>
      <c r="BF524" s="100"/>
      <c r="BG524" s="100"/>
      <c r="BH524" s="100"/>
      <c r="BI524" s="100"/>
      <c r="BJ524" s="100"/>
      <c r="BK524" s="102"/>
      <c r="BN524" s="36"/>
    </row>
    <row r="525" spans="1:66" x14ac:dyDescent="0.25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AG525" s="100"/>
      <c r="AH525" s="101"/>
      <c r="AI525" s="101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2"/>
      <c r="AX525" s="100"/>
      <c r="AY525" s="101"/>
      <c r="AZ525" s="101"/>
      <c r="BA525" s="100"/>
      <c r="BB525" s="100"/>
      <c r="BC525" s="100"/>
      <c r="BD525" s="100"/>
      <c r="BE525" s="100"/>
      <c r="BF525" s="100"/>
      <c r="BG525" s="100"/>
      <c r="BH525" s="100"/>
      <c r="BI525" s="100"/>
      <c r="BJ525" s="100"/>
      <c r="BK525" s="102"/>
      <c r="BN525" s="36"/>
    </row>
    <row r="526" spans="1:66" x14ac:dyDescent="0.25">
      <c r="A526" s="92"/>
      <c r="B526" s="93"/>
      <c r="C526" s="93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4"/>
      <c r="AG526" s="100"/>
      <c r="AH526" s="101"/>
      <c r="AI526" s="101"/>
      <c r="AJ526" s="101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2"/>
      <c r="AX526" s="100"/>
      <c r="AY526" s="101"/>
      <c r="AZ526" s="101"/>
      <c r="BA526" s="100"/>
      <c r="BB526" s="100"/>
      <c r="BC526" s="100"/>
      <c r="BD526" s="100"/>
      <c r="BE526" s="100"/>
      <c r="BF526" s="100"/>
      <c r="BG526" s="100"/>
      <c r="BH526" s="100"/>
      <c r="BI526" s="100"/>
      <c r="BJ526" s="100"/>
      <c r="BK526" s="102"/>
      <c r="BN526" s="36"/>
    </row>
    <row r="527" spans="1:66" x14ac:dyDescent="0.25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AG527" s="100"/>
      <c r="AH527" s="101"/>
      <c r="AI527" s="101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2"/>
      <c r="AX527" s="100"/>
      <c r="AY527" s="101"/>
      <c r="AZ527" s="101"/>
      <c r="BA527" s="101"/>
      <c r="BB527" s="100"/>
      <c r="BC527" s="100"/>
      <c r="BD527" s="100"/>
      <c r="BE527" s="100"/>
      <c r="BF527" s="100"/>
      <c r="BG527" s="100"/>
      <c r="BH527" s="100"/>
      <c r="BI527" s="100"/>
      <c r="BJ527" s="100"/>
      <c r="BK527" s="102"/>
      <c r="BN527" s="36"/>
    </row>
    <row r="528" spans="1:66" x14ac:dyDescent="0.25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AG528" s="100"/>
      <c r="AH528" s="101"/>
      <c r="AI528" s="101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2"/>
      <c r="AX528" s="100"/>
      <c r="AY528" s="101"/>
      <c r="AZ528" s="101"/>
      <c r="BA528" s="100"/>
      <c r="BB528" s="100"/>
      <c r="BC528" s="100"/>
      <c r="BD528" s="100"/>
      <c r="BE528" s="100"/>
      <c r="BF528" s="100"/>
      <c r="BG528" s="96"/>
      <c r="BH528" s="100"/>
      <c r="BI528" s="100"/>
      <c r="BJ528" s="100"/>
      <c r="BK528" s="102"/>
      <c r="BN528" s="36"/>
    </row>
    <row r="529" spans="1:66" x14ac:dyDescent="0.25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AG529" s="100"/>
      <c r="AH529" s="101"/>
      <c r="AI529" s="101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2"/>
      <c r="AX529" s="100"/>
      <c r="AY529" s="101"/>
      <c r="AZ529" s="101"/>
      <c r="BA529" s="100"/>
      <c r="BB529" s="100"/>
      <c r="BC529" s="100"/>
      <c r="BD529" s="100"/>
      <c r="BE529" s="100"/>
      <c r="BF529" s="100"/>
      <c r="BG529" s="100"/>
      <c r="BH529" s="100"/>
      <c r="BI529" s="100"/>
      <c r="BJ529" s="100"/>
      <c r="BK529" s="102"/>
      <c r="BN529" s="36"/>
    </row>
    <row r="530" spans="1:66" x14ac:dyDescent="0.25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AG530" s="100"/>
      <c r="AH530" s="101"/>
      <c r="AI530" s="101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2"/>
      <c r="AX530" s="100"/>
      <c r="AY530" s="101"/>
      <c r="AZ530" s="101"/>
      <c r="BA530" s="101"/>
      <c r="BB530" s="100"/>
      <c r="BC530" s="100"/>
      <c r="BD530" s="100"/>
      <c r="BE530" s="100"/>
      <c r="BF530" s="100"/>
      <c r="BG530" s="100"/>
      <c r="BH530" s="100"/>
      <c r="BI530" s="100"/>
      <c r="BJ530" s="100"/>
      <c r="BK530" s="102"/>
      <c r="BN530" s="36"/>
    </row>
    <row r="531" spans="1:66" x14ac:dyDescent="0.25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AG531" s="100"/>
      <c r="AH531" s="101"/>
      <c r="AI531" s="101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2"/>
      <c r="AX531" s="100"/>
      <c r="AY531" s="101"/>
      <c r="AZ531" s="101"/>
      <c r="BA531" s="100"/>
      <c r="BB531" s="100"/>
      <c r="BC531" s="100"/>
      <c r="BD531" s="100"/>
      <c r="BE531" s="100"/>
      <c r="BF531" s="100"/>
      <c r="BG531" s="100"/>
      <c r="BH531" s="100"/>
      <c r="BI531" s="100"/>
      <c r="BJ531" s="100"/>
      <c r="BK531" s="102"/>
      <c r="BN531" s="36"/>
    </row>
    <row r="532" spans="1:66" x14ac:dyDescent="0.25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AG532" s="100"/>
      <c r="AH532" s="101"/>
      <c r="AI532" s="101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2"/>
      <c r="AX532" s="100"/>
      <c r="AY532" s="101"/>
      <c r="AZ532" s="101"/>
      <c r="BA532" s="100"/>
      <c r="BB532" s="100"/>
      <c r="BC532" s="100"/>
      <c r="BD532" s="100"/>
      <c r="BE532" s="100"/>
      <c r="BF532" s="100"/>
      <c r="BG532" s="100"/>
      <c r="BH532" s="100"/>
      <c r="BI532" s="100"/>
      <c r="BJ532" s="100"/>
      <c r="BK532" s="102"/>
      <c r="BN532" s="36"/>
    </row>
    <row r="533" spans="1:66" x14ac:dyDescent="0.25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AG533" s="100"/>
      <c r="AH533" s="101"/>
      <c r="AI533" s="101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2"/>
      <c r="AX533" s="100"/>
      <c r="AY533" s="101"/>
      <c r="AZ533" s="101"/>
      <c r="BA533" s="100"/>
      <c r="BB533" s="100"/>
      <c r="BC533" s="100"/>
      <c r="BD533" s="100"/>
      <c r="BE533" s="100"/>
      <c r="BF533" s="100"/>
      <c r="BG533" s="100"/>
      <c r="BH533" s="100"/>
      <c r="BI533" s="100"/>
      <c r="BJ533" s="100"/>
      <c r="BK533" s="102"/>
      <c r="BN533" s="36"/>
    </row>
    <row r="534" spans="1:66" x14ac:dyDescent="0.25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AG534" s="100"/>
      <c r="AH534" s="101"/>
      <c r="AI534" s="101"/>
      <c r="AJ534" s="101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2"/>
      <c r="AX534" s="100"/>
      <c r="AY534" s="101"/>
      <c r="AZ534" s="101"/>
      <c r="BA534" s="100"/>
      <c r="BB534" s="100"/>
      <c r="BC534" s="100"/>
      <c r="BD534" s="100"/>
      <c r="BE534" s="100"/>
      <c r="BF534" s="100"/>
      <c r="BG534" s="100"/>
      <c r="BH534" s="100"/>
      <c r="BI534" s="100"/>
      <c r="BJ534" s="100"/>
      <c r="BK534" s="102"/>
      <c r="BN534" s="36"/>
    </row>
    <row r="535" spans="1:66" x14ac:dyDescent="0.25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AG535" s="100"/>
      <c r="AH535" s="101"/>
      <c r="AI535" s="101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2"/>
      <c r="AX535" s="100"/>
      <c r="AY535" s="101"/>
      <c r="AZ535" s="101"/>
      <c r="BA535" s="101"/>
      <c r="BB535" s="100"/>
      <c r="BC535" s="100"/>
      <c r="BD535" s="100"/>
      <c r="BE535" s="100"/>
      <c r="BF535" s="100"/>
      <c r="BG535" s="100"/>
      <c r="BH535" s="100"/>
      <c r="BI535" s="100"/>
      <c r="BJ535" s="100"/>
      <c r="BK535" s="102"/>
      <c r="BN535" s="36"/>
    </row>
    <row r="536" spans="1:66" x14ac:dyDescent="0.25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AG536" s="100"/>
      <c r="AH536" s="101"/>
      <c r="AI536" s="101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2"/>
      <c r="AX536" s="100"/>
      <c r="AY536" s="101"/>
      <c r="AZ536" s="101"/>
      <c r="BA536" s="101"/>
      <c r="BB536" s="100"/>
      <c r="BC536" s="100"/>
      <c r="BD536" s="100"/>
      <c r="BE536" s="100"/>
      <c r="BF536" s="100"/>
      <c r="BG536" s="100"/>
      <c r="BH536" s="100"/>
      <c r="BI536" s="100"/>
      <c r="BJ536" s="100"/>
      <c r="BK536" s="102"/>
      <c r="BN536" s="36"/>
    </row>
    <row r="537" spans="1:66" x14ac:dyDescent="0.25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AG537" s="100"/>
      <c r="AH537" s="101"/>
      <c r="AI537" s="101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2"/>
      <c r="AX537" s="100"/>
      <c r="AY537" s="101"/>
      <c r="AZ537" s="101"/>
      <c r="BA537" s="101"/>
      <c r="BB537" s="100"/>
      <c r="BC537" s="100"/>
      <c r="BD537" s="100"/>
      <c r="BE537" s="100"/>
      <c r="BF537" s="100"/>
      <c r="BG537" s="100"/>
      <c r="BH537" s="100"/>
      <c r="BI537" s="100"/>
      <c r="BJ537" s="100"/>
      <c r="BK537" s="102"/>
      <c r="BN537" s="36"/>
    </row>
    <row r="538" spans="1:66" x14ac:dyDescent="0.25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AG538" s="100"/>
      <c r="AH538" s="101"/>
      <c r="AI538" s="101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2"/>
      <c r="AX538" s="100"/>
      <c r="AY538" s="101"/>
      <c r="AZ538" s="101"/>
      <c r="BA538" s="100"/>
      <c r="BB538" s="100"/>
      <c r="BC538" s="100"/>
      <c r="BD538" s="100"/>
      <c r="BE538" s="100"/>
      <c r="BF538" s="100"/>
      <c r="BG538" s="100"/>
      <c r="BH538" s="100"/>
      <c r="BI538" s="100"/>
      <c r="BJ538" s="100"/>
      <c r="BK538" s="102"/>
      <c r="BN538" s="36"/>
    </row>
    <row r="539" spans="1:66" x14ac:dyDescent="0.25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AG539" s="100"/>
      <c r="AH539" s="101"/>
      <c r="AI539" s="101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2"/>
      <c r="AX539" s="100"/>
      <c r="AY539" s="101"/>
      <c r="AZ539" s="101"/>
      <c r="BA539" s="100"/>
      <c r="BB539" s="100"/>
      <c r="BC539" s="100"/>
      <c r="BD539" s="100"/>
      <c r="BE539" s="100"/>
      <c r="BF539" s="100"/>
      <c r="BG539" s="96"/>
      <c r="BH539" s="100"/>
      <c r="BI539" s="100"/>
      <c r="BJ539" s="100"/>
      <c r="BK539" s="102"/>
      <c r="BN539" s="36"/>
    </row>
    <row r="540" spans="1:66" x14ac:dyDescent="0.25">
      <c r="A540" s="92"/>
      <c r="B540" s="93"/>
      <c r="C540" s="93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4"/>
      <c r="AG540" s="100"/>
      <c r="AH540" s="101"/>
      <c r="AI540" s="101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2"/>
      <c r="AX540" s="100"/>
      <c r="AY540" s="101"/>
      <c r="AZ540" s="101"/>
      <c r="BA540" s="100"/>
      <c r="BB540" s="100"/>
      <c r="BC540" s="100"/>
      <c r="BD540" s="100"/>
      <c r="BE540" s="100"/>
      <c r="BF540" s="100"/>
      <c r="BG540" s="100"/>
      <c r="BH540" s="100"/>
      <c r="BI540" s="100"/>
      <c r="BJ540" s="100"/>
      <c r="BK540" s="102"/>
      <c r="BN540" s="36"/>
    </row>
    <row r="541" spans="1:66" x14ac:dyDescent="0.25">
      <c r="A541" s="92"/>
      <c r="B541" s="93"/>
      <c r="C541" s="93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4"/>
      <c r="AG541" s="100"/>
      <c r="AH541" s="101"/>
      <c r="AI541" s="101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2"/>
      <c r="AX541" s="100"/>
      <c r="AY541" s="101"/>
      <c r="AZ541" s="101"/>
      <c r="BA541" s="100"/>
      <c r="BB541" s="100"/>
      <c r="BC541" s="100"/>
      <c r="BD541" s="100"/>
      <c r="BE541" s="100"/>
      <c r="BF541" s="100"/>
      <c r="BG541" s="100"/>
      <c r="BH541" s="100"/>
      <c r="BI541" s="100"/>
      <c r="BJ541" s="100"/>
      <c r="BK541" s="102"/>
      <c r="BN541" s="36"/>
    </row>
    <row r="542" spans="1:66" x14ac:dyDescent="0.25">
      <c r="A542" s="92"/>
      <c r="B542" s="93"/>
      <c r="C542" s="93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4"/>
      <c r="AG542" s="100"/>
      <c r="AH542" s="101"/>
      <c r="AI542" s="101"/>
      <c r="AJ542" s="101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2"/>
      <c r="AX542" s="100"/>
      <c r="AY542" s="101"/>
      <c r="AZ542" s="101"/>
      <c r="BA542" s="101"/>
      <c r="BB542" s="100"/>
      <c r="BC542" s="100"/>
      <c r="BD542" s="100"/>
      <c r="BE542" s="100"/>
      <c r="BF542" s="100"/>
      <c r="BG542" s="100"/>
      <c r="BH542" s="100"/>
      <c r="BI542" s="100"/>
      <c r="BJ542" s="100"/>
      <c r="BK542" s="102"/>
      <c r="BN542" s="36"/>
    </row>
    <row r="543" spans="1:66" x14ac:dyDescent="0.25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AG543" s="100"/>
      <c r="AH543" s="101"/>
      <c r="AI543" s="101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2"/>
      <c r="AX543" s="100"/>
      <c r="AY543" s="101"/>
      <c r="AZ543" s="101"/>
      <c r="BA543" s="100"/>
      <c r="BB543" s="100"/>
      <c r="BC543" s="100"/>
      <c r="BD543" s="100"/>
      <c r="BE543" s="100"/>
      <c r="BF543" s="100"/>
      <c r="BG543" s="96"/>
      <c r="BH543" s="100"/>
      <c r="BI543" s="100"/>
      <c r="BJ543" s="100"/>
      <c r="BK543" s="102"/>
      <c r="BN543" s="36"/>
    </row>
    <row r="544" spans="1:66" x14ac:dyDescent="0.25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AG544" s="100"/>
      <c r="AH544" s="101"/>
      <c r="AI544" s="101"/>
      <c r="AJ544" s="101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2"/>
      <c r="AX544" s="100"/>
      <c r="AY544" s="101"/>
      <c r="AZ544" s="101"/>
      <c r="BA544" s="101"/>
      <c r="BB544" s="100"/>
      <c r="BC544" s="100"/>
      <c r="BD544" s="100"/>
      <c r="BE544" s="100"/>
      <c r="BF544" s="100"/>
      <c r="BG544" s="100"/>
      <c r="BH544" s="100"/>
      <c r="BI544" s="100"/>
      <c r="BJ544" s="100"/>
      <c r="BK544" s="102"/>
      <c r="BN544" s="36"/>
    </row>
    <row r="545" spans="1:66" x14ac:dyDescent="0.25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AG545" s="100"/>
      <c r="AH545" s="101"/>
      <c r="AI545" s="101"/>
      <c r="AJ545" s="101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2"/>
      <c r="AX545" s="100"/>
      <c r="AY545" s="101"/>
      <c r="AZ545" s="101"/>
      <c r="BA545" s="100"/>
      <c r="BB545" s="100"/>
      <c r="BC545" s="100"/>
      <c r="BD545" s="100"/>
      <c r="BE545" s="100"/>
      <c r="BF545" s="100"/>
      <c r="BG545" s="100"/>
      <c r="BH545" s="100"/>
      <c r="BI545" s="100"/>
      <c r="BJ545" s="100"/>
      <c r="BK545" s="102"/>
      <c r="BN545" s="36"/>
    </row>
    <row r="546" spans="1:66" x14ac:dyDescent="0.25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AG546" s="100"/>
      <c r="AH546" s="101"/>
      <c r="AI546" s="101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2"/>
      <c r="AX546" s="100"/>
      <c r="AY546" s="101"/>
      <c r="AZ546" s="101"/>
      <c r="BA546" s="101"/>
      <c r="BB546" s="100"/>
      <c r="BC546" s="100"/>
      <c r="BD546" s="100"/>
      <c r="BE546" s="100"/>
      <c r="BF546" s="100"/>
      <c r="BG546" s="100"/>
      <c r="BH546" s="100"/>
      <c r="BI546" s="100"/>
      <c r="BJ546" s="100"/>
      <c r="BK546" s="102"/>
      <c r="BN546" s="36"/>
    </row>
    <row r="547" spans="1:66" x14ac:dyDescent="0.25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AG547" s="100"/>
      <c r="AH547" s="101"/>
      <c r="AI547" s="101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2"/>
      <c r="AX547" s="100"/>
      <c r="AY547" s="101"/>
      <c r="AZ547" s="101"/>
      <c r="BA547" s="100"/>
      <c r="BB547" s="100"/>
      <c r="BC547" s="100"/>
      <c r="BD547" s="100"/>
      <c r="BE547" s="100"/>
      <c r="BF547" s="100"/>
      <c r="BG547" s="100"/>
      <c r="BH547" s="100"/>
      <c r="BI547" s="100"/>
      <c r="BJ547" s="100"/>
      <c r="BK547" s="102"/>
      <c r="BN547" s="36"/>
    </row>
    <row r="548" spans="1:66" x14ac:dyDescent="0.25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AG548" s="100"/>
      <c r="AH548" s="101"/>
      <c r="AI548" s="101"/>
      <c r="AJ548" s="101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2"/>
      <c r="AX548" s="100"/>
      <c r="AY548" s="101"/>
      <c r="AZ548" s="101"/>
      <c r="BA548" s="100"/>
      <c r="BB548" s="100"/>
      <c r="BC548" s="100"/>
      <c r="BD548" s="100"/>
      <c r="BE548" s="100"/>
      <c r="BF548" s="100"/>
      <c r="BG548" s="100"/>
      <c r="BH548" s="100"/>
      <c r="BI548" s="100"/>
      <c r="BJ548" s="100"/>
      <c r="BK548" s="102"/>
      <c r="BN548" s="36"/>
    </row>
    <row r="549" spans="1:66" x14ac:dyDescent="0.25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AG549" s="100"/>
      <c r="AH549" s="101"/>
      <c r="AI549" s="101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2"/>
      <c r="AX549" s="100"/>
      <c r="AY549" s="101"/>
      <c r="AZ549" s="101"/>
      <c r="BA549" s="100"/>
      <c r="BB549" s="100"/>
      <c r="BC549" s="100"/>
      <c r="BD549" s="100"/>
      <c r="BE549" s="100"/>
      <c r="BF549" s="100"/>
      <c r="BG549" s="100"/>
      <c r="BH549" s="100"/>
      <c r="BI549" s="100"/>
      <c r="BJ549" s="100"/>
      <c r="BK549" s="102"/>
      <c r="BN549" s="36"/>
    </row>
    <row r="550" spans="1:66" x14ac:dyDescent="0.25">
      <c r="A550" s="92"/>
      <c r="B550" s="93"/>
      <c r="C550" s="93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4"/>
      <c r="AG550" s="100"/>
      <c r="AH550" s="101"/>
      <c r="AI550" s="101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2"/>
      <c r="AX550" s="100"/>
      <c r="AY550" s="101"/>
      <c r="AZ550" s="101"/>
      <c r="BA550" s="100"/>
      <c r="BB550" s="100"/>
      <c r="BC550" s="100"/>
      <c r="BD550" s="100"/>
      <c r="BE550" s="100"/>
      <c r="BF550" s="100"/>
      <c r="BG550" s="100"/>
      <c r="BH550" s="100"/>
      <c r="BI550" s="100"/>
      <c r="BJ550" s="100"/>
      <c r="BK550" s="102"/>
      <c r="BN550" s="36"/>
    </row>
    <row r="551" spans="1:66" x14ac:dyDescent="0.25">
      <c r="A551" s="92"/>
      <c r="B551" s="93"/>
      <c r="C551" s="93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4"/>
      <c r="AG551" s="100"/>
      <c r="AH551" s="101"/>
      <c r="AI551" s="101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2"/>
      <c r="AX551" s="100"/>
      <c r="AY551" s="101"/>
      <c r="AZ551" s="101"/>
      <c r="BA551" s="100"/>
      <c r="BB551" s="100"/>
      <c r="BC551" s="100"/>
      <c r="BD551" s="100"/>
      <c r="BE551" s="100"/>
      <c r="BF551" s="100"/>
      <c r="BG551" s="100"/>
      <c r="BH551" s="100"/>
      <c r="BI551" s="100"/>
      <c r="BJ551" s="100"/>
      <c r="BK551" s="102"/>
      <c r="BN551" s="36"/>
    </row>
    <row r="552" spans="1:66" x14ac:dyDescent="0.25">
      <c r="A552" s="92"/>
      <c r="B552" s="93"/>
      <c r="C552" s="93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4"/>
      <c r="AG552" s="100"/>
      <c r="AH552" s="101"/>
      <c r="AI552" s="101"/>
      <c r="AJ552" s="101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2"/>
      <c r="AX552" s="100"/>
      <c r="AY552" s="101"/>
      <c r="AZ552" s="101"/>
      <c r="BA552" s="100"/>
      <c r="BB552" s="100"/>
      <c r="BC552" s="100"/>
      <c r="BD552" s="100"/>
      <c r="BE552" s="100"/>
      <c r="BF552" s="100"/>
      <c r="BG552" s="100"/>
      <c r="BH552" s="100"/>
      <c r="BI552" s="100"/>
      <c r="BJ552" s="100"/>
      <c r="BK552" s="102"/>
      <c r="BN552" s="36"/>
    </row>
    <row r="553" spans="1:66" x14ac:dyDescent="0.25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AG553" s="100"/>
      <c r="AH553" s="101"/>
      <c r="AI553" s="101"/>
      <c r="AJ553" s="101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2"/>
      <c r="AX553" s="100"/>
      <c r="AY553" s="101"/>
      <c r="AZ553" s="101"/>
      <c r="BA553" s="100"/>
      <c r="BB553" s="100"/>
      <c r="BC553" s="100"/>
      <c r="BD553" s="100"/>
      <c r="BE553" s="100"/>
      <c r="BF553" s="100"/>
      <c r="BG553" s="100"/>
      <c r="BH553" s="100"/>
      <c r="BI553" s="100"/>
      <c r="BJ553" s="100"/>
      <c r="BK553" s="102"/>
      <c r="BN553" s="36"/>
    </row>
    <row r="554" spans="1:66" x14ac:dyDescent="0.25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AG554" s="100"/>
      <c r="AH554" s="101"/>
      <c r="AI554" s="101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2"/>
      <c r="AX554" s="100"/>
      <c r="AY554" s="101"/>
      <c r="AZ554" s="101"/>
      <c r="BA554" s="101"/>
      <c r="BB554" s="100"/>
      <c r="BC554" s="100"/>
      <c r="BD554" s="100"/>
      <c r="BE554" s="100"/>
      <c r="BF554" s="100"/>
      <c r="BG554" s="100"/>
      <c r="BH554" s="100"/>
      <c r="BI554" s="100"/>
      <c r="BJ554" s="100"/>
      <c r="BK554" s="102"/>
      <c r="BN554" s="36"/>
    </row>
    <row r="555" spans="1:66" x14ac:dyDescent="0.25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AG555" s="100"/>
      <c r="AH555" s="101"/>
      <c r="AI555" s="101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2"/>
      <c r="AX555" s="100"/>
      <c r="AY555" s="101"/>
      <c r="AZ555" s="101"/>
      <c r="BA555" s="100"/>
      <c r="BB555" s="100"/>
      <c r="BC555" s="100"/>
      <c r="BD555" s="100"/>
      <c r="BE555" s="100"/>
      <c r="BF555" s="100"/>
      <c r="BG555" s="100"/>
      <c r="BH555" s="100"/>
      <c r="BI555" s="100"/>
      <c r="BJ555" s="100"/>
      <c r="BK555" s="102"/>
      <c r="BN555" s="36"/>
    </row>
    <row r="556" spans="1:66" x14ac:dyDescent="0.25">
      <c r="A556" s="92"/>
      <c r="B556" s="93"/>
      <c r="C556" s="93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4"/>
      <c r="AG556" s="100"/>
      <c r="AH556" s="101"/>
      <c r="AI556" s="101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2"/>
      <c r="AX556" s="100"/>
      <c r="AY556" s="101"/>
      <c r="AZ556" s="101"/>
      <c r="BA556" s="100"/>
      <c r="BB556" s="100"/>
      <c r="BC556" s="100"/>
      <c r="BD556" s="100"/>
      <c r="BE556" s="100"/>
      <c r="BF556" s="100"/>
      <c r="BG556" s="100"/>
      <c r="BH556" s="100"/>
      <c r="BI556" s="100"/>
      <c r="BJ556" s="100"/>
      <c r="BK556" s="102"/>
      <c r="BN556" s="36"/>
    </row>
    <row r="557" spans="1:66" x14ac:dyDescent="0.25">
      <c r="A557" s="92"/>
      <c r="B557" s="93"/>
      <c r="C557" s="93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4"/>
      <c r="AG557" s="100"/>
      <c r="AH557" s="101"/>
      <c r="AI557" s="101"/>
      <c r="AJ557" s="101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2"/>
      <c r="AX557" s="100"/>
      <c r="AY557" s="101"/>
      <c r="AZ557" s="101"/>
      <c r="BA557" s="100"/>
      <c r="BB557" s="100"/>
      <c r="BC557" s="100"/>
      <c r="BD557" s="100"/>
      <c r="BE557" s="100"/>
      <c r="BF557" s="100"/>
      <c r="BG557" s="100"/>
      <c r="BH557" s="100"/>
      <c r="BI557" s="100"/>
      <c r="BJ557" s="100"/>
      <c r="BK557" s="102"/>
      <c r="BN557" s="36"/>
    </row>
    <row r="558" spans="1:66" x14ac:dyDescent="0.25">
      <c r="A558" s="92"/>
      <c r="B558" s="93"/>
      <c r="C558" s="93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4"/>
      <c r="AG558" s="100"/>
      <c r="AH558" s="101"/>
      <c r="AI558" s="101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2"/>
      <c r="AX558" s="100"/>
      <c r="AY558" s="101"/>
      <c r="AZ558" s="101"/>
      <c r="BA558" s="100"/>
      <c r="BB558" s="100"/>
      <c r="BC558" s="100"/>
      <c r="BD558" s="100"/>
      <c r="BE558" s="100"/>
      <c r="BF558" s="100"/>
      <c r="BG558" s="100"/>
      <c r="BH558" s="100"/>
      <c r="BI558" s="100"/>
      <c r="BJ558" s="100"/>
      <c r="BK558" s="102"/>
      <c r="BN558" s="36"/>
    </row>
    <row r="559" spans="1:66" x14ac:dyDescent="0.25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AG559" s="100"/>
      <c r="AH559" s="101"/>
      <c r="AI559" s="101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2"/>
      <c r="AX559" s="100"/>
      <c r="AY559" s="101"/>
      <c r="AZ559" s="101"/>
      <c r="BA559" s="100"/>
      <c r="BB559" s="100"/>
      <c r="BC559" s="100"/>
      <c r="BD559" s="100"/>
      <c r="BE559" s="100"/>
      <c r="BF559" s="100"/>
      <c r="BG559" s="100"/>
      <c r="BH559" s="100"/>
      <c r="BI559" s="100"/>
      <c r="BJ559" s="100"/>
      <c r="BK559" s="102"/>
      <c r="BN559" s="36"/>
    </row>
    <row r="560" spans="1:66" x14ac:dyDescent="0.25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AG560" s="100"/>
      <c r="AH560" s="101"/>
      <c r="AI560" s="101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2"/>
      <c r="AX560" s="100"/>
      <c r="AY560" s="101"/>
      <c r="AZ560" s="101"/>
      <c r="BA560" s="100"/>
      <c r="BB560" s="100"/>
      <c r="BC560" s="100"/>
      <c r="BD560" s="100"/>
      <c r="BE560" s="100"/>
      <c r="BF560" s="100"/>
      <c r="BG560" s="100"/>
      <c r="BH560" s="100"/>
      <c r="BI560" s="100"/>
      <c r="BJ560" s="100"/>
      <c r="BK560" s="102"/>
      <c r="BN560" s="36"/>
    </row>
    <row r="561" spans="1:66" x14ac:dyDescent="0.25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AG561" s="100"/>
      <c r="AH561" s="101"/>
      <c r="AI561" s="101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2"/>
      <c r="AX561" s="100"/>
      <c r="AY561" s="101"/>
      <c r="AZ561" s="101"/>
      <c r="BA561" s="100"/>
      <c r="BB561" s="100"/>
      <c r="BC561" s="100"/>
      <c r="BD561" s="100"/>
      <c r="BE561" s="100"/>
      <c r="BF561" s="100"/>
      <c r="BG561" s="100"/>
      <c r="BH561" s="100"/>
      <c r="BI561" s="100"/>
      <c r="BJ561" s="100"/>
      <c r="BK561" s="102"/>
      <c r="BN561" s="36"/>
    </row>
    <row r="562" spans="1:66" x14ac:dyDescent="0.25">
      <c r="A562" s="92"/>
      <c r="B562" s="93"/>
      <c r="C562" s="93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4"/>
      <c r="AG562" s="100"/>
      <c r="AH562" s="101"/>
      <c r="AI562" s="101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2"/>
      <c r="AX562" s="100"/>
      <c r="AY562" s="101"/>
      <c r="AZ562" s="101"/>
      <c r="BA562" s="101"/>
      <c r="BB562" s="100"/>
      <c r="BC562" s="100"/>
      <c r="BD562" s="100"/>
      <c r="BE562" s="100"/>
      <c r="BF562" s="100"/>
      <c r="BG562" s="100"/>
      <c r="BH562" s="100"/>
      <c r="BI562" s="100"/>
      <c r="BJ562" s="100"/>
      <c r="BK562" s="102"/>
      <c r="BN562" s="36"/>
    </row>
    <row r="563" spans="1:66" x14ac:dyDescent="0.25">
      <c r="A563" s="92"/>
      <c r="B563" s="93"/>
      <c r="C563" s="93"/>
      <c r="D563" s="93"/>
      <c r="E563" s="92"/>
      <c r="F563" s="92"/>
      <c r="G563" s="92"/>
      <c r="H563" s="92"/>
      <c r="I563" s="92"/>
      <c r="J563" s="92"/>
      <c r="K563" s="92"/>
      <c r="L563" s="92"/>
      <c r="M563" s="92"/>
      <c r="N563" s="94"/>
      <c r="AG563" s="100"/>
      <c r="AH563" s="101"/>
      <c r="AI563" s="101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2"/>
      <c r="AX563" s="100"/>
      <c r="AY563" s="101"/>
      <c r="AZ563" s="101"/>
      <c r="BA563" s="100"/>
      <c r="BB563" s="100"/>
      <c r="BC563" s="100"/>
      <c r="BD563" s="100"/>
      <c r="BE563" s="100"/>
      <c r="BF563" s="100"/>
      <c r="BG563" s="100"/>
      <c r="BH563" s="100"/>
      <c r="BI563" s="100"/>
      <c r="BJ563" s="100"/>
      <c r="BK563" s="102"/>
      <c r="BN563" s="36"/>
    </row>
    <row r="564" spans="1:66" x14ac:dyDescent="0.25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AG564" s="100"/>
      <c r="AH564" s="101"/>
      <c r="AI564" s="101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2"/>
      <c r="AX564" s="100"/>
      <c r="AY564" s="101"/>
      <c r="AZ564" s="101"/>
      <c r="BA564" s="101"/>
      <c r="BB564" s="100"/>
      <c r="BC564" s="100"/>
      <c r="BD564" s="100"/>
      <c r="BE564" s="100"/>
      <c r="BF564" s="100"/>
      <c r="BG564" s="100"/>
      <c r="BH564" s="100"/>
      <c r="BI564" s="100"/>
      <c r="BJ564" s="100"/>
      <c r="BK564" s="102"/>
      <c r="BN564" s="36"/>
    </row>
    <row r="565" spans="1:66" x14ac:dyDescent="0.25">
      <c r="A565" s="92"/>
      <c r="B565" s="93"/>
      <c r="C565" s="93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4"/>
      <c r="AG565" s="100"/>
      <c r="AH565" s="101"/>
      <c r="AI565" s="101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2"/>
      <c r="AX565" s="100"/>
      <c r="AY565" s="101"/>
      <c r="AZ565" s="101"/>
      <c r="BA565" s="101"/>
      <c r="BB565" s="100"/>
      <c r="BC565" s="100"/>
      <c r="BD565" s="100"/>
      <c r="BE565" s="100"/>
      <c r="BF565" s="100"/>
      <c r="BG565" s="100"/>
      <c r="BH565" s="100"/>
      <c r="BI565" s="100"/>
      <c r="BJ565" s="100"/>
      <c r="BK565" s="102"/>
      <c r="BN565" s="36"/>
    </row>
    <row r="566" spans="1:66" x14ac:dyDescent="0.25">
      <c r="A566" s="92"/>
      <c r="B566" s="93"/>
      <c r="C566" s="93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4"/>
      <c r="AG566" s="100"/>
      <c r="AH566" s="101"/>
      <c r="AI566" s="101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2"/>
      <c r="AX566" s="100"/>
      <c r="AY566" s="101"/>
      <c r="AZ566" s="101"/>
      <c r="BA566" s="100"/>
      <c r="BB566" s="100"/>
      <c r="BC566" s="100"/>
      <c r="BD566" s="100"/>
      <c r="BE566" s="100"/>
      <c r="BF566" s="100"/>
      <c r="BG566" s="100"/>
      <c r="BH566" s="100"/>
      <c r="BI566" s="100"/>
      <c r="BJ566" s="100"/>
      <c r="BK566" s="102"/>
      <c r="BN566" s="36"/>
    </row>
    <row r="567" spans="1:66" x14ac:dyDescent="0.25">
      <c r="A567" s="92"/>
      <c r="B567" s="93"/>
      <c r="C567" s="93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4"/>
      <c r="AG567" s="100"/>
      <c r="AH567" s="101"/>
      <c r="AI567" s="101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2"/>
      <c r="AX567" s="100"/>
      <c r="AY567" s="101"/>
      <c r="AZ567" s="101"/>
      <c r="BA567" s="100"/>
      <c r="BB567" s="100"/>
      <c r="BC567" s="100"/>
      <c r="BD567" s="100"/>
      <c r="BE567" s="100"/>
      <c r="BF567" s="100"/>
      <c r="BG567" s="100"/>
      <c r="BH567" s="100"/>
      <c r="BI567" s="100"/>
      <c r="BJ567" s="100"/>
      <c r="BK567" s="102"/>
      <c r="BN567" s="36"/>
    </row>
    <row r="568" spans="1:66" x14ac:dyDescent="0.25">
      <c r="A568" s="92"/>
      <c r="B568" s="93"/>
      <c r="C568" s="93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4"/>
      <c r="AG568" s="100"/>
      <c r="AH568" s="101"/>
      <c r="AI568" s="101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2"/>
      <c r="AX568" s="100"/>
      <c r="AY568" s="101"/>
      <c r="AZ568" s="101"/>
      <c r="BA568" s="101"/>
      <c r="BB568" s="100"/>
      <c r="BC568" s="100"/>
      <c r="BD568" s="100"/>
      <c r="BE568" s="100"/>
      <c r="BF568" s="100"/>
      <c r="BG568" s="100"/>
      <c r="BH568" s="100"/>
      <c r="BI568" s="100"/>
      <c r="BJ568" s="100"/>
      <c r="BK568" s="102"/>
      <c r="BN568" s="36"/>
    </row>
    <row r="569" spans="1:66" x14ac:dyDescent="0.25">
      <c r="A569" s="92"/>
      <c r="B569" s="93"/>
      <c r="C569" s="93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4"/>
      <c r="AG569" s="100"/>
      <c r="AH569" s="101"/>
      <c r="AI569" s="101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2"/>
      <c r="AX569" s="100"/>
      <c r="AY569" s="101"/>
      <c r="AZ569" s="101"/>
      <c r="BA569" s="100"/>
      <c r="BB569" s="100"/>
      <c r="BC569" s="100"/>
      <c r="BD569" s="100"/>
      <c r="BE569" s="100"/>
      <c r="BF569" s="100"/>
      <c r="BG569" s="100"/>
      <c r="BH569" s="100"/>
      <c r="BI569" s="100"/>
      <c r="BJ569" s="100"/>
      <c r="BK569" s="102"/>
      <c r="BN569" s="36"/>
    </row>
    <row r="570" spans="1:66" x14ac:dyDescent="0.25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AG570" s="100"/>
      <c r="AH570" s="101"/>
      <c r="AI570" s="101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2"/>
      <c r="AX570" s="100"/>
      <c r="AY570" s="101"/>
      <c r="AZ570" s="101"/>
      <c r="BA570" s="100"/>
      <c r="BB570" s="100"/>
      <c r="BC570" s="100"/>
      <c r="BD570" s="100"/>
      <c r="BE570" s="100"/>
      <c r="BF570" s="100"/>
      <c r="BG570" s="100"/>
      <c r="BH570" s="100"/>
      <c r="BI570" s="100"/>
      <c r="BJ570" s="100"/>
      <c r="BK570" s="102"/>
      <c r="BN570" s="36"/>
    </row>
    <row r="571" spans="1:66" x14ac:dyDescent="0.25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AG571" s="100"/>
      <c r="AH571" s="101"/>
      <c r="AI571" s="101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2"/>
      <c r="AX571" s="100"/>
      <c r="AY571" s="101"/>
      <c r="AZ571" s="101"/>
      <c r="BA571" s="100"/>
      <c r="BB571" s="100"/>
      <c r="BC571" s="100"/>
      <c r="BD571" s="100"/>
      <c r="BE571" s="100"/>
      <c r="BF571" s="100"/>
      <c r="BG571" s="100"/>
      <c r="BH571" s="100"/>
      <c r="BI571" s="100"/>
      <c r="BJ571" s="100"/>
      <c r="BK571" s="102"/>
      <c r="BN571" s="36"/>
    </row>
    <row r="572" spans="1:66" x14ac:dyDescent="0.25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AG572" s="100"/>
      <c r="AH572" s="101"/>
      <c r="AI572" s="101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2"/>
      <c r="AX572" s="100"/>
      <c r="AY572" s="101"/>
      <c r="AZ572" s="101"/>
      <c r="BA572" s="101"/>
      <c r="BB572" s="100"/>
      <c r="BC572" s="100"/>
      <c r="BD572" s="100"/>
      <c r="BE572" s="100"/>
      <c r="BF572" s="100"/>
      <c r="BG572" s="100"/>
      <c r="BH572" s="100"/>
      <c r="BI572" s="100"/>
      <c r="BJ572" s="100"/>
      <c r="BK572" s="102"/>
      <c r="BN572" s="36"/>
    </row>
    <row r="573" spans="1:66" x14ac:dyDescent="0.25">
      <c r="A573" s="92"/>
      <c r="B573" s="93"/>
      <c r="C573" s="93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4"/>
      <c r="AG573" s="100"/>
      <c r="AH573" s="101"/>
      <c r="AI573" s="101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2"/>
      <c r="AX573" s="100"/>
      <c r="AY573" s="101"/>
      <c r="AZ573" s="101"/>
      <c r="BA573" s="101"/>
      <c r="BB573" s="100"/>
      <c r="BC573" s="100"/>
      <c r="BD573" s="100"/>
      <c r="BE573" s="100"/>
      <c r="BF573" s="100"/>
      <c r="BG573" s="100"/>
      <c r="BH573" s="100"/>
      <c r="BI573" s="100"/>
      <c r="BJ573" s="100"/>
      <c r="BK573" s="102"/>
      <c r="BN573" s="36"/>
    </row>
    <row r="574" spans="1:66" x14ac:dyDescent="0.25">
      <c r="A574" s="92"/>
      <c r="B574" s="93"/>
      <c r="C574" s="93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4"/>
      <c r="AG574" s="100"/>
      <c r="AH574" s="101"/>
      <c r="AI574" s="101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2"/>
      <c r="AX574" s="100"/>
      <c r="AY574" s="101"/>
      <c r="AZ574" s="101"/>
      <c r="BA574" s="100"/>
      <c r="BB574" s="100"/>
      <c r="BC574" s="100"/>
      <c r="BD574" s="100"/>
      <c r="BE574" s="100"/>
      <c r="BF574" s="100"/>
      <c r="BG574" s="100"/>
      <c r="BH574" s="100"/>
      <c r="BI574" s="100"/>
      <c r="BJ574" s="100"/>
      <c r="BK574" s="102"/>
      <c r="BN574" s="36"/>
    </row>
    <row r="575" spans="1:66" x14ac:dyDescent="0.25">
      <c r="A575" s="92"/>
      <c r="B575" s="93"/>
      <c r="C575" s="93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4"/>
      <c r="AG575" s="100"/>
      <c r="AH575" s="101"/>
      <c r="AI575" s="101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2"/>
      <c r="AX575" s="100"/>
      <c r="AY575" s="101"/>
      <c r="AZ575" s="101"/>
      <c r="BA575" s="100"/>
      <c r="BB575" s="100"/>
      <c r="BC575" s="100"/>
      <c r="BD575" s="100"/>
      <c r="BE575" s="100"/>
      <c r="BF575" s="100"/>
      <c r="BG575" s="100"/>
      <c r="BH575" s="100"/>
      <c r="BI575" s="100"/>
      <c r="BJ575" s="100"/>
      <c r="BK575" s="102"/>
      <c r="BN575" s="36"/>
    </row>
    <row r="576" spans="1:66" x14ac:dyDescent="0.25">
      <c r="A576" s="92"/>
      <c r="B576" s="93"/>
      <c r="C576" s="93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4"/>
      <c r="AG576" s="100"/>
      <c r="AH576" s="101"/>
      <c r="AI576" s="101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2"/>
      <c r="AX576" s="100"/>
      <c r="AY576" s="101"/>
      <c r="AZ576" s="101"/>
      <c r="BA576" s="100"/>
      <c r="BB576" s="100"/>
      <c r="BC576" s="100"/>
      <c r="BD576" s="100"/>
      <c r="BE576" s="100"/>
      <c r="BF576" s="100"/>
      <c r="BG576" s="100"/>
      <c r="BH576" s="100"/>
      <c r="BI576" s="100"/>
      <c r="BJ576" s="100"/>
      <c r="BK576" s="102"/>
      <c r="BN576" s="36"/>
    </row>
    <row r="577" spans="1:66" x14ac:dyDescent="0.25">
      <c r="A577" s="92"/>
      <c r="B577" s="93"/>
      <c r="C577" s="93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4"/>
      <c r="AG577" s="100"/>
      <c r="AH577" s="101"/>
      <c r="AI577" s="101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2"/>
      <c r="AX577" s="100"/>
      <c r="AY577" s="101"/>
      <c r="AZ577" s="101"/>
      <c r="BA577" s="101"/>
      <c r="BB577" s="100"/>
      <c r="BC577" s="100"/>
      <c r="BD577" s="100"/>
      <c r="BE577" s="100"/>
      <c r="BF577" s="100"/>
      <c r="BG577" s="100"/>
      <c r="BH577" s="100"/>
      <c r="BI577" s="100"/>
      <c r="BJ577" s="100"/>
      <c r="BK577" s="102"/>
      <c r="BN577" s="36"/>
    </row>
    <row r="578" spans="1:66" x14ac:dyDescent="0.25">
      <c r="A578" s="92"/>
      <c r="B578" s="93"/>
      <c r="C578" s="93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4"/>
      <c r="AG578" s="100"/>
      <c r="AH578" s="101"/>
      <c r="AI578" s="101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2"/>
      <c r="AX578" s="100"/>
      <c r="AY578" s="101"/>
      <c r="AZ578" s="101"/>
      <c r="BA578" s="100"/>
      <c r="BB578" s="100"/>
      <c r="BC578" s="100"/>
      <c r="BD578" s="100"/>
      <c r="BE578" s="100"/>
      <c r="BF578" s="100"/>
      <c r="BG578" s="100"/>
      <c r="BH578" s="100"/>
      <c r="BI578" s="100"/>
      <c r="BJ578" s="100"/>
      <c r="BK578" s="102"/>
      <c r="BN578" s="36"/>
    </row>
    <row r="579" spans="1:66" x14ac:dyDescent="0.25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AG579" s="100"/>
      <c r="AH579" s="101"/>
      <c r="AI579" s="101"/>
      <c r="AJ579" s="101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2"/>
      <c r="AX579" s="100"/>
      <c r="AY579" s="101"/>
      <c r="AZ579" s="101"/>
      <c r="BA579" s="100"/>
      <c r="BB579" s="100"/>
      <c r="BC579" s="100"/>
      <c r="BD579" s="100"/>
      <c r="BE579" s="100"/>
      <c r="BF579" s="100"/>
      <c r="BG579" s="100"/>
      <c r="BH579" s="100"/>
      <c r="BI579" s="100"/>
      <c r="BJ579" s="100"/>
      <c r="BK579" s="102"/>
      <c r="BN579" s="36"/>
    </row>
    <row r="580" spans="1:66" x14ac:dyDescent="0.25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AG580" s="100"/>
      <c r="AH580" s="101"/>
      <c r="AI580" s="101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2"/>
      <c r="AX580" s="100"/>
      <c r="AY580" s="101"/>
      <c r="AZ580" s="101"/>
      <c r="BA580" s="100"/>
      <c r="BB580" s="100"/>
      <c r="BC580" s="100"/>
      <c r="BD580" s="100"/>
      <c r="BE580" s="100"/>
      <c r="BF580" s="100"/>
      <c r="BG580" s="100"/>
      <c r="BH580" s="100"/>
      <c r="BI580" s="100"/>
      <c r="BJ580" s="100"/>
      <c r="BK580" s="102"/>
      <c r="BN580" s="36"/>
    </row>
    <row r="581" spans="1:66" x14ac:dyDescent="0.25">
      <c r="A581" s="92"/>
      <c r="B581" s="93"/>
      <c r="C581" s="93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4"/>
      <c r="AG581" s="100"/>
      <c r="AH581" s="101"/>
      <c r="AI581" s="101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2"/>
      <c r="AX581" s="100"/>
      <c r="AY581" s="101"/>
      <c r="AZ581" s="101"/>
      <c r="BA581" s="100"/>
      <c r="BB581" s="100"/>
      <c r="BC581" s="100"/>
      <c r="BD581" s="100"/>
      <c r="BE581" s="100"/>
      <c r="BF581" s="100"/>
      <c r="BG581" s="100"/>
      <c r="BH581" s="100"/>
      <c r="BI581" s="100"/>
      <c r="BJ581" s="100"/>
      <c r="BK581" s="102"/>
      <c r="BN581" s="36"/>
    </row>
    <row r="582" spans="1:66" x14ac:dyDescent="0.25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AG582" s="100"/>
      <c r="AH582" s="101"/>
      <c r="AI582" s="101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2"/>
      <c r="AX582" s="100"/>
      <c r="AY582" s="101"/>
      <c r="AZ582" s="101"/>
      <c r="BA582" s="100"/>
      <c r="BB582" s="100"/>
      <c r="BC582" s="100"/>
      <c r="BD582" s="100"/>
      <c r="BE582" s="100"/>
      <c r="BF582" s="100"/>
      <c r="BG582" s="100"/>
      <c r="BH582" s="100"/>
      <c r="BI582" s="100"/>
      <c r="BJ582" s="100"/>
      <c r="BK582" s="102"/>
      <c r="BN582" s="36"/>
    </row>
    <row r="583" spans="1:66" x14ac:dyDescent="0.25">
      <c r="A583" s="92"/>
      <c r="B583" s="93"/>
      <c r="C583" s="93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4"/>
      <c r="AG583" s="100"/>
      <c r="AH583" s="101"/>
      <c r="AI583" s="101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2"/>
      <c r="AX583" s="100"/>
      <c r="AY583" s="101"/>
      <c r="AZ583" s="101"/>
      <c r="BA583" s="100"/>
      <c r="BB583" s="100"/>
      <c r="BC583" s="100"/>
      <c r="BD583" s="100"/>
      <c r="BE583" s="100"/>
      <c r="BF583" s="100"/>
      <c r="BG583" s="100"/>
      <c r="BH583" s="100"/>
      <c r="BI583" s="100"/>
      <c r="BJ583" s="100"/>
      <c r="BK583" s="102"/>
      <c r="BN583" s="36"/>
    </row>
    <row r="584" spans="1:66" x14ac:dyDescent="0.25">
      <c r="A584" s="92"/>
      <c r="B584" s="93"/>
      <c r="C584" s="93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4"/>
      <c r="AG584" s="100"/>
      <c r="AH584" s="101"/>
      <c r="AI584" s="101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2"/>
      <c r="AX584" s="100"/>
      <c r="AY584" s="101"/>
      <c r="AZ584" s="101"/>
      <c r="BA584" s="100"/>
      <c r="BB584" s="100"/>
      <c r="BC584" s="100"/>
      <c r="BD584" s="100"/>
      <c r="BE584" s="100"/>
      <c r="BF584" s="100"/>
      <c r="BG584" s="100"/>
      <c r="BH584" s="100"/>
      <c r="BI584" s="100"/>
      <c r="BJ584" s="100"/>
      <c r="BK584" s="102"/>
      <c r="BN584" s="36"/>
    </row>
    <row r="585" spans="1:66" x14ac:dyDescent="0.25">
      <c r="A585" s="92"/>
      <c r="B585" s="93"/>
      <c r="C585" s="93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4"/>
      <c r="AG585" s="100"/>
      <c r="AH585" s="101"/>
      <c r="AI585" s="101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2"/>
      <c r="AX585" s="100"/>
      <c r="AY585" s="101"/>
      <c r="AZ585" s="101"/>
      <c r="BA585" s="100"/>
      <c r="BB585" s="100"/>
      <c r="BC585" s="100"/>
      <c r="BD585" s="100"/>
      <c r="BE585" s="100"/>
      <c r="BF585" s="100"/>
      <c r="BG585" s="100"/>
      <c r="BH585" s="100"/>
      <c r="BI585" s="100"/>
      <c r="BJ585" s="100"/>
      <c r="BK585" s="102"/>
      <c r="BN585" s="36"/>
    </row>
    <row r="586" spans="1:66" x14ac:dyDescent="0.25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AG586" s="100"/>
      <c r="AH586" s="101"/>
      <c r="AI586" s="101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2"/>
      <c r="AX586" s="100"/>
      <c r="AY586" s="101"/>
      <c r="AZ586" s="101"/>
      <c r="BA586" s="100"/>
      <c r="BB586" s="100"/>
      <c r="BC586" s="100"/>
      <c r="BD586" s="100"/>
      <c r="BE586" s="100"/>
      <c r="BF586" s="100"/>
      <c r="BG586" s="100"/>
      <c r="BH586" s="100"/>
      <c r="BI586" s="100"/>
      <c r="BJ586" s="100"/>
      <c r="BK586" s="102"/>
      <c r="BN586" s="36"/>
    </row>
    <row r="587" spans="1:66" x14ac:dyDescent="0.25">
      <c r="A587" s="92"/>
      <c r="B587" s="93"/>
      <c r="C587" s="93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4"/>
      <c r="AG587" s="100"/>
      <c r="AH587" s="101"/>
      <c r="AI587" s="101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2"/>
      <c r="AX587" s="100"/>
      <c r="AY587" s="101"/>
      <c r="AZ587" s="101"/>
      <c r="BA587" s="100"/>
      <c r="BB587" s="100"/>
      <c r="BC587" s="100"/>
      <c r="BD587" s="100"/>
      <c r="BE587" s="100"/>
      <c r="BF587" s="100"/>
      <c r="BG587" s="100"/>
      <c r="BH587" s="100"/>
      <c r="BI587" s="100"/>
      <c r="BJ587" s="100"/>
      <c r="BK587" s="102"/>
      <c r="BN587" s="36"/>
    </row>
    <row r="588" spans="1:66" x14ac:dyDescent="0.25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AG588" s="100"/>
      <c r="AH588" s="101"/>
      <c r="AI588" s="101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2"/>
      <c r="AX588" s="100"/>
      <c r="AY588" s="101"/>
      <c r="AZ588" s="101"/>
      <c r="BA588" s="100"/>
      <c r="BB588" s="100"/>
      <c r="BC588" s="100"/>
      <c r="BD588" s="100"/>
      <c r="BE588" s="100"/>
      <c r="BF588" s="100"/>
      <c r="BG588" s="100"/>
      <c r="BH588" s="100"/>
      <c r="BI588" s="100"/>
      <c r="BJ588" s="100"/>
      <c r="BK588" s="102"/>
      <c r="BN588" s="36"/>
    </row>
    <row r="589" spans="1:66" x14ac:dyDescent="0.25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AG589" s="100"/>
      <c r="AH589" s="101"/>
      <c r="AI589" s="101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2"/>
      <c r="AX589" s="100"/>
      <c r="AY589" s="101"/>
      <c r="AZ589" s="101"/>
      <c r="BA589" s="100"/>
      <c r="BB589" s="100"/>
      <c r="BC589" s="100"/>
      <c r="BD589" s="100"/>
      <c r="BE589" s="100"/>
      <c r="BF589" s="100"/>
      <c r="BG589" s="100"/>
      <c r="BH589" s="100"/>
      <c r="BI589" s="100"/>
      <c r="BJ589" s="100"/>
      <c r="BK589" s="102"/>
      <c r="BN589" s="36"/>
    </row>
    <row r="590" spans="1:66" x14ac:dyDescent="0.25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AG590" s="100"/>
      <c r="AH590" s="101"/>
      <c r="AI590" s="101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2"/>
      <c r="AX590" s="100"/>
      <c r="AY590" s="101"/>
      <c r="AZ590" s="101"/>
      <c r="BA590" s="100"/>
      <c r="BB590" s="100"/>
      <c r="BC590" s="100"/>
      <c r="BD590" s="100"/>
      <c r="BE590" s="100"/>
      <c r="BF590" s="100"/>
      <c r="BG590" s="100"/>
      <c r="BH590" s="100"/>
      <c r="BI590" s="100"/>
      <c r="BJ590" s="100"/>
      <c r="BK590" s="102"/>
      <c r="BN590" s="36"/>
    </row>
    <row r="591" spans="1:66" x14ac:dyDescent="0.25">
      <c r="A591" s="92"/>
      <c r="B591" s="93"/>
      <c r="C591" s="93"/>
      <c r="D591" s="93"/>
      <c r="E591" s="92"/>
      <c r="F591" s="92"/>
      <c r="G591" s="92"/>
      <c r="H591" s="92"/>
      <c r="I591" s="92"/>
      <c r="J591" s="92"/>
      <c r="K591" s="92"/>
      <c r="L591" s="92"/>
      <c r="M591" s="92"/>
      <c r="N591" s="94"/>
      <c r="AG591" s="100"/>
      <c r="AH591" s="101"/>
      <c r="AI591" s="101"/>
      <c r="AJ591" s="101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2"/>
      <c r="AX591" s="100"/>
      <c r="AY591" s="101"/>
      <c r="AZ591" s="101"/>
      <c r="BA591" s="100"/>
      <c r="BB591" s="100"/>
      <c r="BC591" s="100"/>
      <c r="BD591" s="100"/>
      <c r="BE591" s="100"/>
      <c r="BF591" s="100"/>
      <c r="BG591" s="100"/>
      <c r="BH591" s="100"/>
      <c r="BI591" s="100"/>
      <c r="BJ591" s="100"/>
      <c r="BK591" s="102"/>
      <c r="BN591" s="36"/>
    </row>
    <row r="592" spans="1:66" x14ac:dyDescent="0.25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AG592" s="100"/>
      <c r="AH592" s="101"/>
      <c r="AI592" s="101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2"/>
      <c r="AX592" s="100"/>
      <c r="AY592" s="101"/>
      <c r="AZ592" s="101"/>
      <c r="BA592" s="100"/>
      <c r="BB592" s="100"/>
      <c r="BC592" s="100"/>
      <c r="BD592" s="100"/>
      <c r="BE592" s="100"/>
      <c r="BF592" s="100"/>
      <c r="BG592" s="100"/>
      <c r="BH592" s="100"/>
      <c r="BI592" s="100"/>
      <c r="BJ592" s="100"/>
      <c r="BK592" s="102"/>
      <c r="BN592" s="36"/>
    </row>
    <row r="593" spans="1:66" x14ac:dyDescent="0.25">
      <c r="A593" s="92"/>
      <c r="B593" s="93"/>
      <c r="C593" s="93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4"/>
      <c r="AG593" s="100"/>
      <c r="AH593" s="101"/>
      <c r="AI593" s="101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2"/>
      <c r="AX593" s="100"/>
      <c r="AY593" s="101"/>
      <c r="AZ593" s="101"/>
      <c r="BA593" s="100"/>
      <c r="BB593" s="100"/>
      <c r="BC593" s="100"/>
      <c r="BD593" s="100"/>
      <c r="BE593" s="100"/>
      <c r="BF593" s="100"/>
      <c r="BG593" s="100"/>
      <c r="BH593" s="100"/>
      <c r="BI593" s="100"/>
      <c r="BJ593" s="100"/>
      <c r="BK593" s="102"/>
      <c r="BN593" s="36"/>
    </row>
    <row r="594" spans="1:66" x14ac:dyDescent="0.25">
      <c r="A594" s="92"/>
      <c r="B594" s="93"/>
      <c r="C594" s="93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4"/>
      <c r="AG594" s="100"/>
      <c r="AH594" s="101"/>
      <c r="AI594" s="101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2"/>
      <c r="AX594" s="100"/>
      <c r="AY594" s="101"/>
      <c r="AZ594" s="101"/>
      <c r="BA594" s="100"/>
      <c r="BB594" s="100"/>
      <c r="BC594" s="100"/>
      <c r="BD594" s="100"/>
      <c r="BE594" s="100"/>
      <c r="BF594" s="100"/>
      <c r="BG594" s="100"/>
      <c r="BH594" s="100"/>
      <c r="BI594" s="100"/>
      <c r="BJ594" s="100"/>
      <c r="BK594" s="102"/>
      <c r="BN594" s="36"/>
    </row>
    <row r="595" spans="1:66" x14ac:dyDescent="0.25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AG595" s="100"/>
      <c r="AH595" s="101"/>
      <c r="AI595" s="101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2"/>
      <c r="AX595" s="100"/>
      <c r="AY595" s="101"/>
      <c r="AZ595" s="101"/>
      <c r="BA595" s="100"/>
      <c r="BB595" s="100"/>
      <c r="BC595" s="100"/>
      <c r="BD595" s="100"/>
      <c r="BE595" s="100"/>
      <c r="BF595" s="100"/>
      <c r="BG595" s="100"/>
      <c r="BH595" s="100"/>
      <c r="BI595" s="100"/>
      <c r="BJ595" s="100"/>
      <c r="BK595" s="102"/>
      <c r="BN595" s="36"/>
    </row>
    <row r="596" spans="1:66" x14ac:dyDescent="0.25">
      <c r="A596" s="92"/>
      <c r="B596" s="93"/>
      <c r="C596" s="93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4"/>
      <c r="AG596" s="100"/>
      <c r="AH596" s="101"/>
      <c r="AI596" s="101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2"/>
      <c r="AX596" s="100"/>
      <c r="AY596" s="101"/>
      <c r="AZ596" s="101"/>
      <c r="BA596" s="100"/>
      <c r="BB596" s="100"/>
      <c r="BC596" s="100"/>
      <c r="BD596" s="100"/>
      <c r="BE596" s="100"/>
      <c r="BF596" s="100"/>
      <c r="BG596" s="100"/>
      <c r="BH596" s="100"/>
      <c r="BI596" s="100"/>
      <c r="BJ596" s="100"/>
      <c r="BK596" s="102"/>
      <c r="BN596" s="36"/>
    </row>
    <row r="597" spans="1:66" x14ac:dyDescent="0.25">
      <c r="A597" s="92"/>
      <c r="B597" s="93"/>
      <c r="C597" s="93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4"/>
      <c r="AG597" s="100"/>
      <c r="AH597" s="101"/>
      <c r="AI597" s="101"/>
      <c r="AJ597" s="101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2"/>
      <c r="AX597" s="100"/>
      <c r="AY597" s="101"/>
      <c r="AZ597" s="101"/>
      <c r="BA597" s="100"/>
      <c r="BB597" s="100"/>
      <c r="BC597" s="100"/>
      <c r="BD597" s="100"/>
      <c r="BE597" s="100"/>
      <c r="BF597" s="100"/>
      <c r="BG597" s="100"/>
      <c r="BH597" s="100"/>
      <c r="BI597" s="100"/>
      <c r="BJ597" s="100"/>
      <c r="BK597" s="102"/>
      <c r="BN597" s="36"/>
    </row>
    <row r="598" spans="1:66" x14ac:dyDescent="0.25">
      <c r="A598" s="92"/>
      <c r="B598" s="93"/>
      <c r="C598" s="93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4"/>
      <c r="AG598" s="100"/>
      <c r="AH598" s="101"/>
      <c r="AI598" s="101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2"/>
      <c r="AX598" s="100"/>
      <c r="AY598" s="101"/>
      <c r="AZ598" s="101"/>
      <c r="BA598" s="100"/>
      <c r="BB598" s="100"/>
      <c r="BC598" s="100"/>
      <c r="BD598" s="100"/>
      <c r="BE598" s="100"/>
      <c r="BF598" s="100"/>
      <c r="BG598" s="100"/>
      <c r="BH598" s="100"/>
      <c r="BI598" s="100"/>
      <c r="BJ598" s="100"/>
      <c r="BK598" s="102"/>
      <c r="BN598" s="36"/>
    </row>
    <row r="599" spans="1:66" x14ac:dyDescent="0.25">
      <c r="A599" s="92"/>
      <c r="B599" s="93"/>
      <c r="C599" s="93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4"/>
      <c r="AG599" s="100"/>
      <c r="AH599" s="101"/>
      <c r="AI599" s="101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2"/>
      <c r="AX599" s="100"/>
      <c r="AY599" s="101"/>
      <c r="AZ599" s="101"/>
      <c r="BA599" s="101"/>
      <c r="BB599" s="100"/>
      <c r="BC599" s="100"/>
      <c r="BD599" s="100"/>
      <c r="BE599" s="100"/>
      <c r="BF599" s="100"/>
      <c r="BG599" s="100"/>
      <c r="BH599" s="100"/>
      <c r="BI599" s="100"/>
      <c r="BJ599" s="100"/>
      <c r="BK599" s="102"/>
      <c r="BN599" s="36"/>
    </row>
    <row r="600" spans="1:66" x14ac:dyDescent="0.25">
      <c r="A600" s="92"/>
      <c r="B600" s="93"/>
      <c r="C600" s="93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4"/>
      <c r="AG600" s="100"/>
      <c r="AH600" s="101"/>
      <c r="AI600" s="101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2"/>
      <c r="AX600" s="100"/>
      <c r="AY600" s="101"/>
      <c r="AZ600" s="101"/>
      <c r="BA600" s="100"/>
      <c r="BB600" s="100"/>
      <c r="BC600" s="100"/>
      <c r="BD600" s="100"/>
      <c r="BE600" s="100"/>
      <c r="BF600" s="100"/>
      <c r="BG600" s="100"/>
      <c r="BH600" s="100"/>
      <c r="BI600" s="100"/>
      <c r="BJ600" s="100"/>
      <c r="BK600" s="102"/>
      <c r="BN600" s="36"/>
    </row>
    <row r="601" spans="1:66" x14ac:dyDescent="0.25">
      <c r="A601" s="92"/>
      <c r="B601" s="92"/>
      <c r="C601" s="92"/>
      <c r="D601" s="92"/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AG601" s="100"/>
      <c r="AH601" s="101"/>
      <c r="AI601" s="101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2"/>
      <c r="AX601" s="100"/>
      <c r="AY601" s="101"/>
      <c r="AZ601" s="101"/>
      <c r="BA601" s="100"/>
      <c r="BB601" s="100"/>
      <c r="BC601" s="100"/>
      <c r="BD601" s="100"/>
      <c r="BE601" s="100"/>
      <c r="BF601" s="100"/>
      <c r="BG601" s="100"/>
      <c r="BH601" s="100"/>
      <c r="BI601" s="100"/>
      <c r="BJ601" s="100"/>
      <c r="BK601" s="102"/>
      <c r="BN601" s="36"/>
    </row>
    <row r="602" spans="1:66" x14ac:dyDescent="0.25">
      <c r="A602" s="92"/>
      <c r="B602" s="93"/>
      <c r="C602" s="93"/>
      <c r="D602" s="93"/>
      <c r="E602" s="92"/>
      <c r="F602" s="92"/>
      <c r="G602" s="92"/>
      <c r="H602" s="92"/>
      <c r="I602" s="92"/>
      <c r="J602" s="92"/>
      <c r="K602" s="92"/>
      <c r="L602" s="92"/>
      <c r="M602" s="92"/>
      <c r="N602" s="94"/>
      <c r="AG602" s="100"/>
      <c r="AH602" s="101"/>
      <c r="AI602" s="101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2"/>
      <c r="AX602" s="100"/>
      <c r="AY602" s="101"/>
      <c r="AZ602" s="101"/>
      <c r="BA602" s="100"/>
      <c r="BB602" s="100"/>
      <c r="BC602" s="100"/>
      <c r="BD602" s="100"/>
      <c r="BE602" s="100"/>
      <c r="BF602" s="100"/>
      <c r="BG602" s="100"/>
      <c r="BH602" s="100"/>
      <c r="BI602" s="100"/>
      <c r="BJ602" s="100"/>
      <c r="BK602" s="102"/>
      <c r="BN602" s="36"/>
    </row>
    <row r="603" spans="1:66" x14ac:dyDescent="0.25">
      <c r="A603" s="92"/>
      <c r="B603" s="92"/>
      <c r="C603" s="92"/>
      <c r="D603" s="92"/>
      <c r="E603" s="92"/>
      <c r="F603" s="92"/>
      <c r="G603" s="92"/>
      <c r="H603" s="92"/>
      <c r="I603" s="92"/>
      <c r="J603" s="92"/>
      <c r="K603" s="92"/>
      <c r="L603" s="92"/>
      <c r="M603" s="92"/>
      <c r="N603" s="92"/>
      <c r="AG603" s="100"/>
      <c r="AH603" s="101"/>
      <c r="AI603" s="101"/>
      <c r="AJ603" s="101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2"/>
      <c r="AX603" s="100"/>
      <c r="AY603" s="101"/>
      <c r="AZ603" s="101"/>
      <c r="BA603" s="100"/>
      <c r="BB603" s="100"/>
      <c r="BC603" s="100"/>
      <c r="BD603" s="100"/>
      <c r="BE603" s="100"/>
      <c r="BF603" s="100"/>
      <c r="BG603" s="100"/>
      <c r="BH603" s="100"/>
      <c r="BI603" s="100"/>
      <c r="BJ603" s="100"/>
      <c r="BK603" s="102"/>
      <c r="BN603" s="36"/>
    </row>
    <row r="604" spans="1:66" x14ac:dyDescent="0.25">
      <c r="A604" s="92"/>
      <c r="B604" s="92"/>
      <c r="C604" s="92"/>
      <c r="D604" s="92"/>
      <c r="E604" s="92"/>
      <c r="F604" s="92"/>
      <c r="G604" s="92"/>
      <c r="H604" s="92"/>
      <c r="I604" s="92"/>
      <c r="J604" s="92"/>
      <c r="K604" s="92"/>
      <c r="L604" s="92"/>
      <c r="M604" s="92"/>
      <c r="N604" s="92"/>
      <c r="AG604" s="100"/>
      <c r="AH604" s="101"/>
      <c r="AI604" s="101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2"/>
      <c r="AX604" s="100"/>
      <c r="AY604" s="101"/>
      <c r="AZ604" s="101"/>
      <c r="BA604" s="100"/>
      <c r="BB604" s="100"/>
      <c r="BC604" s="100"/>
      <c r="BD604" s="100"/>
      <c r="BE604" s="100"/>
      <c r="BF604" s="100"/>
      <c r="BG604" s="100"/>
      <c r="BH604" s="100"/>
      <c r="BI604" s="100"/>
      <c r="BJ604" s="100"/>
      <c r="BK604" s="102"/>
      <c r="BN604" s="36"/>
    </row>
    <row r="605" spans="1:66" x14ac:dyDescent="0.25">
      <c r="A605" s="92"/>
      <c r="B605" s="92"/>
      <c r="C605" s="92"/>
      <c r="D605" s="92"/>
      <c r="E605" s="92"/>
      <c r="F605" s="92"/>
      <c r="G605" s="92"/>
      <c r="H605" s="92"/>
      <c r="I605" s="92"/>
      <c r="J605" s="92"/>
      <c r="K605" s="92"/>
      <c r="L605" s="92"/>
      <c r="M605" s="92"/>
      <c r="N605" s="92"/>
      <c r="AG605" s="100"/>
      <c r="AH605" s="101"/>
      <c r="AI605" s="101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2"/>
      <c r="AX605" s="100"/>
      <c r="AY605" s="101"/>
      <c r="AZ605" s="101"/>
      <c r="BA605" s="100"/>
      <c r="BB605" s="100"/>
      <c r="BC605" s="100"/>
      <c r="BD605" s="100"/>
      <c r="BE605" s="100"/>
      <c r="BF605" s="100"/>
      <c r="BG605" s="100"/>
      <c r="BH605" s="100"/>
      <c r="BI605" s="100"/>
      <c r="BJ605" s="100"/>
      <c r="BK605" s="102"/>
      <c r="BN605" s="36"/>
    </row>
    <row r="606" spans="1:66" x14ac:dyDescent="0.25">
      <c r="A606" s="92"/>
      <c r="B606" s="93"/>
      <c r="C606" s="93"/>
      <c r="D606" s="93"/>
      <c r="E606" s="92"/>
      <c r="F606" s="92"/>
      <c r="G606" s="92"/>
      <c r="H606" s="92"/>
      <c r="I606" s="92"/>
      <c r="J606" s="92"/>
      <c r="K606" s="92"/>
      <c r="L606" s="92"/>
      <c r="M606" s="92"/>
      <c r="N606" s="94"/>
      <c r="AG606" s="100"/>
      <c r="AH606" s="101"/>
      <c r="AI606" s="101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2"/>
      <c r="AX606" s="100"/>
      <c r="AY606" s="101"/>
      <c r="AZ606" s="101"/>
      <c r="BA606" s="100"/>
      <c r="BB606" s="100"/>
      <c r="BC606" s="100"/>
      <c r="BD606" s="100"/>
      <c r="BE606" s="100"/>
      <c r="BF606" s="100"/>
      <c r="BG606" s="100"/>
      <c r="BH606" s="100"/>
      <c r="BI606" s="100"/>
      <c r="BJ606" s="100"/>
      <c r="BK606" s="102"/>
      <c r="BN606" s="36"/>
    </row>
    <row r="607" spans="1:66" x14ac:dyDescent="0.25">
      <c r="A607" s="92"/>
      <c r="B607" s="92"/>
      <c r="C607" s="92"/>
      <c r="D607" s="93"/>
      <c r="E607" s="92"/>
      <c r="F607" s="92"/>
      <c r="G607" s="92"/>
      <c r="H607" s="92"/>
      <c r="I607" s="92"/>
      <c r="J607" s="92"/>
      <c r="K607" s="92"/>
      <c r="L607" s="92"/>
      <c r="M607" s="92"/>
      <c r="N607" s="92"/>
      <c r="AG607" s="100"/>
      <c r="AH607" s="101"/>
      <c r="AI607" s="101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2"/>
      <c r="AX607" s="100"/>
      <c r="AY607" s="101"/>
      <c r="AZ607" s="101"/>
      <c r="BA607" s="100"/>
      <c r="BB607" s="100"/>
      <c r="BC607" s="100"/>
      <c r="BD607" s="100"/>
      <c r="BE607" s="100"/>
      <c r="BF607" s="100"/>
      <c r="BG607" s="100"/>
      <c r="BH607" s="100"/>
      <c r="BI607" s="100"/>
      <c r="BJ607" s="100"/>
      <c r="BK607" s="102"/>
      <c r="BN607" s="36"/>
    </row>
    <row r="608" spans="1:66" x14ac:dyDescent="0.25">
      <c r="A608" s="92"/>
      <c r="B608" s="92"/>
      <c r="C608" s="92"/>
      <c r="D608" s="92"/>
      <c r="E608" s="92"/>
      <c r="F608" s="92"/>
      <c r="G608" s="92"/>
      <c r="H608" s="92"/>
      <c r="I608" s="92"/>
      <c r="J608" s="92"/>
      <c r="K608" s="92"/>
      <c r="L608" s="92"/>
      <c r="M608" s="92"/>
      <c r="N608" s="92"/>
      <c r="AG608" s="100"/>
      <c r="AH608" s="101"/>
      <c r="AI608" s="101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2"/>
      <c r="AX608" s="100"/>
      <c r="AY608" s="101"/>
      <c r="AZ608" s="101"/>
      <c r="BA608" s="100"/>
      <c r="BB608" s="100"/>
      <c r="BC608" s="100"/>
      <c r="BD608" s="100"/>
      <c r="BE608" s="100"/>
      <c r="BF608" s="100"/>
      <c r="BG608" s="100"/>
      <c r="BH608" s="100"/>
      <c r="BI608" s="100"/>
      <c r="BJ608" s="100"/>
      <c r="BK608" s="102"/>
      <c r="BN608" s="36"/>
    </row>
    <row r="609" spans="1:66" x14ac:dyDescent="0.25">
      <c r="A609" s="92"/>
      <c r="B609" s="92"/>
      <c r="C609" s="92"/>
      <c r="D609" s="92"/>
      <c r="E609" s="92"/>
      <c r="F609" s="92"/>
      <c r="G609" s="92"/>
      <c r="H609" s="92"/>
      <c r="I609" s="92"/>
      <c r="J609" s="92"/>
      <c r="K609" s="92"/>
      <c r="L609" s="92"/>
      <c r="M609" s="92"/>
      <c r="N609" s="92"/>
      <c r="AG609" s="100"/>
      <c r="AH609" s="101"/>
      <c r="AI609" s="101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2"/>
      <c r="AX609" s="100"/>
      <c r="AY609" s="101"/>
      <c r="AZ609" s="101"/>
      <c r="BA609" s="100"/>
      <c r="BB609" s="100"/>
      <c r="BC609" s="100"/>
      <c r="BD609" s="100"/>
      <c r="BE609" s="100"/>
      <c r="BF609" s="100"/>
      <c r="BG609" s="100"/>
      <c r="BH609" s="100"/>
      <c r="BI609" s="100"/>
      <c r="BJ609" s="100"/>
      <c r="BK609" s="102"/>
      <c r="BN609" s="36"/>
    </row>
    <row r="610" spans="1:66" x14ac:dyDescent="0.25">
      <c r="A610" s="92"/>
      <c r="B610" s="92"/>
      <c r="C610" s="92"/>
      <c r="D610" s="92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AG610" s="100"/>
      <c r="AH610" s="101"/>
      <c r="AI610" s="101"/>
      <c r="AJ610" s="101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2"/>
      <c r="AX610" s="100"/>
      <c r="AY610" s="101"/>
      <c r="AZ610" s="101"/>
      <c r="BA610" s="100"/>
      <c r="BB610" s="100"/>
      <c r="BC610" s="100"/>
      <c r="BD610" s="100"/>
      <c r="BE610" s="100"/>
      <c r="BF610" s="100"/>
      <c r="BG610" s="100"/>
      <c r="BH610" s="100"/>
      <c r="BI610" s="100"/>
      <c r="BJ610" s="100"/>
      <c r="BK610" s="102"/>
      <c r="BN610" s="36"/>
    </row>
    <row r="611" spans="1:66" x14ac:dyDescent="0.25">
      <c r="A611" s="92"/>
      <c r="B611" s="92"/>
      <c r="C611" s="92"/>
      <c r="D611" s="92"/>
      <c r="E611" s="92"/>
      <c r="F611" s="92"/>
      <c r="G611" s="92"/>
      <c r="H611" s="92"/>
      <c r="I611" s="92"/>
      <c r="J611" s="92"/>
      <c r="K611" s="92"/>
      <c r="L611" s="92"/>
      <c r="M611" s="92"/>
      <c r="N611" s="92"/>
      <c r="AG611" s="100"/>
      <c r="AH611" s="101"/>
      <c r="AI611" s="101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2"/>
      <c r="AX611" s="100"/>
      <c r="AY611" s="101"/>
      <c r="AZ611" s="101"/>
      <c r="BA611" s="101"/>
      <c r="BB611" s="100"/>
      <c r="BC611" s="100"/>
      <c r="BD611" s="100"/>
      <c r="BE611" s="100"/>
      <c r="BF611" s="100"/>
      <c r="BG611" s="100"/>
      <c r="BH611" s="100"/>
      <c r="BI611" s="100"/>
      <c r="BJ611" s="100"/>
      <c r="BK611" s="102"/>
      <c r="BN611" s="36"/>
    </row>
    <row r="612" spans="1:66" x14ac:dyDescent="0.25">
      <c r="A612" s="92"/>
      <c r="B612" s="92"/>
      <c r="C612" s="92"/>
      <c r="D612" s="92"/>
      <c r="E612" s="92"/>
      <c r="F612" s="92"/>
      <c r="G612" s="92"/>
      <c r="H612" s="92"/>
      <c r="I612" s="92"/>
      <c r="J612" s="92"/>
      <c r="K612" s="92"/>
      <c r="L612" s="92"/>
      <c r="M612" s="92"/>
      <c r="N612" s="92"/>
      <c r="AG612" s="100"/>
      <c r="AH612" s="101"/>
      <c r="AI612" s="101"/>
      <c r="AJ612" s="101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2"/>
      <c r="AX612" s="100"/>
      <c r="AY612" s="101"/>
      <c r="AZ612" s="101"/>
      <c r="BA612" s="100"/>
      <c r="BB612" s="100"/>
      <c r="BC612" s="100"/>
      <c r="BD612" s="100"/>
      <c r="BE612" s="100"/>
      <c r="BF612" s="100"/>
      <c r="BG612" s="100"/>
      <c r="BH612" s="100"/>
      <c r="BI612" s="100"/>
      <c r="BJ612" s="100"/>
      <c r="BK612" s="102"/>
      <c r="BN612" s="36"/>
    </row>
    <row r="613" spans="1:66" x14ac:dyDescent="0.25">
      <c r="A613" s="92"/>
      <c r="B613" s="92"/>
      <c r="C613" s="92"/>
      <c r="D613" s="92"/>
      <c r="E613" s="92"/>
      <c r="F613" s="92"/>
      <c r="G613" s="92"/>
      <c r="H613" s="92"/>
      <c r="I613" s="92"/>
      <c r="J613" s="92"/>
      <c r="K613" s="92"/>
      <c r="L613" s="92"/>
      <c r="M613" s="92"/>
      <c r="N613" s="92"/>
      <c r="AG613" s="100"/>
      <c r="AH613" s="101"/>
      <c r="AI613" s="101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2"/>
      <c r="AX613" s="100"/>
      <c r="AY613" s="101"/>
      <c r="AZ613" s="101"/>
      <c r="BA613" s="100"/>
      <c r="BB613" s="100"/>
      <c r="BC613" s="100"/>
      <c r="BD613" s="100"/>
      <c r="BE613" s="100"/>
      <c r="BF613" s="100"/>
      <c r="BG613" s="100"/>
      <c r="BH613" s="100"/>
      <c r="BI613" s="100"/>
      <c r="BJ613" s="100"/>
      <c r="BK613" s="102"/>
      <c r="BN613" s="36"/>
    </row>
    <row r="614" spans="1:66" x14ac:dyDescent="0.25">
      <c r="A614" s="92"/>
      <c r="B614" s="92"/>
      <c r="C614" s="92"/>
      <c r="D614" s="92"/>
      <c r="E614" s="92"/>
      <c r="F614" s="92"/>
      <c r="G614" s="92"/>
      <c r="H614" s="92"/>
      <c r="I614" s="92"/>
      <c r="J614" s="92"/>
      <c r="K614" s="92"/>
      <c r="L614" s="92"/>
      <c r="M614" s="92"/>
      <c r="N614" s="92"/>
      <c r="AG614" s="100"/>
      <c r="AH614" s="101"/>
      <c r="AI614" s="101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2"/>
      <c r="AX614" s="100"/>
      <c r="AY614" s="101"/>
      <c r="AZ614" s="101"/>
      <c r="BA614" s="100"/>
      <c r="BB614" s="100"/>
      <c r="BC614" s="100"/>
      <c r="BD614" s="100"/>
      <c r="BE614" s="100"/>
      <c r="BF614" s="100"/>
      <c r="BG614" s="100"/>
      <c r="BH614" s="100"/>
      <c r="BI614" s="100"/>
      <c r="BJ614" s="100"/>
      <c r="BK614" s="102"/>
      <c r="BN614" s="36"/>
    </row>
    <row r="615" spans="1:66" x14ac:dyDescent="0.25">
      <c r="A615" s="92"/>
      <c r="B615" s="92"/>
      <c r="C615" s="92"/>
      <c r="D615" s="92"/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AG615" s="100"/>
      <c r="AH615" s="101"/>
      <c r="AI615" s="101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2"/>
      <c r="AX615" s="100"/>
      <c r="AY615" s="101"/>
      <c r="AZ615" s="101"/>
      <c r="BA615" s="100"/>
      <c r="BB615" s="100"/>
      <c r="BC615" s="100"/>
      <c r="BD615" s="100"/>
      <c r="BE615" s="100"/>
      <c r="BF615" s="100"/>
      <c r="BG615" s="100"/>
      <c r="BH615" s="100"/>
      <c r="BI615" s="100"/>
      <c r="BJ615" s="100"/>
      <c r="BK615" s="102"/>
      <c r="BN615" s="36"/>
    </row>
    <row r="616" spans="1:66" x14ac:dyDescent="0.25">
      <c r="A616" s="92"/>
      <c r="B616" s="92"/>
      <c r="C616" s="92"/>
      <c r="D616" s="92"/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AG616" s="100"/>
      <c r="AH616" s="101"/>
      <c r="AI616" s="101"/>
      <c r="AJ616" s="101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2"/>
      <c r="AX616" s="100"/>
      <c r="AY616" s="101"/>
      <c r="AZ616" s="101"/>
      <c r="BA616" s="100"/>
      <c r="BB616" s="100"/>
      <c r="BC616" s="100"/>
      <c r="BD616" s="100"/>
      <c r="BE616" s="100"/>
      <c r="BF616" s="100"/>
      <c r="BG616" s="100"/>
      <c r="BH616" s="100"/>
      <c r="BI616" s="100"/>
      <c r="BJ616" s="100"/>
      <c r="BK616" s="102"/>
      <c r="BN616" s="36"/>
    </row>
    <row r="617" spans="1:66" x14ac:dyDescent="0.25">
      <c r="A617" s="92"/>
      <c r="B617" s="92"/>
      <c r="C617" s="92"/>
      <c r="D617" s="92"/>
      <c r="E617" s="92"/>
      <c r="F617" s="92"/>
      <c r="G617" s="92"/>
      <c r="H617" s="92"/>
      <c r="I617" s="92"/>
      <c r="J617" s="92"/>
      <c r="K617" s="92"/>
      <c r="L617" s="92"/>
      <c r="M617" s="92"/>
      <c r="N617" s="92"/>
      <c r="AG617" s="100"/>
      <c r="AH617" s="101"/>
      <c r="AI617" s="101"/>
      <c r="AJ617" s="101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2"/>
      <c r="AX617" s="100"/>
      <c r="AY617" s="101"/>
      <c r="AZ617" s="101"/>
      <c r="BA617" s="101"/>
      <c r="BB617" s="100"/>
      <c r="BC617" s="100"/>
      <c r="BD617" s="100"/>
      <c r="BE617" s="100"/>
      <c r="BF617" s="100"/>
      <c r="BG617" s="100"/>
      <c r="BH617" s="100"/>
      <c r="BI617" s="100"/>
      <c r="BJ617" s="100"/>
      <c r="BK617" s="102"/>
      <c r="BN617" s="36"/>
    </row>
    <row r="618" spans="1:66" x14ac:dyDescent="0.25">
      <c r="A618" s="92"/>
      <c r="B618" s="92"/>
      <c r="C618" s="92"/>
      <c r="D618" s="92"/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AG618" s="100"/>
      <c r="AH618" s="101"/>
      <c r="AI618" s="101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2"/>
      <c r="AX618" s="100"/>
      <c r="AY618" s="101"/>
      <c r="AZ618" s="101"/>
      <c r="BA618" s="100"/>
      <c r="BB618" s="100"/>
      <c r="BC618" s="100"/>
      <c r="BD618" s="100"/>
      <c r="BE618" s="100"/>
      <c r="BF618" s="100"/>
      <c r="BG618" s="100"/>
      <c r="BH618" s="100"/>
      <c r="BI618" s="100"/>
      <c r="BJ618" s="100"/>
      <c r="BK618" s="102"/>
      <c r="BN618" s="36"/>
    </row>
    <row r="619" spans="1:66" x14ac:dyDescent="0.25">
      <c r="A619" s="92"/>
      <c r="B619" s="93"/>
      <c r="C619" s="93"/>
      <c r="D619" s="92"/>
      <c r="E619" s="92"/>
      <c r="F619" s="92"/>
      <c r="G619" s="92"/>
      <c r="H619" s="92"/>
      <c r="I619" s="92"/>
      <c r="J619" s="92"/>
      <c r="K619" s="92"/>
      <c r="L619" s="92"/>
      <c r="M619" s="92"/>
      <c r="N619" s="94"/>
      <c r="AG619" s="100"/>
      <c r="AH619" s="101"/>
      <c r="AI619" s="101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2"/>
      <c r="AX619" s="100"/>
      <c r="AY619" s="101"/>
      <c r="AZ619" s="101"/>
      <c r="BA619" s="100"/>
      <c r="BB619" s="100"/>
      <c r="BC619" s="100"/>
      <c r="BD619" s="100"/>
      <c r="BE619" s="100"/>
      <c r="BF619" s="100"/>
      <c r="BG619" s="100"/>
      <c r="BH619" s="100"/>
      <c r="BI619" s="100"/>
      <c r="BJ619" s="100"/>
      <c r="BK619" s="102"/>
      <c r="BN619" s="36"/>
    </row>
    <row r="620" spans="1:66" x14ac:dyDescent="0.25">
      <c r="A620" s="92"/>
      <c r="B620" s="92"/>
      <c r="C620" s="92"/>
      <c r="D620" s="92"/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AG620" s="100"/>
      <c r="AH620" s="101"/>
      <c r="AI620" s="101"/>
      <c r="AJ620" s="101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2"/>
      <c r="AX620" s="100"/>
      <c r="AY620" s="101"/>
      <c r="AZ620" s="101"/>
      <c r="BA620" s="100"/>
      <c r="BB620" s="100"/>
      <c r="BC620" s="100"/>
      <c r="BD620" s="100"/>
      <c r="BE620" s="100"/>
      <c r="BF620" s="100"/>
      <c r="BG620" s="100"/>
      <c r="BH620" s="100"/>
      <c r="BI620" s="100"/>
      <c r="BJ620" s="100"/>
      <c r="BK620" s="102"/>
      <c r="BN620" s="36"/>
    </row>
    <row r="621" spans="1:66" x14ac:dyDescent="0.25">
      <c r="A621" s="92"/>
      <c r="B621" s="92"/>
      <c r="C621" s="92"/>
      <c r="D621" s="92"/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AG621" s="100"/>
      <c r="AH621" s="101"/>
      <c r="AI621" s="101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2"/>
      <c r="AX621" s="100"/>
      <c r="AY621" s="101"/>
      <c r="AZ621" s="101"/>
      <c r="BA621" s="100"/>
      <c r="BB621" s="100"/>
      <c r="BC621" s="100"/>
      <c r="BD621" s="100"/>
      <c r="BE621" s="100"/>
      <c r="BF621" s="100"/>
      <c r="BG621" s="100"/>
      <c r="BH621" s="100"/>
      <c r="BI621" s="100"/>
      <c r="BJ621" s="100"/>
      <c r="BK621" s="102"/>
      <c r="BN621" s="36"/>
    </row>
    <row r="622" spans="1:66" x14ac:dyDescent="0.25">
      <c r="A622" s="92"/>
      <c r="B622" s="92"/>
      <c r="C622" s="92"/>
      <c r="D622" s="92"/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AG622" s="100"/>
      <c r="AH622" s="101"/>
      <c r="AI622" s="101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2"/>
      <c r="AX622" s="100"/>
      <c r="AY622" s="101"/>
      <c r="AZ622" s="101"/>
      <c r="BA622" s="100"/>
      <c r="BB622" s="100"/>
      <c r="BC622" s="100"/>
      <c r="BD622" s="100"/>
      <c r="BE622" s="100"/>
      <c r="BF622" s="100"/>
      <c r="BG622" s="100"/>
      <c r="BH622" s="100"/>
      <c r="BI622" s="100"/>
      <c r="BJ622" s="100"/>
      <c r="BK622" s="102"/>
      <c r="BN622" s="36"/>
    </row>
    <row r="623" spans="1:66" x14ac:dyDescent="0.25">
      <c r="A623" s="92"/>
      <c r="B623" s="92"/>
      <c r="C623" s="92"/>
      <c r="D623" s="92"/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AG623" s="100"/>
      <c r="AH623" s="101"/>
      <c r="AI623" s="101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2"/>
      <c r="AX623" s="100"/>
      <c r="AY623" s="101"/>
      <c r="AZ623" s="101"/>
      <c r="BA623" s="101"/>
      <c r="BB623" s="100"/>
      <c r="BC623" s="100"/>
      <c r="BD623" s="100"/>
      <c r="BE623" s="100"/>
      <c r="BF623" s="100"/>
      <c r="BG623" s="100"/>
      <c r="BH623" s="100"/>
      <c r="BI623" s="100"/>
      <c r="BJ623" s="100"/>
      <c r="BK623" s="102"/>
      <c r="BN623" s="36"/>
    </row>
    <row r="624" spans="1:66" x14ac:dyDescent="0.25">
      <c r="A624" s="92"/>
      <c r="B624" s="92"/>
      <c r="C624" s="92"/>
      <c r="D624" s="92"/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AG624" s="100"/>
      <c r="AH624" s="101"/>
      <c r="AI624" s="101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2"/>
      <c r="AX624" s="100"/>
      <c r="AY624" s="101"/>
      <c r="AZ624" s="101"/>
      <c r="BA624" s="100"/>
      <c r="BB624" s="100"/>
      <c r="BC624" s="100"/>
      <c r="BD624" s="100"/>
      <c r="BE624" s="100"/>
      <c r="BF624" s="100"/>
      <c r="BG624" s="100"/>
      <c r="BH624" s="100"/>
      <c r="BI624" s="100"/>
      <c r="BJ624" s="100"/>
      <c r="BK624" s="102"/>
      <c r="BN624" s="36"/>
    </row>
    <row r="625" spans="1:66" x14ac:dyDescent="0.25">
      <c r="A625" s="92"/>
      <c r="B625" s="92"/>
      <c r="C625" s="92"/>
      <c r="D625" s="92"/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AG625" s="100"/>
      <c r="AH625" s="101"/>
      <c r="AI625" s="101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2"/>
      <c r="AX625" s="100"/>
      <c r="AY625" s="101"/>
      <c r="AZ625" s="101"/>
      <c r="BA625" s="100"/>
      <c r="BB625" s="100"/>
      <c r="BC625" s="100"/>
      <c r="BD625" s="100"/>
      <c r="BE625" s="100"/>
      <c r="BF625" s="100"/>
      <c r="BG625" s="100"/>
      <c r="BH625" s="100"/>
      <c r="BI625" s="100"/>
      <c r="BJ625" s="100"/>
      <c r="BK625" s="102"/>
      <c r="BN625" s="36"/>
    </row>
    <row r="626" spans="1:66" x14ac:dyDescent="0.25">
      <c r="A626" s="92"/>
      <c r="B626" s="92"/>
      <c r="C626" s="92"/>
      <c r="D626" s="92"/>
      <c r="E626" s="92"/>
      <c r="F626" s="92"/>
      <c r="G626" s="92"/>
      <c r="H626" s="92"/>
      <c r="I626" s="92"/>
      <c r="J626" s="92"/>
      <c r="K626" s="92"/>
      <c r="L626" s="92"/>
      <c r="M626" s="92"/>
      <c r="N626" s="92"/>
      <c r="AG626" s="100"/>
      <c r="AH626" s="101"/>
      <c r="AI626" s="101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2"/>
      <c r="AX626" s="100"/>
      <c r="AY626" s="101"/>
      <c r="AZ626" s="101"/>
      <c r="BA626" s="100"/>
      <c r="BB626" s="100"/>
      <c r="BC626" s="100"/>
      <c r="BD626" s="100"/>
      <c r="BE626" s="100"/>
      <c r="BF626" s="100"/>
      <c r="BG626" s="100"/>
      <c r="BH626" s="100"/>
      <c r="BI626" s="100"/>
      <c r="BJ626" s="100"/>
      <c r="BK626" s="102"/>
      <c r="BN626" s="36"/>
    </row>
    <row r="627" spans="1:66" x14ac:dyDescent="0.25">
      <c r="A627" s="92"/>
      <c r="B627" s="93"/>
      <c r="C627" s="93"/>
      <c r="D627" s="92"/>
      <c r="E627" s="92"/>
      <c r="F627" s="92"/>
      <c r="G627" s="92"/>
      <c r="H627" s="92"/>
      <c r="I627" s="92"/>
      <c r="J627" s="92"/>
      <c r="K627" s="92"/>
      <c r="L627" s="92"/>
      <c r="M627" s="92"/>
      <c r="N627" s="94"/>
      <c r="AG627" s="100"/>
      <c r="AH627" s="101"/>
      <c r="AI627" s="101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2"/>
      <c r="AX627" s="100"/>
      <c r="AY627" s="101"/>
      <c r="AZ627" s="101"/>
      <c r="BA627" s="100"/>
      <c r="BB627" s="100"/>
      <c r="BC627" s="100"/>
      <c r="BD627" s="100"/>
      <c r="BE627" s="100"/>
      <c r="BF627" s="100"/>
      <c r="BG627" s="100"/>
      <c r="BH627" s="100"/>
      <c r="BI627" s="100"/>
      <c r="BJ627" s="100"/>
      <c r="BK627" s="102"/>
      <c r="BN627" s="36"/>
    </row>
    <row r="628" spans="1:66" x14ac:dyDescent="0.25">
      <c r="A628" s="92"/>
      <c r="B628" s="92"/>
      <c r="C628" s="92"/>
      <c r="D628" s="92"/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AG628" s="100"/>
      <c r="AH628" s="101"/>
      <c r="AI628" s="101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2"/>
      <c r="AX628" s="100"/>
      <c r="AY628" s="101"/>
      <c r="AZ628" s="101"/>
      <c r="BA628" s="100"/>
      <c r="BB628" s="100"/>
      <c r="BC628" s="100"/>
      <c r="BD628" s="100"/>
      <c r="BE628" s="100"/>
      <c r="BF628" s="100"/>
      <c r="BG628" s="100"/>
      <c r="BH628" s="100"/>
      <c r="BI628" s="100"/>
      <c r="BJ628" s="100"/>
      <c r="BK628" s="102"/>
      <c r="BN628" s="36"/>
    </row>
    <row r="629" spans="1:66" x14ac:dyDescent="0.25">
      <c r="A629" s="92"/>
      <c r="B629" s="93"/>
      <c r="C629" s="93"/>
      <c r="D629" s="93"/>
      <c r="E629" s="92"/>
      <c r="F629" s="92"/>
      <c r="G629" s="92"/>
      <c r="H629" s="92"/>
      <c r="I629" s="92"/>
      <c r="J629" s="92"/>
      <c r="K629" s="92"/>
      <c r="L629" s="92"/>
      <c r="M629" s="92"/>
      <c r="N629" s="94"/>
      <c r="AG629" s="100"/>
      <c r="AH629" s="101"/>
      <c r="AI629" s="101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2"/>
      <c r="AX629" s="100"/>
      <c r="AY629" s="101"/>
      <c r="AZ629" s="101"/>
      <c r="BA629" s="100"/>
      <c r="BB629" s="100"/>
      <c r="BC629" s="100"/>
      <c r="BD629" s="100"/>
      <c r="BE629" s="100"/>
      <c r="BF629" s="100"/>
      <c r="BG629" s="100"/>
      <c r="BH629" s="100"/>
      <c r="BI629" s="100"/>
      <c r="BJ629" s="100"/>
      <c r="BK629" s="102"/>
      <c r="BN629" s="36"/>
    </row>
    <row r="630" spans="1:66" x14ac:dyDescent="0.25">
      <c r="A630" s="92"/>
      <c r="B630" s="92"/>
      <c r="C630" s="92"/>
      <c r="D630" s="92"/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AG630" s="100"/>
      <c r="AH630" s="101"/>
      <c r="AI630" s="101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2"/>
      <c r="AX630" s="100"/>
      <c r="AY630" s="101"/>
      <c r="AZ630" s="101"/>
      <c r="BA630" s="101"/>
      <c r="BB630" s="100"/>
      <c r="BC630" s="100"/>
      <c r="BD630" s="100"/>
      <c r="BE630" s="100"/>
      <c r="BF630" s="100"/>
      <c r="BG630" s="100"/>
      <c r="BH630" s="100"/>
      <c r="BI630" s="100"/>
      <c r="BJ630" s="100"/>
      <c r="BK630" s="102"/>
      <c r="BN630" s="36"/>
    </row>
    <row r="631" spans="1:66" x14ac:dyDescent="0.25">
      <c r="A631" s="92"/>
      <c r="B631" s="92"/>
      <c r="C631" s="92"/>
      <c r="D631" s="92"/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AG631" s="100"/>
      <c r="AH631" s="101"/>
      <c r="AI631" s="101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2"/>
      <c r="AX631" s="100"/>
      <c r="AY631" s="101"/>
      <c r="AZ631" s="101"/>
      <c r="BA631" s="100"/>
      <c r="BB631" s="100"/>
      <c r="BC631" s="100"/>
      <c r="BD631" s="100"/>
      <c r="BE631" s="100"/>
      <c r="BF631" s="100"/>
      <c r="BG631" s="100"/>
      <c r="BH631" s="100"/>
      <c r="BI631" s="100"/>
      <c r="BJ631" s="100"/>
      <c r="BK631" s="102"/>
      <c r="BN631" s="36"/>
    </row>
    <row r="632" spans="1:66" x14ac:dyDescent="0.25">
      <c r="A632" s="92"/>
      <c r="B632" s="92"/>
      <c r="C632" s="92"/>
      <c r="D632" s="92"/>
      <c r="E632" s="92"/>
      <c r="F632" s="92"/>
      <c r="G632" s="92"/>
      <c r="H632" s="92"/>
      <c r="I632" s="92"/>
      <c r="J632" s="92"/>
      <c r="K632" s="92"/>
      <c r="L632" s="92"/>
      <c r="M632" s="92"/>
      <c r="N632" s="92"/>
      <c r="AG632" s="100"/>
      <c r="AH632" s="101"/>
      <c r="AI632" s="101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2"/>
      <c r="AX632" s="100"/>
      <c r="AY632" s="101"/>
      <c r="AZ632" s="101"/>
      <c r="BA632" s="101"/>
      <c r="BB632" s="100"/>
      <c r="BC632" s="100"/>
      <c r="BD632" s="100"/>
      <c r="BE632" s="100"/>
      <c r="BF632" s="100"/>
      <c r="BG632" s="100"/>
      <c r="BH632" s="100"/>
      <c r="BI632" s="100"/>
      <c r="BJ632" s="100"/>
      <c r="BK632" s="102"/>
      <c r="BN632" s="36"/>
    </row>
    <row r="633" spans="1:66" x14ac:dyDescent="0.25">
      <c r="A633" s="92"/>
      <c r="B633" s="92"/>
      <c r="C633" s="92"/>
      <c r="D633" s="92"/>
      <c r="E633" s="92"/>
      <c r="F633" s="92"/>
      <c r="G633" s="92"/>
      <c r="H633" s="92"/>
      <c r="I633" s="92"/>
      <c r="J633" s="92"/>
      <c r="K633" s="92"/>
      <c r="L633" s="92"/>
      <c r="M633" s="92"/>
      <c r="N633" s="92"/>
      <c r="AG633" s="100"/>
      <c r="AH633" s="101"/>
      <c r="AI633" s="101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2"/>
      <c r="AX633" s="100"/>
      <c r="AY633" s="101"/>
      <c r="AZ633" s="101"/>
      <c r="BA633" s="100"/>
      <c r="BB633" s="100"/>
      <c r="BC633" s="100"/>
      <c r="BD633" s="100"/>
      <c r="BE633" s="100"/>
      <c r="BF633" s="100"/>
      <c r="BG633" s="100"/>
      <c r="BH633" s="100"/>
      <c r="BI633" s="100"/>
      <c r="BJ633" s="100"/>
      <c r="BK633" s="102"/>
      <c r="BN633" s="36"/>
    </row>
    <row r="634" spans="1:66" x14ac:dyDescent="0.25">
      <c r="A634" s="92"/>
      <c r="B634" s="93"/>
      <c r="C634" s="93"/>
      <c r="D634" s="92"/>
      <c r="E634" s="92"/>
      <c r="F634" s="92"/>
      <c r="G634" s="92"/>
      <c r="H634" s="92"/>
      <c r="I634" s="92"/>
      <c r="J634" s="92"/>
      <c r="K634" s="92"/>
      <c r="L634" s="92"/>
      <c r="M634" s="92"/>
      <c r="N634" s="94"/>
      <c r="AG634" s="100"/>
      <c r="AH634" s="101"/>
      <c r="AI634" s="101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2"/>
      <c r="AX634" s="100"/>
      <c r="AY634" s="101"/>
      <c r="AZ634" s="101"/>
      <c r="BA634" s="100"/>
      <c r="BB634" s="100"/>
      <c r="BC634" s="100"/>
      <c r="BD634" s="100"/>
      <c r="BE634" s="100"/>
      <c r="BF634" s="100"/>
      <c r="BG634" s="100"/>
      <c r="BH634" s="100"/>
      <c r="BI634" s="100"/>
      <c r="BJ634" s="100"/>
      <c r="BK634" s="102"/>
      <c r="BN634" s="36"/>
    </row>
    <row r="635" spans="1:66" x14ac:dyDescent="0.25">
      <c r="A635" s="92"/>
      <c r="B635" s="93"/>
      <c r="C635" s="93"/>
      <c r="D635" s="92"/>
      <c r="E635" s="92"/>
      <c r="F635" s="92"/>
      <c r="G635" s="92"/>
      <c r="H635" s="92"/>
      <c r="I635" s="92"/>
      <c r="J635" s="92"/>
      <c r="K635" s="92"/>
      <c r="L635" s="92"/>
      <c r="M635" s="92"/>
      <c r="N635" s="94"/>
      <c r="AG635" s="100"/>
      <c r="AH635" s="101"/>
      <c r="AI635" s="101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2"/>
      <c r="AX635" s="100"/>
      <c r="AY635" s="101"/>
      <c r="AZ635" s="101"/>
      <c r="BA635" s="100"/>
      <c r="BB635" s="100"/>
      <c r="BC635" s="100"/>
      <c r="BD635" s="100"/>
      <c r="BE635" s="100"/>
      <c r="BF635" s="100"/>
      <c r="BG635" s="100"/>
      <c r="BH635" s="100"/>
      <c r="BI635" s="100"/>
      <c r="BJ635" s="100"/>
      <c r="BK635" s="102"/>
      <c r="BN635" s="36"/>
    </row>
    <row r="636" spans="1:66" x14ac:dyDescent="0.25">
      <c r="A636" s="92"/>
      <c r="B636" s="92"/>
      <c r="C636" s="92"/>
      <c r="D636" s="92"/>
      <c r="E636" s="92"/>
      <c r="F636" s="92"/>
      <c r="G636" s="92"/>
      <c r="H636" s="92"/>
      <c r="I636" s="92"/>
      <c r="J636" s="92"/>
      <c r="K636" s="92"/>
      <c r="L636" s="92"/>
      <c r="M636" s="92"/>
      <c r="N636" s="92"/>
      <c r="AG636" s="100"/>
      <c r="AH636" s="101"/>
      <c r="AI636" s="101"/>
      <c r="AJ636" s="101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2"/>
      <c r="AX636" s="100"/>
      <c r="AY636" s="101"/>
      <c r="AZ636" s="101"/>
      <c r="BA636" s="101"/>
      <c r="BB636" s="100"/>
      <c r="BC636" s="100"/>
      <c r="BD636" s="100"/>
      <c r="BE636" s="100"/>
      <c r="BF636" s="100"/>
      <c r="BG636" s="100"/>
      <c r="BH636" s="100"/>
      <c r="BI636" s="100"/>
      <c r="BJ636" s="100"/>
      <c r="BK636" s="102"/>
      <c r="BN636" s="36"/>
    </row>
    <row r="637" spans="1:66" x14ac:dyDescent="0.25">
      <c r="A637" s="92"/>
      <c r="B637" s="93"/>
      <c r="C637" s="93"/>
      <c r="D637" s="92"/>
      <c r="E637" s="92"/>
      <c r="F637" s="92"/>
      <c r="G637" s="92"/>
      <c r="H637" s="92"/>
      <c r="I637" s="92"/>
      <c r="J637" s="92"/>
      <c r="K637" s="92"/>
      <c r="L637" s="92"/>
      <c r="M637" s="92"/>
      <c r="N637" s="94"/>
      <c r="AG637" s="100"/>
      <c r="AH637" s="101"/>
      <c r="AI637" s="101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2"/>
      <c r="AX637" s="100"/>
      <c r="AY637" s="101"/>
      <c r="AZ637" s="101"/>
      <c r="BA637" s="101"/>
      <c r="BB637" s="100"/>
      <c r="BC637" s="100"/>
      <c r="BD637" s="100"/>
      <c r="BE637" s="100"/>
      <c r="BF637" s="100"/>
      <c r="BG637" s="100"/>
      <c r="BH637" s="100"/>
      <c r="BI637" s="100"/>
      <c r="BJ637" s="100"/>
      <c r="BK637" s="102"/>
      <c r="BN637" s="36"/>
    </row>
    <row r="638" spans="1:66" x14ac:dyDescent="0.25">
      <c r="A638" s="92"/>
      <c r="B638" s="92"/>
      <c r="C638" s="92"/>
      <c r="D638" s="92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AG638" s="100"/>
      <c r="AH638" s="101"/>
      <c r="AI638" s="101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2"/>
      <c r="AX638" s="100"/>
      <c r="AY638" s="101"/>
      <c r="AZ638" s="101"/>
      <c r="BA638" s="100"/>
      <c r="BB638" s="100"/>
      <c r="BC638" s="100"/>
      <c r="BD638" s="100"/>
      <c r="BE638" s="100"/>
      <c r="BF638" s="100"/>
      <c r="BG638" s="100"/>
      <c r="BH638" s="100"/>
      <c r="BI638" s="100"/>
      <c r="BJ638" s="100"/>
      <c r="BK638" s="102"/>
      <c r="BN638" s="36"/>
    </row>
    <row r="639" spans="1:66" x14ac:dyDescent="0.25">
      <c r="A639" s="92"/>
      <c r="B639" s="92"/>
      <c r="C639" s="92"/>
      <c r="D639" s="92"/>
      <c r="E639" s="92"/>
      <c r="F639" s="92"/>
      <c r="G639" s="92"/>
      <c r="H639" s="92"/>
      <c r="I639" s="92"/>
      <c r="J639" s="92"/>
      <c r="K639" s="92"/>
      <c r="L639" s="92"/>
      <c r="M639" s="92"/>
      <c r="N639" s="92"/>
      <c r="AG639" s="100"/>
      <c r="AH639" s="101"/>
      <c r="AI639" s="101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2"/>
      <c r="AX639" s="100"/>
      <c r="AY639" s="101"/>
      <c r="AZ639" s="101"/>
      <c r="BA639" s="100"/>
      <c r="BB639" s="100"/>
      <c r="BC639" s="100"/>
      <c r="BD639" s="100"/>
      <c r="BE639" s="100"/>
      <c r="BF639" s="100"/>
      <c r="BG639" s="100"/>
      <c r="BH639" s="100"/>
      <c r="BI639" s="100"/>
      <c r="BJ639" s="100"/>
      <c r="BK639" s="102"/>
      <c r="BN639" s="36"/>
    </row>
    <row r="640" spans="1:66" x14ac:dyDescent="0.25">
      <c r="A640" s="92"/>
      <c r="B640" s="92"/>
      <c r="C640" s="92"/>
      <c r="D640" s="92"/>
      <c r="E640" s="92"/>
      <c r="F640" s="92"/>
      <c r="G640" s="92"/>
      <c r="H640" s="92"/>
      <c r="I640" s="92"/>
      <c r="J640" s="92"/>
      <c r="K640" s="92"/>
      <c r="L640" s="92"/>
      <c r="M640" s="92"/>
      <c r="N640" s="92"/>
      <c r="AG640" s="100"/>
      <c r="AH640" s="101"/>
      <c r="AI640" s="101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2"/>
      <c r="AX640" s="100"/>
      <c r="AY640" s="101"/>
      <c r="AZ640" s="101"/>
      <c r="BA640" s="101"/>
      <c r="BB640" s="100"/>
      <c r="BC640" s="100"/>
      <c r="BD640" s="100"/>
      <c r="BE640" s="100"/>
      <c r="BF640" s="100"/>
      <c r="BG640" s="100"/>
      <c r="BH640" s="100"/>
      <c r="BI640" s="100"/>
      <c r="BJ640" s="100"/>
      <c r="BK640" s="102"/>
      <c r="BN640" s="36"/>
    </row>
    <row r="641" spans="1:66" x14ac:dyDescent="0.25">
      <c r="A641" s="92"/>
      <c r="B641" s="92"/>
      <c r="C641" s="92"/>
      <c r="D641" s="92"/>
      <c r="E641" s="92"/>
      <c r="F641" s="92"/>
      <c r="G641" s="92"/>
      <c r="H641" s="92"/>
      <c r="I641" s="92"/>
      <c r="J641" s="92"/>
      <c r="K641" s="92"/>
      <c r="L641" s="92"/>
      <c r="M641" s="92"/>
      <c r="N641" s="92"/>
      <c r="AG641" s="100"/>
      <c r="AH641" s="101"/>
      <c r="AI641" s="101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2"/>
      <c r="AX641" s="100"/>
      <c r="AY641" s="101"/>
      <c r="AZ641" s="101"/>
      <c r="BA641" s="100"/>
      <c r="BB641" s="100"/>
      <c r="BC641" s="100"/>
      <c r="BD641" s="100"/>
      <c r="BE641" s="100"/>
      <c r="BF641" s="100"/>
      <c r="BG641" s="100"/>
      <c r="BH641" s="100"/>
      <c r="BI641" s="100"/>
      <c r="BJ641" s="100"/>
      <c r="BK641" s="102"/>
      <c r="BN641" s="36"/>
    </row>
    <row r="642" spans="1:66" x14ac:dyDescent="0.25">
      <c r="A642" s="92"/>
      <c r="B642" s="92"/>
      <c r="C642" s="92"/>
      <c r="D642" s="92"/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AG642" s="100"/>
      <c r="AH642" s="101"/>
      <c r="AI642" s="101"/>
      <c r="AJ642" s="100"/>
      <c r="AK642" s="100"/>
      <c r="AL642" s="100"/>
      <c r="AM642" s="100"/>
      <c r="AN642" s="100"/>
      <c r="AO642" s="100"/>
      <c r="AP642" s="100"/>
      <c r="AQ642" s="100"/>
      <c r="AR642" s="100"/>
      <c r="AS642" s="100"/>
      <c r="AT642" s="102"/>
      <c r="AX642" s="100"/>
      <c r="AY642" s="101"/>
      <c r="AZ642" s="101"/>
      <c r="BA642" s="100"/>
      <c r="BB642" s="100"/>
      <c r="BC642" s="100"/>
      <c r="BD642" s="100"/>
      <c r="BE642" s="100"/>
      <c r="BF642" s="100"/>
      <c r="BG642" s="100"/>
      <c r="BH642" s="100"/>
      <c r="BI642" s="100"/>
      <c r="BJ642" s="100"/>
      <c r="BK642" s="102"/>
      <c r="BN642" s="36"/>
    </row>
    <row r="643" spans="1:66" x14ac:dyDescent="0.25">
      <c r="A643" s="92"/>
      <c r="B643" s="92"/>
      <c r="C643" s="92"/>
      <c r="D643" s="92"/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AG643" s="100"/>
      <c r="AH643" s="101"/>
      <c r="AI643" s="101"/>
      <c r="AJ643" s="101"/>
      <c r="AK643" s="100"/>
      <c r="AL643" s="100"/>
      <c r="AM643" s="100"/>
      <c r="AN643" s="100"/>
      <c r="AO643" s="100"/>
      <c r="AP643" s="100"/>
      <c r="AQ643" s="100"/>
      <c r="AR643" s="100"/>
      <c r="AS643" s="100"/>
      <c r="AT643" s="102"/>
      <c r="AX643" s="100"/>
      <c r="AY643" s="101"/>
      <c r="AZ643" s="101"/>
      <c r="BA643" s="100"/>
      <c r="BB643" s="100"/>
      <c r="BC643" s="100"/>
      <c r="BD643" s="100"/>
      <c r="BE643" s="100"/>
      <c r="BF643" s="100"/>
      <c r="BG643" s="100"/>
      <c r="BH643" s="100"/>
      <c r="BI643" s="100"/>
      <c r="BJ643" s="100"/>
      <c r="BK643" s="102"/>
      <c r="BN643" s="36"/>
    </row>
    <row r="644" spans="1:66" x14ac:dyDescent="0.25">
      <c r="A644" s="92"/>
      <c r="B644" s="92"/>
      <c r="C644" s="92"/>
      <c r="D644" s="92"/>
      <c r="E644" s="92"/>
      <c r="F644" s="92"/>
      <c r="G644" s="92"/>
      <c r="H644" s="92"/>
      <c r="I644" s="92"/>
      <c r="J644" s="92"/>
      <c r="K644" s="92"/>
      <c r="L644" s="92"/>
      <c r="M644" s="92"/>
      <c r="N644" s="92"/>
      <c r="AG644" s="100"/>
      <c r="AH644" s="101"/>
      <c r="AI644" s="101"/>
      <c r="AJ644" s="100"/>
      <c r="AK644" s="100"/>
      <c r="AL644" s="100"/>
      <c r="AM644" s="100"/>
      <c r="AN644" s="100"/>
      <c r="AO644" s="100"/>
      <c r="AP644" s="100"/>
      <c r="AQ644" s="100"/>
      <c r="AR644" s="100"/>
      <c r="AS644" s="100"/>
      <c r="AT644" s="102"/>
      <c r="AX644" s="100"/>
      <c r="AY644" s="101"/>
      <c r="AZ644" s="101"/>
      <c r="BA644" s="100"/>
      <c r="BB644" s="100"/>
      <c r="BC644" s="100"/>
      <c r="BD644" s="100"/>
      <c r="BE644" s="100"/>
      <c r="BF644" s="100"/>
      <c r="BG644" s="100"/>
      <c r="BH644" s="100"/>
      <c r="BI644" s="100"/>
      <c r="BJ644" s="100"/>
      <c r="BK644" s="102"/>
      <c r="BN644" s="36"/>
    </row>
    <row r="645" spans="1:66" x14ac:dyDescent="0.25">
      <c r="A645" s="92"/>
      <c r="B645" s="92"/>
      <c r="C645" s="92"/>
      <c r="D645" s="92"/>
      <c r="E645" s="92"/>
      <c r="F645" s="92"/>
      <c r="G645" s="92"/>
      <c r="H645" s="92"/>
      <c r="I645" s="92"/>
      <c r="J645" s="92"/>
      <c r="K645" s="92"/>
      <c r="L645" s="92"/>
      <c r="M645" s="92"/>
      <c r="N645" s="92"/>
      <c r="AG645" s="100"/>
      <c r="AH645" s="101"/>
      <c r="AI645" s="101"/>
      <c r="AJ645" s="100"/>
      <c r="AK645" s="100"/>
      <c r="AL645" s="100"/>
      <c r="AM645" s="100"/>
      <c r="AN645" s="100"/>
      <c r="AO645" s="100"/>
      <c r="AP645" s="100"/>
      <c r="AQ645" s="100"/>
      <c r="AR645" s="100"/>
      <c r="AS645" s="100"/>
      <c r="AT645" s="102"/>
      <c r="AX645" s="100"/>
      <c r="AY645" s="101"/>
      <c r="AZ645" s="101"/>
      <c r="BA645" s="100"/>
      <c r="BB645" s="100"/>
      <c r="BC645" s="100"/>
      <c r="BD645" s="100"/>
      <c r="BE645" s="100"/>
      <c r="BF645" s="100"/>
      <c r="BG645" s="100"/>
      <c r="BH645" s="100"/>
      <c r="BI645" s="100"/>
      <c r="BJ645" s="100"/>
      <c r="BK645" s="102"/>
      <c r="BN645" s="36"/>
    </row>
    <row r="646" spans="1:66" x14ac:dyDescent="0.25">
      <c r="A646" s="92"/>
      <c r="B646" s="92"/>
      <c r="C646" s="92"/>
      <c r="D646" s="92"/>
      <c r="E646" s="92"/>
      <c r="F646" s="92"/>
      <c r="G646" s="92"/>
      <c r="H646" s="92"/>
      <c r="I646" s="92"/>
      <c r="J646" s="92"/>
      <c r="K646" s="92"/>
      <c r="L646" s="92"/>
      <c r="M646" s="92"/>
      <c r="N646" s="92"/>
      <c r="AG646" s="100"/>
      <c r="AH646" s="101"/>
      <c r="AI646" s="101"/>
      <c r="AJ646" s="100"/>
      <c r="AK646" s="100"/>
      <c r="AL646" s="100"/>
      <c r="AM646" s="100"/>
      <c r="AN646" s="100"/>
      <c r="AO646" s="100"/>
      <c r="AP646" s="100"/>
      <c r="AQ646" s="100"/>
      <c r="AR646" s="100"/>
      <c r="AS646" s="100"/>
      <c r="AT646" s="102"/>
      <c r="AX646" s="100"/>
      <c r="AY646" s="101"/>
      <c r="AZ646" s="101"/>
      <c r="BA646" s="100"/>
      <c r="BB646" s="100"/>
      <c r="BC646" s="100"/>
      <c r="BD646" s="100"/>
      <c r="BE646" s="100"/>
      <c r="BF646" s="100"/>
      <c r="BG646" s="100"/>
      <c r="BH646" s="100"/>
      <c r="BI646" s="100"/>
      <c r="BJ646" s="100"/>
      <c r="BK646" s="102"/>
      <c r="BN646" s="36"/>
    </row>
    <row r="647" spans="1:66" x14ac:dyDescent="0.25">
      <c r="A647" s="92"/>
      <c r="B647" s="92"/>
      <c r="C647" s="92"/>
      <c r="D647" s="92"/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AG647" s="100"/>
      <c r="AH647" s="101"/>
      <c r="AI647" s="101"/>
      <c r="AJ647" s="100"/>
      <c r="AK647" s="100"/>
      <c r="AL647" s="100"/>
      <c r="AM647" s="100"/>
      <c r="AN647" s="100"/>
      <c r="AO647" s="100"/>
      <c r="AP647" s="100"/>
      <c r="AQ647" s="100"/>
      <c r="AR647" s="100"/>
      <c r="AS647" s="100"/>
      <c r="AT647" s="102"/>
      <c r="AX647" s="100"/>
      <c r="AY647" s="101"/>
      <c r="AZ647" s="101"/>
      <c r="BA647" s="100"/>
      <c r="BB647" s="100"/>
      <c r="BC647" s="100"/>
      <c r="BD647" s="100"/>
      <c r="BE647" s="100"/>
      <c r="BF647" s="100"/>
      <c r="BG647" s="100"/>
      <c r="BH647" s="100"/>
      <c r="BI647" s="100"/>
      <c r="BJ647" s="100"/>
      <c r="BK647" s="102"/>
      <c r="BN647" s="36"/>
    </row>
    <row r="648" spans="1:66" x14ac:dyDescent="0.25">
      <c r="A648" s="92"/>
      <c r="B648" s="93"/>
      <c r="C648" s="93"/>
      <c r="D648" s="93"/>
      <c r="E648" s="92"/>
      <c r="F648" s="92"/>
      <c r="G648" s="92"/>
      <c r="H648" s="92"/>
      <c r="I648" s="92"/>
      <c r="J648" s="92"/>
      <c r="K648" s="92"/>
      <c r="L648" s="92"/>
      <c r="M648" s="92"/>
      <c r="N648" s="94"/>
      <c r="AG648" s="100"/>
      <c r="AH648" s="101"/>
      <c r="AI648" s="101"/>
      <c r="AJ648" s="100"/>
      <c r="AK648" s="100"/>
      <c r="AL648" s="100"/>
      <c r="AM648" s="100"/>
      <c r="AN648" s="100"/>
      <c r="AO648" s="100"/>
      <c r="AP648" s="100"/>
      <c r="AQ648" s="100"/>
      <c r="AR648" s="100"/>
      <c r="AS648" s="100"/>
      <c r="AT648" s="102"/>
      <c r="AX648" s="100"/>
      <c r="AY648" s="101"/>
      <c r="AZ648" s="101"/>
      <c r="BA648" s="100"/>
      <c r="BB648" s="100"/>
      <c r="BC648" s="100"/>
      <c r="BD648" s="100"/>
      <c r="BE648" s="100"/>
      <c r="BF648" s="100"/>
      <c r="BG648" s="100"/>
      <c r="BH648" s="100"/>
      <c r="BI648" s="100"/>
      <c r="BJ648" s="100"/>
      <c r="BK648" s="102"/>
      <c r="BN648" s="36"/>
    </row>
    <row r="649" spans="1:66" x14ac:dyDescent="0.25">
      <c r="A649" s="92"/>
      <c r="B649" s="93"/>
      <c r="C649" s="93"/>
      <c r="D649" s="92"/>
      <c r="E649" s="92"/>
      <c r="F649" s="92"/>
      <c r="G649" s="92"/>
      <c r="H649" s="92"/>
      <c r="I649" s="92"/>
      <c r="J649" s="92"/>
      <c r="K649" s="92"/>
      <c r="L649" s="92"/>
      <c r="M649" s="92"/>
      <c r="N649" s="94"/>
      <c r="AG649" s="100"/>
      <c r="AH649" s="101"/>
      <c r="AI649" s="101"/>
      <c r="AJ649" s="100"/>
      <c r="AK649" s="100"/>
      <c r="AL649" s="100"/>
      <c r="AM649" s="100"/>
      <c r="AN649" s="100"/>
      <c r="AO649" s="100"/>
      <c r="AP649" s="100"/>
      <c r="AQ649" s="100"/>
      <c r="AR649" s="100"/>
      <c r="AS649" s="100"/>
      <c r="AT649" s="102"/>
      <c r="AX649" s="100"/>
      <c r="AY649" s="101"/>
      <c r="AZ649" s="101"/>
      <c r="BA649" s="100"/>
      <c r="BB649" s="100"/>
      <c r="BC649" s="100"/>
      <c r="BD649" s="100"/>
      <c r="BE649" s="100"/>
      <c r="BF649" s="100"/>
      <c r="BG649" s="100"/>
      <c r="BH649" s="100"/>
      <c r="BI649" s="100"/>
      <c r="BJ649" s="100"/>
      <c r="BK649" s="102"/>
      <c r="BN649" s="36"/>
    </row>
    <row r="650" spans="1:66" x14ac:dyDescent="0.25">
      <c r="A650" s="92"/>
      <c r="B650" s="93"/>
      <c r="C650" s="93"/>
      <c r="D650" s="92"/>
      <c r="E650" s="92"/>
      <c r="F650" s="92"/>
      <c r="G650" s="92"/>
      <c r="H650" s="92"/>
      <c r="I650" s="92"/>
      <c r="J650" s="92"/>
      <c r="K650" s="92"/>
      <c r="L650" s="92"/>
      <c r="M650" s="92"/>
      <c r="N650" s="94"/>
      <c r="AG650" s="100"/>
      <c r="AH650" s="101"/>
      <c r="AI650" s="101"/>
      <c r="AJ650" s="101"/>
      <c r="AK650" s="100"/>
      <c r="AL650" s="100"/>
      <c r="AM650" s="100"/>
      <c r="AN650" s="100"/>
      <c r="AO650" s="100"/>
      <c r="AP650" s="100"/>
      <c r="AQ650" s="100"/>
      <c r="AR650" s="100"/>
      <c r="AS650" s="100"/>
      <c r="AT650" s="102"/>
      <c r="AX650" s="100"/>
      <c r="AY650" s="101"/>
      <c r="AZ650" s="101"/>
      <c r="BA650" s="100"/>
      <c r="BB650" s="100"/>
      <c r="BC650" s="100"/>
      <c r="BD650" s="100"/>
      <c r="BE650" s="100"/>
      <c r="BF650" s="100"/>
      <c r="BG650" s="100"/>
      <c r="BH650" s="100"/>
      <c r="BI650" s="100"/>
      <c r="BJ650" s="100"/>
      <c r="BK650" s="102"/>
      <c r="BN650" s="36"/>
    </row>
    <row r="651" spans="1:66" x14ac:dyDescent="0.25">
      <c r="A651" s="92"/>
      <c r="B651" s="93"/>
      <c r="C651" s="93"/>
      <c r="D651" s="92"/>
      <c r="E651" s="92"/>
      <c r="F651" s="92"/>
      <c r="G651" s="92"/>
      <c r="H651" s="92"/>
      <c r="I651" s="92"/>
      <c r="J651" s="92"/>
      <c r="K651" s="92"/>
      <c r="L651" s="92"/>
      <c r="M651" s="92"/>
      <c r="N651" s="94"/>
      <c r="AG651" s="100"/>
      <c r="AH651" s="101"/>
      <c r="AI651" s="101"/>
      <c r="AJ651" s="101"/>
      <c r="AK651" s="100"/>
      <c r="AL651" s="100"/>
      <c r="AM651" s="100"/>
      <c r="AN651" s="100"/>
      <c r="AO651" s="100"/>
      <c r="AP651" s="100"/>
      <c r="AQ651" s="100"/>
      <c r="AR651" s="100"/>
      <c r="AS651" s="100"/>
      <c r="AT651" s="102"/>
      <c r="AX651" s="100"/>
      <c r="AY651" s="101"/>
      <c r="AZ651" s="101"/>
      <c r="BA651" s="100"/>
      <c r="BB651" s="100"/>
      <c r="BC651" s="100"/>
      <c r="BD651" s="100"/>
      <c r="BE651" s="100"/>
      <c r="BF651" s="100"/>
      <c r="BG651" s="100"/>
      <c r="BH651" s="100"/>
      <c r="BI651" s="100"/>
      <c r="BJ651" s="100"/>
      <c r="BK651" s="102"/>
      <c r="BN651" s="36"/>
    </row>
    <row r="652" spans="1:66" x14ac:dyDescent="0.25">
      <c r="A652" s="92"/>
      <c r="B652" s="93"/>
      <c r="C652" s="93"/>
      <c r="D652" s="93"/>
      <c r="E652" s="92"/>
      <c r="F652" s="92"/>
      <c r="G652" s="92"/>
      <c r="H652" s="92"/>
      <c r="I652" s="92"/>
      <c r="J652" s="92"/>
      <c r="K652" s="92"/>
      <c r="L652" s="92"/>
      <c r="M652" s="92"/>
      <c r="N652" s="94"/>
      <c r="AG652" s="100"/>
      <c r="AH652" s="101"/>
      <c r="AI652" s="101"/>
      <c r="AJ652" s="100"/>
      <c r="AK652" s="100"/>
      <c r="AL652" s="100"/>
      <c r="AM652" s="100"/>
      <c r="AN652" s="100"/>
      <c r="AO652" s="100"/>
      <c r="AP652" s="100"/>
      <c r="AQ652" s="100"/>
      <c r="AR652" s="100"/>
      <c r="AS652" s="100"/>
      <c r="AT652" s="102"/>
      <c r="AX652" s="100"/>
      <c r="AY652" s="101"/>
      <c r="AZ652" s="101"/>
      <c r="BA652" s="100"/>
      <c r="BB652" s="100"/>
      <c r="BC652" s="100"/>
      <c r="BD652" s="100"/>
      <c r="BE652" s="100"/>
      <c r="BF652" s="100"/>
      <c r="BG652" s="100"/>
      <c r="BH652" s="100"/>
      <c r="BI652" s="100"/>
      <c r="BJ652" s="100"/>
      <c r="BK652" s="102"/>
      <c r="BN652" s="36"/>
    </row>
    <row r="653" spans="1:66" x14ac:dyDescent="0.25">
      <c r="A653" s="92"/>
      <c r="B653" s="92"/>
      <c r="C653" s="92"/>
      <c r="D653" s="92"/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AG653" s="100"/>
      <c r="AH653" s="101"/>
      <c r="AI653" s="101"/>
      <c r="AJ653" s="100"/>
      <c r="AK653" s="100"/>
      <c r="AL653" s="100"/>
      <c r="AM653" s="100"/>
      <c r="AN653" s="100"/>
      <c r="AO653" s="100"/>
      <c r="AP653" s="100"/>
      <c r="AQ653" s="100"/>
      <c r="AR653" s="100"/>
      <c r="AS653" s="100"/>
      <c r="AT653" s="102"/>
      <c r="AX653" s="100"/>
      <c r="AY653" s="101"/>
      <c r="AZ653" s="101"/>
      <c r="BA653" s="100"/>
      <c r="BB653" s="100"/>
      <c r="BC653" s="100"/>
      <c r="BD653" s="100"/>
      <c r="BE653" s="100"/>
      <c r="BF653" s="100"/>
      <c r="BG653" s="100"/>
      <c r="BH653" s="100"/>
      <c r="BI653" s="100"/>
      <c r="BJ653" s="100"/>
      <c r="BK653" s="102"/>
      <c r="BN653" s="36"/>
    </row>
    <row r="654" spans="1:66" x14ac:dyDescent="0.25">
      <c r="A654" s="92"/>
      <c r="B654" s="92"/>
      <c r="C654" s="92"/>
      <c r="D654" s="92"/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AG654" s="100"/>
      <c r="AH654" s="101"/>
      <c r="AI654" s="101"/>
      <c r="AJ654" s="101"/>
      <c r="AK654" s="100"/>
      <c r="AL654" s="100"/>
      <c r="AM654" s="100"/>
      <c r="AN654" s="100"/>
      <c r="AO654" s="100"/>
      <c r="AP654" s="100"/>
      <c r="AQ654" s="100"/>
      <c r="AR654" s="100"/>
      <c r="AS654" s="100"/>
      <c r="AT654" s="102"/>
      <c r="AX654" s="100"/>
      <c r="AY654" s="101"/>
      <c r="AZ654" s="101"/>
      <c r="BA654" s="100"/>
      <c r="BB654" s="100"/>
      <c r="BC654" s="100"/>
      <c r="BD654" s="100"/>
      <c r="BE654" s="100"/>
      <c r="BF654" s="100"/>
      <c r="BG654" s="100"/>
      <c r="BH654" s="100"/>
      <c r="BI654" s="100"/>
      <c r="BJ654" s="100"/>
      <c r="BK654" s="102"/>
      <c r="BN654" s="36"/>
    </row>
    <row r="655" spans="1:66" x14ac:dyDescent="0.25">
      <c r="A655" s="92"/>
      <c r="B655" s="92"/>
      <c r="C655" s="92"/>
      <c r="D655" s="92"/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AG655" s="100"/>
      <c r="AH655" s="101"/>
      <c r="AI655" s="101"/>
      <c r="AJ655" s="100"/>
      <c r="AK655" s="100"/>
      <c r="AL655" s="100"/>
      <c r="AM655" s="100"/>
      <c r="AN655" s="100"/>
      <c r="AO655" s="100"/>
      <c r="AP655" s="100"/>
      <c r="AQ655" s="100"/>
      <c r="AR655" s="100"/>
      <c r="AS655" s="100"/>
      <c r="AT655" s="102"/>
      <c r="AX655" s="100"/>
      <c r="AY655" s="101"/>
      <c r="AZ655" s="101"/>
      <c r="BA655" s="100"/>
      <c r="BB655" s="100"/>
      <c r="BC655" s="100"/>
      <c r="BD655" s="100"/>
      <c r="BE655" s="100"/>
      <c r="BF655" s="100"/>
      <c r="BG655" s="100"/>
      <c r="BH655" s="100"/>
      <c r="BI655" s="100"/>
      <c r="BJ655" s="100"/>
      <c r="BK655" s="102"/>
      <c r="BN655" s="36"/>
    </row>
    <row r="656" spans="1:66" x14ac:dyDescent="0.25">
      <c r="A656" s="92"/>
      <c r="B656" s="92"/>
      <c r="C656" s="92"/>
      <c r="D656" s="92"/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AG656" s="100"/>
      <c r="AH656" s="101"/>
      <c r="AI656" s="101"/>
      <c r="AJ656" s="100"/>
      <c r="AK656" s="100"/>
      <c r="AL656" s="100"/>
      <c r="AM656" s="100"/>
      <c r="AN656" s="100"/>
      <c r="AO656" s="100"/>
      <c r="AP656" s="100"/>
      <c r="AQ656" s="100"/>
      <c r="AR656" s="100"/>
      <c r="AS656" s="100"/>
      <c r="AT656" s="102"/>
      <c r="AX656" s="100"/>
      <c r="AY656" s="101"/>
      <c r="AZ656" s="101"/>
      <c r="BA656" s="101"/>
      <c r="BB656" s="100"/>
      <c r="BC656" s="100"/>
      <c r="BD656" s="100"/>
      <c r="BE656" s="100"/>
      <c r="BF656" s="100"/>
      <c r="BG656" s="100"/>
      <c r="BH656" s="100"/>
      <c r="BI656" s="100"/>
      <c r="BJ656" s="100"/>
      <c r="BK656" s="102"/>
      <c r="BN656" s="36"/>
    </row>
    <row r="657" spans="1:66" x14ac:dyDescent="0.25">
      <c r="A657" s="92"/>
      <c r="B657" s="93"/>
      <c r="C657" s="93"/>
      <c r="D657" s="92"/>
      <c r="E657" s="92"/>
      <c r="F657" s="92"/>
      <c r="G657" s="92"/>
      <c r="H657" s="92"/>
      <c r="I657" s="92"/>
      <c r="J657" s="92"/>
      <c r="K657" s="92"/>
      <c r="L657" s="92"/>
      <c r="M657" s="92"/>
      <c r="N657" s="94"/>
      <c r="AG657" s="100"/>
      <c r="AH657" s="101"/>
      <c r="AI657" s="101"/>
      <c r="AJ657" s="100"/>
      <c r="AK657" s="100"/>
      <c r="AL657" s="100"/>
      <c r="AM657" s="100"/>
      <c r="AN657" s="100"/>
      <c r="AO657" s="100"/>
      <c r="AP657" s="100"/>
      <c r="AQ657" s="100"/>
      <c r="AR657" s="100"/>
      <c r="AS657" s="100"/>
      <c r="AT657" s="102"/>
      <c r="AX657" s="100"/>
      <c r="AY657" s="101"/>
      <c r="AZ657" s="101"/>
      <c r="BA657" s="100"/>
      <c r="BB657" s="100"/>
      <c r="BC657" s="100"/>
      <c r="BD657" s="100"/>
      <c r="BE657" s="100"/>
      <c r="BF657" s="100"/>
      <c r="BG657" s="100"/>
      <c r="BH657" s="100"/>
      <c r="BI657" s="100"/>
      <c r="BJ657" s="100"/>
      <c r="BK657" s="102"/>
      <c r="BN657" s="36"/>
    </row>
    <row r="658" spans="1:66" x14ac:dyDescent="0.25">
      <c r="A658" s="92"/>
      <c r="B658" s="93"/>
      <c r="C658" s="93"/>
      <c r="D658" s="92"/>
      <c r="E658" s="92"/>
      <c r="F658" s="92"/>
      <c r="G658" s="92"/>
      <c r="H658" s="92"/>
      <c r="I658" s="92"/>
      <c r="J658" s="92"/>
      <c r="K658" s="92"/>
      <c r="L658" s="92"/>
      <c r="M658" s="92"/>
      <c r="N658" s="94"/>
      <c r="AG658" s="100"/>
      <c r="AH658" s="101"/>
      <c r="AI658" s="101"/>
      <c r="AJ658" s="100"/>
      <c r="AK658" s="100"/>
      <c r="AL658" s="100"/>
      <c r="AM658" s="100"/>
      <c r="AN658" s="100"/>
      <c r="AO658" s="100"/>
      <c r="AP658" s="100"/>
      <c r="AQ658" s="100"/>
      <c r="AR658" s="100"/>
      <c r="AS658" s="100"/>
      <c r="AT658" s="102"/>
      <c r="AX658" s="100"/>
      <c r="AY658" s="101"/>
      <c r="AZ658" s="101"/>
      <c r="BA658" s="100"/>
      <c r="BB658" s="100"/>
      <c r="BC658" s="100"/>
      <c r="BD658" s="100"/>
      <c r="BE658" s="100"/>
      <c r="BF658" s="100"/>
      <c r="BG658" s="100"/>
      <c r="BH658" s="100"/>
      <c r="BI658" s="100"/>
      <c r="BJ658" s="100"/>
      <c r="BK658" s="102"/>
      <c r="BN658" s="36"/>
    </row>
    <row r="659" spans="1:66" x14ac:dyDescent="0.25">
      <c r="A659" s="92"/>
      <c r="B659" s="93"/>
      <c r="C659" s="93"/>
      <c r="D659" s="92"/>
      <c r="E659" s="92"/>
      <c r="F659" s="92"/>
      <c r="G659" s="92"/>
      <c r="H659" s="92"/>
      <c r="I659" s="92"/>
      <c r="J659" s="92"/>
      <c r="K659" s="92"/>
      <c r="L659" s="92"/>
      <c r="M659" s="92"/>
      <c r="N659" s="94"/>
      <c r="AG659" s="100"/>
      <c r="AH659" s="101"/>
      <c r="AI659" s="101"/>
      <c r="AJ659" s="100"/>
      <c r="AK659" s="100"/>
      <c r="AL659" s="100"/>
      <c r="AM659" s="100"/>
      <c r="AN659" s="100"/>
      <c r="AO659" s="100"/>
      <c r="AP659" s="100"/>
      <c r="AQ659" s="100"/>
      <c r="AR659" s="100"/>
      <c r="AS659" s="100"/>
      <c r="AT659" s="102"/>
      <c r="AX659" s="100"/>
      <c r="AY659" s="101"/>
      <c r="AZ659" s="101"/>
      <c r="BA659" s="100"/>
      <c r="BB659" s="100"/>
      <c r="BC659" s="100"/>
      <c r="BD659" s="100"/>
      <c r="BE659" s="100"/>
      <c r="BF659" s="100"/>
      <c r="BG659" s="100"/>
      <c r="BH659" s="100"/>
      <c r="BI659" s="100"/>
      <c r="BJ659" s="100"/>
      <c r="BK659" s="102"/>
      <c r="BN659" s="36"/>
    </row>
    <row r="660" spans="1:66" x14ac:dyDescent="0.25">
      <c r="A660" s="92"/>
      <c r="B660" s="92"/>
      <c r="C660" s="92"/>
      <c r="D660" s="92"/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AG660" s="100"/>
      <c r="AH660" s="101"/>
      <c r="AI660" s="101"/>
      <c r="AJ660" s="100"/>
      <c r="AK660" s="100"/>
      <c r="AL660" s="100"/>
      <c r="AM660" s="100"/>
      <c r="AN660" s="100"/>
      <c r="AO660" s="100"/>
      <c r="AP660" s="100"/>
      <c r="AQ660" s="100"/>
      <c r="AR660" s="100"/>
      <c r="AS660" s="100"/>
      <c r="AT660" s="102"/>
      <c r="AX660" s="100"/>
      <c r="AY660" s="101"/>
      <c r="AZ660" s="101"/>
      <c r="BA660" s="100"/>
      <c r="BB660" s="100"/>
      <c r="BC660" s="100"/>
      <c r="BD660" s="100"/>
      <c r="BE660" s="100"/>
      <c r="BF660" s="100"/>
      <c r="BG660" s="100"/>
      <c r="BH660" s="100"/>
      <c r="BI660" s="100"/>
      <c r="BJ660" s="100"/>
      <c r="BK660" s="102"/>
      <c r="BN660" s="36"/>
    </row>
    <row r="661" spans="1:66" x14ac:dyDescent="0.25">
      <c r="A661" s="92"/>
      <c r="B661" s="92"/>
      <c r="C661" s="92"/>
      <c r="D661" s="92"/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AG661" s="100"/>
      <c r="AH661" s="101"/>
      <c r="AI661" s="101"/>
      <c r="AJ661" s="100"/>
      <c r="AK661" s="100"/>
      <c r="AL661" s="100"/>
      <c r="AM661" s="100"/>
      <c r="AN661" s="100"/>
      <c r="AO661" s="100"/>
      <c r="AP661" s="100"/>
      <c r="AQ661" s="100"/>
      <c r="AR661" s="100"/>
      <c r="AS661" s="100"/>
      <c r="AT661" s="102"/>
      <c r="AX661" s="100"/>
      <c r="AY661" s="101"/>
      <c r="AZ661" s="101"/>
      <c r="BA661" s="100"/>
      <c r="BB661" s="100"/>
      <c r="BC661" s="100"/>
      <c r="BD661" s="100"/>
      <c r="BE661" s="100"/>
      <c r="BF661" s="100"/>
      <c r="BG661" s="100"/>
      <c r="BH661" s="100"/>
      <c r="BI661" s="100"/>
      <c r="BJ661" s="100"/>
      <c r="BK661" s="102"/>
      <c r="BN661" s="36"/>
    </row>
    <row r="662" spans="1:66" x14ac:dyDescent="0.25">
      <c r="A662" s="92"/>
      <c r="B662" s="93"/>
      <c r="C662" s="93"/>
      <c r="D662" s="92"/>
      <c r="E662" s="92"/>
      <c r="F662" s="92"/>
      <c r="G662" s="92"/>
      <c r="H662" s="92"/>
      <c r="I662" s="92"/>
      <c r="J662" s="92"/>
      <c r="K662" s="92"/>
      <c r="L662" s="92"/>
      <c r="M662" s="92"/>
      <c r="N662" s="94"/>
      <c r="AG662" s="100"/>
      <c r="AH662" s="101"/>
      <c r="AI662" s="101"/>
      <c r="AJ662" s="100"/>
      <c r="AK662" s="100"/>
      <c r="AL662" s="100"/>
      <c r="AM662" s="100"/>
      <c r="AN662" s="100"/>
      <c r="AO662" s="100"/>
      <c r="AP662" s="100"/>
      <c r="AQ662" s="100"/>
      <c r="AR662" s="100"/>
      <c r="AS662" s="100"/>
      <c r="AT662" s="102"/>
      <c r="AX662" s="100"/>
      <c r="AY662" s="101"/>
      <c r="AZ662" s="101"/>
      <c r="BA662" s="100"/>
      <c r="BB662" s="100"/>
      <c r="BC662" s="100"/>
      <c r="BD662" s="100"/>
      <c r="BE662" s="100"/>
      <c r="BF662" s="100"/>
      <c r="BG662" s="100"/>
      <c r="BH662" s="100"/>
      <c r="BI662" s="100"/>
      <c r="BJ662" s="100"/>
      <c r="BK662" s="102"/>
      <c r="BN662" s="36"/>
    </row>
    <row r="663" spans="1:66" x14ac:dyDescent="0.25">
      <c r="A663" s="92"/>
      <c r="B663" s="93"/>
      <c r="C663" s="93"/>
      <c r="D663" s="92"/>
      <c r="E663" s="92"/>
      <c r="F663" s="92"/>
      <c r="G663" s="92"/>
      <c r="H663" s="92"/>
      <c r="I663" s="92"/>
      <c r="J663" s="92"/>
      <c r="K663" s="92"/>
      <c r="L663" s="92"/>
      <c r="M663" s="92"/>
      <c r="N663" s="94"/>
      <c r="AG663" s="100"/>
      <c r="AH663" s="101"/>
      <c r="AI663" s="101"/>
      <c r="AJ663" s="100"/>
      <c r="AK663" s="100"/>
      <c r="AL663" s="100"/>
      <c r="AM663" s="100"/>
      <c r="AN663" s="100"/>
      <c r="AO663" s="100"/>
      <c r="AP663" s="100"/>
      <c r="AQ663" s="100"/>
      <c r="AR663" s="100"/>
      <c r="AS663" s="100"/>
      <c r="AT663" s="102"/>
      <c r="AX663" s="100"/>
      <c r="AY663" s="101"/>
      <c r="AZ663" s="101"/>
      <c r="BA663" s="101"/>
      <c r="BB663" s="100"/>
      <c r="BC663" s="100"/>
      <c r="BD663" s="100"/>
      <c r="BE663" s="100"/>
      <c r="BF663" s="100"/>
      <c r="BG663" s="100"/>
      <c r="BH663" s="100"/>
      <c r="BI663" s="100"/>
      <c r="BJ663" s="100"/>
      <c r="BK663" s="102"/>
      <c r="BN663" s="36"/>
    </row>
    <row r="664" spans="1:66" x14ac:dyDescent="0.25">
      <c r="A664" s="92"/>
      <c r="B664" s="92"/>
      <c r="C664" s="92"/>
      <c r="D664" s="92"/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AG664" s="100"/>
      <c r="AH664" s="101"/>
      <c r="AI664" s="101"/>
      <c r="AJ664" s="100"/>
      <c r="AK664" s="100"/>
      <c r="AL664" s="100"/>
      <c r="AM664" s="100"/>
      <c r="AN664" s="100"/>
      <c r="AO664" s="100"/>
      <c r="AP664" s="100"/>
      <c r="AQ664" s="100"/>
      <c r="AR664" s="100"/>
      <c r="AS664" s="100"/>
      <c r="AT664" s="102"/>
      <c r="AX664" s="100"/>
      <c r="AY664" s="101"/>
      <c r="AZ664" s="101"/>
      <c r="BA664" s="100"/>
      <c r="BB664" s="100"/>
      <c r="BC664" s="100"/>
      <c r="BD664" s="100"/>
      <c r="BE664" s="100"/>
      <c r="BF664" s="100"/>
      <c r="BG664" s="100"/>
      <c r="BH664" s="100"/>
      <c r="BI664" s="100"/>
      <c r="BJ664" s="100"/>
      <c r="BK664" s="102"/>
      <c r="BN664" s="36"/>
    </row>
    <row r="665" spans="1:66" x14ac:dyDescent="0.25">
      <c r="A665" s="92"/>
      <c r="B665" s="92"/>
      <c r="C665" s="92"/>
      <c r="D665" s="92"/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AG665" s="100"/>
      <c r="AH665" s="101"/>
      <c r="AI665" s="101"/>
      <c r="AJ665" s="100"/>
      <c r="AK665" s="100"/>
      <c r="AL665" s="100"/>
      <c r="AM665" s="100"/>
      <c r="AN665" s="100"/>
      <c r="AO665" s="100"/>
      <c r="AP665" s="100"/>
      <c r="AQ665" s="100"/>
      <c r="AR665" s="100"/>
      <c r="AS665" s="100"/>
      <c r="AT665" s="102"/>
      <c r="AX665" s="100"/>
      <c r="AY665" s="101"/>
      <c r="AZ665" s="101"/>
      <c r="BA665" s="100"/>
      <c r="BB665" s="100"/>
      <c r="BC665" s="100"/>
      <c r="BD665" s="100"/>
      <c r="BE665" s="100"/>
      <c r="BF665" s="100"/>
      <c r="BG665" s="100"/>
      <c r="BH665" s="100"/>
      <c r="BI665" s="100"/>
      <c r="BJ665" s="100"/>
      <c r="BK665" s="102"/>
      <c r="BN665" s="36"/>
    </row>
    <row r="666" spans="1:66" x14ac:dyDescent="0.25">
      <c r="A666" s="92"/>
      <c r="B666" s="93"/>
      <c r="C666" s="93"/>
      <c r="D666" s="92"/>
      <c r="E666" s="92"/>
      <c r="F666" s="92"/>
      <c r="G666" s="92"/>
      <c r="H666" s="92"/>
      <c r="I666" s="92"/>
      <c r="J666" s="92"/>
      <c r="K666" s="92"/>
      <c r="L666" s="92"/>
      <c r="M666" s="92"/>
      <c r="N666" s="94"/>
      <c r="AG666" s="100"/>
      <c r="AH666" s="101"/>
      <c r="AI666" s="101"/>
      <c r="AJ666" s="100"/>
      <c r="AK666" s="100"/>
      <c r="AL666" s="100"/>
      <c r="AM666" s="100"/>
      <c r="AN666" s="100"/>
      <c r="AO666" s="100"/>
      <c r="AP666" s="100"/>
      <c r="AQ666" s="100"/>
      <c r="AR666" s="100"/>
      <c r="AS666" s="100"/>
      <c r="AT666" s="102"/>
      <c r="AX666" s="100"/>
      <c r="AY666" s="101"/>
      <c r="AZ666" s="101"/>
      <c r="BA666" s="100"/>
      <c r="BB666" s="100"/>
      <c r="BC666" s="100"/>
      <c r="BD666" s="100"/>
      <c r="BE666" s="100"/>
      <c r="BF666" s="100"/>
      <c r="BG666" s="100"/>
      <c r="BH666" s="100"/>
      <c r="BI666" s="100"/>
      <c r="BJ666" s="100"/>
      <c r="BK666" s="102"/>
      <c r="BN666" s="36"/>
    </row>
    <row r="667" spans="1:66" x14ac:dyDescent="0.25">
      <c r="A667" s="92"/>
      <c r="B667" s="93"/>
      <c r="C667" s="93"/>
      <c r="D667" s="92"/>
      <c r="E667" s="92"/>
      <c r="F667" s="92"/>
      <c r="G667" s="92"/>
      <c r="H667" s="92"/>
      <c r="I667" s="92"/>
      <c r="J667" s="92"/>
      <c r="K667" s="92"/>
      <c r="L667" s="92"/>
      <c r="M667" s="92"/>
      <c r="N667" s="94"/>
      <c r="AG667" s="100"/>
      <c r="AH667" s="101"/>
      <c r="AI667" s="101"/>
      <c r="AJ667" s="100"/>
      <c r="AK667" s="100"/>
      <c r="AL667" s="100"/>
      <c r="AM667" s="100"/>
      <c r="AN667" s="100"/>
      <c r="AO667" s="100"/>
      <c r="AP667" s="100"/>
      <c r="AQ667" s="100"/>
      <c r="AR667" s="100"/>
      <c r="AS667" s="100"/>
      <c r="AT667" s="102"/>
      <c r="AX667" s="100"/>
      <c r="AY667" s="101"/>
      <c r="AZ667" s="101"/>
      <c r="BA667" s="100"/>
      <c r="BB667" s="100"/>
      <c r="BC667" s="100"/>
      <c r="BD667" s="100"/>
      <c r="BE667" s="100"/>
      <c r="BF667" s="100"/>
      <c r="BG667" s="100"/>
      <c r="BH667" s="100"/>
      <c r="BI667" s="100"/>
      <c r="BJ667" s="100"/>
      <c r="BK667" s="102"/>
      <c r="BN667" s="36"/>
    </row>
    <row r="668" spans="1:66" x14ac:dyDescent="0.25">
      <c r="A668" s="92"/>
      <c r="B668" s="93"/>
      <c r="C668" s="93"/>
      <c r="D668" s="92"/>
      <c r="E668" s="92"/>
      <c r="F668" s="92"/>
      <c r="G668" s="92"/>
      <c r="H668" s="92"/>
      <c r="I668" s="92"/>
      <c r="J668" s="92"/>
      <c r="K668" s="92"/>
      <c r="L668" s="92"/>
      <c r="M668" s="92"/>
      <c r="N668" s="94"/>
      <c r="AG668" s="100"/>
      <c r="AH668" s="101"/>
      <c r="AI668" s="101"/>
      <c r="AJ668" s="100"/>
      <c r="AK668" s="100"/>
      <c r="AL668" s="100"/>
      <c r="AM668" s="100"/>
      <c r="AN668" s="100"/>
      <c r="AO668" s="100"/>
      <c r="AP668" s="100"/>
      <c r="AQ668" s="100"/>
      <c r="AR668" s="100"/>
      <c r="AS668" s="100"/>
      <c r="AT668" s="102"/>
      <c r="AX668" s="100"/>
      <c r="AY668" s="101"/>
      <c r="AZ668" s="101"/>
      <c r="BA668" s="100"/>
      <c r="BB668" s="100"/>
      <c r="BC668" s="100"/>
      <c r="BD668" s="100"/>
      <c r="BE668" s="100"/>
      <c r="BF668" s="100"/>
      <c r="BG668" s="100"/>
      <c r="BH668" s="100"/>
      <c r="BI668" s="100"/>
      <c r="BJ668" s="100"/>
      <c r="BK668" s="102"/>
      <c r="BN668" s="36"/>
    </row>
    <row r="669" spans="1:66" x14ac:dyDescent="0.25">
      <c r="A669" s="92"/>
      <c r="B669" s="93"/>
      <c r="C669" s="93"/>
      <c r="D669" s="92"/>
      <c r="E669" s="92"/>
      <c r="F669" s="92"/>
      <c r="G669" s="92"/>
      <c r="H669" s="92"/>
      <c r="I669" s="92"/>
      <c r="J669" s="92"/>
      <c r="K669" s="92"/>
      <c r="L669" s="92"/>
      <c r="M669" s="92"/>
      <c r="N669" s="94"/>
      <c r="AG669" s="100"/>
      <c r="AH669" s="101"/>
      <c r="AI669" s="101"/>
      <c r="AJ669" s="100"/>
      <c r="AK669" s="100"/>
      <c r="AL669" s="100"/>
      <c r="AM669" s="100"/>
      <c r="AN669" s="100"/>
      <c r="AO669" s="100"/>
      <c r="AP669" s="100"/>
      <c r="AQ669" s="100"/>
      <c r="AR669" s="100"/>
      <c r="AS669" s="100"/>
      <c r="AT669" s="102"/>
      <c r="AX669" s="100"/>
      <c r="AY669" s="101"/>
      <c r="AZ669" s="101"/>
      <c r="BA669" s="100"/>
      <c r="BB669" s="100"/>
      <c r="BC669" s="100"/>
      <c r="BD669" s="100"/>
      <c r="BE669" s="100"/>
      <c r="BF669" s="100"/>
      <c r="BG669" s="100"/>
      <c r="BH669" s="100"/>
      <c r="BI669" s="100"/>
      <c r="BJ669" s="100"/>
      <c r="BK669" s="102"/>
      <c r="BN669" s="36"/>
    </row>
    <row r="670" spans="1:66" x14ac:dyDescent="0.25">
      <c r="A670" s="92"/>
      <c r="B670" s="93"/>
      <c r="C670" s="93"/>
      <c r="D670" s="92"/>
      <c r="E670" s="92"/>
      <c r="F670" s="92"/>
      <c r="G670" s="92"/>
      <c r="H670" s="92"/>
      <c r="I670" s="92"/>
      <c r="J670" s="92"/>
      <c r="K670" s="92"/>
      <c r="L670" s="92"/>
      <c r="M670" s="92"/>
      <c r="N670" s="94"/>
      <c r="AG670" s="100"/>
      <c r="AH670" s="101"/>
      <c r="AI670" s="101"/>
      <c r="AJ670" s="100"/>
      <c r="AK670" s="100"/>
      <c r="AL670" s="100"/>
      <c r="AM670" s="100"/>
      <c r="AN670" s="100"/>
      <c r="AO670" s="100"/>
      <c r="AP670" s="100"/>
      <c r="AQ670" s="100"/>
      <c r="AR670" s="100"/>
      <c r="AS670" s="100"/>
      <c r="AT670" s="102"/>
      <c r="AX670" s="100"/>
      <c r="AY670" s="101"/>
      <c r="AZ670" s="101"/>
      <c r="BA670" s="101"/>
      <c r="BB670" s="100"/>
      <c r="BC670" s="100"/>
      <c r="BD670" s="100"/>
      <c r="BE670" s="100"/>
      <c r="BF670" s="100"/>
      <c r="BG670" s="100"/>
      <c r="BH670" s="100"/>
      <c r="BI670" s="100"/>
      <c r="BJ670" s="100"/>
      <c r="BK670" s="102"/>
      <c r="BN670" s="36"/>
    </row>
    <row r="671" spans="1:66" x14ac:dyDescent="0.25">
      <c r="A671" s="92"/>
      <c r="B671" s="92"/>
      <c r="C671" s="92"/>
      <c r="D671" s="92"/>
      <c r="E671" s="92"/>
      <c r="F671" s="92"/>
      <c r="G671" s="92"/>
      <c r="H671" s="92"/>
      <c r="I671" s="92"/>
      <c r="J671" s="92"/>
      <c r="K671" s="92"/>
      <c r="L671" s="92"/>
      <c r="M671" s="92"/>
      <c r="N671" s="92"/>
      <c r="AG671" s="100"/>
      <c r="AH671" s="101"/>
      <c r="AI671" s="101"/>
      <c r="AJ671" s="101"/>
      <c r="AK671" s="100"/>
      <c r="AL671" s="100"/>
      <c r="AM671" s="100"/>
      <c r="AN671" s="100"/>
      <c r="AO671" s="100"/>
      <c r="AP671" s="100"/>
      <c r="AQ671" s="100"/>
      <c r="AR671" s="100"/>
      <c r="AS671" s="100"/>
      <c r="AT671" s="102"/>
      <c r="AX671" s="100"/>
      <c r="AY671" s="101"/>
      <c r="AZ671" s="101"/>
      <c r="BA671" s="101"/>
      <c r="BB671" s="100"/>
      <c r="BC671" s="100"/>
      <c r="BD671" s="100"/>
      <c r="BE671" s="100"/>
      <c r="BF671" s="100"/>
      <c r="BG671" s="100"/>
      <c r="BH671" s="100"/>
      <c r="BI671" s="100"/>
      <c r="BJ671" s="100"/>
      <c r="BK671" s="102"/>
      <c r="BN671" s="36"/>
    </row>
    <row r="672" spans="1:66" x14ac:dyDescent="0.25">
      <c r="A672" s="92"/>
      <c r="B672" s="93"/>
      <c r="C672" s="93"/>
      <c r="D672" s="92"/>
      <c r="E672" s="92"/>
      <c r="F672" s="92"/>
      <c r="G672" s="92"/>
      <c r="H672" s="92"/>
      <c r="I672" s="92"/>
      <c r="J672" s="92"/>
      <c r="K672" s="92"/>
      <c r="L672" s="92"/>
      <c r="M672" s="92"/>
      <c r="N672" s="94"/>
      <c r="AG672" s="100"/>
      <c r="AH672" s="101"/>
      <c r="AI672" s="101"/>
      <c r="AJ672" s="100"/>
      <c r="AK672" s="100"/>
      <c r="AL672" s="100"/>
      <c r="AM672" s="100"/>
      <c r="AN672" s="100"/>
      <c r="AO672" s="100"/>
      <c r="AP672" s="100"/>
      <c r="AQ672" s="100"/>
      <c r="AR672" s="100"/>
      <c r="AS672" s="100"/>
      <c r="AT672" s="102"/>
      <c r="AX672" s="100"/>
      <c r="AY672" s="101"/>
      <c r="AZ672" s="101"/>
      <c r="BA672" s="100"/>
      <c r="BB672" s="100"/>
      <c r="BC672" s="100"/>
      <c r="BD672" s="100"/>
      <c r="BE672" s="100"/>
      <c r="BF672" s="100"/>
      <c r="BG672" s="100"/>
      <c r="BH672" s="100"/>
      <c r="BI672" s="100"/>
      <c r="BJ672" s="100"/>
      <c r="BK672" s="102"/>
      <c r="BN672" s="36"/>
    </row>
    <row r="673" spans="1:66" x14ac:dyDescent="0.25">
      <c r="A673" s="92"/>
      <c r="B673" s="93"/>
      <c r="C673" s="93"/>
      <c r="D673" s="93"/>
      <c r="E673" s="92"/>
      <c r="F673" s="92"/>
      <c r="G673" s="92"/>
      <c r="H673" s="92"/>
      <c r="I673" s="92"/>
      <c r="J673" s="92"/>
      <c r="K673" s="92"/>
      <c r="L673" s="92"/>
      <c r="M673" s="92"/>
      <c r="N673" s="94"/>
      <c r="AG673" s="100"/>
      <c r="AH673" s="101"/>
      <c r="AI673" s="101"/>
      <c r="AJ673" s="100"/>
      <c r="AK673" s="100"/>
      <c r="AL673" s="100"/>
      <c r="AM673" s="100"/>
      <c r="AN673" s="100"/>
      <c r="AO673" s="100"/>
      <c r="AP673" s="100"/>
      <c r="AQ673" s="100"/>
      <c r="AR673" s="100"/>
      <c r="AS673" s="100"/>
      <c r="AT673" s="102"/>
      <c r="AX673" s="100"/>
      <c r="AY673" s="101"/>
      <c r="AZ673" s="101"/>
      <c r="BA673" s="100"/>
      <c r="BB673" s="100"/>
      <c r="BC673" s="100"/>
      <c r="BD673" s="100"/>
      <c r="BE673" s="100"/>
      <c r="BF673" s="100"/>
      <c r="BG673" s="100"/>
      <c r="BH673" s="100"/>
      <c r="BI673" s="100"/>
      <c r="BJ673" s="100"/>
      <c r="BK673" s="102"/>
      <c r="BN673" s="36"/>
    </row>
    <row r="674" spans="1:66" x14ac:dyDescent="0.25">
      <c r="A674" s="92"/>
      <c r="B674" s="92"/>
      <c r="C674" s="92"/>
      <c r="D674" s="92"/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AG674" s="100"/>
      <c r="AH674" s="101"/>
      <c r="AI674" s="101"/>
      <c r="AJ674" s="100"/>
      <c r="AK674" s="100"/>
      <c r="AL674" s="100"/>
      <c r="AM674" s="100"/>
      <c r="AN674" s="100"/>
      <c r="AO674" s="100"/>
      <c r="AP674" s="100"/>
      <c r="AQ674" s="100"/>
      <c r="AR674" s="100"/>
      <c r="AS674" s="100"/>
      <c r="AT674" s="102"/>
      <c r="AX674" s="100"/>
      <c r="AY674" s="101"/>
      <c r="AZ674" s="101"/>
      <c r="BA674" s="101"/>
      <c r="BB674" s="100"/>
      <c r="BC674" s="100"/>
      <c r="BD674" s="100"/>
      <c r="BE674" s="100"/>
      <c r="BF674" s="100"/>
      <c r="BG674" s="100"/>
      <c r="BH674" s="100"/>
      <c r="BI674" s="100"/>
      <c r="BJ674" s="100"/>
      <c r="BK674" s="102"/>
      <c r="BN674" s="36"/>
    </row>
    <row r="675" spans="1:66" x14ac:dyDescent="0.25">
      <c r="A675" s="92"/>
      <c r="B675" s="92"/>
      <c r="C675" s="92"/>
      <c r="D675" s="92"/>
      <c r="E675" s="92"/>
      <c r="F675" s="92"/>
      <c r="G675" s="92"/>
      <c r="H675" s="92"/>
      <c r="I675" s="92"/>
      <c r="J675" s="92"/>
      <c r="K675" s="92"/>
      <c r="L675" s="92"/>
      <c r="M675" s="92"/>
      <c r="N675" s="92"/>
      <c r="AG675" s="100"/>
      <c r="AH675" s="101"/>
      <c r="AI675" s="101"/>
      <c r="AJ675" s="100"/>
      <c r="AK675" s="100"/>
      <c r="AL675" s="100"/>
      <c r="AM675" s="100"/>
      <c r="AN675" s="100"/>
      <c r="AO675" s="100"/>
      <c r="AP675" s="100"/>
      <c r="AQ675" s="100"/>
      <c r="AR675" s="100"/>
      <c r="AS675" s="100"/>
      <c r="AT675" s="102"/>
      <c r="AX675" s="100"/>
      <c r="AY675" s="101"/>
      <c r="AZ675" s="101"/>
      <c r="BA675" s="100"/>
      <c r="BB675" s="100"/>
      <c r="BC675" s="100"/>
      <c r="BD675" s="100"/>
      <c r="BE675" s="100"/>
      <c r="BF675" s="100"/>
      <c r="BG675" s="100"/>
      <c r="BH675" s="100"/>
      <c r="BI675" s="100"/>
      <c r="BJ675" s="100"/>
      <c r="BK675" s="102"/>
      <c r="BN675" s="36"/>
    </row>
    <row r="676" spans="1:66" x14ac:dyDescent="0.25">
      <c r="A676" s="92"/>
      <c r="B676" s="93"/>
      <c r="C676" s="93"/>
      <c r="D676" s="92"/>
      <c r="E676" s="92"/>
      <c r="F676" s="92"/>
      <c r="G676" s="92"/>
      <c r="H676" s="92"/>
      <c r="I676" s="92"/>
      <c r="J676" s="92"/>
      <c r="K676" s="92"/>
      <c r="L676" s="92"/>
      <c r="M676" s="92"/>
      <c r="N676" s="94"/>
      <c r="AG676" s="100"/>
      <c r="AH676" s="101"/>
      <c r="AI676" s="101"/>
      <c r="AJ676" s="101"/>
      <c r="AK676" s="100"/>
      <c r="AL676" s="100"/>
      <c r="AM676" s="100"/>
      <c r="AN676" s="100"/>
      <c r="AO676" s="100"/>
      <c r="AP676" s="100"/>
      <c r="AQ676" s="100"/>
      <c r="AR676" s="100"/>
      <c r="AS676" s="100"/>
      <c r="AT676" s="102"/>
      <c r="AX676" s="100"/>
      <c r="AY676" s="101"/>
      <c r="AZ676" s="101"/>
      <c r="BA676" s="100"/>
      <c r="BB676" s="100"/>
      <c r="BC676" s="100"/>
      <c r="BD676" s="100"/>
      <c r="BE676" s="100"/>
      <c r="BF676" s="100"/>
      <c r="BG676" s="100"/>
      <c r="BH676" s="100"/>
      <c r="BI676" s="100"/>
      <c r="BJ676" s="100"/>
      <c r="BK676" s="102"/>
      <c r="BN676" s="36"/>
    </row>
    <row r="677" spans="1:66" x14ac:dyDescent="0.25">
      <c r="A677" s="92"/>
      <c r="B677" s="93"/>
      <c r="C677" s="93"/>
      <c r="D677" s="92"/>
      <c r="E677" s="92"/>
      <c r="F677" s="92"/>
      <c r="G677" s="92"/>
      <c r="H677" s="92"/>
      <c r="I677" s="92"/>
      <c r="J677" s="92"/>
      <c r="K677" s="92"/>
      <c r="L677" s="92"/>
      <c r="M677" s="92"/>
      <c r="N677" s="94"/>
      <c r="AG677" s="100"/>
      <c r="AH677" s="101"/>
      <c r="AI677" s="101"/>
      <c r="AJ677" s="100"/>
      <c r="AK677" s="100"/>
      <c r="AL677" s="100"/>
      <c r="AM677" s="100"/>
      <c r="AN677" s="100"/>
      <c r="AO677" s="100"/>
      <c r="AP677" s="100"/>
      <c r="AQ677" s="100"/>
      <c r="AR677" s="100"/>
      <c r="AS677" s="100"/>
      <c r="AT677" s="102"/>
      <c r="AX677" s="100"/>
      <c r="AY677" s="101"/>
      <c r="AZ677" s="101"/>
      <c r="BA677" s="100"/>
      <c r="BB677" s="100"/>
      <c r="BC677" s="100"/>
      <c r="BD677" s="100"/>
      <c r="BE677" s="100"/>
      <c r="BF677" s="100"/>
      <c r="BG677" s="100"/>
      <c r="BH677" s="100"/>
      <c r="BI677" s="100"/>
      <c r="BJ677" s="100"/>
      <c r="BK677" s="102"/>
      <c r="BN677" s="36"/>
    </row>
    <row r="678" spans="1:66" x14ac:dyDescent="0.25">
      <c r="A678" s="92"/>
      <c r="B678" s="93"/>
      <c r="C678" s="93"/>
      <c r="D678" s="92"/>
      <c r="E678" s="92"/>
      <c r="F678" s="92"/>
      <c r="G678" s="92"/>
      <c r="H678" s="92"/>
      <c r="I678" s="92"/>
      <c r="J678" s="92"/>
      <c r="K678" s="92"/>
      <c r="L678" s="92"/>
      <c r="M678" s="92"/>
      <c r="N678" s="94"/>
      <c r="AG678" s="100"/>
      <c r="AH678" s="101"/>
      <c r="AI678" s="101"/>
      <c r="AJ678" s="100"/>
      <c r="AK678" s="100"/>
      <c r="AL678" s="100"/>
      <c r="AM678" s="100"/>
      <c r="AN678" s="100"/>
      <c r="AO678" s="100"/>
      <c r="AP678" s="100"/>
      <c r="AQ678" s="100"/>
      <c r="AR678" s="100"/>
      <c r="AS678" s="100"/>
      <c r="AT678" s="102"/>
      <c r="AX678" s="100"/>
      <c r="AY678" s="101"/>
      <c r="AZ678" s="101"/>
      <c r="BA678" s="100"/>
      <c r="BB678" s="100"/>
      <c r="BC678" s="100"/>
      <c r="BD678" s="100"/>
      <c r="BE678" s="100"/>
      <c r="BF678" s="100"/>
      <c r="BG678" s="100"/>
      <c r="BH678" s="100"/>
      <c r="BI678" s="100"/>
      <c r="BJ678" s="100"/>
      <c r="BK678" s="102"/>
      <c r="BN678" s="36"/>
    </row>
    <row r="679" spans="1:66" x14ac:dyDescent="0.25">
      <c r="A679" s="92"/>
      <c r="B679" s="92"/>
      <c r="C679" s="92"/>
      <c r="D679" s="92"/>
      <c r="E679" s="92"/>
      <c r="F679" s="92"/>
      <c r="G679" s="92"/>
      <c r="H679" s="92"/>
      <c r="I679" s="92"/>
      <c r="J679" s="92"/>
      <c r="K679" s="92"/>
      <c r="L679" s="92"/>
      <c r="M679" s="92"/>
      <c r="N679" s="92"/>
      <c r="AG679" s="100"/>
      <c r="AH679" s="101"/>
      <c r="AI679" s="101"/>
      <c r="AJ679" s="100"/>
      <c r="AK679" s="100"/>
      <c r="AL679" s="100"/>
      <c r="AM679" s="100"/>
      <c r="AN679" s="100"/>
      <c r="AO679" s="100"/>
      <c r="AP679" s="100"/>
      <c r="AQ679" s="100"/>
      <c r="AR679" s="100"/>
      <c r="AS679" s="100"/>
      <c r="AT679" s="102"/>
      <c r="AX679" s="100"/>
      <c r="AY679" s="101"/>
      <c r="AZ679" s="101"/>
      <c r="BA679" s="100"/>
      <c r="BB679" s="100"/>
      <c r="BC679" s="100"/>
      <c r="BD679" s="100"/>
      <c r="BE679" s="100"/>
      <c r="BF679" s="100"/>
      <c r="BG679" s="100"/>
      <c r="BH679" s="100"/>
      <c r="BI679" s="100"/>
      <c r="BJ679" s="100"/>
      <c r="BK679" s="102"/>
      <c r="BN679" s="36"/>
    </row>
    <row r="680" spans="1:66" x14ac:dyDescent="0.25">
      <c r="A680" s="92"/>
      <c r="B680" s="92"/>
      <c r="C680" s="92"/>
      <c r="D680" s="92"/>
      <c r="E680" s="92"/>
      <c r="F680" s="92"/>
      <c r="G680" s="92"/>
      <c r="H680" s="92"/>
      <c r="I680" s="92"/>
      <c r="J680" s="92"/>
      <c r="K680" s="92"/>
      <c r="L680" s="92"/>
      <c r="M680" s="92"/>
      <c r="N680" s="92"/>
      <c r="AG680" s="100"/>
      <c r="AH680" s="101"/>
      <c r="AI680" s="101"/>
      <c r="AJ680" s="100"/>
      <c r="AK680" s="100"/>
      <c r="AL680" s="100"/>
      <c r="AM680" s="100"/>
      <c r="AN680" s="100"/>
      <c r="AO680" s="100"/>
      <c r="AP680" s="100"/>
      <c r="AQ680" s="100"/>
      <c r="AR680" s="100"/>
      <c r="AS680" s="100"/>
      <c r="AT680" s="102"/>
      <c r="AX680" s="100"/>
      <c r="AY680" s="101"/>
      <c r="AZ680" s="101"/>
      <c r="BA680" s="100"/>
      <c r="BB680" s="100"/>
      <c r="BC680" s="100"/>
      <c r="BD680" s="100"/>
      <c r="BE680" s="100"/>
      <c r="BF680" s="100"/>
      <c r="BG680" s="100"/>
      <c r="BH680" s="100"/>
      <c r="BI680" s="100"/>
      <c r="BJ680" s="100"/>
      <c r="BK680" s="102"/>
      <c r="BN680" s="36"/>
    </row>
    <row r="681" spans="1:66" x14ac:dyDescent="0.25">
      <c r="A681" s="92"/>
      <c r="B681" s="92"/>
      <c r="C681" s="92"/>
      <c r="D681" s="92"/>
      <c r="E681" s="92"/>
      <c r="F681" s="92"/>
      <c r="G681" s="92"/>
      <c r="H681" s="92"/>
      <c r="I681" s="92"/>
      <c r="J681" s="92"/>
      <c r="K681" s="92"/>
      <c r="L681" s="92"/>
      <c r="M681" s="92"/>
      <c r="N681" s="92"/>
      <c r="AG681" s="100"/>
      <c r="AH681" s="101"/>
      <c r="AI681" s="101"/>
      <c r="AJ681" s="101"/>
      <c r="AK681" s="100"/>
      <c r="AL681" s="100"/>
      <c r="AM681" s="100"/>
      <c r="AN681" s="100"/>
      <c r="AO681" s="100"/>
      <c r="AP681" s="100"/>
      <c r="AQ681" s="100"/>
      <c r="AR681" s="100"/>
      <c r="AS681" s="100"/>
      <c r="AT681" s="102"/>
      <c r="AX681" s="100"/>
      <c r="AY681" s="101"/>
      <c r="AZ681" s="101"/>
      <c r="BA681" s="100"/>
      <c r="BB681" s="100"/>
      <c r="BC681" s="100"/>
      <c r="BD681" s="100"/>
      <c r="BE681" s="100"/>
      <c r="BF681" s="100"/>
      <c r="BG681" s="100"/>
      <c r="BH681" s="100"/>
      <c r="BI681" s="100"/>
      <c r="BJ681" s="100"/>
      <c r="BK681" s="102"/>
      <c r="BN681" s="36"/>
    </row>
    <row r="682" spans="1:66" x14ac:dyDescent="0.25">
      <c r="A682" s="92"/>
      <c r="B682" s="93"/>
      <c r="C682" s="93"/>
      <c r="D682" s="92"/>
      <c r="E682" s="92"/>
      <c r="F682" s="92"/>
      <c r="G682" s="92"/>
      <c r="H682" s="92"/>
      <c r="I682" s="92"/>
      <c r="J682" s="92"/>
      <c r="K682" s="92"/>
      <c r="L682" s="92"/>
      <c r="M682" s="92"/>
      <c r="N682" s="94"/>
      <c r="AG682" s="100"/>
      <c r="AH682" s="101"/>
      <c r="AI682" s="101"/>
      <c r="AJ682" s="100"/>
      <c r="AK682" s="100"/>
      <c r="AL682" s="100"/>
      <c r="AM682" s="100"/>
      <c r="AN682" s="100"/>
      <c r="AO682" s="100"/>
      <c r="AP682" s="100"/>
      <c r="AQ682" s="100"/>
      <c r="AR682" s="100"/>
      <c r="AS682" s="100"/>
      <c r="AT682" s="102"/>
      <c r="AX682" s="100"/>
      <c r="AY682" s="101"/>
      <c r="AZ682" s="101"/>
      <c r="BA682" s="100"/>
      <c r="BB682" s="100"/>
      <c r="BC682" s="100"/>
      <c r="BD682" s="100"/>
      <c r="BE682" s="100"/>
      <c r="BF682" s="100"/>
      <c r="BG682" s="100"/>
      <c r="BH682" s="100"/>
      <c r="BI682" s="100"/>
      <c r="BJ682" s="100"/>
      <c r="BK682" s="102"/>
      <c r="BN682" s="36"/>
    </row>
    <row r="683" spans="1:66" x14ac:dyDescent="0.25">
      <c r="A683" s="92"/>
      <c r="B683" s="93"/>
      <c r="C683" s="93"/>
      <c r="D683" s="92"/>
      <c r="E683" s="92"/>
      <c r="F683" s="92"/>
      <c r="G683" s="92"/>
      <c r="H683" s="92"/>
      <c r="I683" s="92"/>
      <c r="J683" s="92"/>
      <c r="K683" s="92"/>
      <c r="L683" s="92"/>
      <c r="M683" s="92"/>
      <c r="N683" s="94"/>
      <c r="AG683" s="100"/>
      <c r="AH683" s="101"/>
      <c r="AI683" s="101"/>
      <c r="AJ683" s="101"/>
      <c r="AK683" s="100"/>
      <c r="AL683" s="100"/>
      <c r="AM683" s="100"/>
      <c r="AN683" s="100"/>
      <c r="AO683" s="100"/>
      <c r="AP683" s="100"/>
      <c r="AQ683" s="100"/>
      <c r="AR683" s="100"/>
      <c r="AS683" s="100"/>
      <c r="AT683" s="102"/>
      <c r="AX683" s="100"/>
      <c r="AY683" s="101"/>
      <c r="AZ683" s="101"/>
      <c r="BA683" s="100"/>
      <c r="BB683" s="100"/>
      <c r="BC683" s="100"/>
      <c r="BD683" s="100"/>
      <c r="BE683" s="100"/>
      <c r="BF683" s="100"/>
      <c r="BG683" s="100"/>
      <c r="BH683" s="100"/>
      <c r="BI683" s="100"/>
      <c r="BJ683" s="100"/>
      <c r="BK683" s="102"/>
      <c r="BN683" s="36"/>
    </row>
    <row r="684" spans="1:66" x14ac:dyDescent="0.25">
      <c r="A684" s="92"/>
      <c r="B684" s="93"/>
      <c r="C684" s="93"/>
      <c r="D684" s="92"/>
      <c r="E684" s="92"/>
      <c r="F684" s="92"/>
      <c r="G684" s="92"/>
      <c r="H684" s="92"/>
      <c r="I684" s="92"/>
      <c r="J684" s="92"/>
      <c r="K684" s="92"/>
      <c r="L684" s="92"/>
      <c r="M684" s="92"/>
      <c r="N684" s="94"/>
      <c r="AG684" s="100"/>
      <c r="AH684" s="101"/>
      <c r="AI684" s="101"/>
      <c r="AJ684" s="100"/>
      <c r="AK684" s="100"/>
      <c r="AL684" s="100"/>
      <c r="AM684" s="100"/>
      <c r="AN684" s="100"/>
      <c r="AO684" s="100"/>
      <c r="AP684" s="100"/>
      <c r="AQ684" s="100"/>
      <c r="AR684" s="100"/>
      <c r="AS684" s="100"/>
      <c r="AT684" s="102"/>
      <c r="AX684" s="100"/>
      <c r="AY684" s="101"/>
      <c r="AZ684" s="101"/>
      <c r="BA684" s="100"/>
      <c r="BB684" s="100"/>
      <c r="BC684" s="100"/>
      <c r="BD684" s="100"/>
      <c r="BE684" s="100"/>
      <c r="BF684" s="100"/>
      <c r="BG684" s="100"/>
      <c r="BH684" s="100"/>
      <c r="BI684" s="100"/>
      <c r="BJ684" s="100"/>
      <c r="BK684" s="102"/>
      <c r="BN684" s="36"/>
    </row>
    <row r="685" spans="1:66" x14ac:dyDescent="0.25">
      <c r="A685" s="92"/>
      <c r="B685" s="92"/>
      <c r="C685" s="92"/>
      <c r="D685" s="92"/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AG685" s="100"/>
      <c r="AH685" s="101"/>
      <c r="AI685" s="101"/>
      <c r="AJ685" s="100"/>
      <c r="AK685" s="100"/>
      <c r="AL685" s="100"/>
      <c r="AM685" s="100"/>
      <c r="AN685" s="100"/>
      <c r="AO685" s="100"/>
      <c r="AP685" s="100"/>
      <c r="AQ685" s="100"/>
      <c r="AR685" s="100"/>
      <c r="AS685" s="100"/>
      <c r="AT685" s="102"/>
      <c r="AX685" s="100"/>
      <c r="AY685" s="101"/>
      <c r="AZ685" s="101"/>
      <c r="BA685" s="100"/>
      <c r="BB685" s="100"/>
      <c r="BC685" s="100"/>
      <c r="BD685" s="100"/>
      <c r="BE685" s="100"/>
      <c r="BF685" s="100"/>
      <c r="BG685" s="100"/>
      <c r="BH685" s="100"/>
      <c r="BI685" s="100"/>
      <c r="BJ685" s="100"/>
      <c r="BK685" s="102"/>
      <c r="BN685" s="36"/>
    </row>
    <row r="686" spans="1:66" x14ac:dyDescent="0.25">
      <c r="A686" s="92"/>
      <c r="B686" s="92"/>
      <c r="C686" s="92"/>
      <c r="D686" s="92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AG686" s="100"/>
      <c r="AH686" s="101"/>
      <c r="AI686" s="101"/>
      <c r="AJ686" s="100"/>
      <c r="AK686" s="100"/>
      <c r="AL686" s="100"/>
      <c r="AM686" s="100"/>
      <c r="AN686" s="100"/>
      <c r="AO686" s="100"/>
      <c r="AP686" s="100"/>
      <c r="AQ686" s="100"/>
      <c r="AR686" s="100"/>
      <c r="AS686" s="100"/>
      <c r="AT686" s="102"/>
      <c r="AX686" s="100"/>
      <c r="AY686" s="101"/>
      <c r="AZ686" s="101"/>
      <c r="BA686" s="100"/>
      <c r="BB686" s="100"/>
      <c r="BC686" s="100"/>
      <c r="BD686" s="100"/>
      <c r="BE686" s="100"/>
      <c r="BF686" s="100"/>
      <c r="BG686" s="100"/>
      <c r="BH686" s="100"/>
      <c r="BI686" s="100"/>
      <c r="BJ686" s="100"/>
      <c r="BK686" s="102"/>
      <c r="BN686" s="36"/>
    </row>
    <row r="687" spans="1:66" x14ac:dyDescent="0.25">
      <c r="A687" s="92"/>
      <c r="B687" s="93"/>
      <c r="C687" s="93"/>
      <c r="D687" s="92"/>
      <c r="E687" s="92"/>
      <c r="F687" s="92"/>
      <c r="G687" s="92"/>
      <c r="H687" s="92"/>
      <c r="I687" s="92"/>
      <c r="J687" s="92"/>
      <c r="K687" s="92"/>
      <c r="L687" s="92"/>
      <c r="M687" s="92"/>
      <c r="N687" s="94"/>
      <c r="AG687" s="100"/>
      <c r="AH687" s="101"/>
      <c r="AI687" s="101"/>
      <c r="AJ687" s="101"/>
      <c r="AK687" s="100"/>
      <c r="AL687" s="100"/>
      <c r="AM687" s="100"/>
      <c r="AN687" s="100"/>
      <c r="AO687" s="100"/>
      <c r="AP687" s="100"/>
      <c r="AQ687" s="100"/>
      <c r="AR687" s="100"/>
      <c r="AS687" s="100"/>
      <c r="AT687" s="102"/>
      <c r="AX687" s="100"/>
      <c r="AY687" s="101"/>
      <c r="AZ687" s="101"/>
      <c r="BA687" s="100"/>
      <c r="BB687" s="100"/>
      <c r="BC687" s="100"/>
      <c r="BD687" s="100"/>
      <c r="BE687" s="100"/>
      <c r="BF687" s="100"/>
      <c r="BG687" s="100"/>
      <c r="BH687" s="100"/>
      <c r="BI687" s="100"/>
      <c r="BJ687" s="100"/>
      <c r="BK687" s="102"/>
      <c r="BN687" s="36"/>
    </row>
    <row r="688" spans="1:66" x14ac:dyDescent="0.25">
      <c r="A688" s="92"/>
      <c r="B688" s="93"/>
      <c r="C688" s="93"/>
      <c r="D688" s="92"/>
      <c r="E688" s="92"/>
      <c r="F688" s="92"/>
      <c r="G688" s="92"/>
      <c r="H688" s="92"/>
      <c r="I688" s="92"/>
      <c r="J688" s="92"/>
      <c r="K688" s="92"/>
      <c r="L688" s="92"/>
      <c r="M688" s="92"/>
      <c r="N688" s="94"/>
      <c r="AG688" s="100"/>
      <c r="AH688" s="101"/>
      <c r="AI688" s="101"/>
      <c r="AJ688" s="100"/>
      <c r="AK688" s="100"/>
      <c r="AL688" s="100"/>
      <c r="AM688" s="100"/>
      <c r="AN688" s="100"/>
      <c r="AO688" s="100"/>
      <c r="AP688" s="100"/>
      <c r="AQ688" s="100"/>
      <c r="AR688" s="100"/>
      <c r="AS688" s="100"/>
      <c r="AT688" s="102"/>
      <c r="AX688" s="100"/>
      <c r="AY688" s="101"/>
      <c r="AZ688" s="101"/>
      <c r="BA688" s="100"/>
      <c r="BB688" s="100"/>
      <c r="BC688" s="100"/>
      <c r="BD688" s="100"/>
      <c r="BE688" s="100"/>
      <c r="BF688" s="100"/>
      <c r="BG688" s="100"/>
      <c r="BH688" s="100"/>
      <c r="BI688" s="100"/>
      <c r="BJ688" s="100"/>
      <c r="BK688" s="102"/>
      <c r="BN688" s="36"/>
    </row>
    <row r="689" spans="1:66" x14ac:dyDescent="0.25">
      <c r="A689" s="92"/>
      <c r="B689" s="93"/>
      <c r="C689" s="93"/>
      <c r="D689" s="93"/>
      <c r="E689" s="92"/>
      <c r="F689" s="92"/>
      <c r="G689" s="92"/>
      <c r="H689" s="92"/>
      <c r="I689" s="92"/>
      <c r="J689" s="92"/>
      <c r="K689" s="92"/>
      <c r="L689" s="92"/>
      <c r="M689" s="92"/>
      <c r="N689" s="94"/>
      <c r="AG689" s="100"/>
      <c r="AH689" s="101"/>
      <c r="AI689" s="101"/>
      <c r="AJ689" s="100"/>
      <c r="AK689" s="100"/>
      <c r="AL689" s="100"/>
      <c r="AM689" s="100"/>
      <c r="AN689" s="100"/>
      <c r="AO689" s="100"/>
      <c r="AP689" s="100"/>
      <c r="AQ689" s="100"/>
      <c r="AR689" s="100"/>
      <c r="AS689" s="100"/>
      <c r="AT689" s="102"/>
      <c r="AX689" s="100"/>
      <c r="AY689" s="101"/>
      <c r="AZ689" s="101"/>
      <c r="BA689" s="100"/>
      <c r="BB689" s="100"/>
      <c r="BC689" s="100"/>
      <c r="BD689" s="100"/>
      <c r="BE689" s="100"/>
      <c r="BF689" s="100"/>
      <c r="BG689" s="100"/>
      <c r="BH689" s="100"/>
      <c r="BI689" s="100"/>
      <c r="BJ689" s="100"/>
      <c r="BK689" s="102"/>
      <c r="BN689" s="36"/>
    </row>
    <row r="690" spans="1:66" x14ac:dyDescent="0.25">
      <c r="A690" s="92"/>
      <c r="B690" s="92"/>
      <c r="C690" s="92"/>
      <c r="D690" s="92"/>
      <c r="E690" s="92"/>
      <c r="F690" s="92"/>
      <c r="G690" s="92"/>
      <c r="H690" s="92"/>
      <c r="I690" s="92"/>
      <c r="J690" s="92"/>
      <c r="K690" s="92"/>
      <c r="L690" s="92"/>
      <c r="M690" s="92"/>
      <c r="N690" s="92"/>
      <c r="AG690" s="100"/>
      <c r="AH690" s="101"/>
      <c r="AI690" s="101"/>
      <c r="AJ690" s="100"/>
      <c r="AK690" s="100"/>
      <c r="AL690" s="100"/>
      <c r="AM690" s="100"/>
      <c r="AN690" s="100"/>
      <c r="AO690" s="100"/>
      <c r="AP690" s="100"/>
      <c r="AQ690" s="100"/>
      <c r="AR690" s="100"/>
      <c r="AS690" s="100"/>
      <c r="AT690" s="102"/>
      <c r="AX690" s="100"/>
      <c r="AY690" s="101"/>
      <c r="AZ690" s="101"/>
      <c r="BA690" s="100"/>
      <c r="BB690" s="100"/>
      <c r="BC690" s="100"/>
      <c r="BD690" s="100"/>
      <c r="BE690" s="100"/>
      <c r="BF690" s="100"/>
      <c r="BG690" s="100"/>
      <c r="BH690" s="100"/>
      <c r="BI690" s="100"/>
      <c r="BJ690" s="100"/>
      <c r="BK690" s="102"/>
      <c r="BN690" s="36"/>
    </row>
    <row r="691" spans="1:66" x14ac:dyDescent="0.25">
      <c r="A691" s="92"/>
      <c r="B691" s="92"/>
      <c r="C691" s="92"/>
      <c r="D691" s="92"/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AG691" s="100"/>
      <c r="AH691" s="101"/>
      <c r="AI691" s="101"/>
      <c r="AJ691" s="100"/>
      <c r="AK691" s="100"/>
      <c r="AL691" s="100"/>
      <c r="AM691" s="100"/>
      <c r="AN691" s="100"/>
      <c r="AO691" s="100"/>
      <c r="AP691" s="100"/>
      <c r="AQ691" s="100"/>
      <c r="AR691" s="100"/>
      <c r="AS691" s="100"/>
      <c r="AT691" s="102"/>
      <c r="AX691" s="100"/>
      <c r="AY691" s="101"/>
      <c r="AZ691" s="101"/>
      <c r="BA691" s="101"/>
      <c r="BB691" s="100"/>
      <c r="BC691" s="100"/>
      <c r="BD691" s="100"/>
      <c r="BE691" s="100"/>
      <c r="BF691" s="100"/>
      <c r="BG691" s="100"/>
      <c r="BH691" s="100"/>
      <c r="BI691" s="100"/>
      <c r="BJ691" s="100"/>
      <c r="BK691" s="102"/>
      <c r="BN691" s="36"/>
    </row>
    <row r="692" spans="1:66" x14ac:dyDescent="0.25">
      <c r="A692" s="92"/>
      <c r="B692" s="93"/>
      <c r="C692" s="93"/>
      <c r="D692" s="93"/>
      <c r="E692" s="92"/>
      <c r="F692" s="92"/>
      <c r="G692" s="92"/>
      <c r="H692" s="92"/>
      <c r="I692" s="92"/>
      <c r="J692" s="92"/>
      <c r="K692" s="92"/>
      <c r="L692" s="92"/>
      <c r="M692" s="92"/>
      <c r="N692" s="94"/>
      <c r="AG692" s="100"/>
      <c r="AH692" s="101"/>
      <c r="AI692" s="101"/>
      <c r="AJ692" s="101"/>
      <c r="AK692" s="100"/>
      <c r="AL692" s="100"/>
      <c r="AM692" s="100"/>
      <c r="AN692" s="100"/>
      <c r="AO692" s="100"/>
      <c r="AP692" s="100"/>
      <c r="AQ692" s="100"/>
      <c r="AR692" s="100"/>
      <c r="AS692" s="100"/>
      <c r="AT692" s="102"/>
      <c r="AX692" s="100"/>
      <c r="AY692" s="101"/>
      <c r="AZ692" s="101"/>
      <c r="BA692" s="100"/>
      <c r="BB692" s="100"/>
      <c r="BC692" s="100"/>
      <c r="BD692" s="100"/>
      <c r="BE692" s="100"/>
      <c r="BF692" s="100"/>
      <c r="BG692" s="100"/>
      <c r="BH692" s="100"/>
      <c r="BI692" s="100"/>
      <c r="BJ692" s="100"/>
      <c r="BK692" s="102"/>
      <c r="BN692" s="36"/>
    </row>
    <row r="693" spans="1:66" x14ac:dyDescent="0.25">
      <c r="A693" s="92"/>
      <c r="B693" s="92"/>
      <c r="C693" s="92"/>
      <c r="D693" s="93"/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AG693" s="100"/>
      <c r="AH693" s="101"/>
      <c r="AI693" s="101"/>
      <c r="AJ693" s="100"/>
      <c r="AK693" s="100"/>
      <c r="AL693" s="100"/>
      <c r="AM693" s="100"/>
      <c r="AN693" s="100"/>
      <c r="AO693" s="100"/>
      <c r="AP693" s="100"/>
      <c r="AQ693" s="100"/>
      <c r="AR693" s="100"/>
      <c r="AS693" s="100"/>
      <c r="AT693" s="102"/>
      <c r="AX693" s="100"/>
      <c r="AY693" s="101"/>
      <c r="AZ693" s="101"/>
      <c r="BA693" s="100"/>
      <c r="BB693" s="100"/>
      <c r="BC693" s="100"/>
      <c r="BD693" s="100"/>
      <c r="BE693" s="100"/>
      <c r="BF693" s="100"/>
      <c r="BG693" s="100"/>
      <c r="BH693" s="100"/>
      <c r="BI693" s="100"/>
      <c r="BJ693" s="100"/>
      <c r="BK693" s="102"/>
      <c r="BN693" s="36"/>
    </row>
    <row r="694" spans="1:66" x14ac:dyDescent="0.25">
      <c r="A694" s="92"/>
      <c r="B694" s="93"/>
      <c r="C694" s="93"/>
      <c r="D694" s="92"/>
      <c r="E694" s="92"/>
      <c r="F694" s="92"/>
      <c r="G694" s="92"/>
      <c r="H694" s="92"/>
      <c r="I694" s="92"/>
      <c r="J694" s="92"/>
      <c r="K694" s="92"/>
      <c r="L694" s="92"/>
      <c r="M694" s="92"/>
      <c r="N694" s="94"/>
      <c r="AG694" s="100"/>
      <c r="AH694" s="101"/>
      <c r="AI694" s="101"/>
      <c r="AJ694" s="100"/>
      <c r="AK694" s="100"/>
      <c r="AL694" s="100"/>
      <c r="AM694" s="100"/>
      <c r="AN694" s="100"/>
      <c r="AO694" s="100"/>
      <c r="AP694" s="100"/>
      <c r="AQ694" s="100"/>
      <c r="AR694" s="100"/>
      <c r="AS694" s="100"/>
      <c r="AT694" s="102"/>
      <c r="AX694" s="100"/>
      <c r="AY694" s="101"/>
      <c r="AZ694" s="101"/>
      <c r="BA694" s="100"/>
      <c r="BB694" s="100"/>
      <c r="BC694" s="100"/>
      <c r="BD694" s="100"/>
      <c r="BE694" s="100"/>
      <c r="BF694" s="100"/>
      <c r="BG694" s="100"/>
      <c r="BH694" s="100"/>
      <c r="BI694" s="100"/>
      <c r="BJ694" s="100"/>
      <c r="BK694" s="102"/>
      <c r="BN694" s="36"/>
    </row>
    <row r="695" spans="1:66" x14ac:dyDescent="0.25">
      <c r="A695" s="92"/>
      <c r="B695" s="93"/>
      <c r="C695" s="93"/>
      <c r="D695" s="93"/>
      <c r="E695" s="92"/>
      <c r="F695" s="92"/>
      <c r="G695" s="92"/>
      <c r="H695" s="92"/>
      <c r="I695" s="92"/>
      <c r="J695" s="92"/>
      <c r="K695" s="92"/>
      <c r="L695" s="92"/>
      <c r="M695" s="92"/>
      <c r="N695" s="94"/>
      <c r="AG695" s="100"/>
      <c r="AH695" s="101"/>
      <c r="AI695" s="101"/>
      <c r="AJ695" s="100"/>
      <c r="AK695" s="100"/>
      <c r="AL695" s="100"/>
      <c r="AM695" s="100"/>
      <c r="AN695" s="100"/>
      <c r="AO695" s="100"/>
      <c r="AP695" s="100"/>
      <c r="AQ695" s="100"/>
      <c r="AR695" s="100"/>
      <c r="AS695" s="100"/>
      <c r="AT695" s="102"/>
      <c r="AX695" s="100"/>
      <c r="AY695" s="101"/>
      <c r="AZ695" s="101"/>
      <c r="BA695" s="100"/>
      <c r="BB695" s="100"/>
      <c r="BC695" s="100"/>
      <c r="BD695" s="100"/>
      <c r="BE695" s="100"/>
      <c r="BF695" s="100"/>
      <c r="BG695" s="100"/>
      <c r="BH695" s="100"/>
      <c r="BI695" s="100"/>
      <c r="BJ695" s="100"/>
      <c r="BK695" s="102"/>
      <c r="BN695" s="36"/>
    </row>
    <row r="696" spans="1:66" x14ac:dyDescent="0.25">
      <c r="A696" s="92"/>
      <c r="B696" s="92"/>
      <c r="C696" s="92"/>
      <c r="D696" s="93"/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AG696" s="100"/>
      <c r="AH696" s="101"/>
      <c r="AI696" s="101"/>
      <c r="AJ696" s="101"/>
      <c r="AK696" s="100"/>
      <c r="AL696" s="100"/>
      <c r="AM696" s="100"/>
      <c r="AN696" s="100"/>
      <c r="AO696" s="100"/>
      <c r="AP696" s="100"/>
      <c r="AQ696" s="100"/>
      <c r="AR696" s="100"/>
      <c r="AS696" s="100"/>
      <c r="AT696" s="102"/>
      <c r="AX696" s="100"/>
      <c r="AY696" s="101"/>
      <c r="AZ696" s="101"/>
      <c r="BA696" s="101"/>
      <c r="BB696" s="100"/>
      <c r="BC696" s="100"/>
      <c r="BD696" s="100"/>
      <c r="BE696" s="100"/>
      <c r="BF696" s="100"/>
      <c r="BG696" s="100"/>
      <c r="BH696" s="100"/>
      <c r="BI696" s="100"/>
      <c r="BJ696" s="100"/>
      <c r="BK696" s="102"/>
      <c r="BN696" s="36"/>
    </row>
    <row r="697" spans="1:66" x14ac:dyDescent="0.25">
      <c r="A697" s="92"/>
      <c r="B697" s="92"/>
      <c r="C697" s="92"/>
      <c r="D697" s="93"/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AG697" s="100"/>
      <c r="AH697" s="101"/>
      <c r="AI697" s="101"/>
      <c r="AJ697" s="100"/>
      <c r="AK697" s="100"/>
      <c r="AL697" s="100"/>
      <c r="AM697" s="100"/>
      <c r="AN697" s="100"/>
      <c r="AO697" s="100"/>
      <c r="AP697" s="100"/>
      <c r="AQ697" s="100"/>
      <c r="AR697" s="100"/>
      <c r="AS697" s="100"/>
      <c r="AT697" s="102"/>
      <c r="AX697" s="100"/>
      <c r="AY697" s="101"/>
      <c r="AZ697" s="101"/>
      <c r="BA697" s="100"/>
      <c r="BB697" s="100"/>
      <c r="BC697" s="100"/>
      <c r="BD697" s="100"/>
      <c r="BE697" s="100"/>
      <c r="BF697" s="100"/>
      <c r="BG697" s="100"/>
      <c r="BH697" s="100"/>
      <c r="BI697" s="100"/>
      <c r="BJ697" s="100"/>
      <c r="BK697" s="102"/>
      <c r="BN697" s="36"/>
    </row>
    <row r="698" spans="1:66" x14ac:dyDescent="0.25">
      <c r="A698" s="92"/>
      <c r="B698" s="92"/>
      <c r="C698" s="92"/>
      <c r="D698" s="93"/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AG698" s="100"/>
      <c r="AH698" s="101"/>
      <c r="AI698" s="101"/>
      <c r="AJ698" s="100"/>
      <c r="AK698" s="100"/>
      <c r="AL698" s="100"/>
      <c r="AM698" s="100"/>
      <c r="AN698" s="100"/>
      <c r="AO698" s="100"/>
      <c r="AP698" s="100"/>
      <c r="AQ698" s="100"/>
      <c r="AR698" s="100"/>
      <c r="AS698" s="100"/>
      <c r="AT698" s="102"/>
      <c r="AX698" s="100"/>
      <c r="AY698" s="101"/>
      <c r="AZ698" s="101"/>
      <c r="BA698" s="100"/>
      <c r="BB698" s="100"/>
      <c r="BC698" s="100"/>
      <c r="BD698" s="100"/>
      <c r="BE698" s="100"/>
      <c r="BF698" s="100"/>
      <c r="BG698" s="100"/>
      <c r="BH698" s="100"/>
      <c r="BI698" s="100"/>
      <c r="BJ698" s="100"/>
      <c r="BK698" s="102"/>
      <c r="BN698" s="36"/>
    </row>
    <row r="699" spans="1:66" x14ac:dyDescent="0.25">
      <c r="A699" s="92"/>
      <c r="B699" s="92"/>
      <c r="C699" s="92"/>
      <c r="D699" s="93"/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AG699" s="100"/>
      <c r="AH699" s="101"/>
      <c r="AI699" s="101"/>
      <c r="AJ699" s="101"/>
      <c r="AK699" s="100"/>
      <c r="AL699" s="100"/>
      <c r="AM699" s="100"/>
      <c r="AN699" s="100"/>
      <c r="AO699" s="100"/>
      <c r="AP699" s="100"/>
      <c r="AQ699" s="100"/>
      <c r="AR699" s="100"/>
      <c r="AS699" s="100"/>
      <c r="AT699" s="102"/>
      <c r="AX699" s="100"/>
      <c r="AY699" s="101"/>
      <c r="AZ699" s="101"/>
      <c r="BA699" s="100"/>
      <c r="BB699" s="100"/>
      <c r="BC699" s="100"/>
      <c r="BD699" s="100"/>
      <c r="BE699" s="100"/>
      <c r="BF699" s="100"/>
      <c r="BG699" s="100"/>
      <c r="BH699" s="100"/>
      <c r="BI699" s="100"/>
      <c r="BJ699" s="100"/>
      <c r="BK699" s="102"/>
      <c r="BN699" s="36"/>
    </row>
    <row r="700" spans="1:66" x14ac:dyDescent="0.25">
      <c r="A700" s="92"/>
      <c r="B700" s="92"/>
      <c r="C700" s="92"/>
      <c r="D700" s="93"/>
      <c r="E700" s="92"/>
      <c r="F700" s="92"/>
      <c r="G700" s="92"/>
      <c r="H700" s="92"/>
      <c r="I700" s="92"/>
      <c r="J700" s="92"/>
      <c r="K700" s="92"/>
      <c r="L700" s="92"/>
      <c r="M700" s="92"/>
      <c r="N700" s="92"/>
      <c r="AG700" s="100"/>
      <c r="AH700" s="101"/>
      <c r="AI700" s="101"/>
      <c r="AJ700" s="100"/>
      <c r="AK700" s="100"/>
      <c r="AL700" s="100"/>
      <c r="AM700" s="100"/>
      <c r="AN700" s="100"/>
      <c r="AO700" s="100"/>
      <c r="AP700" s="100"/>
      <c r="AQ700" s="100"/>
      <c r="AR700" s="100"/>
      <c r="AS700" s="100"/>
      <c r="AT700" s="102"/>
      <c r="AX700" s="100"/>
      <c r="AY700" s="101"/>
      <c r="AZ700" s="101"/>
      <c r="BA700" s="100"/>
      <c r="BB700" s="100"/>
      <c r="BC700" s="100"/>
      <c r="BD700" s="100"/>
      <c r="BE700" s="100"/>
      <c r="BF700" s="100"/>
      <c r="BG700" s="100"/>
      <c r="BH700" s="100"/>
      <c r="BI700" s="100"/>
      <c r="BJ700" s="100"/>
      <c r="BK700" s="102"/>
      <c r="BN700" s="36"/>
    </row>
    <row r="701" spans="1:66" x14ac:dyDescent="0.25">
      <c r="A701" s="92"/>
      <c r="B701" s="92"/>
      <c r="C701" s="92"/>
      <c r="D701" s="93"/>
      <c r="E701" s="92"/>
      <c r="F701" s="92"/>
      <c r="G701" s="92"/>
      <c r="H701" s="92"/>
      <c r="I701" s="92"/>
      <c r="J701" s="92"/>
      <c r="K701" s="92"/>
      <c r="L701" s="92"/>
      <c r="M701" s="92"/>
      <c r="N701" s="92"/>
      <c r="AG701" s="100"/>
      <c r="AH701" s="101"/>
      <c r="AI701" s="101"/>
      <c r="AJ701" s="100"/>
      <c r="AK701" s="100"/>
      <c r="AL701" s="100"/>
      <c r="AM701" s="100"/>
      <c r="AN701" s="100"/>
      <c r="AO701" s="100"/>
      <c r="AP701" s="100"/>
      <c r="AQ701" s="100"/>
      <c r="AR701" s="100"/>
      <c r="AS701" s="100"/>
      <c r="AT701" s="102"/>
      <c r="AX701" s="100"/>
      <c r="AY701" s="101"/>
      <c r="AZ701" s="101"/>
      <c r="BA701" s="101"/>
      <c r="BB701" s="100"/>
      <c r="BC701" s="100"/>
      <c r="BD701" s="100"/>
      <c r="BE701" s="100"/>
      <c r="BF701" s="100"/>
      <c r="BG701" s="100"/>
      <c r="BH701" s="100"/>
      <c r="BI701" s="100"/>
      <c r="BJ701" s="100"/>
      <c r="BK701" s="102"/>
      <c r="BN701" s="36"/>
    </row>
    <row r="702" spans="1:66" x14ac:dyDescent="0.25">
      <c r="A702" s="92"/>
      <c r="B702" s="93"/>
      <c r="C702" s="93"/>
      <c r="D702" s="92"/>
      <c r="E702" s="92"/>
      <c r="F702" s="92"/>
      <c r="G702" s="92"/>
      <c r="H702" s="92"/>
      <c r="I702" s="92"/>
      <c r="J702" s="92"/>
      <c r="K702" s="92"/>
      <c r="L702" s="92"/>
      <c r="M702" s="92"/>
      <c r="N702" s="94"/>
      <c r="AG702" s="100"/>
      <c r="AH702" s="101"/>
      <c r="AI702" s="101"/>
      <c r="AJ702" s="100"/>
      <c r="AK702" s="100"/>
      <c r="AL702" s="100"/>
      <c r="AM702" s="100"/>
      <c r="AN702" s="100"/>
      <c r="AO702" s="100"/>
      <c r="AP702" s="100"/>
      <c r="AQ702" s="100"/>
      <c r="AR702" s="100"/>
      <c r="AS702" s="100"/>
      <c r="AT702" s="102"/>
      <c r="AX702" s="100"/>
      <c r="AY702" s="101"/>
      <c r="AZ702" s="101"/>
      <c r="BA702" s="100"/>
      <c r="BB702" s="100"/>
      <c r="BC702" s="100"/>
      <c r="BD702" s="100"/>
      <c r="BE702" s="100"/>
      <c r="BF702" s="100"/>
      <c r="BG702" s="100"/>
      <c r="BH702" s="100"/>
      <c r="BI702" s="100"/>
      <c r="BJ702" s="100"/>
      <c r="BK702" s="102"/>
      <c r="BN702" s="36"/>
    </row>
    <row r="703" spans="1:66" x14ac:dyDescent="0.25">
      <c r="A703" s="92"/>
      <c r="B703" s="93"/>
      <c r="C703" s="93"/>
      <c r="D703" s="93"/>
      <c r="E703" s="92"/>
      <c r="F703" s="92"/>
      <c r="G703" s="92"/>
      <c r="H703" s="92"/>
      <c r="I703" s="92"/>
      <c r="J703" s="92"/>
      <c r="K703" s="92"/>
      <c r="L703" s="92"/>
      <c r="M703" s="92"/>
      <c r="N703" s="94"/>
      <c r="AG703" s="100"/>
      <c r="AH703" s="101"/>
      <c r="AI703" s="101"/>
      <c r="AJ703" s="101"/>
      <c r="AK703" s="100"/>
      <c r="AL703" s="100"/>
      <c r="AM703" s="100"/>
      <c r="AN703" s="100"/>
      <c r="AO703" s="100"/>
      <c r="AP703" s="100"/>
      <c r="AQ703" s="100"/>
      <c r="AR703" s="100"/>
      <c r="AS703" s="100"/>
      <c r="AT703" s="102"/>
      <c r="AX703" s="100"/>
      <c r="AY703" s="101"/>
      <c r="AZ703" s="101"/>
      <c r="BA703" s="101"/>
      <c r="BB703" s="100"/>
      <c r="BC703" s="100"/>
      <c r="BD703" s="100"/>
      <c r="BE703" s="100"/>
      <c r="BF703" s="100"/>
      <c r="BG703" s="100"/>
      <c r="BH703" s="100"/>
      <c r="BI703" s="100"/>
      <c r="BJ703" s="100"/>
      <c r="BK703" s="102"/>
      <c r="BN703" s="36"/>
    </row>
    <row r="704" spans="1:66" x14ac:dyDescent="0.25">
      <c r="A704" s="92"/>
      <c r="B704" s="92"/>
      <c r="C704" s="92"/>
      <c r="D704" s="92"/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AG704" s="100"/>
      <c r="AH704" s="101"/>
      <c r="AI704" s="101"/>
      <c r="AJ704" s="100"/>
      <c r="AK704" s="100"/>
      <c r="AL704" s="100"/>
      <c r="AM704" s="100"/>
      <c r="AN704" s="100"/>
      <c r="AO704" s="100"/>
      <c r="AP704" s="100"/>
      <c r="AQ704" s="100"/>
      <c r="AR704" s="100"/>
      <c r="AS704" s="100"/>
      <c r="AT704" s="102"/>
      <c r="AX704" s="100"/>
      <c r="AY704" s="101"/>
      <c r="AZ704" s="101"/>
      <c r="BA704" s="100"/>
      <c r="BB704" s="100"/>
      <c r="BC704" s="100"/>
      <c r="BD704" s="100"/>
      <c r="BE704" s="100"/>
      <c r="BF704" s="100"/>
      <c r="BG704" s="100"/>
      <c r="BH704" s="100"/>
      <c r="BI704" s="100"/>
      <c r="BJ704" s="100"/>
      <c r="BK704" s="102"/>
      <c r="BN704" s="36"/>
    </row>
    <row r="705" spans="1:66" x14ac:dyDescent="0.25">
      <c r="A705" s="92"/>
      <c r="B705" s="92"/>
      <c r="C705" s="92"/>
      <c r="D705" s="92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AG705" s="100"/>
      <c r="AH705" s="101"/>
      <c r="AI705" s="101"/>
      <c r="AJ705" s="101"/>
      <c r="AK705" s="100"/>
      <c r="AL705" s="100"/>
      <c r="AM705" s="100"/>
      <c r="AN705" s="100"/>
      <c r="AO705" s="100"/>
      <c r="AP705" s="100"/>
      <c r="AQ705" s="100"/>
      <c r="AR705" s="100"/>
      <c r="AS705" s="100"/>
      <c r="AT705" s="102"/>
      <c r="AX705" s="100"/>
      <c r="AY705" s="101"/>
      <c r="AZ705" s="101"/>
      <c r="BA705" s="100"/>
      <c r="BB705" s="100"/>
      <c r="BC705" s="100"/>
      <c r="BD705" s="100"/>
      <c r="BE705" s="100"/>
      <c r="BF705" s="100"/>
      <c r="BG705" s="100"/>
      <c r="BH705" s="100"/>
      <c r="BI705" s="100"/>
      <c r="BJ705" s="100"/>
      <c r="BK705" s="102"/>
      <c r="BN705" s="36"/>
    </row>
    <row r="706" spans="1:66" x14ac:dyDescent="0.25">
      <c r="A706" s="92"/>
      <c r="B706" s="92"/>
      <c r="C706" s="92"/>
      <c r="D706" s="92"/>
      <c r="E706" s="92"/>
      <c r="F706" s="92"/>
      <c r="G706" s="92"/>
      <c r="H706" s="92"/>
      <c r="I706" s="92"/>
      <c r="J706" s="92"/>
      <c r="K706" s="92"/>
      <c r="L706" s="92"/>
      <c r="M706" s="92"/>
      <c r="N706" s="92"/>
      <c r="AG706" s="100"/>
      <c r="AH706" s="101"/>
      <c r="AI706" s="101"/>
      <c r="AJ706" s="101"/>
      <c r="AK706" s="100"/>
      <c r="AL706" s="100"/>
      <c r="AM706" s="100"/>
      <c r="AN706" s="100"/>
      <c r="AO706" s="100"/>
      <c r="AP706" s="100"/>
      <c r="AQ706" s="100"/>
      <c r="AR706" s="100"/>
      <c r="AS706" s="100"/>
      <c r="AT706" s="102"/>
      <c r="AX706" s="100"/>
      <c r="AY706" s="101"/>
      <c r="AZ706" s="101"/>
      <c r="BA706" s="100"/>
      <c r="BB706" s="100"/>
      <c r="BC706" s="100"/>
      <c r="BD706" s="100"/>
      <c r="BE706" s="100"/>
      <c r="BF706" s="100"/>
      <c r="BG706" s="100"/>
      <c r="BH706" s="100"/>
      <c r="BI706" s="100"/>
      <c r="BJ706" s="100"/>
      <c r="BK706" s="102"/>
      <c r="BN706" s="36"/>
    </row>
    <row r="707" spans="1:66" x14ac:dyDescent="0.25">
      <c r="A707" s="92"/>
      <c r="B707" s="93"/>
      <c r="C707" s="93"/>
      <c r="D707" s="92"/>
      <c r="E707" s="92"/>
      <c r="F707" s="92"/>
      <c r="G707" s="92"/>
      <c r="H707" s="92"/>
      <c r="I707" s="92"/>
      <c r="J707" s="92"/>
      <c r="K707" s="92"/>
      <c r="L707" s="92"/>
      <c r="M707" s="92"/>
      <c r="N707" s="94"/>
      <c r="AG707" s="100"/>
      <c r="AH707" s="101"/>
      <c r="AI707" s="101"/>
      <c r="AJ707" s="100"/>
      <c r="AK707" s="100"/>
      <c r="AL707" s="100"/>
      <c r="AM707" s="100"/>
      <c r="AN707" s="100"/>
      <c r="AO707" s="100"/>
      <c r="AP707" s="100"/>
      <c r="AQ707" s="100"/>
      <c r="AR707" s="100"/>
      <c r="AS707" s="100"/>
      <c r="AT707" s="102"/>
      <c r="AX707" s="100"/>
      <c r="AY707" s="101"/>
      <c r="AZ707" s="101"/>
      <c r="BA707" s="101"/>
      <c r="BB707" s="100"/>
      <c r="BC707" s="100"/>
      <c r="BD707" s="100"/>
      <c r="BE707" s="100"/>
      <c r="BF707" s="100"/>
      <c r="BG707" s="100"/>
      <c r="BH707" s="100"/>
      <c r="BI707" s="100"/>
      <c r="BJ707" s="100"/>
      <c r="BK707" s="102"/>
      <c r="BN707" s="36"/>
    </row>
    <row r="708" spans="1:66" x14ac:dyDescent="0.25">
      <c r="A708" s="92"/>
      <c r="B708" s="93"/>
      <c r="C708" s="93"/>
      <c r="D708" s="93"/>
      <c r="E708" s="92"/>
      <c r="F708" s="92"/>
      <c r="G708" s="92"/>
      <c r="H708" s="92"/>
      <c r="I708" s="92"/>
      <c r="J708" s="92"/>
      <c r="K708" s="92"/>
      <c r="L708" s="92"/>
      <c r="M708" s="92"/>
      <c r="N708" s="94"/>
      <c r="AG708" s="100"/>
      <c r="AH708" s="101"/>
      <c r="AI708" s="101"/>
      <c r="AJ708" s="100"/>
      <c r="AK708" s="100"/>
      <c r="AL708" s="100"/>
      <c r="AM708" s="100"/>
      <c r="AN708" s="100"/>
      <c r="AO708" s="100"/>
      <c r="AP708" s="100"/>
      <c r="AQ708" s="100"/>
      <c r="AR708" s="100"/>
      <c r="AS708" s="100"/>
      <c r="AT708" s="102"/>
      <c r="AX708" s="100"/>
      <c r="AY708" s="101"/>
      <c r="AZ708" s="101"/>
      <c r="BA708" s="100"/>
      <c r="BB708" s="100"/>
      <c r="BC708" s="100"/>
      <c r="BD708" s="100"/>
      <c r="BE708" s="100"/>
      <c r="BF708" s="100"/>
      <c r="BG708" s="100"/>
      <c r="BH708" s="100"/>
      <c r="BI708" s="100"/>
      <c r="BJ708" s="100"/>
      <c r="BK708" s="102"/>
      <c r="BN708" s="36"/>
    </row>
    <row r="709" spans="1:66" x14ac:dyDescent="0.25">
      <c r="A709" s="92"/>
      <c r="B709" s="93"/>
      <c r="C709" s="93"/>
      <c r="D709" s="93"/>
      <c r="E709" s="92"/>
      <c r="F709" s="92"/>
      <c r="G709" s="92"/>
      <c r="H709" s="92"/>
      <c r="I709" s="92"/>
      <c r="J709" s="92"/>
      <c r="K709" s="92"/>
      <c r="L709" s="92"/>
      <c r="M709" s="92"/>
      <c r="N709" s="94"/>
      <c r="AG709" s="100"/>
      <c r="AH709" s="101"/>
      <c r="AI709" s="101"/>
      <c r="AJ709" s="100"/>
      <c r="AK709" s="100"/>
      <c r="AL709" s="100"/>
      <c r="AM709" s="100"/>
      <c r="AN709" s="100"/>
      <c r="AO709" s="100"/>
      <c r="AP709" s="100"/>
      <c r="AQ709" s="100"/>
      <c r="AR709" s="100"/>
      <c r="AS709" s="100"/>
      <c r="AT709" s="102"/>
      <c r="AX709" s="100"/>
      <c r="AY709" s="101"/>
      <c r="AZ709" s="101"/>
      <c r="BA709" s="100"/>
      <c r="BB709" s="100"/>
      <c r="BC709" s="100"/>
      <c r="BD709" s="100"/>
      <c r="BE709" s="100"/>
      <c r="BF709" s="100"/>
      <c r="BG709" s="100"/>
      <c r="BH709" s="100"/>
      <c r="BI709" s="100"/>
      <c r="BJ709" s="100"/>
      <c r="BK709" s="102"/>
      <c r="BN709" s="36"/>
    </row>
    <row r="710" spans="1:66" x14ac:dyDescent="0.25">
      <c r="A710" s="92"/>
      <c r="B710" s="93"/>
      <c r="C710" s="93"/>
      <c r="D710" s="92"/>
      <c r="E710" s="92"/>
      <c r="F710" s="92"/>
      <c r="G710" s="92"/>
      <c r="H710" s="92"/>
      <c r="I710" s="92"/>
      <c r="J710" s="92"/>
      <c r="K710" s="92"/>
      <c r="L710" s="92"/>
      <c r="M710" s="92"/>
      <c r="N710" s="94"/>
      <c r="AG710" s="100"/>
      <c r="AH710" s="101"/>
      <c r="AI710" s="101"/>
      <c r="AJ710" s="100"/>
      <c r="AK710" s="100"/>
      <c r="AL710" s="100"/>
      <c r="AM710" s="100"/>
      <c r="AN710" s="100"/>
      <c r="AO710" s="100"/>
      <c r="AP710" s="100"/>
      <c r="AQ710" s="100"/>
      <c r="AR710" s="100"/>
      <c r="AS710" s="100"/>
      <c r="AT710" s="102"/>
      <c r="AX710" s="100"/>
      <c r="AY710" s="101"/>
      <c r="AZ710" s="101"/>
      <c r="BA710" s="100"/>
      <c r="BB710" s="100"/>
      <c r="BC710" s="100"/>
      <c r="BD710" s="100"/>
      <c r="BE710" s="100"/>
      <c r="BF710" s="100"/>
      <c r="BG710" s="100"/>
      <c r="BH710" s="100"/>
      <c r="BI710" s="100"/>
      <c r="BJ710" s="100"/>
      <c r="BK710" s="102"/>
      <c r="BN710" s="36"/>
    </row>
    <row r="711" spans="1:66" x14ac:dyDescent="0.25">
      <c r="A711" s="92"/>
      <c r="B711" s="93"/>
      <c r="C711" s="93"/>
      <c r="D711" s="92"/>
      <c r="E711" s="92"/>
      <c r="F711" s="92"/>
      <c r="G711" s="92"/>
      <c r="H711" s="92"/>
      <c r="I711" s="92"/>
      <c r="J711" s="92"/>
      <c r="K711" s="92"/>
      <c r="L711" s="92"/>
      <c r="M711" s="92"/>
      <c r="N711" s="94"/>
      <c r="AG711" s="100"/>
      <c r="AH711" s="101"/>
      <c r="AI711" s="101"/>
      <c r="AJ711" s="100"/>
      <c r="AK711" s="100"/>
      <c r="AL711" s="100"/>
      <c r="AM711" s="100"/>
      <c r="AN711" s="100"/>
      <c r="AO711" s="100"/>
      <c r="AP711" s="100"/>
      <c r="AQ711" s="100"/>
      <c r="AR711" s="100"/>
      <c r="AS711" s="100"/>
      <c r="AT711" s="102"/>
      <c r="AX711" s="100"/>
      <c r="AY711" s="101"/>
      <c r="AZ711" s="101"/>
      <c r="BA711" s="100"/>
      <c r="BB711" s="100"/>
      <c r="BC711" s="100"/>
      <c r="BD711" s="100"/>
      <c r="BE711" s="100"/>
      <c r="BF711" s="100"/>
      <c r="BG711" s="100"/>
      <c r="BH711" s="100"/>
      <c r="BI711" s="100"/>
      <c r="BJ711" s="100"/>
      <c r="BK711" s="102"/>
      <c r="BN711" s="36"/>
    </row>
    <row r="712" spans="1:66" x14ac:dyDescent="0.25">
      <c r="A712" s="92"/>
      <c r="B712" s="93"/>
      <c r="C712" s="93"/>
      <c r="D712" s="92"/>
      <c r="E712" s="92"/>
      <c r="F712" s="92"/>
      <c r="G712" s="92"/>
      <c r="H712" s="92"/>
      <c r="I712" s="92"/>
      <c r="J712" s="92"/>
      <c r="K712" s="92"/>
      <c r="L712" s="92"/>
      <c r="M712" s="92"/>
      <c r="N712" s="94"/>
      <c r="AG712" s="100"/>
      <c r="AH712" s="101"/>
      <c r="AI712" s="101"/>
      <c r="AJ712" s="100"/>
      <c r="AK712" s="100"/>
      <c r="AL712" s="100"/>
      <c r="AM712" s="100"/>
      <c r="AN712" s="100"/>
      <c r="AO712" s="100"/>
      <c r="AP712" s="100"/>
      <c r="AQ712" s="100"/>
      <c r="AR712" s="100"/>
      <c r="AS712" s="100"/>
      <c r="AT712" s="102"/>
      <c r="AX712" s="100"/>
      <c r="AY712" s="101"/>
      <c r="AZ712" s="101"/>
      <c r="BA712" s="101"/>
      <c r="BB712" s="100"/>
      <c r="BC712" s="100"/>
      <c r="BD712" s="100"/>
      <c r="BE712" s="100"/>
      <c r="BF712" s="100"/>
      <c r="BG712" s="100"/>
      <c r="BH712" s="100"/>
      <c r="BI712" s="100"/>
      <c r="BJ712" s="100"/>
      <c r="BK712" s="102"/>
      <c r="BN712" s="36"/>
    </row>
    <row r="713" spans="1:66" x14ac:dyDescent="0.25">
      <c r="A713" s="92"/>
      <c r="B713" s="93"/>
      <c r="C713" s="93"/>
      <c r="D713" s="92"/>
      <c r="E713" s="92"/>
      <c r="F713" s="92"/>
      <c r="G713" s="92"/>
      <c r="H713" s="92"/>
      <c r="I713" s="92"/>
      <c r="J713" s="92"/>
      <c r="K713" s="92"/>
      <c r="L713" s="92"/>
      <c r="M713" s="92"/>
      <c r="N713" s="94"/>
      <c r="AG713" s="100"/>
      <c r="AH713" s="101"/>
      <c r="AI713" s="101"/>
      <c r="AJ713" s="100"/>
      <c r="AK713" s="100"/>
      <c r="AL713" s="100"/>
      <c r="AM713" s="100"/>
      <c r="AN713" s="100"/>
      <c r="AO713" s="100"/>
      <c r="AP713" s="100"/>
      <c r="AQ713" s="100"/>
      <c r="AR713" s="100"/>
      <c r="AS713" s="100"/>
      <c r="AT713" s="102"/>
      <c r="AX713" s="100"/>
      <c r="AY713" s="101"/>
      <c r="AZ713" s="101"/>
      <c r="BA713" s="100"/>
      <c r="BB713" s="100"/>
      <c r="BC713" s="100"/>
      <c r="BD713" s="100"/>
      <c r="BE713" s="100"/>
      <c r="BF713" s="100"/>
      <c r="BG713" s="100"/>
      <c r="BH713" s="100"/>
      <c r="BI713" s="100"/>
      <c r="BJ713" s="100"/>
      <c r="BK713" s="102"/>
      <c r="BN713" s="36"/>
    </row>
    <row r="714" spans="1:66" x14ac:dyDescent="0.25">
      <c r="A714" s="92"/>
      <c r="B714" s="93"/>
      <c r="C714" s="93"/>
      <c r="D714" s="92"/>
      <c r="E714" s="92"/>
      <c r="F714" s="92"/>
      <c r="G714" s="92"/>
      <c r="H714" s="92"/>
      <c r="I714" s="92"/>
      <c r="J714" s="92"/>
      <c r="K714" s="92"/>
      <c r="L714" s="92"/>
      <c r="M714" s="92"/>
      <c r="N714" s="94"/>
      <c r="AG714" s="100"/>
      <c r="AH714" s="101"/>
      <c r="AI714" s="101"/>
      <c r="AJ714" s="100"/>
      <c r="AK714" s="100"/>
      <c r="AL714" s="100"/>
      <c r="AM714" s="100"/>
      <c r="AN714" s="100"/>
      <c r="AO714" s="100"/>
      <c r="AP714" s="100"/>
      <c r="AQ714" s="100"/>
      <c r="AR714" s="100"/>
      <c r="AS714" s="100"/>
      <c r="AT714" s="102"/>
      <c r="AX714" s="100"/>
      <c r="AY714" s="101"/>
      <c r="AZ714" s="101"/>
      <c r="BA714" s="100"/>
      <c r="BB714" s="100"/>
      <c r="BC714" s="100"/>
      <c r="BD714" s="100"/>
      <c r="BE714" s="100"/>
      <c r="BF714" s="100"/>
      <c r="BG714" s="100"/>
      <c r="BH714" s="100"/>
      <c r="BI714" s="100"/>
      <c r="BJ714" s="100"/>
      <c r="BK714" s="102"/>
      <c r="BN714" s="36"/>
    </row>
    <row r="715" spans="1:66" x14ac:dyDescent="0.25">
      <c r="A715" s="92"/>
      <c r="B715" s="93"/>
      <c r="C715" s="93"/>
      <c r="D715" s="92"/>
      <c r="E715" s="92"/>
      <c r="F715" s="92"/>
      <c r="G715" s="92"/>
      <c r="H715" s="92"/>
      <c r="I715" s="92"/>
      <c r="J715" s="92"/>
      <c r="K715" s="92"/>
      <c r="L715" s="92"/>
      <c r="M715" s="92"/>
      <c r="N715" s="94"/>
      <c r="AG715" s="100"/>
      <c r="AH715" s="101"/>
      <c r="AI715" s="101"/>
      <c r="AJ715" s="100"/>
      <c r="AK715" s="100"/>
      <c r="AL715" s="100"/>
      <c r="AM715" s="100"/>
      <c r="AN715" s="100"/>
      <c r="AO715" s="100"/>
      <c r="AP715" s="100"/>
      <c r="AQ715" s="100"/>
      <c r="AR715" s="100"/>
      <c r="AS715" s="100"/>
      <c r="AT715" s="102"/>
      <c r="AX715" s="100"/>
      <c r="AY715" s="101"/>
      <c r="AZ715" s="101"/>
      <c r="BA715" s="100"/>
      <c r="BB715" s="100"/>
      <c r="BC715" s="100"/>
      <c r="BD715" s="100"/>
      <c r="BE715" s="100"/>
      <c r="BF715" s="100"/>
      <c r="BG715" s="100"/>
      <c r="BH715" s="100"/>
      <c r="BI715" s="100"/>
      <c r="BJ715" s="100"/>
      <c r="BK715" s="102"/>
      <c r="BN715" s="36"/>
    </row>
    <row r="716" spans="1:66" x14ac:dyDescent="0.25">
      <c r="A716" s="92"/>
      <c r="B716" s="92"/>
      <c r="C716" s="92"/>
      <c r="D716" s="92"/>
      <c r="E716" s="92"/>
      <c r="F716" s="92"/>
      <c r="G716" s="92"/>
      <c r="H716" s="92"/>
      <c r="I716" s="92"/>
      <c r="J716" s="92"/>
      <c r="K716" s="92"/>
      <c r="L716" s="92"/>
      <c r="M716" s="92"/>
      <c r="N716" s="92"/>
      <c r="AG716" s="100"/>
      <c r="AH716" s="101"/>
      <c r="AI716" s="101"/>
      <c r="AJ716" s="100"/>
      <c r="AK716" s="100"/>
      <c r="AL716" s="100"/>
      <c r="AM716" s="100"/>
      <c r="AN716" s="100"/>
      <c r="AO716" s="100"/>
      <c r="AP716" s="100"/>
      <c r="AQ716" s="100"/>
      <c r="AR716" s="100"/>
      <c r="AS716" s="100"/>
      <c r="AT716" s="102"/>
      <c r="AX716" s="100"/>
      <c r="AY716" s="101"/>
      <c r="AZ716" s="101"/>
      <c r="BA716" s="101"/>
      <c r="BB716" s="100"/>
      <c r="BC716" s="100"/>
      <c r="BD716" s="100"/>
      <c r="BE716" s="100"/>
      <c r="BF716" s="100"/>
      <c r="BG716" s="100"/>
      <c r="BH716" s="100"/>
      <c r="BI716" s="100"/>
      <c r="BJ716" s="100"/>
      <c r="BK716" s="102"/>
      <c r="BN716" s="36"/>
    </row>
    <row r="717" spans="1:66" x14ac:dyDescent="0.25">
      <c r="A717" s="92"/>
      <c r="B717" s="92"/>
      <c r="C717" s="92"/>
      <c r="D717" s="92"/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AG717" s="100"/>
      <c r="AH717" s="101"/>
      <c r="AI717" s="101"/>
      <c r="AJ717" s="100"/>
      <c r="AK717" s="100"/>
      <c r="AL717" s="100"/>
      <c r="AM717" s="100"/>
      <c r="AN717" s="100"/>
      <c r="AO717" s="100"/>
      <c r="AP717" s="100"/>
      <c r="AQ717" s="100"/>
      <c r="AR717" s="100"/>
      <c r="AS717" s="100"/>
      <c r="AT717" s="102"/>
      <c r="AX717" s="100"/>
      <c r="AY717" s="101"/>
      <c r="AZ717" s="101"/>
      <c r="BA717" s="100"/>
      <c r="BB717" s="100"/>
      <c r="BC717" s="100"/>
      <c r="BD717" s="100"/>
      <c r="BE717" s="100"/>
      <c r="BF717" s="100"/>
      <c r="BG717" s="100"/>
      <c r="BH717" s="100"/>
      <c r="BI717" s="100"/>
      <c r="BJ717" s="100"/>
      <c r="BK717" s="102"/>
      <c r="BN717" s="36"/>
    </row>
    <row r="718" spans="1:66" x14ac:dyDescent="0.25">
      <c r="A718" s="92"/>
      <c r="B718" s="92"/>
      <c r="C718" s="92"/>
      <c r="D718" s="92"/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AG718" s="100"/>
      <c r="AH718" s="101"/>
      <c r="AI718" s="101"/>
      <c r="AJ718" s="101"/>
      <c r="AK718" s="100"/>
      <c r="AL718" s="100"/>
      <c r="AM718" s="100"/>
      <c r="AN718" s="100"/>
      <c r="AO718" s="100"/>
      <c r="AP718" s="100"/>
      <c r="AQ718" s="100"/>
      <c r="AR718" s="100"/>
      <c r="AS718" s="100"/>
      <c r="AT718" s="102"/>
      <c r="AX718" s="100"/>
      <c r="AY718" s="101"/>
      <c r="AZ718" s="101"/>
      <c r="BA718" s="100"/>
      <c r="BB718" s="100"/>
      <c r="BC718" s="100"/>
      <c r="BD718" s="100"/>
      <c r="BE718" s="100"/>
      <c r="BF718" s="100"/>
      <c r="BG718" s="100"/>
      <c r="BH718" s="100"/>
      <c r="BI718" s="100"/>
      <c r="BJ718" s="100"/>
      <c r="BK718" s="102"/>
      <c r="BN718" s="36"/>
    </row>
    <row r="719" spans="1:66" x14ac:dyDescent="0.25">
      <c r="A719" s="92"/>
      <c r="B719" s="93"/>
      <c r="C719" s="93"/>
      <c r="D719" s="92"/>
      <c r="E719" s="92"/>
      <c r="F719" s="92"/>
      <c r="G719" s="92"/>
      <c r="H719" s="92"/>
      <c r="I719" s="92"/>
      <c r="J719" s="92"/>
      <c r="K719" s="92"/>
      <c r="L719" s="92"/>
      <c r="M719" s="92"/>
      <c r="N719" s="94"/>
      <c r="AG719" s="100"/>
      <c r="AH719" s="101"/>
      <c r="AI719" s="101"/>
      <c r="AJ719" s="100"/>
      <c r="AK719" s="100"/>
      <c r="AL719" s="100"/>
      <c r="AM719" s="100"/>
      <c r="AN719" s="100"/>
      <c r="AO719" s="100"/>
      <c r="AP719" s="100"/>
      <c r="AQ719" s="100"/>
      <c r="AR719" s="100"/>
      <c r="AS719" s="100"/>
      <c r="AT719" s="102"/>
      <c r="AX719" s="100"/>
      <c r="AY719" s="101"/>
      <c r="AZ719" s="101"/>
      <c r="BA719" s="101"/>
      <c r="BB719" s="100"/>
      <c r="BC719" s="100"/>
      <c r="BD719" s="100"/>
      <c r="BE719" s="100"/>
      <c r="BF719" s="100"/>
      <c r="BG719" s="100"/>
      <c r="BH719" s="100"/>
      <c r="BI719" s="100"/>
      <c r="BJ719" s="100"/>
      <c r="BK719" s="102"/>
      <c r="BN719" s="36"/>
    </row>
    <row r="720" spans="1:66" x14ac:dyDescent="0.25">
      <c r="A720" s="92"/>
      <c r="B720" s="92"/>
      <c r="C720" s="92"/>
      <c r="D720" s="92"/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AG720" s="100"/>
      <c r="AH720" s="101"/>
      <c r="AI720" s="101"/>
      <c r="AJ720" s="101"/>
      <c r="AK720" s="100"/>
      <c r="AL720" s="100"/>
      <c r="AM720" s="100"/>
      <c r="AN720" s="100"/>
      <c r="AO720" s="100"/>
      <c r="AP720" s="100"/>
      <c r="AQ720" s="100"/>
      <c r="AR720" s="100"/>
      <c r="AS720" s="100"/>
      <c r="AT720" s="102"/>
      <c r="AX720" s="100"/>
      <c r="AY720" s="101"/>
      <c r="AZ720" s="101"/>
      <c r="BA720" s="100"/>
      <c r="BB720" s="100"/>
      <c r="BC720" s="100"/>
      <c r="BD720" s="100"/>
      <c r="BE720" s="100"/>
      <c r="BF720" s="100"/>
      <c r="BG720" s="100"/>
      <c r="BH720" s="100"/>
      <c r="BI720" s="100"/>
      <c r="BJ720" s="100"/>
      <c r="BK720" s="102"/>
      <c r="BN720" s="36"/>
    </row>
    <row r="721" spans="1:66" x14ac:dyDescent="0.25">
      <c r="A721" s="92"/>
      <c r="B721" s="93"/>
      <c r="C721" s="93"/>
      <c r="D721" s="93"/>
      <c r="E721" s="92"/>
      <c r="F721" s="92"/>
      <c r="G721" s="92"/>
      <c r="H721" s="92"/>
      <c r="I721" s="92"/>
      <c r="J721" s="92"/>
      <c r="K721" s="92"/>
      <c r="L721" s="92"/>
      <c r="M721" s="92"/>
      <c r="N721" s="94"/>
      <c r="AG721" s="100"/>
      <c r="AH721" s="101"/>
      <c r="AI721" s="101"/>
      <c r="AJ721" s="100"/>
      <c r="AK721" s="100"/>
      <c r="AL721" s="100"/>
      <c r="AM721" s="100"/>
      <c r="AN721" s="100"/>
      <c r="AO721" s="100"/>
      <c r="AP721" s="100"/>
      <c r="AQ721" s="100"/>
      <c r="AR721" s="100"/>
      <c r="AS721" s="100"/>
      <c r="AT721" s="102"/>
      <c r="AX721" s="100"/>
      <c r="AY721" s="101"/>
      <c r="AZ721" s="101"/>
      <c r="BA721" s="100"/>
      <c r="BB721" s="100"/>
      <c r="BC721" s="100"/>
      <c r="BD721" s="100"/>
      <c r="BE721" s="100"/>
      <c r="BF721" s="100"/>
      <c r="BG721" s="100"/>
      <c r="BH721" s="100"/>
      <c r="BI721" s="100"/>
      <c r="BJ721" s="100"/>
      <c r="BK721" s="102"/>
      <c r="BN721" s="36"/>
    </row>
    <row r="722" spans="1:66" x14ac:dyDescent="0.25">
      <c r="A722" s="92"/>
      <c r="B722" s="92"/>
      <c r="C722" s="92"/>
      <c r="D722" s="92"/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AG722" s="100"/>
      <c r="AH722" s="101"/>
      <c r="AI722" s="101"/>
      <c r="AJ722" s="101"/>
      <c r="AK722" s="100"/>
      <c r="AL722" s="100"/>
      <c r="AM722" s="100"/>
      <c r="AN722" s="100"/>
      <c r="AO722" s="100"/>
      <c r="AP722" s="100"/>
      <c r="AQ722" s="100"/>
      <c r="AR722" s="100"/>
      <c r="AS722" s="100"/>
      <c r="AT722" s="102"/>
      <c r="AX722" s="100"/>
      <c r="AY722" s="101"/>
      <c r="AZ722" s="101"/>
      <c r="BA722" s="100"/>
      <c r="BB722" s="100"/>
      <c r="BC722" s="100"/>
      <c r="BD722" s="100"/>
      <c r="BE722" s="100"/>
      <c r="BF722" s="100"/>
      <c r="BG722" s="100"/>
      <c r="BH722" s="100"/>
      <c r="BI722" s="100"/>
      <c r="BJ722" s="100"/>
      <c r="BK722" s="102"/>
      <c r="BN722" s="36"/>
    </row>
    <row r="723" spans="1:66" x14ac:dyDescent="0.25">
      <c r="A723" s="92"/>
      <c r="B723" s="93"/>
      <c r="C723" s="93"/>
      <c r="D723" s="92"/>
      <c r="E723" s="92"/>
      <c r="F723" s="92"/>
      <c r="G723" s="92"/>
      <c r="H723" s="92"/>
      <c r="I723" s="92"/>
      <c r="J723" s="92"/>
      <c r="K723" s="92"/>
      <c r="L723" s="92"/>
      <c r="M723" s="92"/>
      <c r="N723" s="94"/>
      <c r="AG723" s="100"/>
      <c r="AH723" s="101"/>
      <c r="AI723" s="101"/>
      <c r="AJ723" s="101"/>
      <c r="AK723" s="100"/>
      <c r="AL723" s="100"/>
      <c r="AM723" s="100"/>
      <c r="AN723" s="100"/>
      <c r="AO723" s="100"/>
      <c r="AP723" s="100"/>
      <c r="AQ723" s="100"/>
      <c r="AR723" s="100"/>
      <c r="AS723" s="100"/>
      <c r="AT723" s="102"/>
      <c r="AX723" s="100"/>
      <c r="AY723" s="101"/>
      <c r="AZ723" s="101"/>
      <c r="BA723" s="101"/>
      <c r="BB723" s="100"/>
      <c r="BC723" s="100"/>
      <c r="BD723" s="100"/>
      <c r="BE723" s="100"/>
      <c r="BF723" s="100"/>
      <c r="BG723" s="100"/>
      <c r="BH723" s="100"/>
      <c r="BI723" s="100"/>
      <c r="BJ723" s="100"/>
      <c r="BK723" s="102"/>
      <c r="BN723" s="36"/>
    </row>
    <row r="724" spans="1:66" x14ac:dyDescent="0.25">
      <c r="A724" s="92"/>
      <c r="B724" s="93"/>
      <c r="C724" s="93"/>
      <c r="D724" s="92"/>
      <c r="E724" s="92"/>
      <c r="F724" s="92"/>
      <c r="G724" s="92"/>
      <c r="H724" s="92"/>
      <c r="I724" s="92"/>
      <c r="J724" s="92"/>
      <c r="K724" s="92"/>
      <c r="L724" s="92"/>
      <c r="M724" s="92"/>
      <c r="N724" s="94"/>
      <c r="AG724" s="100"/>
      <c r="AH724" s="101"/>
      <c r="AI724" s="101"/>
      <c r="AJ724" s="100"/>
      <c r="AK724" s="100"/>
      <c r="AL724" s="100"/>
      <c r="AM724" s="100"/>
      <c r="AN724" s="100"/>
      <c r="AO724" s="100"/>
      <c r="AP724" s="100"/>
      <c r="AQ724" s="100"/>
      <c r="AR724" s="100"/>
      <c r="AS724" s="100"/>
      <c r="AT724" s="102"/>
      <c r="AX724" s="100"/>
      <c r="AY724" s="101"/>
      <c r="AZ724" s="101"/>
      <c r="BA724" s="100"/>
      <c r="BB724" s="100"/>
      <c r="BC724" s="100"/>
      <c r="BD724" s="100"/>
      <c r="BE724" s="100"/>
      <c r="BF724" s="100"/>
      <c r="BG724" s="100"/>
      <c r="BH724" s="100"/>
      <c r="BI724" s="100"/>
      <c r="BJ724" s="100"/>
      <c r="BK724" s="102"/>
      <c r="BN724" s="36"/>
    </row>
    <row r="725" spans="1:66" x14ac:dyDescent="0.25">
      <c r="A725" s="92"/>
      <c r="B725" s="92"/>
      <c r="C725" s="92"/>
      <c r="D725" s="92"/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AG725" s="100"/>
      <c r="AH725" s="101"/>
      <c r="AI725" s="101"/>
      <c r="AJ725" s="100"/>
      <c r="AK725" s="100"/>
      <c r="AL725" s="100"/>
      <c r="AM725" s="100"/>
      <c r="AN725" s="100"/>
      <c r="AO725" s="100"/>
      <c r="AP725" s="100"/>
      <c r="AQ725" s="100"/>
      <c r="AR725" s="100"/>
      <c r="AS725" s="100"/>
      <c r="AT725" s="102"/>
      <c r="AX725" s="100"/>
      <c r="AY725" s="101"/>
      <c r="AZ725" s="101"/>
      <c r="BA725" s="101"/>
      <c r="BB725" s="100"/>
      <c r="BC725" s="100"/>
      <c r="BD725" s="100"/>
      <c r="BE725" s="100"/>
      <c r="BF725" s="100"/>
      <c r="BG725" s="100"/>
      <c r="BH725" s="100"/>
      <c r="BI725" s="100"/>
      <c r="BJ725" s="100"/>
      <c r="BK725" s="102"/>
      <c r="BN725" s="36"/>
    </row>
    <row r="726" spans="1:66" x14ac:dyDescent="0.25">
      <c r="A726" s="92"/>
      <c r="B726" s="92"/>
      <c r="C726" s="92"/>
      <c r="D726" s="92"/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AG726" s="100"/>
      <c r="AH726" s="101"/>
      <c r="AI726" s="101"/>
      <c r="AJ726" s="100"/>
      <c r="AK726" s="100"/>
      <c r="AL726" s="100"/>
      <c r="AM726" s="100"/>
      <c r="AN726" s="100"/>
      <c r="AO726" s="100"/>
      <c r="AP726" s="100"/>
      <c r="AQ726" s="100"/>
      <c r="AR726" s="100"/>
      <c r="AS726" s="100"/>
      <c r="AT726" s="102"/>
      <c r="AX726" s="100"/>
      <c r="AY726" s="101"/>
      <c r="AZ726" s="101"/>
      <c r="BA726" s="101"/>
      <c r="BB726" s="100"/>
      <c r="BC726" s="100"/>
      <c r="BD726" s="100"/>
      <c r="BE726" s="100"/>
      <c r="BF726" s="100"/>
      <c r="BG726" s="100"/>
      <c r="BH726" s="100"/>
      <c r="BI726" s="100"/>
      <c r="BJ726" s="100"/>
      <c r="BK726" s="102"/>
      <c r="BN726" s="36"/>
    </row>
    <row r="727" spans="1:66" x14ac:dyDescent="0.25">
      <c r="A727" s="92"/>
      <c r="B727" s="92"/>
      <c r="C727" s="92"/>
      <c r="D727" s="92"/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AG727" s="100"/>
      <c r="AH727" s="101"/>
      <c r="AI727" s="101"/>
      <c r="AJ727" s="100"/>
      <c r="AK727" s="100"/>
      <c r="AL727" s="100"/>
      <c r="AM727" s="100"/>
      <c r="AN727" s="100"/>
      <c r="AO727" s="100"/>
      <c r="AP727" s="100"/>
      <c r="AQ727" s="100"/>
      <c r="AR727" s="100"/>
      <c r="AS727" s="100"/>
      <c r="AT727" s="102"/>
      <c r="AX727" s="100"/>
      <c r="AY727" s="101"/>
      <c r="AZ727" s="101"/>
      <c r="BA727" s="100"/>
      <c r="BB727" s="100"/>
      <c r="BC727" s="100"/>
      <c r="BD727" s="100"/>
      <c r="BE727" s="100"/>
      <c r="BF727" s="100"/>
      <c r="BG727" s="100"/>
      <c r="BH727" s="100"/>
      <c r="BI727" s="100"/>
      <c r="BJ727" s="100"/>
      <c r="BK727" s="102"/>
      <c r="BN727" s="36"/>
    </row>
    <row r="728" spans="1:66" x14ac:dyDescent="0.25">
      <c r="A728" s="92"/>
      <c r="B728" s="92"/>
      <c r="C728" s="92"/>
      <c r="D728" s="92"/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AG728" s="100"/>
      <c r="AH728" s="101"/>
      <c r="AI728" s="101"/>
      <c r="AJ728" s="100"/>
      <c r="AK728" s="100"/>
      <c r="AL728" s="100"/>
      <c r="AM728" s="100"/>
      <c r="AN728" s="100"/>
      <c r="AO728" s="100"/>
      <c r="AP728" s="100"/>
      <c r="AQ728" s="100"/>
      <c r="AR728" s="100"/>
      <c r="AS728" s="100"/>
      <c r="AT728" s="102"/>
      <c r="AX728" s="100"/>
      <c r="AY728" s="101"/>
      <c r="AZ728" s="101"/>
      <c r="BA728" s="100"/>
      <c r="BB728" s="100"/>
      <c r="BC728" s="100"/>
      <c r="BD728" s="100"/>
      <c r="BE728" s="100"/>
      <c r="BF728" s="100"/>
      <c r="BG728" s="100"/>
      <c r="BH728" s="100"/>
      <c r="BI728" s="100"/>
      <c r="BJ728" s="100"/>
      <c r="BK728" s="102"/>
      <c r="BN728" s="36"/>
    </row>
    <row r="729" spans="1:66" x14ac:dyDescent="0.25">
      <c r="A729" s="92"/>
      <c r="B729" s="92"/>
      <c r="C729" s="92"/>
      <c r="D729" s="92"/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AG729" s="100"/>
      <c r="AH729" s="101"/>
      <c r="AI729" s="101"/>
      <c r="AJ729" s="100"/>
      <c r="AK729" s="100"/>
      <c r="AL729" s="100"/>
      <c r="AM729" s="100"/>
      <c r="AN729" s="100"/>
      <c r="AO729" s="100"/>
      <c r="AP729" s="100"/>
      <c r="AQ729" s="100"/>
      <c r="AR729" s="100"/>
      <c r="AS729" s="100"/>
      <c r="AT729" s="102"/>
      <c r="AX729" s="100"/>
      <c r="AY729" s="101"/>
      <c r="AZ729" s="101"/>
      <c r="BA729" s="100"/>
      <c r="BB729" s="100"/>
      <c r="BC729" s="100"/>
      <c r="BD729" s="100"/>
      <c r="BE729" s="100"/>
      <c r="BF729" s="100"/>
      <c r="BG729" s="100"/>
      <c r="BH729" s="100"/>
      <c r="BI729" s="100"/>
      <c r="BJ729" s="100"/>
      <c r="BK729" s="102"/>
      <c r="BN729" s="36"/>
    </row>
    <row r="730" spans="1:66" x14ac:dyDescent="0.25">
      <c r="A730" s="92"/>
      <c r="B730" s="92"/>
      <c r="C730" s="92"/>
      <c r="D730" s="92"/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AG730" s="100"/>
      <c r="AH730" s="101"/>
      <c r="AI730" s="101"/>
      <c r="AJ730" s="100"/>
      <c r="AK730" s="100"/>
      <c r="AL730" s="100"/>
      <c r="AM730" s="100"/>
      <c r="AN730" s="100"/>
      <c r="AO730" s="100"/>
      <c r="AP730" s="100"/>
      <c r="AQ730" s="100"/>
      <c r="AR730" s="100"/>
      <c r="AS730" s="100"/>
      <c r="AT730" s="102"/>
      <c r="AX730" s="100"/>
      <c r="AY730" s="101"/>
      <c r="AZ730" s="101"/>
      <c r="BA730" s="100"/>
      <c r="BB730" s="100"/>
      <c r="BC730" s="100"/>
      <c r="BD730" s="100"/>
      <c r="BE730" s="100"/>
      <c r="BF730" s="100"/>
      <c r="BG730" s="100"/>
      <c r="BH730" s="100"/>
      <c r="BI730" s="100"/>
      <c r="BJ730" s="100"/>
      <c r="BK730" s="102"/>
      <c r="BN730" s="36"/>
    </row>
    <row r="731" spans="1:66" x14ac:dyDescent="0.25">
      <c r="A731" s="92"/>
      <c r="B731" s="92"/>
      <c r="C731" s="92"/>
      <c r="D731" s="92"/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AG731" s="100"/>
      <c r="AH731" s="101"/>
      <c r="AI731" s="101"/>
      <c r="AJ731" s="101"/>
      <c r="AK731" s="100"/>
      <c r="AL731" s="100"/>
      <c r="AM731" s="100"/>
      <c r="AN731" s="100"/>
      <c r="AO731" s="100"/>
      <c r="AP731" s="100"/>
      <c r="AQ731" s="100"/>
      <c r="AR731" s="100"/>
      <c r="AS731" s="100"/>
      <c r="AT731" s="102"/>
      <c r="AX731" s="100"/>
      <c r="AY731" s="101"/>
      <c r="AZ731" s="101"/>
      <c r="BA731" s="100"/>
      <c r="BB731" s="100"/>
      <c r="BC731" s="100"/>
      <c r="BD731" s="100"/>
      <c r="BE731" s="100"/>
      <c r="BF731" s="100"/>
      <c r="BG731" s="100"/>
      <c r="BH731" s="100"/>
      <c r="BI731" s="100"/>
      <c r="BJ731" s="100"/>
      <c r="BK731" s="102"/>
      <c r="BN731" s="36"/>
    </row>
    <row r="732" spans="1:66" x14ac:dyDescent="0.25">
      <c r="A732" s="92"/>
      <c r="B732" s="92"/>
      <c r="C732" s="92"/>
      <c r="D732" s="92"/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AG732" s="100"/>
      <c r="AH732" s="101"/>
      <c r="AI732" s="101"/>
      <c r="AJ732" s="100"/>
      <c r="AK732" s="100"/>
      <c r="AL732" s="100"/>
      <c r="AM732" s="100"/>
      <c r="AN732" s="100"/>
      <c r="AO732" s="100"/>
      <c r="AP732" s="100"/>
      <c r="AQ732" s="100"/>
      <c r="AR732" s="100"/>
      <c r="AS732" s="100"/>
      <c r="AT732" s="102"/>
      <c r="AX732" s="100"/>
      <c r="AY732" s="101"/>
      <c r="AZ732" s="101"/>
      <c r="BA732" s="100"/>
      <c r="BB732" s="100"/>
      <c r="BC732" s="100"/>
      <c r="BD732" s="100"/>
      <c r="BE732" s="100"/>
      <c r="BF732" s="100"/>
      <c r="BG732" s="100"/>
      <c r="BH732" s="100"/>
      <c r="BI732" s="100"/>
      <c r="BJ732" s="100"/>
      <c r="BK732" s="102"/>
      <c r="BN732" s="36"/>
    </row>
    <row r="733" spans="1:66" x14ac:dyDescent="0.25">
      <c r="A733" s="92"/>
      <c r="B733" s="93"/>
      <c r="C733" s="93"/>
      <c r="D733" s="92"/>
      <c r="E733" s="92"/>
      <c r="F733" s="92"/>
      <c r="G733" s="92"/>
      <c r="H733" s="92"/>
      <c r="I733" s="92"/>
      <c r="J733" s="92"/>
      <c r="K733" s="92"/>
      <c r="L733" s="92"/>
      <c r="M733" s="92"/>
      <c r="N733" s="94"/>
      <c r="AG733" s="100"/>
      <c r="AH733" s="101"/>
      <c r="AI733" s="101"/>
      <c r="AJ733" s="100"/>
      <c r="AK733" s="100"/>
      <c r="AL733" s="100"/>
      <c r="AM733" s="100"/>
      <c r="AN733" s="100"/>
      <c r="AO733" s="100"/>
      <c r="AP733" s="100"/>
      <c r="AQ733" s="100"/>
      <c r="AR733" s="100"/>
      <c r="AS733" s="100"/>
      <c r="AT733" s="102"/>
      <c r="AX733" s="100"/>
      <c r="AY733" s="101"/>
      <c r="AZ733" s="101"/>
      <c r="BA733" s="100"/>
      <c r="BB733" s="100"/>
      <c r="BC733" s="100"/>
      <c r="BD733" s="100"/>
      <c r="BE733" s="100"/>
      <c r="BF733" s="100"/>
      <c r="BG733" s="100"/>
      <c r="BH733" s="100"/>
      <c r="BI733" s="100"/>
      <c r="BJ733" s="100"/>
      <c r="BK733" s="102"/>
      <c r="BN733" s="36"/>
    </row>
    <row r="734" spans="1:66" x14ac:dyDescent="0.25">
      <c r="A734" s="92"/>
      <c r="B734" s="93"/>
      <c r="C734" s="93"/>
      <c r="D734" s="92"/>
      <c r="E734" s="92"/>
      <c r="F734" s="92"/>
      <c r="G734" s="92"/>
      <c r="H734" s="92"/>
      <c r="I734" s="92"/>
      <c r="J734" s="92"/>
      <c r="K734" s="92"/>
      <c r="L734" s="92"/>
      <c r="M734" s="92"/>
      <c r="N734" s="94"/>
      <c r="AG734" s="100"/>
      <c r="AH734" s="101"/>
      <c r="AI734" s="101"/>
      <c r="AJ734" s="100"/>
      <c r="AK734" s="100"/>
      <c r="AL734" s="100"/>
      <c r="AM734" s="100"/>
      <c r="AN734" s="100"/>
      <c r="AO734" s="100"/>
      <c r="AP734" s="100"/>
      <c r="AQ734" s="100"/>
      <c r="AR734" s="100"/>
      <c r="AS734" s="100"/>
      <c r="AT734" s="102"/>
      <c r="AX734" s="100"/>
      <c r="AY734" s="101"/>
      <c r="AZ734" s="101"/>
      <c r="BA734" s="100"/>
      <c r="BB734" s="100"/>
      <c r="BC734" s="100"/>
      <c r="BD734" s="100"/>
      <c r="BE734" s="100"/>
      <c r="BF734" s="100"/>
      <c r="BG734" s="100"/>
      <c r="BH734" s="100"/>
      <c r="BI734" s="100"/>
      <c r="BJ734" s="100"/>
      <c r="BK734" s="102"/>
      <c r="BN734" s="36"/>
    </row>
    <row r="735" spans="1:66" x14ac:dyDescent="0.25">
      <c r="A735" s="92"/>
      <c r="B735" s="93"/>
      <c r="C735" s="93"/>
      <c r="D735" s="92"/>
      <c r="E735" s="92"/>
      <c r="F735" s="92"/>
      <c r="G735" s="92"/>
      <c r="H735" s="92"/>
      <c r="I735" s="92"/>
      <c r="J735" s="92"/>
      <c r="K735" s="92"/>
      <c r="L735" s="92"/>
      <c r="M735" s="92"/>
      <c r="N735" s="94"/>
      <c r="AG735" s="100"/>
      <c r="AH735" s="101"/>
      <c r="AI735" s="101"/>
      <c r="AJ735" s="100"/>
      <c r="AK735" s="100"/>
      <c r="AL735" s="100"/>
      <c r="AM735" s="100"/>
      <c r="AN735" s="100"/>
      <c r="AO735" s="100"/>
      <c r="AP735" s="100"/>
      <c r="AQ735" s="100"/>
      <c r="AR735" s="100"/>
      <c r="AS735" s="100"/>
      <c r="AT735" s="102"/>
      <c r="AX735" s="100"/>
      <c r="AY735" s="101"/>
      <c r="AZ735" s="101"/>
      <c r="BA735" s="100"/>
      <c r="BB735" s="100"/>
      <c r="BC735" s="100"/>
      <c r="BD735" s="100"/>
      <c r="BE735" s="100"/>
      <c r="BF735" s="100"/>
      <c r="BG735" s="100"/>
      <c r="BH735" s="100"/>
      <c r="BI735" s="100"/>
      <c r="BJ735" s="100"/>
      <c r="BK735" s="102"/>
      <c r="BN735" s="36"/>
    </row>
    <row r="736" spans="1:66" x14ac:dyDescent="0.25">
      <c r="A736" s="92"/>
      <c r="B736" s="93"/>
      <c r="C736" s="93"/>
      <c r="D736" s="92"/>
      <c r="E736" s="92"/>
      <c r="F736" s="92"/>
      <c r="G736" s="92"/>
      <c r="H736" s="92"/>
      <c r="I736" s="92"/>
      <c r="J736" s="92"/>
      <c r="K736" s="92"/>
      <c r="L736" s="92"/>
      <c r="M736" s="92"/>
      <c r="N736" s="94"/>
      <c r="AG736" s="100"/>
      <c r="AH736" s="101"/>
      <c r="AI736" s="101"/>
      <c r="AJ736" s="101"/>
      <c r="AK736" s="100"/>
      <c r="AL736" s="100"/>
      <c r="AM736" s="100"/>
      <c r="AN736" s="100"/>
      <c r="AO736" s="100"/>
      <c r="AP736" s="100"/>
      <c r="AQ736" s="100"/>
      <c r="AR736" s="100"/>
      <c r="AS736" s="100"/>
      <c r="AT736" s="102"/>
      <c r="AX736" s="100"/>
      <c r="AY736" s="101"/>
      <c r="AZ736" s="101"/>
      <c r="BA736" s="100"/>
      <c r="BB736" s="100"/>
      <c r="BC736" s="100"/>
      <c r="BD736" s="100"/>
      <c r="BE736" s="100"/>
      <c r="BF736" s="100"/>
      <c r="BG736" s="100"/>
      <c r="BH736" s="100"/>
      <c r="BI736" s="100"/>
      <c r="BJ736" s="100"/>
      <c r="BK736" s="102"/>
      <c r="BN736" s="36"/>
    </row>
    <row r="737" spans="1:66" x14ac:dyDescent="0.25">
      <c r="A737" s="92"/>
      <c r="B737" s="93"/>
      <c r="C737" s="93"/>
      <c r="D737" s="92"/>
      <c r="E737" s="92"/>
      <c r="F737" s="92"/>
      <c r="G737" s="92"/>
      <c r="H737" s="92"/>
      <c r="I737" s="92"/>
      <c r="J737" s="92"/>
      <c r="K737" s="92"/>
      <c r="L737" s="92"/>
      <c r="M737" s="92"/>
      <c r="N737" s="94"/>
      <c r="AG737" s="100"/>
      <c r="AH737" s="101"/>
      <c r="AI737" s="101"/>
      <c r="AJ737" s="100"/>
      <c r="AK737" s="100"/>
      <c r="AL737" s="100"/>
      <c r="AM737" s="100"/>
      <c r="AN737" s="100"/>
      <c r="AO737" s="100"/>
      <c r="AP737" s="100"/>
      <c r="AQ737" s="100"/>
      <c r="AR737" s="100"/>
      <c r="AS737" s="100"/>
      <c r="AT737" s="102"/>
      <c r="AX737" s="100"/>
      <c r="AY737" s="101"/>
      <c r="AZ737" s="101"/>
      <c r="BA737" s="100"/>
      <c r="BB737" s="100"/>
      <c r="BC737" s="100"/>
      <c r="BD737" s="100"/>
      <c r="BE737" s="100"/>
      <c r="BF737" s="100"/>
      <c r="BG737" s="100"/>
      <c r="BH737" s="100"/>
      <c r="BI737" s="100"/>
      <c r="BJ737" s="100"/>
      <c r="BK737" s="102"/>
      <c r="BN737" s="36"/>
    </row>
    <row r="738" spans="1:66" x14ac:dyDescent="0.25">
      <c r="A738" s="92"/>
      <c r="B738" s="93"/>
      <c r="C738" s="93"/>
      <c r="D738" s="92"/>
      <c r="E738" s="92"/>
      <c r="F738" s="92"/>
      <c r="G738" s="92"/>
      <c r="H738" s="92"/>
      <c r="I738" s="92"/>
      <c r="J738" s="92"/>
      <c r="K738" s="92"/>
      <c r="L738" s="92"/>
      <c r="M738" s="92"/>
      <c r="N738" s="94"/>
      <c r="AG738" s="100"/>
      <c r="AH738" s="101"/>
      <c r="AI738" s="101"/>
      <c r="AJ738" s="100"/>
      <c r="AK738" s="100"/>
      <c r="AL738" s="100"/>
      <c r="AM738" s="100"/>
      <c r="AN738" s="100"/>
      <c r="AO738" s="100"/>
      <c r="AP738" s="100"/>
      <c r="AQ738" s="100"/>
      <c r="AR738" s="100"/>
      <c r="AS738" s="100"/>
      <c r="AT738" s="102"/>
      <c r="AX738" s="100"/>
      <c r="AY738" s="101"/>
      <c r="AZ738" s="101"/>
      <c r="BA738" s="101"/>
      <c r="BB738" s="100"/>
      <c r="BC738" s="100"/>
      <c r="BD738" s="100"/>
      <c r="BE738" s="100"/>
      <c r="BF738" s="100"/>
      <c r="BG738" s="100"/>
      <c r="BH738" s="100"/>
      <c r="BI738" s="100"/>
      <c r="BJ738" s="100"/>
      <c r="BK738" s="102"/>
      <c r="BN738" s="36"/>
    </row>
    <row r="739" spans="1:66" x14ac:dyDescent="0.25">
      <c r="A739" s="92"/>
      <c r="B739" s="92"/>
      <c r="C739" s="92"/>
      <c r="D739" s="92"/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AG739" s="100"/>
      <c r="AH739" s="101"/>
      <c r="AI739" s="101"/>
      <c r="AJ739" s="100"/>
      <c r="AK739" s="100"/>
      <c r="AL739" s="100"/>
      <c r="AM739" s="100"/>
      <c r="AN739" s="100"/>
      <c r="AO739" s="100"/>
      <c r="AP739" s="100"/>
      <c r="AQ739" s="100"/>
      <c r="AR739" s="100"/>
      <c r="AS739" s="100"/>
      <c r="AT739" s="102"/>
      <c r="AX739" s="100"/>
      <c r="AY739" s="101"/>
      <c r="AZ739" s="101"/>
      <c r="BA739" s="100"/>
      <c r="BB739" s="100"/>
      <c r="BC739" s="100"/>
      <c r="BD739" s="100"/>
      <c r="BE739" s="100"/>
      <c r="BF739" s="100"/>
      <c r="BG739" s="100"/>
      <c r="BH739" s="100"/>
      <c r="BI739" s="100"/>
      <c r="BJ739" s="100"/>
      <c r="BK739" s="102"/>
      <c r="BN739" s="36"/>
    </row>
    <row r="740" spans="1:66" x14ac:dyDescent="0.25">
      <c r="A740" s="92"/>
      <c r="B740" s="93"/>
      <c r="C740" s="93"/>
      <c r="D740" s="92"/>
      <c r="E740" s="92"/>
      <c r="F740" s="92"/>
      <c r="G740" s="92"/>
      <c r="H740" s="92"/>
      <c r="I740" s="92"/>
      <c r="J740" s="92"/>
      <c r="K740" s="92"/>
      <c r="L740" s="92"/>
      <c r="M740" s="92"/>
      <c r="N740" s="94"/>
      <c r="AG740" s="100"/>
      <c r="AH740" s="101"/>
      <c r="AI740" s="101"/>
      <c r="AJ740" s="100"/>
      <c r="AK740" s="100"/>
      <c r="AL740" s="100"/>
      <c r="AM740" s="100"/>
      <c r="AN740" s="100"/>
      <c r="AO740" s="100"/>
      <c r="AP740" s="100"/>
      <c r="AQ740" s="100"/>
      <c r="AR740" s="100"/>
      <c r="AS740" s="100"/>
      <c r="AT740" s="102"/>
      <c r="AX740" s="100"/>
      <c r="AY740" s="101"/>
      <c r="AZ740" s="101"/>
      <c r="BA740" s="101"/>
      <c r="BB740" s="100"/>
      <c r="BC740" s="100"/>
      <c r="BD740" s="100"/>
      <c r="BE740" s="100"/>
      <c r="BF740" s="100"/>
      <c r="BG740" s="100"/>
      <c r="BH740" s="100"/>
      <c r="BI740" s="100"/>
      <c r="BJ740" s="100"/>
      <c r="BK740" s="102"/>
      <c r="BN740" s="36"/>
    </row>
    <row r="741" spans="1:66" x14ac:dyDescent="0.25">
      <c r="A741" s="92"/>
      <c r="B741" s="93"/>
      <c r="C741" s="93"/>
      <c r="D741" s="92"/>
      <c r="E741" s="92"/>
      <c r="F741" s="92"/>
      <c r="G741" s="92"/>
      <c r="H741" s="92"/>
      <c r="I741" s="92"/>
      <c r="J741" s="92"/>
      <c r="K741" s="92"/>
      <c r="L741" s="92"/>
      <c r="M741" s="92"/>
      <c r="N741" s="94"/>
      <c r="AG741" s="100"/>
      <c r="AH741" s="101"/>
      <c r="AI741" s="101"/>
      <c r="AJ741" s="101"/>
      <c r="AK741" s="100"/>
      <c r="AL741" s="100"/>
      <c r="AM741" s="100"/>
      <c r="AN741" s="100"/>
      <c r="AO741" s="100"/>
      <c r="AP741" s="100"/>
      <c r="AQ741" s="100"/>
      <c r="AR741" s="100"/>
      <c r="AS741" s="100"/>
      <c r="AT741" s="102"/>
      <c r="AX741" s="100"/>
      <c r="AY741" s="101"/>
      <c r="AZ741" s="101"/>
      <c r="BA741" s="100"/>
      <c r="BB741" s="100"/>
      <c r="BC741" s="100"/>
      <c r="BD741" s="100"/>
      <c r="BE741" s="100"/>
      <c r="BF741" s="100"/>
      <c r="BG741" s="100"/>
      <c r="BH741" s="100"/>
      <c r="BI741" s="100"/>
      <c r="BJ741" s="100"/>
      <c r="BK741" s="102"/>
      <c r="BN741" s="36"/>
    </row>
    <row r="742" spans="1:66" x14ac:dyDescent="0.25">
      <c r="A742" s="92"/>
      <c r="B742" s="93"/>
      <c r="C742" s="93"/>
      <c r="D742" s="92"/>
      <c r="E742" s="92"/>
      <c r="F742" s="92"/>
      <c r="G742" s="92"/>
      <c r="H742" s="92"/>
      <c r="I742" s="92"/>
      <c r="J742" s="92"/>
      <c r="K742" s="92"/>
      <c r="L742" s="92"/>
      <c r="M742" s="92"/>
      <c r="N742" s="94"/>
      <c r="AG742" s="100"/>
      <c r="AH742" s="101"/>
      <c r="AI742" s="101"/>
      <c r="AJ742" s="100"/>
      <c r="AK742" s="100"/>
      <c r="AL742" s="100"/>
      <c r="AM742" s="100"/>
      <c r="AN742" s="100"/>
      <c r="AO742" s="100"/>
      <c r="AP742" s="100"/>
      <c r="AQ742" s="100"/>
      <c r="AR742" s="100"/>
      <c r="AS742" s="100"/>
      <c r="AT742" s="102"/>
      <c r="AX742" s="100"/>
      <c r="AY742" s="101"/>
      <c r="AZ742" s="101"/>
      <c r="BA742" s="101"/>
      <c r="BB742" s="100"/>
      <c r="BC742" s="100"/>
      <c r="BD742" s="100"/>
      <c r="BE742" s="100"/>
      <c r="BF742" s="100"/>
      <c r="BG742" s="100"/>
      <c r="BH742" s="100"/>
      <c r="BI742" s="100"/>
      <c r="BJ742" s="100"/>
      <c r="BK742" s="102"/>
      <c r="BN742" s="36"/>
    </row>
    <row r="743" spans="1:66" x14ac:dyDescent="0.25">
      <c r="A743" s="92"/>
      <c r="B743" s="92"/>
      <c r="C743" s="92"/>
      <c r="D743" s="92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AG743" s="100"/>
      <c r="AH743" s="101"/>
      <c r="AI743" s="101"/>
      <c r="AJ743" s="100"/>
      <c r="AK743" s="100"/>
      <c r="AL743" s="100"/>
      <c r="AM743" s="100"/>
      <c r="AN743" s="100"/>
      <c r="AO743" s="100"/>
      <c r="AP743" s="100"/>
      <c r="AQ743" s="100"/>
      <c r="AR743" s="100"/>
      <c r="AS743" s="100"/>
      <c r="AT743" s="102"/>
      <c r="AX743" s="100"/>
      <c r="AY743" s="101"/>
      <c r="AZ743" s="101"/>
      <c r="BA743" s="101"/>
      <c r="BB743" s="100"/>
      <c r="BC743" s="100"/>
      <c r="BD743" s="100"/>
      <c r="BE743" s="100"/>
      <c r="BF743" s="100"/>
      <c r="BG743" s="100"/>
      <c r="BH743" s="100"/>
      <c r="BI743" s="100"/>
      <c r="BJ743" s="100"/>
      <c r="BK743" s="102"/>
      <c r="BN743" s="36"/>
    </row>
    <row r="744" spans="1:66" x14ac:dyDescent="0.25">
      <c r="A744" s="92"/>
      <c r="B744" s="93"/>
      <c r="C744" s="93"/>
      <c r="D744" s="92"/>
      <c r="E744" s="92"/>
      <c r="F744" s="92"/>
      <c r="G744" s="92"/>
      <c r="H744" s="92"/>
      <c r="I744" s="92"/>
      <c r="J744" s="92"/>
      <c r="K744" s="92"/>
      <c r="L744" s="92"/>
      <c r="M744" s="92"/>
      <c r="N744" s="94"/>
      <c r="AG744" s="100"/>
      <c r="AH744" s="101"/>
      <c r="AI744" s="101"/>
      <c r="AJ744" s="100"/>
      <c r="AK744" s="100"/>
      <c r="AL744" s="100"/>
      <c r="AM744" s="100"/>
      <c r="AN744" s="100"/>
      <c r="AO744" s="100"/>
      <c r="AP744" s="100"/>
      <c r="AQ744" s="100"/>
      <c r="AR744" s="100"/>
      <c r="AS744" s="100"/>
      <c r="AT744" s="102"/>
      <c r="AX744" s="100"/>
      <c r="AY744" s="101"/>
      <c r="AZ744" s="101"/>
      <c r="BA744" s="100"/>
      <c r="BB744" s="100"/>
      <c r="BC744" s="100"/>
      <c r="BD744" s="100"/>
      <c r="BE744" s="100"/>
      <c r="BF744" s="100"/>
      <c r="BG744" s="100"/>
      <c r="BH744" s="100"/>
      <c r="BI744" s="100"/>
      <c r="BJ744" s="100"/>
      <c r="BK744" s="102"/>
      <c r="BN744" s="36"/>
    </row>
    <row r="745" spans="1:66" x14ac:dyDescent="0.25">
      <c r="A745" s="92"/>
      <c r="B745" s="92"/>
      <c r="C745" s="92"/>
      <c r="D745" s="92"/>
      <c r="E745" s="92"/>
      <c r="F745" s="92"/>
      <c r="G745" s="92"/>
      <c r="H745" s="92"/>
      <c r="I745" s="92"/>
      <c r="J745" s="92"/>
      <c r="K745" s="92"/>
      <c r="L745" s="92"/>
      <c r="M745" s="92"/>
      <c r="N745" s="92"/>
      <c r="AG745" s="100"/>
      <c r="AH745" s="101"/>
      <c r="AI745" s="101"/>
      <c r="AJ745" s="100"/>
      <c r="AK745" s="100"/>
      <c r="AL745" s="100"/>
      <c r="AM745" s="100"/>
      <c r="AN745" s="100"/>
      <c r="AO745" s="100"/>
      <c r="AP745" s="100"/>
      <c r="AQ745" s="100"/>
      <c r="AR745" s="100"/>
      <c r="AS745" s="100"/>
      <c r="AT745" s="102"/>
      <c r="AX745" s="100"/>
      <c r="AY745" s="101"/>
      <c r="AZ745" s="101"/>
      <c r="BA745" s="100"/>
      <c r="BB745" s="100"/>
      <c r="BC745" s="100"/>
      <c r="BD745" s="100"/>
      <c r="BE745" s="100"/>
      <c r="BF745" s="100"/>
      <c r="BG745" s="100"/>
      <c r="BH745" s="100"/>
      <c r="BI745" s="100"/>
      <c r="BJ745" s="100"/>
      <c r="BK745" s="102"/>
      <c r="BN745" s="36"/>
    </row>
    <row r="746" spans="1:66" x14ac:dyDescent="0.25">
      <c r="A746" s="92"/>
      <c r="B746" s="92"/>
      <c r="C746" s="92"/>
      <c r="D746" s="92"/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AG746" s="100"/>
      <c r="AH746" s="101"/>
      <c r="AI746" s="101"/>
      <c r="AJ746" s="100"/>
      <c r="AK746" s="100"/>
      <c r="AL746" s="100"/>
      <c r="AM746" s="100"/>
      <c r="AN746" s="100"/>
      <c r="AO746" s="100"/>
      <c r="AP746" s="100"/>
      <c r="AQ746" s="100"/>
      <c r="AR746" s="100"/>
      <c r="AS746" s="100"/>
      <c r="AT746" s="102"/>
      <c r="AX746" s="100"/>
      <c r="AY746" s="101"/>
      <c r="AZ746" s="101"/>
      <c r="BA746" s="100"/>
      <c r="BB746" s="100"/>
      <c r="BC746" s="100"/>
      <c r="BD746" s="100"/>
      <c r="BE746" s="100"/>
      <c r="BF746" s="100"/>
      <c r="BG746" s="100"/>
      <c r="BH746" s="100"/>
      <c r="BI746" s="100"/>
      <c r="BJ746" s="100"/>
      <c r="BK746" s="102"/>
      <c r="BN746" s="36"/>
    </row>
    <row r="747" spans="1:66" x14ac:dyDescent="0.25">
      <c r="A747" s="92"/>
      <c r="B747" s="92"/>
      <c r="C747" s="92"/>
      <c r="D747" s="92"/>
      <c r="E747" s="92"/>
      <c r="F747" s="92"/>
      <c r="G747" s="92"/>
      <c r="H747" s="92"/>
      <c r="I747" s="92"/>
      <c r="J747" s="92"/>
      <c r="K747" s="92"/>
      <c r="L747" s="92"/>
      <c r="M747" s="92"/>
      <c r="N747" s="92"/>
      <c r="AG747" s="100"/>
      <c r="AH747" s="101"/>
      <c r="AI747" s="101"/>
      <c r="AJ747" s="100"/>
      <c r="AK747" s="100"/>
      <c r="AL747" s="100"/>
      <c r="AM747" s="100"/>
      <c r="AN747" s="100"/>
      <c r="AO747" s="100"/>
      <c r="AP747" s="100"/>
      <c r="AQ747" s="100"/>
      <c r="AR747" s="100"/>
      <c r="AS747" s="100"/>
      <c r="AT747" s="102"/>
      <c r="AX747" s="100"/>
      <c r="AY747" s="101"/>
      <c r="AZ747" s="101"/>
      <c r="BA747" s="100"/>
      <c r="BB747" s="100"/>
      <c r="BC747" s="100"/>
      <c r="BD747" s="100"/>
      <c r="BE747" s="100"/>
      <c r="BF747" s="100"/>
      <c r="BG747" s="100"/>
      <c r="BH747" s="100"/>
      <c r="BI747" s="100"/>
      <c r="BJ747" s="100"/>
      <c r="BK747" s="102"/>
      <c r="BN747" s="36"/>
    </row>
    <row r="748" spans="1:66" x14ac:dyDescent="0.25">
      <c r="A748" s="92"/>
      <c r="B748" s="92"/>
      <c r="C748" s="92"/>
      <c r="D748" s="92"/>
      <c r="E748" s="92"/>
      <c r="F748" s="92"/>
      <c r="G748" s="92"/>
      <c r="H748" s="92"/>
      <c r="I748" s="92"/>
      <c r="J748" s="92"/>
      <c r="K748" s="92"/>
      <c r="L748" s="92"/>
      <c r="M748" s="92"/>
      <c r="N748" s="92"/>
      <c r="AG748" s="100"/>
      <c r="AH748" s="101"/>
      <c r="AI748" s="101"/>
      <c r="AJ748" s="100"/>
      <c r="AK748" s="100"/>
      <c r="AL748" s="100"/>
      <c r="AM748" s="100"/>
      <c r="AN748" s="100"/>
      <c r="AO748" s="100"/>
      <c r="AP748" s="100"/>
      <c r="AQ748" s="100"/>
      <c r="AR748" s="100"/>
      <c r="AS748" s="100"/>
      <c r="AT748" s="102"/>
      <c r="AX748" s="100"/>
      <c r="AY748" s="101"/>
      <c r="AZ748" s="101"/>
      <c r="BA748" s="100"/>
      <c r="BB748" s="100"/>
      <c r="BC748" s="100"/>
      <c r="BD748" s="100"/>
      <c r="BE748" s="100"/>
      <c r="BF748" s="100"/>
      <c r="BG748" s="100"/>
      <c r="BH748" s="100"/>
      <c r="BI748" s="100"/>
      <c r="BJ748" s="100"/>
      <c r="BK748" s="102"/>
      <c r="BN748" s="36"/>
    </row>
    <row r="749" spans="1:66" x14ac:dyDescent="0.25">
      <c r="A749" s="92"/>
      <c r="B749" s="92"/>
      <c r="C749" s="92"/>
      <c r="D749" s="92"/>
      <c r="E749" s="92"/>
      <c r="F749" s="92"/>
      <c r="G749" s="92"/>
      <c r="H749" s="92"/>
      <c r="I749" s="92"/>
      <c r="J749" s="92"/>
      <c r="K749" s="92"/>
      <c r="L749" s="92"/>
      <c r="M749" s="92"/>
      <c r="N749" s="92"/>
      <c r="AG749" s="100"/>
      <c r="AH749" s="101"/>
      <c r="AI749" s="101"/>
      <c r="AJ749" s="100"/>
      <c r="AK749" s="100"/>
      <c r="AL749" s="100"/>
      <c r="AM749" s="100"/>
      <c r="AN749" s="100"/>
      <c r="AO749" s="100"/>
      <c r="AP749" s="100"/>
      <c r="AQ749" s="100"/>
      <c r="AR749" s="100"/>
      <c r="AS749" s="100"/>
      <c r="AT749" s="102"/>
      <c r="AX749" s="100"/>
      <c r="AY749" s="101"/>
      <c r="AZ749" s="101"/>
      <c r="BA749" s="100"/>
      <c r="BB749" s="100"/>
      <c r="BC749" s="100"/>
      <c r="BD749" s="100"/>
      <c r="BE749" s="100"/>
      <c r="BF749" s="100"/>
      <c r="BG749" s="100"/>
      <c r="BH749" s="100"/>
      <c r="BI749" s="100"/>
      <c r="BJ749" s="100"/>
      <c r="BK749" s="102"/>
      <c r="BN749" s="36"/>
    </row>
    <row r="750" spans="1:66" x14ac:dyDescent="0.25">
      <c r="A750" s="92"/>
      <c r="B750" s="93"/>
      <c r="C750" s="93"/>
      <c r="D750" s="92"/>
      <c r="E750" s="92"/>
      <c r="F750" s="92"/>
      <c r="G750" s="92"/>
      <c r="H750" s="92"/>
      <c r="I750" s="92"/>
      <c r="J750" s="92"/>
      <c r="K750" s="92"/>
      <c r="L750" s="92"/>
      <c r="M750" s="92"/>
      <c r="N750" s="94"/>
      <c r="AG750" s="100"/>
      <c r="AH750" s="101"/>
      <c r="AI750" s="101"/>
      <c r="AJ750" s="101"/>
      <c r="AK750" s="100"/>
      <c r="AL750" s="100"/>
      <c r="AM750" s="100"/>
      <c r="AN750" s="100"/>
      <c r="AO750" s="100"/>
      <c r="AP750" s="100"/>
      <c r="AQ750" s="100"/>
      <c r="AR750" s="100"/>
      <c r="AS750" s="100"/>
      <c r="AT750" s="102"/>
      <c r="AX750" s="100"/>
      <c r="AY750" s="101"/>
      <c r="AZ750" s="101"/>
      <c r="BA750" s="100"/>
      <c r="BB750" s="100"/>
      <c r="BC750" s="100"/>
      <c r="BD750" s="100"/>
      <c r="BE750" s="100"/>
      <c r="BF750" s="100"/>
      <c r="BG750" s="100"/>
      <c r="BH750" s="100"/>
      <c r="BI750" s="100"/>
      <c r="BJ750" s="100"/>
      <c r="BK750" s="102"/>
      <c r="BN750" s="36"/>
    </row>
    <row r="751" spans="1:66" x14ac:dyDescent="0.25">
      <c r="A751" s="92"/>
      <c r="B751" s="93"/>
      <c r="C751" s="93"/>
      <c r="D751" s="92"/>
      <c r="E751" s="92"/>
      <c r="F751" s="92"/>
      <c r="G751" s="92"/>
      <c r="H751" s="92"/>
      <c r="I751" s="92"/>
      <c r="J751" s="92"/>
      <c r="K751" s="92"/>
      <c r="L751" s="92"/>
      <c r="M751" s="92"/>
      <c r="N751" s="94"/>
      <c r="AG751" s="100"/>
      <c r="AH751" s="101"/>
      <c r="AI751" s="101"/>
      <c r="AJ751" s="100"/>
      <c r="AK751" s="100"/>
      <c r="AL751" s="100"/>
      <c r="AM751" s="100"/>
      <c r="AN751" s="100"/>
      <c r="AO751" s="100"/>
      <c r="AP751" s="100"/>
      <c r="AQ751" s="100"/>
      <c r="AR751" s="100"/>
      <c r="AS751" s="100"/>
      <c r="AT751" s="102"/>
      <c r="AX751" s="100"/>
      <c r="AY751" s="101"/>
      <c r="AZ751" s="101"/>
      <c r="BA751" s="101"/>
      <c r="BB751" s="100"/>
      <c r="BC751" s="100"/>
      <c r="BD751" s="100"/>
      <c r="BE751" s="100"/>
      <c r="BF751" s="100"/>
      <c r="BG751" s="100"/>
      <c r="BH751" s="100"/>
      <c r="BI751" s="100"/>
      <c r="BJ751" s="100"/>
      <c r="BK751" s="102"/>
      <c r="BN751" s="36"/>
    </row>
    <row r="752" spans="1:66" x14ac:dyDescent="0.25">
      <c r="A752" s="92"/>
      <c r="B752" s="93"/>
      <c r="C752" s="93"/>
      <c r="D752" s="93"/>
      <c r="E752" s="92"/>
      <c r="F752" s="92"/>
      <c r="G752" s="92"/>
      <c r="H752" s="92"/>
      <c r="I752" s="92"/>
      <c r="J752" s="92"/>
      <c r="K752" s="92"/>
      <c r="L752" s="92"/>
      <c r="M752" s="92"/>
      <c r="N752" s="94"/>
      <c r="AG752" s="100"/>
      <c r="AH752" s="101"/>
      <c r="AI752" s="101"/>
      <c r="AJ752" s="100"/>
      <c r="AK752" s="100"/>
      <c r="AL752" s="100"/>
      <c r="AM752" s="100"/>
      <c r="AN752" s="100"/>
      <c r="AO752" s="100"/>
      <c r="AP752" s="100"/>
      <c r="AQ752" s="100"/>
      <c r="AR752" s="100"/>
      <c r="AS752" s="100"/>
      <c r="AT752" s="102"/>
      <c r="AX752" s="100"/>
      <c r="AY752" s="101"/>
      <c r="AZ752" s="101"/>
      <c r="BA752" s="100"/>
      <c r="BB752" s="100"/>
      <c r="BC752" s="100"/>
      <c r="BD752" s="100"/>
      <c r="BE752" s="100"/>
      <c r="BF752" s="100"/>
      <c r="BG752" s="100"/>
      <c r="BH752" s="100"/>
      <c r="BI752" s="100"/>
      <c r="BJ752" s="100"/>
      <c r="BK752" s="102"/>
      <c r="BN752" s="36"/>
    </row>
    <row r="753" spans="1:66" x14ac:dyDescent="0.25">
      <c r="A753" s="92"/>
      <c r="B753" s="92"/>
      <c r="C753" s="92"/>
      <c r="D753" s="92"/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AG753" s="100"/>
      <c r="AH753" s="101"/>
      <c r="AI753" s="101"/>
      <c r="AJ753" s="100"/>
      <c r="AK753" s="100"/>
      <c r="AL753" s="100"/>
      <c r="AM753" s="100"/>
      <c r="AN753" s="100"/>
      <c r="AO753" s="100"/>
      <c r="AP753" s="100"/>
      <c r="AQ753" s="100"/>
      <c r="AR753" s="100"/>
      <c r="AS753" s="100"/>
      <c r="AT753" s="102"/>
      <c r="AX753" s="100"/>
      <c r="AY753" s="101"/>
      <c r="AZ753" s="101"/>
      <c r="BA753" s="100"/>
      <c r="BB753" s="100"/>
      <c r="BC753" s="100"/>
      <c r="BD753" s="100"/>
      <c r="BE753" s="100"/>
      <c r="BF753" s="100"/>
      <c r="BG753" s="100"/>
      <c r="BH753" s="100"/>
      <c r="BI753" s="100"/>
      <c r="BJ753" s="100"/>
      <c r="BK753" s="102"/>
      <c r="BN753" s="36"/>
    </row>
    <row r="754" spans="1:66" x14ac:dyDescent="0.25">
      <c r="A754" s="92"/>
      <c r="B754" s="93"/>
      <c r="C754" s="93"/>
      <c r="D754" s="92"/>
      <c r="E754" s="92"/>
      <c r="F754" s="92"/>
      <c r="G754" s="92"/>
      <c r="H754" s="92"/>
      <c r="I754" s="92"/>
      <c r="J754" s="92"/>
      <c r="K754" s="92"/>
      <c r="L754" s="92"/>
      <c r="M754" s="92"/>
      <c r="N754" s="94"/>
      <c r="AG754" s="100"/>
      <c r="AH754" s="101"/>
      <c r="AI754" s="101"/>
      <c r="AJ754" s="100"/>
      <c r="AK754" s="100"/>
      <c r="AL754" s="100"/>
      <c r="AM754" s="100"/>
      <c r="AN754" s="100"/>
      <c r="AO754" s="100"/>
      <c r="AP754" s="100"/>
      <c r="AQ754" s="100"/>
      <c r="AR754" s="100"/>
      <c r="AS754" s="100"/>
      <c r="AT754" s="102"/>
      <c r="AX754" s="100"/>
      <c r="AY754" s="101"/>
      <c r="AZ754" s="101"/>
      <c r="BA754" s="100"/>
      <c r="BB754" s="100"/>
      <c r="BC754" s="100"/>
      <c r="BD754" s="100"/>
      <c r="BE754" s="100"/>
      <c r="BF754" s="100"/>
      <c r="BG754" s="100"/>
      <c r="BH754" s="100"/>
      <c r="BI754" s="100"/>
      <c r="BJ754" s="100"/>
      <c r="BK754" s="102"/>
      <c r="BN754" s="36"/>
    </row>
    <row r="755" spans="1:66" x14ac:dyDescent="0.25">
      <c r="A755" s="92"/>
      <c r="B755" s="93"/>
      <c r="C755" s="93"/>
      <c r="D755" s="92"/>
      <c r="E755" s="92"/>
      <c r="F755" s="92"/>
      <c r="G755" s="92"/>
      <c r="H755" s="92"/>
      <c r="I755" s="92"/>
      <c r="J755" s="92"/>
      <c r="K755" s="92"/>
      <c r="L755" s="92"/>
      <c r="M755" s="92"/>
      <c r="N755" s="94"/>
      <c r="AG755" s="100"/>
      <c r="AH755" s="101"/>
      <c r="AI755" s="101"/>
      <c r="AJ755" s="101"/>
      <c r="AK755" s="100"/>
      <c r="AL755" s="100"/>
      <c r="AM755" s="100"/>
      <c r="AN755" s="100"/>
      <c r="AO755" s="100"/>
      <c r="AP755" s="100"/>
      <c r="AQ755" s="100"/>
      <c r="AR755" s="100"/>
      <c r="AS755" s="100"/>
      <c r="AT755" s="102"/>
      <c r="AX755" s="100"/>
      <c r="AY755" s="101"/>
      <c r="AZ755" s="101"/>
      <c r="BA755" s="100"/>
      <c r="BB755" s="100"/>
      <c r="BC755" s="100"/>
      <c r="BD755" s="100"/>
      <c r="BE755" s="100"/>
      <c r="BF755" s="100"/>
      <c r="BG755" s="100"/>
      <c r="BH755" s="100"/>
      <c r="BI755" s="100"/>
      <c r="BJ755" s="100"/>
      <c r="BK755" s="102"/>
      <c r="BN755" s="36"/>
    </row>
    <row r="756" spans="1:66" x14ac:dyDescent="0.25">
      <c r="A756" s="92"/>
      <c r="B756" s="92"/>
      <c r="C756" s="92"/>
      <c r="D756" s="92"/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AG756" s="100"/>
      <c r="AH756" s="101"/>
      <c r="AI756" s="101"/>
      <c r="AJ756" s="100"/>
      <c r="AK756" s="100"/>
      <c r="AL756" s="100"/>
      <c r="AM756" s="100"/>
      <c r="AN756" s="100"/>
      <c r="AO756" s="100"/>
      <c r="AP756" s="100"/>
      <c r="AQ756" s="100"/>
      <c r="AR756" s="100"/>
      <c r="AS756" s="100"/>
      <c r="AT756" s="102"/>
      <c r="AX756" s="100"/>
      <c r="AY756" s="101"/>
      <c r="AZ756" s="101"/>
      <c r="BA756" s="101"/>
      <c r="BB756" s="100"/>
      <c r="BC756" s="100"/>
      <c r="BD756" s="100"/>
      <c r="BE756" s="100"/>
      <c r="BF756" s="100"/>
      <c r="BG756" s="100"/>
      <c r="BH756" s="100"/>
      <c r="BI756" s="100"/>
      <c r="BJ756" s="100"/>
      <c r="BK756" s="102"/>
      <c r="BN756" s="36"/>
    </row>
    <row r="757" spans="1:66" x14ac:dyDescent="0.25">
      <c r="A757" s="92"/>
      <c r="B757" s="92"/>
      <c r="C757" s="92"/>
      <c r="D757" s="92"/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AG757" s="100"/>
      <c r="AH757" s="101"/>
      <c r="AI757" s="101"/>
      <c r="AJ757" s="101"/>
      <c r="AK757" s="100"/>
      <c r="AL757" s="100"/>
      <c r="AM757" s="100"/>
      <c r="AN757" s="100"/>
      <c r="AO757" s="100"/>
      <c r="AP757" s="100"/>
      <c r="AQ757" s="100"/>
      <c r="AR757" s="100"/>
      <c r="AS757" s="100"/>
      <c r="AT757" s="102"/>
      <c r="AX757" s="100"/>
      <c r="AY757" s="101"/>
      <c r="AZ757" s="101"/>
      <c r="BA757" s="100"/>
      <c r="BB757" s="100"/>
      <c r="BC757" s="100"/>
      <c r="BD757" s="100"/>
      <c r="BE757" s="100"/>
      <c r="BF757" s="100"/>
      <c r="BG757" s="100"/>
      <c r="BH757" s="100"/>
      <c r="BI757" s="100"/>
      <c r="BJ757" s="100"/>
      <c r="BK757" s="102"/>
      <c r="BN757" s="36"/>
    </row>
    <row r="758" spans="1:66" x14ac:dyDescent="0.25">
      <c r="A758" s="92"/>
      <c r="B758" s="92"/>
      <c r="C758" s="92"/>
      <c r="D758" s="92"/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AG758" s="100"/>
      <c r="AH758" s="101"/>
      <c r="AI758" s="101"/>
      <c r="AJ758" s="101"/>
      <c r="AK758" s="100"/>
      <c r="AL758" s="100"/>
      <c r="AM758" s="100"/>
      <c r="AN758" s="100"/>
      <c r="AO758" s="100"/>
      <c r="AP758" s="100"/>
      <c r="AQ758" s="100"/>
      <c r="AR758" s="100"/>
      <c r="AS758" s="100"/>
      <c r="AT758" s="102"/>
      <c r="AX758" s="100"/>
      <c r="AY758" s="101"/>
      <c r="AZ758" s="101"/>
      <c r="BA758" s="100"/>
      <c r="BB758" s="100"/>
      <c r="BC758" s="100"/>
      <c r="BD758" s="100"/>
      <c r="BE758" s="100"/>
      <c r="BF758" s="100"/>
      <c r="BG758" s="100"/>
      <c r="BH758" s="100"/>
      <c r="BI758" s="100"/>
      <c r="BJ758" s="100"/>
      <c r="BK758" s="102"/>
      <c r="BN758" s="36"/>
    </row>
    <row r="759" spans="1:66" x14ac:dyDescent="0.25">
      <c r="A759" s="92"/>
      <c r="B759" s="92"/>
      <c r="C759" s="92"/>
      <c r="D759" s="92"/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AG759" s="100"/>
      <c r="AH759" s="101"/>
      <c r="AI759" s="101"/>
      <c r="AJ759" s="100"/>
      <c r="AK759" s="100"/>
      <c r="AL759" s="100"/>
      <c r="AM759" s="100"/>
      <c r="AN759" s="100"/>
      <c r="AO759" s="100"/>
      <c r="AP759" s="100"/>
      <c r="AQ759" s="100"/>
      <c r="AR759" s="100"/>
      <c r="AS759" s="100"/>
      <c r="AT759" s="102"/>
      <c r="AX759" s="100"/>
      <c r="AY759" s="101"/>
      <c r="AZ759" s="101"/>
      <c r="BA759" s="100"/>
      <c r="BB759" s="100"/>
      <c r="BC759" s="100"/>
      <c r="BD759" s="100"/>
      <c r="BE759" s="100"/>
      <c r="BF759" s="100"/>
      <c r="BG759" s="100"/>
      <c r="BH759" s="100"/>
      <c r="BI759" s="100"/>
      <c r="BJ759" s="100"/>
      <c r="BK759" s="102"/>
      <c r="BN759" s="36"/>
    </row>
    <row r="760" spans="1:66" x14ac:dyDescent="0.25">
      <c r="A760" s="92"/>
      <c r="B760" s="93"/>
      <c r="C760" s="93"/>
      <c r="D760" s="93"/>
      <c r="E760" s="92"/>
      <c r="F760" s="92"/>
      <c r="G760" s="92"/>
      <c r="H760" s="92"/>
      <c r="I760" s="92"/>
      <c r="J760" s="92"/>
      <c r="K760" s="92"/>
      <c r="L760" s="92"/>
      <c r="M760" s="92"/>
      <c r="N760" s="94"/>
      <c r="AG760" s="100"/>
      <c r="AH760" s="101"/>
      <c r="AI760" s="101"/>
      <c r="AJ760" s="100"/>
      <c r="AK760" s="100"/>
      <c r="AL760" s="100"/>
      <c r="AM760" s="100"/>
      <c r="AN760" s="100"/>
      <c r="AO760" s="100"/>
      <c r="AP760" s="100"/>
      <c r="AQ760" s="100"/>
      <c r="AR760" s="100"/>
      <c r="AS760" s="100"/>
      <c r="AT760" s="102"/>
      <c r="AX760" s="100"/>
      <c r="AY760" s="101"/>
      <c r="AZ760" s="101"/>
      <c r="BA760" s="100"/>
      <c r="BB760" s="100"/>
      <c r="BC760" s="100"/>
      <c r="BD760" s="100"/>
      <c r="BE760" s="100"/>
      <c r="BF760" s="100"/>
      <c r="BG760" s="100"/>
      <c r="BH760" s="100"/>
      <c r="BI760" s="100"/>
      <c r="BJ760" s="100"/>
      <c r="BK760" s="102"/>
      <c r="BN760" s="36"/>
    </row>
    <row r="761" spans="1:66" x14ac:dyDescent="0.25">
      <c r="A761" s="92"/>
      <c r="B761" s="92"/>
      <c r="C761" s="92"/>
      <c r="D761" s="93"/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AG761" s="100"/>
      <c r="AH761" s="101"/>
      <c r="AI761" s="101"/>
      <c r="AJ761" s="100"/>
      <c r="AK761" s="100"/>
      <c r="AL761" s="100"/>
      <c r="AM761" s="100"/>
      <c r="AN761" s="100"/>
      <c r="AO761" s="100"/>
      <c r="AP761" s="100"/>
      <c r="AQ761" s="100"/>
      <c r="AR761" s="100"/>
      <c r="AS761" s="100"/>
      <c r="AT761" s="102"/>
      <c r="AX761" s="100"/>
      <c r="AY761" s="101"/>
      <c r="AZ761" s="101"/>
      <c r="BA761" s="101"/>
      <c r="BB761" s="100"/>
      <c r="BC761" s="100"/>
      <c r="BD761" s="100"/>
      <c r="BE761" s="100"/>
      <c r="BF761" s="100"/>
      <c r="BG761" s="100"/>
      <c r="BH761" s="100"/>
      <c r="BI761" s="100"/>
      <c r="BJ761" s="100"/>
      <c r="BK761" s="102"/>
      <c r="BN761" s="36"/>
    </row>
    <row r="762" spans="1:66" x14ac:dyDescent="0.25">
      <c r="A762" s="92"/>
      <c r="B762" s="93"/>
      <c r="C762" s="93"/>
      <c r="D762" s="92"/>
      <c r="E762" s="92"/>
      <c r="F762" s="92"/>
      <c r="G762" s="92"/>
      <c r="H762" s="92"/>
      <c r="I762" s="92"/>
      <c r="J762" s="92"/>
      <c r="K762" s="92"/>
      <c r="L762" s="92"/>
      <c r="M762" s="92"/>
      <c r="N762" s="94"/>
      <c r="AG762" s="100"/>
      <c r="AH762" s="101"/>
      <c r="AI762" s="101"/>
      <c r="AJ762" s="100"/>
      <c r="AK762" s="100"/>
      <c r="AL762" s="100"/>
      <c r="AM762" s="100"/>
      <c r="AN762" s="100"/>
      <c r="AO762" s="100"/>
      <c r="AP762" s="100"/>
      <c r="AQ762" s="100"/>
      <c r="AR762" s="100"/>
      <c r="AS762" s="100"/>
      <c r="AT762" s="102"/>
      <c r="AX762" s="100"/>
      <c r="AY762" s="101"/>
      <c r="AZ762" s="101"/>
      <c r="BA762" s="100"/>
      <c r="BB762" s="100"/>
      <c r="BC762" s="100"/>
      <c r="BD762" s="100"/>
      <c r="BE762" s="100"/>
      <c r="BF762" s="100"/>
      <c r="BG762" s="100"/>
      <c r="BH762" s="100"/>
      <c r="BI762" s="100"/>
      <c r="BJ762" s="100"/>
      <c r="BK762" s="102"/>
      <c r="BN762" s="36"/>
    </row>
    <row r="763" spans="1:66" x14ac:dyDescent="0.25">
      <c r="A763" s="92"/>
      <c r="B763" s="93"/>
      <c r="C763" s="93"/>
      <c r="D763" s="93"/>
      <c r="E763" s="92"/>
      <c r="F763" s="92"/>
      <c r="G763" s="92"/>
      <c r="H763" s="92"/>
      <c r="I763" s="92"/>
      <c r="J763" s="92"/>
      <c r="K763" s="92"/>
      <c r="L763" s="92"/>
      <c r="M763" s="92"/>
      <c r="N763" s="94"/>
      <c r="AG763" s="100"/>
      <c r="AH763" s="101"/>
      <c r="AI763" s="101"/>
      <c r="AJ763" s="100"/>
      <c r="AK763" s="100"/>
      <c r="AL763" s="100"/>
      <c r="AM763" s="100"/>
      <c r="AN763" s="100"/>
      <c r="AO763" s="100"/>
      <c r="AP763" s="100"/>
      <c r="AQ763" s="100"/>
      <c r="AR763" s="100"/>
      <c r="AS763" s="100"/>
      <c r="AT763" s="102"/>
      <c r="AX763" s="100"/>
      <c r="AY763" s="101"/>
      <c r="AZ763" s="101"/>
      <c r="BA763" s="100"/>
      <c r="BB763" s="100"/>
      <c r="BC763" s="100"/>
      <c r="BD763" s="100"/>
      <c r="BE763" s="100"/>
      <c r="BF763" s="100"/>
      <c r="BG763" s="100"/>
      <c r="BH763" s="100"/>
      <c r="BI763" s="100"/>
      <c r="BJ763" s="100"/>
      <c r="BK763" s="102"/>
      <c r="BN763" s="36"/>
    </row>
    <row r="764" spans="1:66" x14ac:dyDescent="0.25">
      <c r="A764" s="92"/>
      <c r="B764" s="92"/>
      <c r="C764" s="92"/>
      <c r="D764" s="92"/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AG764" s="100"/>
      <c r="AH764" s="101"/>
      <c r="AI764" s="101"/>
      <c r="AJ764" s="100"/>
      <c r="AK764" s="100"/>
      <c r="AL764" s="100"/>
      <c r="AM764" s="100"/>
      <c r="AN764" s="100"/>
      <c r="AO764" s="100"/>
      <c r="AP764" s="100"/>
      <c r="AQ764" s="100"/>
      <c r="AR764" s="100"/>
      <c r="AS764" s="100"/>
      <c r="AT764" s="102"/>
      <c r="AX764" s="100"/>
      <c r="AY764" s="101"/>
      <c r="AZ764" s="101"/>
      <c r="BA764" s="100"/>
      <c r="BB764" s="100"/>
      <c r="BC764" s="100"/>
      <c r="BD764" s="100"/>
      <c r="BE764" s="100"/>
      <c r="BF764" s="100"/>
      <c r="BG764" s="100"/>
      <c r="BH764" s="100"/>
      <c r="BI764" s="100"/>
      <c r="BJ764" s="100"/>
      <c r="BK764" s="102"/>
      <c r="BN764" s="36"/>
    </row>
    <row r="765" spans="1:66" x14ac:dyDescent="0.25">
      <c r="A765" s="92"/>
      <c r="B765" s="92"/>
      <c r="C765" s="92"/>
      <c r="D765" s="92"/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AG765" s="100"/>
      <c r="AH765" s="101"/>
      <c r="AI765" s="101"/>
      <c r="AJ765" s="100"/>
      <c r="AK765" s="100"/>
      <c r="AL765" s="100"/>
      <c r="AM765" s="100"/>
      <c r="AN765" s="100"/>
      <c r="AO765" s="100"/>
      <c r="AP765" s="100"/>
      <c r="AQ765" s="100"/>
      <c r="AR765" s="100"/>
      <c r="AS765" s="100"/>
      <c r="AT765" s="102"/>
      <c r="AX765" s="100"/>
      <c r="AY765" s="101"/>
      <c r="AZ765" s="101"/>
      <c r="BA765" s="100"/>
      <c r="BB765" s="100"/>
      <c r="BC765" s="100"/>
      <c r="BD765" s="100"/>
      <c r="BE765" s="100"/>
      <c r="BF765" s="100"/>
      <c r="BG765" s="100"/>
      <c r="BH765" s="100"/>
      <c r="BI765" s="100"/>
      <c r="BJ765" s="100"/>
      <c r="BK765" s="102"/>
      <c r="BN765" s="36"/>
    </row>
    <row r="766" spans="1:66" x14ac:dyDescent="0.25">
      <c r="A766" s="92"/>
      <c r="B766" s="93"/>
      <c r="C766" s="93"/>
      <c r="D766" s="92"/>
      <c r="E766" s="92"/>
      <c r="F766" s="92"/>
      <c r="G766" s="92"/>
      <c r="H766" s="92"/>
      <c r="I766" s="92"/>
      <c r="J766" s="92"/>
      <c r="K766" s="92"/>
      <c r="L766" s="92"/>
      <c r="M766" s="92"/>
      <c r="N766" s="94"/>
      <c r="AG766" s="100"/>
      <c r="AH766" s="101"/>
      <c r="AI766" s="101"/>
      <c r="AJ766" s="100"/>
      <c r="AK766" s="100"/>
      <c r="AL766" s="100"/>
      <c r="AM766" s="100"/>
      <c r="AN766" s="100"/>
      <c r="AO766" s="100"/>
      <c r="AP766" s="100"/>
      <c r="AQ766" s="100"/>
      <c r="AR766" s="100"/>
      <c r="AS766" s="100"/>
      <c r="AT766" s="102"/>
      <c r="AX766" s="100"/>
      <c r="AY766" s="101"/>
      <c r="AZ766" s="101"/>
      <c r="BA766" s="100"/>
      <c r="BB766" s="100"/>
      <c r="BC766" s="100"/>
      <c r="BD766" s="100"/>
      <c r="BE766" s="100"/>
      <c r="BF766" s="100"/>
      <c r="BG766" s="100"/>
      <c r="BH766" s="100"/>
      <c r="BI766" s="100"/>
      <c r="BJ766" s="100"/>
      <c r="BK766" s="102"/>
      <c r="BN766" s="36"/>
    </row>
    <row r="767" spans="1:66" x14ac:dyDescent="0.25">
      <c r="A767" s="92"/>
      <c r="B767" s="92"/>
      <c r="C767" s="92"/>
      <c r="D767" s="92"/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AG767" s="100"/>
      <c r="AH767" s="101"/>
      <c r="AI767" s="101"/>
      <c r="AJ767" s="100"/>
      <c r="AK767" s="100"/>
      <c r="AL767" s="100"/>
      <c r="AM767" s="100"/>
      <c r="AN767" s="100"/>
      <c r="AO767" s="100"/>
      <c r="AP767" s="100"/>
      <c r="AQ767" s="100"/>
      <c r="AR767" s="100"/>
      <c r="AS767" s="100"/>
      <c r="AT767" s="102"/>
      <c r="AX767" s="100"/>
      <c r="AY767" s="101"/>
      <c r="AZ767" s="101"/>
      <c r="BA767" s="100"/>
      <c r="BB767" s="100"/>
      <c r="BC767" s="100"/>
      <c r="BD767" s="100"/>
      <c r="BE767" s="100"/>
      <c r="BF767" s="100"/>
      <c r="BG767" s="100"/>
      <c r="BH767" s="100"/>
      <c r="BI767" s="100"/>
      <c r="BJ767" s="100"/>
      <c r="BK767" s="102"/>
      <c r="BN767" s="36"/>
    </row>
    <row r="768" spans="1:66" x14ac:dyDescent="0.25">
      <c r="A768" s="92"/>
      <c r="B768" s="92"/>
      <c r="C768" s="92"/>
      <c r="D768" s="92"/>
      <c r="E768" s="92"/>
      <c r="F768" s="92"/>
      <c r="G768" s="92"/>
      <c r="H768" s="92"/>
      <c r="I768" s="92"/>
      <c r="J768" s="92"/>
      <c r="K768" s="92"/>
      <c r="L768" s="92"/>
      <c r="M768" s="92"/>
      <c r="N768" s="92"/>
      <c r="AG768" s="100"/>
      <c r="AH768" s="101"/>
      <c r="AI768" s="101"/>
      <c r="AJ768" s="100"/>
      <c r="AK768" s="100"/>
      <c r="AL768" s="100"/>
      <c r="AM768" s="100"/>
      <c r="AN768" s="100"/>
      <c r="AO768" s="100"/>
      <c r="AP768" s="100"/>
      <c r="AQ768" s="100"/>
      <c r="AR768" s="100"/>
      <c r="AS768" s="100"/>
      <c r="AT768" s="102"/>
      <c r="AX768" s="100"/>
      <c r="AY768" s="101"/>
      <c r="AZ768" s="101"/>
      <c r="BA768" s="100"/>
      <c r="BB768" s="100"/>
      <c r="BC768" s="100"/>
      <c r="BD768" s="100"/>
      <c r="BE768" s="100"/>
      <c r="BF768" s="100"/>
      <c r="BG768" s="100"/>
      <c r="BH768" s="100"/>
      <c r="BI768" s="100"/>
      <c r="BJ768" s="100"/>
      <c r="BK768" s="102"/>
      <c r="BN768" s="36"/>
    </row>
    <row r="769" spans="1:66" x14ac:dyDescent="0.25">
      <c r="A769" s="92"/>
      <c r="B769" s="93"/>
      <c r="C769" s="93"/>
      <c r="D769" s="92"/>
      <c r="E769" s="92"/>
      <c r="F769" s="92"/>
      <c r="G769" s="92"/>
      <c r="H769" s="92"/>
      <c r="I769" s="92"/>
      <c r="J769" s="92"/>
      <c r="K769" s="92"/>
      <c r="L769" s="92"/>
      <c r="M769" s="92"/>
      <c r="N769" s="94"/>
      <c r="AG769" s="100"/>
      <c r="AH769" s="101"/>
      <c r="AI769" s="101"/>
      <c r="AJ769" s="100"/>
      <c r="AK769" s="100"/>
      <c r="AL769" s="100"/>
      <c r="AM769" s="100"/>
      <c r="AN769" s="100"/>
      <c r="AO769" s="100"/>
      <c r="AP769" s="100"/>
      <c r="AQ769" s="100"/>
      <c r="AR769" s="100"/>
      <c r="AS769" s="100"/>
      <c r="AT769" s="102"/>
      <c r="AX769" s="100"/>
      <c r="AY769" s="101"/>
      <c r="AZ769" s="101"/>
      <c r="BA769" s="100"/>
      <c r="BB769" s="100"/>
      <c r="BC769" s="100"/>
      <c r="BD769" s="100"/>
      <c r="BE769" s="100"/>
      <c r="BF769" s="100"/>
      <c r="BG769" s="100"/>
      <c r="BH769" s="100"/>
      <c r="BI769" s="100"/>
      <c r="BJ769" s="100"/>
      <c r="BK769" s="102"/>
      <c r="BN769" s="36"/>
    </row>
    <row r="770" spans="1:66" x14ac:dyDescent="0.25">
      <c r="A770" s="92"/>
      <c r="B770" s="92"/>
      <c r="C770" s="92"/>
      <c r="D770" s="92"/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AG770" s="100"/>
      <c r="AH770" s="101"/>
      <c r="AI770" s="101"/>
      <c r="AJ770" s="100"/>
      <c r="AK770" s="100"/>
      <c r="AL770" s="100"/>
      <c r="AM770" s="100"/>
      <c r="AN770" s="100"/>
      <c r="AO770" s="100"/>
      <c r="AP770" s="100"/>
      <c r="AQ770" s="100"/>
      <c r="AR770" s="100"/>
      <c r="AS770" s="100"/>
      <c r="AT770" s="102"/>
      <c r="AX770" s="100"/>
      <c r="AY770" s="101"/>
      <c r="AZ770" s="101"/>
      <c r="BA770" s="101"/>
      <c r="BB770" s="100"/>
      <c r="BC770" s="100"/>
      <c r="BD770" s="100"/>
      <c r="BE770" s="100"/>
      <c r="BF770" s="100"/>
      <c r="BG770" s="100"/>
      <c r="BH770" s="100"/>
      <c r="BI770" s="100"/>
      <c r="BJ770" s="100"/>
      <c r="BK770" s="102"/>
      <c r="BN770" s="36"/>
    </row>
    <row r="771" spans="1:66" x14ac:dyDescent="0.25">
      <c r="A771" s="92"/>
      <c r="B771" s="93"/>
      <c r="C771" s="93"/>
      <c r="D771" s="92"/>
      <c r="E771" s="92"/>
      <c r="F771" s="92"/>
      <c r="G771" s="92"/>
      <c r="H771" s="92"/>
      <c r="I771" s="92"/>
      <c r="J771" s="92"/>
      <c r="K771" s="92"/>
      <c r="L771" s="92"/>
      <c r="M771" s="92"/>
      <c r="N771" s="94"/>
      <c r="AG771" s="100"/>
      <c r="AH771" s="101"/>
      <c r="AI771" s="101"/>
      <c r="AJ771" s="100"/>
      <c r="AK771" s="100"/>
      <c r="AL771" s="100"/>
      <c r="AM771" s="100"/>
      <c r="AN771" s="100"/>
      <c r="AO771" s="100"/>
      <c r="AP771" s="100"/>
      <c r="AQ771" s="100"/>
      <c r="AR771" s="100"/>
      <c r="AS771" s="100"/>
      <c r="AT771" s="102"/>
      <c r="AX771" s="100"/>
      <c r="AY771" s="101"/>
      <c r="AZ771" s="101"/>
      <c r="BA771" s="100"/>
      <c r="BB771" s="100"/>
      <c r="BC771" s="100"/>
      <c r="BD771" s="100"/>
      <c r="BE771" s="100"/>
      <c r="BF771" s="100"/>
      <c r="BG771" s="100"/>
      <c r="BH771" s="100"/>
      <c r="BI771" s="100"/>
      <c r="BJ771" s="100"/>
      <c r="BK771" s="102"/>
      <c r="BN771" s="36"/>
    </row>
    <row r="772" spans="1:66" x14ac:dyDescent="0.25">
      <c r="A772" s="92"/>
      <c r="B772" s="92"/>
      <c r="C772" s="92"/>
      <c r="D772" s="92"/>
      <c r="E772" s="92"/>
      <c r="F772" s="92"/>
      <c r="G772" s="92"/>
      <c r="H772" s="92"/>
      <c r="I772" s="92"/>
      <c r="J772" s="92"/>
      <c r="K772" s="92"/>
      <c r="L772" s="92"/>
      <c r="M772" s="92"/>
      <c r="N772" s="92"/>
      <c r="AG772" s="100"/>
      <c r="AH772" s="101"/>
      <c r="AI772" s="101"/>
      <c r="AJ772" s="100"/>
      <c r="AK772" s="100"/>
      <c r="AL772" s="100"/>
      <c r="AM772" s="100"/>
      <c r="AN772" s="100"/>
      <c r="AO772" s="100"/>
      <c r="AP772" s="100"/>
      <c r="AQ772" s="100"/>
      <c r="AR772" s="100"/>
      <c r="AS772" s="100"/>
      <c r="AT772" s="102"/>
      <c r="AX772" s="100"/>
      <c r="AY772" s="101"/>
      <c r="AZ772" s="101"/>
      <c r="BA772" s="100"/>
      <c r="BB772" s="100"/>
      <c r="BC772" s="100"/>
      <c r="BD772" s="100"/>
      <c r="BE772" s="100"/>
      <c r="BF772" s="100"/>
      <c r="BG772" s="100"/>
      <c r="BH772" s="100"/>
      <c r="BI772" s="100"/>
      <c r="BJ772" s="100"/>
      <c r="BK772" s="102"/>
      <c r="BN772" s="36"/>
    </row>
    <row r="773" spans="1:66" x14ac:dyDescent="0.25">
      <c r="A773" s="92"/>
      <c r="B773" s="93"/>
      <c r="C773" s="93"/>
      <c r="D773" s="92"/>
      <c r="E773" s="92"/>
      <c r="F773" s="92"/>
      <c r="G773" s="92"/>
      <c r="H773" s="92"/>
      <c r="I773" s="92"/>
      <c r="J773" s="92"/>
      <c r="K773" s="92"/>
      <c r="L773" s="92"/>
      <c r="M773" s="92"/>
      <c r="N773" s="94"/>
      <c r="AG773" s="100"/>
      <c r="AH773" s="101"/>
      <c r="AI773" s="101"/>
      <c r="AJ773" s="100"/>
      <c r="AK773" s="100"/>
      <c r="AL773" s="100"/>
      <c r="AM773" s="100"/>
      <c r="AN773" s="100"/>
      <c r="AO773" s="100"/>
      <c r="AP773" s="100"/>
      <c r="AQ773" s="100"/>
      <c r="AR773" s="100"/>
      <c r="AS773" s="100"/>
      <c r="AT773" s="102"/>
      <c r="AX773" s="100"/>
      <c r="AY773" s="101"/>
      <c r="AZ773" s="101"/>
      <c r="BA773" s="100"/>
      <c r="BB773" s="100"/>
      <c r="BC773" s="100"/>
      <c r="BD773" s="100"/>
      <c r="BE773" s="100"/>
      <c r="BF773" s="100"/>
      <c r="BG773" s="100"/>
      <c r="BH773" s="100"/>
      <c r="BI773" s="100"/>
      <c r="BJ773" s="100"/>
      <c r="BK773" s="102"/>
      <c r="BN773" s="36"/>
    </row>
    <row r="774" spans="1:66" x14ac:dyDescent="0.25">
      <c r="A774" s="92"/>
      <c r="B774" s="92"/>
      <c r="C774" s="92"/>
      <c r="D774" s="92"/>
      <c r="E774" s="92"/>
      <c r="F774" s="92"/>
      <c r="G774" s="92"/>
      <c r="H774" s="92"/>
      <c r="I774" s="92"/>
      <c r="J774" s="92"/>
      <c r="K774" s="92"/>
      <c r="L774" s="92"/>
      <c r="M774" s="92"/>
      <c r="N774" s="92"/>
      <c r="AG774" s="100"/>
      <c r="AH774" s="101"/>
      <c r="AI774" s="101"/>
      <c r="AJ774" s="100"/>
      <c r="AK774" s="100"/>
      <c r="AL774" s="100"/>
      <c r="AM774" s="100"/>
      <c r="AN774" s="100"/>
      <c r="AO774" s="100"/>
      <c r="AP774" s="100"/>
      <c r="AQ774" s="100"/>
      <c r="AR774" s="100"/>
      <c r="AS774" s="100"/>
      <c r="AT774" s="102"/>
      <c r="AX774" s="100"/>
      <c r="AY774" s="101"/>
      <c r="AZ774" s="101"/>
      <c r="BA774" s="100"/>
      <c r="BB774" s="100"/>
      <c r="BC774" s="100"/>
      <c r="BD774" s="100"/>
      <c r="BE774" s="100"/>
      <c r="BF774" s="100"/>
      <c r="BG774" s="100"/>
      <c r="BH774" s="100"/>
      <c r="BI774" s="100"/>
      <c r="BJ774" s="100"/>
      <c r="BK774" s="102"/>
      <c r="BN774" s="36"/>
    </row>
    <row r="775" spans="1:66" x14ac:dyDescent="0.25">
      <c r="A775" s="92"/>
      <c r="B775" s="92"/>
      <c r="C775" s="92"/>
      <c r="D775" s="92"/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AG775" s="100"/>
      <c r="AH775" s="101"/>
      <c r="AI775" s="101"/>
      <c r="AJ775" s="100"/>
      <c r="AK775" s="100"/>
      <c r="AL775" s="100"/>
      <c r="AM775" s="100"/>
      <c r="AN775" s="100"/>
      <c r="AO775" s="100"/>
      <c r="AP775" s="100"/>
      <c r="AQ775" s="100"/>
      <c r="AR775" s="100"/>
      <c r="AS775" s="100"/>
      <c r="AT775" s="102"/>
      <c r="AX775" s="100"/>
      <c r="AY775" s="101"/>
      <c r="AZ775" s="101"/>
      <c r="BA775" s="101"/>
      <c r="BB775" s="100"/>
      <c r="BC775" s="100"/>
      <c r="BD775" s="100"/>
      <c r="BE775" s="100"/>
      <c r="BF775" s="100"/>
      <c r="BG775" s="100"/>
      <c r="BH775" s="100"/>
      <c r="BI775" s="100"/>
      <c r="BJ775" s="100"/>
      <c r="BK775" s="102"/>
      <c r="BN775" s="36"/>
    </row>
    <row r="776" spans="1:66" x14ac:dyDescent="0.25">
      <c r="A776" s="92"/>
      <c r="B776" s="93"/>
      <c r="C776" s="93"/>
      <c r="D776" s="92"/>
      <c r="E776" s="92"/>
      <c r="F776" s="92"/>
      <c r="G776" s="92"/>
      <c r="H776" s="92"/>
      <c r="I776" s="92"/>
      <c r="J776" s="92"/>
      <c r="K776" s="92"/>
      <c r="L776" s="92"/>
      <c r="M776" s="92"/>
      <c r="N776" s="94"/>
      <c r="AG776" s="100"/>
      <c r="AH776" s="101"/>
      <c r="AI776" s="101"/>
      <c r="AJ776" s="100"/>
      <c r="AK776" s="100"/>
      <c r="AL776" s="100"/>
      <c r="AM776" s="100"/>
      <c r="AN776" s="100"/>
      <c r="AO776" s="100"/>
      <c r="AP776" s="100"/>
      <c r="AQ776" s="100"/>
      <c r="AR776" s="100"/>
      <c r="AS776" s="100"/>
      <c r="AT776" s="102"/>
      <c r="AX776" s="100"/>
      <c r="AY776" s="101"/>
      <c r="AZ776" s="101"/>
      <c r="BA776" s="100"/>
      <c r="BB776" s="100"/>
      <c r="BC776" s="100"/>
      <c r="BD776" s="100"/>
      <c r="BE776" s="100"/>
      <c r="BF776" s="100"/>
      <c r="BG776" s="100"/>
      <c r="BH776" s="100"/>
      <c r="BI776" s="100"/>
      <c r="BJ776" s="100"/>
      <c r="BK776" s="102"/>
      <c r="BN776" s="36"/>
    </row>
    <row r="777" spans="1:66" x14ac:dyDescent="0.25">
      <c r="A777" s="92"/>
      <c r="B777" s="93"/>
      <c r="C777" s="93"/>
      <c r="D777" s="92"/>
      <c r="E777" s="92"/>
      <c r="F777" s="92"/>
      <c r="G777" s="92"/>
      <c r="H777" s="92"/>
      <c r="I777" s="92"/>
      <c r="J777" s="92"/>
      <c r="K777" s="92"/>
      <c r="L777" s="92"/>
      <c r="M777" s="92"/>
      <c r="N777" s="94"/>
      <c r="AG777" s="100"/>
      <c r="AH777" s="101"/>
      <c r="AI777" s="101"/>
      <c r="AJ777" s="100"/>
      <c r="AK777" s="100"/>
      <c r="AL777" s="100"/>
      <c r="AM777" s="100"/>
      <c r="AN777" s="100"/>
      <c r="AO777" s="100"/>
      <c r="AP777" s="100"/>
      <c r="AQ777" s="100"/>
      <c r="AR777" s="100"/>
      <c r="AS777" s="100"/>
      <c r="AT777" s="102"/>
      <c r="AX777" s="100"/>
      <c r="AY777" s="101"/>
      <c r="AZ777" s="101"/>
      <c r="BA777" s="101"/>
      <c r="BB777" s="100"/>
      <c r="BC777" s="100"/>
      <c r="BD777" s="100"/>
      <c r="BE777" s="100"/>
      <c r="BF777" s="100"/>
      <c r="BG777" s="100"/>
      <c r="BH777" s="100"/>
      <c r="BI777" s="100"/>
      <c r="BJ777" s="100"/>
      <c r="BK777" s="102"/>
      <c r="BN777" s="36"/>
    </row>
    <row r="778" spans="1:66" x14ac:dyDescent="0.25">
      <c r="A778" s="92"/>
      <c r="B778" s="93"/>
      <c r="C778" s="93"/>
      <c r="D778" s="92"/>
      <c r="E778" s="92"/>
      <c r="F778" s="92"/>
      <c r="G778" s="92"/>
      <c r="H778" s="92"/>
      <c r="I778" s="92"/>
      <c r="J778" s="92"/>
      <c r="K778" s="92"/>
      <c r="L778" s="92"/>
      <c r="M778" s="92"/>
      <c r="N778" s="94"/>
      <c r="AG778" s="100"/>
      <c r="AH778" s="101"/>
      <c r="AI778" s="101"/>
      <c r="AJ778" s="100"/>
      <c r="AK778" s="100"/>
      <c r="AL778" s="100"/>
      <c r="AM778" s="100"/>
      <c r="AN778" s="100"/>
      <c r="AO778" s="100"/>
      <c r="AP778" s="100"/>
      <c r="AQ778" s="100"/>
      <c r="AR778" s="100"/>
      <c r="AS778" s="100"/>
      <c r="AT778" s="102"/>
      <c r="AX778" s="100"/>
      <c r="AY778" s="101"/>
      <c r="AZ778" s="101"/>
      <c r="BA778" s="101"/>
      <c r="BB778" s="100"/>
      <c r="BC778" s="100"/>
      <c r="BD778" s="100"/>
      <c r="BE778" s="100"/>
      <c r="BF778" s="100"/>
      <c r="BG778" s="100"/>
      <c r="BH778" s="100"/>
      <c r="BI778" s="100"/>
      <c r="BJ778" s="100"/>
      <c r="BK778" s="102"/>
      <c r="BN778" s="36"/>
    </row>
    <row r="779" spans="1:66" x14ac:dyDescent="0.25">
      <c r="A779" s="92"/>
      <c r="B779" s="93"/>
      <c r="C779" s="93"/>
      <c r="D779" s="92"/>
      <c r="E779" s="92"/>
      <c r="F779" s="92"/>
      <c r="G779" s="92"/>
      <c r="H779" s="92"/>
      <c r="I779" s="92"/>
      <c r="J779" s="92"/>
      <c r="K779" s="92"/>
      <c r="L779" s="92"/>
      <c r="M779" s="92"/>
      <c r="N779" s="94"/>
      <c r="AG779" s="100"/>
      <c r="AH779" s="101"/>
      <c r="AI779" s="101"/>
      <c r="AJ779" s="101"/>
      <c r="AK779" s="100"/>
      <c r="AL779" s="100"/>
      <c r="AM779" s="100"/>
      <c r="AN779" s="100"/>
      <c r="AO779" s="100"/>
      <c r="AP779" s="100"/>
      <c r="AQ779" s="100"/>
      <c r="AR779" s="100"/>
      <c r="AS779" s="100"/>
      <c r="AT779" s="102"/>
      <c r="AX779" s="100"/>
      <c r="AY779" s="101"/>
      <c r="AZ779" s="101"/>
      <c r="BA779" s="100"/>
      <c r="BB779" s="100"/>
      <c r="BC779" s="100"/>
      <c r="BD779" s="100"/>
      <c r="BE779" s="100"/>
      <c r="BF779" s="100"/>
      <c r="BG779" s="100"/>
      <c r="BH779" s="100"/>
      <c r="BI779" s="100"/>
      <c r="BJ779" s="100"/>
      <c r="BK779" s="102"/>
      <c r="BN779" s="36"/>
    </row>
    <row r="780" spans="1:66" x14ac:dyDescent="0.25">
      <c r="A780" s="92"/>
      <c r="B780" s="93"/>
      <c r="C780" s="93"/>
      <c r="D780" s="92"/>
      <c r="E780" s="92"/>
      <c r="F780" s="92"/>
      <c r="G780" s="92"/>
      <c r="H780" s="92"/>
      <c r="I780" s="92"/>
      <c r="J780" s="92"/>
      <c r="K780" s="92"/>
      <c r="L780" s="92"/>
      <c r="M780" s="92"/>
      <c r="N780" s="94"/>
      <c r="AG780" s="100"/>
      <c r="AH780" s="101"/>
      <c r="AI780" s="101"/>
      <c r="AJ780" s="100"/>
      <c r="AK780" s="100"/>
      <c r="AL780" s="100"/>
      <c r="AM780" s="100"/>
      <c r="AN780" s="100"/>
      <c r="AO780" s="100"/>
      <c r="AP780" s="100"/>
      <c r="AQ780" s="100"/>
      <c r="AR780" s="100"/>
      <c r="AS780" s="100"/>
      <c r="AT780" s="102"/>
      <c r="AX780" s="100"/>
      <c r="AY780" s="101"/>
      <c r="AZ780" s="101"/>
      <c r="BA780" s="100"/>
      <c r="BB780" s="100"/>
      <c r="BC780" s="100"/>
      <c r="BD780" s="100"/>
      <c r="BE780" s="100"/>
      <c r="BF780" s="100"/>
      <c r="BG780" s="100"/>
      <c r="BH780" s="100"/>
      <c r="BI780" s="100"/>
      <c r="BJ780" s="100"/>
      <c r="BK780" s="102"/>
      <c r="BN780" s="36"/>
    </row>
    <row r="781" spans="1:66" x14ac:dyDescent="0.25">
      <c r="A781" s="92"/>
      <c r="B781" s="93"/>
      <c r="C781" s="93"/>
      <c r="D781" s="92"/>
      <c r="E781" s="92"/>
      <c r="F781" s="92"/>
      <c r="G781" s="92"/>
      <c r="H781" s="92"/>
      <c r="I781" s="92"/>
      <c r="J781" s="92"/>
      <c r="K781" s="92"/>
      <c r="L781" s="92"/>
      <c r="M781" s="92"/>
      <c r="N781" s="94"/>
      <c r="AG781" s="100"/>
      <c r="AH781" s="101"/>
      <c r="AI781" s="101"/>
      <c r="AJ781" s="100"/>
      <c r="AK781" s="100"/>
      <c r="AL781" s="100"/>
      <c r="AM781" s="100"/>
      <c r="AN781" s="100"/>
      <c r="AO781" s="100"/>
      <c r="AP781" s="100"/>
      <c r="AQ781" s="100"/>
      <c r="AR781" s="100"/>
      <c r="AS781" s="100"/>
      <c r="AT781" s="102"/>
      <c r="AX781" s="100"/>
      <c r="AY781" s="101"/>
      <c r="AZ781" s="101"/>
      <c r="BA781" s="100"/>
      <c r="BB781" s="100"/>
      <c r="BC781" s="100"/>
      <c r="BD781" s="100"/>
      <c r="BE781" s="100"/>
      <c r="BF781" s="100"/>
      <c r="BG781" s="100"/>
      <c r="BH781" s="100"/>
      <c r="BI781" s="100"/>
      <c r="BJ781" s="100"/>
      <c r="BK781" s="102"/>
      <c r="BN781" s="36"/>
    </row>
    <row r="782" spans="1:66" x14ac:dyDescent="0.25">
      <c r="A782" s="92"/>
      <c r="B782" s="92"/>
      <c r="C782" s="92"/>
      <c r="D782" s="92"/>
      <c r="E782" s="92"/>
      <c r="F782" s="92"/>
      <c r="G782" s="92"/>
      <c r="H782" s="92"/>
      <c r="I782" s="92"/>
      <c r="J782" s="92"/>
      <c r="K782" s="92"/>
      <c r="L782" s="92"/>
      <c r="M782" s="92"/>
      <c r="N782" s="92"/>
      <c r="AG782" s="100"/>
      <c r="AH782" s="101"/>
      <c r="AI782" s="101"/>
      <c r="AJ782" s="100"/>
      <c r="AK782" s="100"/>
      <c r="AL782" s="100"/>
      <c r="AM782" s="100"/>
      <c r="AN782" s="100"/>
      <c r="AO782" s="100"/>
      <c r="AP782" s="100"/>
      <c r="AQ782" s="100"/>
      <c r="AR782" s="100"/>
      <c r="AS782" s="100"/>
      <c r="AT782" s="102"/>
      <c r="AX782" s="100"/>
      <c r="AY782" s="101"/>
      <c r="AZ782" s="101"/>
      <c r="BA782" s="100"/>
      <c r="BB782" s="100"/>
      <c r="BC782" s="100"/>
      <c r="BD782" s="100"/>
      <c r="BE782" s="100"/>
      <c r="BF782" s="100"/>
      <c r="BG782" s="100"/>
      <c r="BH782" s="100"/>
      <c r="BI782" s="100"/>
      <c r="BJ782" s="100"/>
      <c r="BK782" s="102"/>
      <c r="BN782" s="36"/>
    </row>
    <row r="783" spans="1:66" x14ac:dyDescent="0.25">
      <c r="A783" s="92"/>
      <c r="B783" s="92"/>
      <c r="C783" s="92"/>
      <c r="D783" s="92"/>
      <c r="E783" s="92"/>
      <c r="F783" s="92"/>
      <c r="G783" s="92"/>
      <c r="H783" s="92"/>
      <c r="I783" s="92"/>
      <c r="J783" s="92"/>
      <c r="K783" s="92"/>
      <c r="L783" s="92"/>
      <c r="M783" s="92"/>
      <c r="N783" s="92"/>
      <c r="AG783" s="100"/>
      <c r="AH783" s="101"/>
      <c r="AI783" s="101"/>
      <c r="AJ783" s="101"/>
      <c r="AK783" s="100"/>
      <c r="AL783" s="100"/>
      <c r="AM783" s="100"/>
      <c r="AN783" s="100"/>
      <c r="AO783" s="100"/>
      <c r="AP783" s="100"/>
      <c r="AQ783" s="100"/>
      <c r="AR783" s="100"/>
      <c r="AS783" s="100"/>
      <c r="AT783" s="102"/>
      <c r="AX783" s="100"/>
      <c r="AY783" s="101"/>
      <c r="AZ783" s="101"/>
      <c r="BA783" s="100"/>
      <c r="BB783" s="100"/>
      <c r="BC783" s="100"/>
      <c r="BD783" s="100"/>
      <c r="BE783" s="100"/>
      <c r="BF783" s="100"/>
      <c r="BG783" s="100"/>
      <c r="BH783" s="100"/>
      <c r="BI783" s="100"/>
      <c r="BJ783" s="100"/>
      <c r="BK783" s="102"/>
      <c r="BN783" s="36"/>
    </row>
    <row r="784" spans="1:66" x14ac:dyDescent="0.25">
      <c r="A784" s="92"/>
      <c r="B784" s="93"/>
      <c r="C784" s="93"/>
      <c r="D784" s="92"/>
      <c r="E784" s="92"/>
      <c r="F784" s="92"/>
      <c r="G784" s="92"/>
      <c r="H784" s="92"/>
      <c r="I784" s="92"/>
      <c r="J784" s="92"/>
      <c r="K784" s="92"/>
      <c r="L784" s="92"/>
      <c r="M784" s="92"/>
      <c r="N784" s="94"/>
      <c r="AG784" s="100"/>
      <c r="AH784" s="101"/>
      <c r="AI784" s="101"/>
      <c r="AJ784" s="100"/>
      <c r="AK784" s="100"/>
      <c r="AL784" s="100"/>
      <c r="AM784" s="100"/>
      <c r="AN784" s="100"/>
      <c r="AO784" s="100"/>
      <c r="AP784" s="100"/>
      <c r="AQ784" s="100"/>
      <c r="AR784" s="100"/>
      <c r="AS784" s="100"/>
      <c r="AT784" s="102"/>
      <c r="AX784" s="100"/>
      <c r="AY784" s="101"/>
      <c r="AZ784" s="101"/>
      <c r="BA784" s="100"/>
      <c r="BB784" s="100"/>
      <c r="BC784" s="100"/>
      <c r="BD784" s="100"/>
      <c r="BE784" s="100"/>
      <c r="BF784" s="100"/>
      <c r="BG784" s="100"/>
      <c r="BH784" s="100"/>
      <c r="BI784" s="100"/>
      <c r="BJ784" s="100"/>
      <c r="BK784" s="102"/>
      <c r="BN784" s="36"/>
    </row>
    <row r="785" spans="1:66" x14ac:dyDescent="0.25">
      <c r="A785" s="92"/>
      <c r="B785" s="93"/>
      <c r="C785" s="93"/>
      <c r="D785" s="92"/>
      <c r="E785" s="92"/>
      <c r="F785" s="92"/>
      <c r="G785" s="92"/>
      <c r="H785" s="92"/>
      <c r="I785" s="92"/>
      <c r="J785" s="92"/>
      <c r="K785" s="92"/>
      <c r="L785" s="92"/>
      <c r="M785" s="92"/>
      <c r="N785" s="94"/>
      <c r="AG785" s="100"/>
      <c r="AH785" s="101"/>
      <c r="AI785" s="101"/>
      <c r="AJ785" s="100"/>
      <c r="AK785" s="100"/>
      <c r="AL785" s="100"/>
      <c r="AM785" s="100"/>
      <c r="AN785" s="100"/>
      <c r="AO785" s="100"/>
      <c r="AP785" s="100"/>
      <c r="AQ785" s="100"/>
      <c r="AR785" s="100"/>
      <c r="AS785" s="100"/>
      <c r="AT785" s="102"/>
      <c r="AX785" s="100"/>
      <c r="AY785" s="101"/>
      <c r="AZ785" s="101"/>
      <c r="BA785" s="100"/>
      <c r="BB785" s="100"/>
      <c r="BC785" s="100"/>
      <c r="BD785" s="100"/>
      <c r="BE785" s="100"/>
      <c r="BF785" s="100"/>
      <c r="BG785" s="100"/>
      <c r="BH785" s="100"/>
      <c r="BI785" s="100"/>
      <c r="BJ785" s="100"/>
      <c r="BK785" s="102"/>
      <c r="BN785" s="36"/>
    </row>
    <row r="786" spans="1:66" x14ac:dyDescent="0.25">
      <c r="A786" s="92"/>
      <c r="B786" s="93"/>
      <c r="C786" s="93"/>
      <c r="D786" s="92"/>
      <c r="E786" s="92"/>
      <c r="F786" s="92"/>
      <c r="G786" s="92"/>
      <c r="H786" s="92"/>
      <c r="I786" s="92"/>
      <c r="J786" s="92"/>
      <c r="K786" s="92"/>
      <c r="L786" s="92"/>
      <c r="M786" s="92"/>
      <c r="N786" s="94"/>
      <c r="AG786" s="100"/>
      <c r="AH786" s="101"/>
      <c r="AI786" s="101"/>
      <c r="AJ786" s="100"/>
      <c r="AK786" s="100"/>
      <c r="AL786" s="100"/>
      <c r="AM786" s="100"/>
      <c r="AN786" s="100"/>
      <c r="AO786" s="100"/>
      <c r="AP786" s="100"/>
      <c r="AQ786" s="100"/>
      <c r="AR786" s="100"/>
      <c r="AS786" s="100"/>
      <c r="AT786" s="102"/>
      <c r="AX786" s="100"/>
      <c r="AY786" s="101"/>
      <c r="AZ786" s="101"/>
      <c r="BA786" s="100"/>
      <c r="BB786" s="100"/>
      <c r="BC786" s="100"/>
      <c r="BD786" s="100"/>
      <c r="BE786" s="100"/>
      <c r="BF786" s="100"/>
      <c r="BG786" s="100"/>
      <c r="BH786" s="100"/>
      <c r="BI786" s="100"/>
      <c r="BJ786" s="100"/>
      <c r="BK786" s="102"/>
      <c r="BN786" s="36"/>
    </row>
    <row r="787" spans="1:66" x14ac:dyDescent="0.25">
      <c r="A787" s="92"/>
      <c r="B787" s="92"/>
      <c r="C787" s="92"/>
      <c r="D787" s="92"/>
      <c r="E787" s="92"/>
      <c r="F787" s="92"/>
      <c r="G787" s="92"/>
      <c r="H787" s="92"/>
      <c r="I787" s="92"/>
      <c r="J787" s="92"/>
      <c r="K787" s="92"/>
      <c r="L787" s="92"/>
      <c r="M787" s="92"/>
      <c r="N787" s="92"/>
      <c r="AG787" s="100"/>
      <c r="AH787" s="101"/>
      <c r="AI787" s="100"/>
      <c r="AJ787" s="101"/>
      <c r="AK787" s="100"/>
      <c r="AL787" s="100"/>
      <c r="AM787" s="100"/>
      <c r="AN787" s="100"/>
      <c r="AO787" s="100"/>
      <c r="AP787" s="100"/>
      <c r="AQ787" s="100"/>
      <c r="AR787" s="100"/>
      <c r="AS787" s="100"/>
      <c r="AT787" s="102"/>
      <c r="AX787" s="100"/>
      <c r="AY787" s="101"/>
      <c r="AZ787" s="101"/>
      <c r="BA787" s="100"/>
      <c r="BB787" s="100"/>
      <c r="BC787" s="100"/>
      <c r="BD787" s="100"/>
      <c r="BE787" s="100"/>
      <c r="BF787" s="100"/>
      <c r="BG787" s="100"/>
      <c r="BH787" s="100"/>
      <c r="BI787" s="100"/>
      <c r="BJ787" s="100"/>
      <c r="BK787" s="102"/>
      <c r="BN787" s="36"/>
    </row>
    <row r="788" spans="1:66" x14ac:dyDescent="0.25">
      <c r="A788" s="92"/>
      <c r="B788" s="92"/>
      <c r="C788" s="92"/>
      <c r="D788" s="92"/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AG788" s="100"/>
      <c r="AH788" s="101"/>
      <c r="AI788" s="100"/>
      <c r="AJ788" s="101"/>
      <c r="AK788" s="100"/>
      <c r="AL788" s="100"/>
      <c r="AM788" s="100"/>
      <c r="AN788" s="100"/>
      <c r="AO788" s="100"/>
      <c r="AP788" s="100"/>
      <c r="AQ788" s="100"/>
      <c r="AR788" s="100"/>
      <c r="AS788" s="100"/>
      <c r="AT788" s="102"/>
      <c r="AX788" s="100"/>
      <c r="AY788" s="101"/>
      <c r="AZ788" s="101"/>
      <c r="BA788" s="100"/>
      <c r="BB788" s="100"/>
      <c r="BC788" s="100"/>
      <c r="BD788" s="100"/>
      <c r="BE788" s="100"/>
      <c r="BF788" s="100"/>
      <c r="BG788" s="100"/>
      <c r="BH788" s="100"/>
      <c r="BI788" s="100"/>
      <c r="BJ788" s="100"/>
      <c r="BK788" s="102"/>
      <c r="BN788" s="36"/>
    </row>
    <row r="789" spans="1:66" x14ac:dyDescent="0.25">
      <c r="A789" s="92"/>
      <c r="B789" s="92"/>
      <c r="C789" s="92"/>
      <c r="D789" s="92"/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AG789" s="100"/>
      <c r="AH789" s="101"/>
      <c r="AI789" s="101"/>
      <c r="AJ789" s="100"/>
      <c r="AK789" s="100"/>
      <c r="AL789" s="100"/>
      <c r="AM789" s="100"/>
      <c r="AN789" s="100"/>
      <c r="AO789" s="100"/>
      <c r="AP789" s="100"/>
      <c r="AQ789" s="100"/>
      <c r="AR789" s="100"/>
      <c r="AS789" s="100"/>
      <c r="AT789" s="102"/>
      <c r="AX789" s="100"/>
      <c r="AY789" s="101"/>
      <c r="AZ789" s="101"/>
      <c r="BA789" s="100"/>
      <c r="BB789" s="100"/>
      <c r="BC789" s="100"/>
      <c r="BD789" s="100"/>
      <c r="BE789" s="100"/>
      <c r="BF789" s="100"/>
      <c r="BG789" s="100"/>
      <c r="BH789" s="100"/>
      <c r="BI789" s="100"/>
      <c r="BJ789" s="100"/>
      <c r="BK789" s="102"/>
      <c r="BN789" s="36"/>
    </row>
    <row r="790" spans="1:66" x14ac:dyDescent="0.25">
      <c r="A790" s="92"/>
      <c r="B790" s="92"/>
      <c r="C790" s="92"/>
      <c r="D790" s="92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AG790" s="100"/>
      <c r="AH790" s="101"/>
      <c r="AI790" s="101"/>
      <c r="AJ790" s="101"/>
      <c r="AK790" s="100"/>
      <c r="AL790" s="100"/>
      <c r="AM790" s="100"/>
      <c r="AN790" s="100"/>
      <c r="AO790" s="100"/>
      <c r="AP790" s="100"/>
      <c r="AQ790" s="100"/>
      <c r="AR790" s="100"/>
      <c r="AS790" s="100"/>
      <c r="AT790" s="102"/>
      <c r="AX790" s="100"/>
      <c r="AY790" s="101"/>
      <c r="AZ790" s="101"/>
      <c r="BA790" s="100"/>
      <c r="BB790" s="100"/>
      <c r="BC790" s="100"/>
      <c r="BD790" s="100"/>
      <c r="BE790" s="100"/>
      <c r="BF790" s="100"/>
      <c r="BG790" s="100"/>
      <c r="BH790" s="100"/>
      <c r="BI790" s="100"/>
      <c r="BJ790" s="100"/>
      <c r="BK790" s="102"/>
      <c r="BN790" s="36"/>
    </row>
    <row r="791" spans="1:66" x14ac:dyDescent="0.25">
      <c r="A791" s="92"/>
      <c r="B791" s="92"/>
      <c r="C791" s="92"/>
      <c r="D791" s="92"/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AG791" s="100"/>
      <c r="AH791" s="101"/>
      <c r="AI791" s="101"/>
      <c r="AJ791" s="100"/>
      <c r="AK791" s="100"/>
      <c r="AL791" s="100"/>
      <c r="AM791" s="100"/>
      <c r="AN791" s="100"/>
      <c r="AO791" s="100"/>
      <c r="AP791" s="100"/>
      <c r="AQ791" s="100"/>
      <c r="AR791" s="100"/>
      <c r="AS791" s="100"/>
      <c r="AT791" s="102"/>
      <c r="AX791" s="100"/>
      <c r="AY791" s="101"/>
      <c r="AZ791" s="101"/>
      <c r="BA791" s="100"/>
      <c r="BB791" s="100"/>
      <c r="BC791" s="100"/>
      <c r="BD791" s="100"/>
      <c r="BE791" s="100"/>
      <c r="BF791" s="100"/>
      <c r="BG791" s="100"/>
      <c r="BH791" s="100"/>
      <c r="BI791" s="100"/>
      <c r="BJ791" s="100"/>
      <c r="BK791" s="102"/>
      <c r="BN791" s="36"/>
    </row>
    <row r="792" spans="1:66" x14ac:dyDescent="0.25">
      <c r="A792" s="92"/>
      <c r="B792" s="92"/>
      <c r="C792" s="92"/>
      <c r="D792" s="92"/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AG792" s="100"/>
      <c r="AH792" s="101"/>
      <c r="AI792" s="101"/>
      <c r="AJ792" s="100"/>
      <c r="AK792" s="100"/>
      <c r="AL792" s="100"/>
      <c r="AM792" s="100"/>
      <c r="AN792" s="100"/>
      <c r="AO792" s="100"/>
      <c r="AP792" s="100"/>
      <c r="AQ792" s="100"/>
      <c r="AR792" s="100"/>
      <c r="AS792" s="100"/>
      <c r="AT792" s="102"/>
      <c r="AX792" s="100"/>
      <c r="AY792" s="101"/>
      <c r="AZ792" s="101"/>
      <c r="BA792" s="100"/>
      <c r="BB792" s="100"/>
      <c r="BC792" s="100"/>
      <c r="BD792" s="100"/>
      <c r="BE792" s="100"/>
      <c r="BF792" s="100"/>
      <c r="BG792" s="100"/>
      <c r="BH792" s="100"/>
      <c r="BI792" s="100"/>
      <c r="BJ792" s="100"/>
      <c r="BK792" s="102"/>
      <c r="BN792" s="36"/>
    </row>
    <row r="793" spans="1:66" x14ac:dyDescent="0.25">
      <c r="A793" s="92"/>
      <c r="B793" s="92"/>
      <c r="C793" s="92"/>
      <c r="D793" s="92"/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AG793" s="100"/>
      <c r="AH793" s="101"/>
      <c r="AI793" s="101"/>
      <c r="AJ793" s="100"/>
      <c r="AK793" s="100"/>
      <c r="AL793" s="100"/>
      <c r="AM793" s="100"/>
      <c r="AN793" s="100"/>
      <c r="AO793" s="100"/>
      <c r="AP793" s="100"/>
      <c r="AQ793" s="100"/>
      <c r="AR793" s="100"/>
      <c r="AS793" s="100"/>
      <c r="AT793" s="102"/>
      <c r="AX793" s="100"/>
      <c r="AY793" s="101"/>
      <c r="AZ793" s="101"/>
      <c r="BA793" s="100"/>
      <c r="BB793" s="100"/>
      <c r="BC793" s="100"/>
      <c r="BD793" s="100"/>
      <c r="BE793" s="100"/>
      <c r="BF793" s="100"/>
      <c r="BG793" s="100"/>
      <c r="BH793" s="100"/>
      <c r="BI793" s="100"/>
      <c r="BJ793" s="100"/>
      <c r="BK793" s="102"/>
      <c r="BN793" s="36"/>
    </row>
    <row r="794" spans="1:66" x14ac:dyDescent="0.25">
      <c r="A794" s="92"/>
      <c r="B794" s="93"/>
      <c r="C794" s="93"/>
      <c r="D794" s="92"/>
      <c r="E794" s="92"/>
      <c r="F794" s="92"/>
      <c r="G794" s="92"/>
      <c r="H794" s="92"/>
      <c r="I794" s="92"/>
      <c r="J794" s="92"/>
      <c r="K794" s="92"/>
      <c r="L794" s="92"/>
      <c r="M794" s="92"/>
      <c r="N794" s="94"/>
      <c r="AG794" s="100"/>
      <c r="AH794" s="101"/>
      <c r="AI794" s="101"/>
      <c r="AJ794" s="101"/>
      <c r="AK794" s="100"/>
      <c r="AL794" s="100"/>
      <c r="AM794" s="100"/>
      <c r="AN794" s="100"/>
      <c r="AO794" s="100"/>
      <c r="AP794" s="100"/>
      <c r="AQ794" s="100"/>
      <c r="AR794" s="100"/>
      <c r="AS794" s="100"/>
      <c r="AT794" s="102"/>
      <c r="AX794" s="100"/>
      <c r="AY794" s="101"/>
      <c r="AZ794" s="101"/>
      <c r="BA794" s="100"/>
      <c r="BB794" s="100"/>
      <c r="BC794" s="100"/>
      <c r="BD794" s="100"/>
      <c r="BE794" s="100"/>
      <c r="BF794" s="100"/>
      <c r="BG794" s="100"/>
      <c r="BH794" s="100"/>
      <c r="BI794" s="100"/>
      <c r="BJ794" s="100"/>
      <c r="BK794" s="102"/>
      <c r="BN794" s="36"/>
    </row>
    <row r="795" spans="1:66" x14ac:dyDescent="0.25">
      <c r="A795" s="92"/>
      <c r="B795" s="93"/>
      <c r="C795" s="93"/>
      <c r="D795" s="92"/>
      <c r="E795" s="92"/>
      <c r="F795" s="92"/>
      <c r="G795" s="92"/>
      <c r="H795" s="92"/>
      <c r="I795" s="92"/>
      <c r="J795" s="92"/>
      <c r="K795" s="92"/>
      <c r="L795" s="92"/>
      <c r="M795" s="92"/>
      <c r="N795" s="94"/>
      <c r="AG795" s="100"/>
      <c r="AH795" s="101"/>
      <c r="AI795" s="101"/>
      <c r="AJ795" s="100"/>
      <c r="AK795" s="100"/>
      <c r="AL795" s="100"/>
      <c r="AM795" s="100"/>
      <c r="AN795" s="100"/>
      <c r="AO795" s="100"/>
      <c r="AP795" s="100"/>
      <c r="AQ795" s="100"/>
      <c r="AR795" s="100"/>
      <c r="AS795" s="100"/>
      <c r="AT795" s="102"/>
      <c r="AX795" s="100"/>
      <c r="AY795" s="101"/>
      <c r="AZ795" s="101"/>
      <c r="BA795" s="100"/>
      <c r="BB795" s="100"/>
      <c r="BC795" s="100"/>
      <c r="BD795" s="100"/>
      <c r="BE795" s="100"/>
      <c r="BF795" s="100"/>
      <c r="BG795" s="100"/>
      <c r="BH795" s="100"/>
      <c r="BI795" s="100"/>
      <c r="BJ795" s="100"/>
      <c r="BK795" s="102"/>
      <c r="BN795" s="36"/>
    </row>
    <row r="796" spans="1:66" x14ac:dyDescent="0.25">
      <c r="A796" s="92"/>
      <c r="B796" s="93"/>
      <c r="C796" s="93"/>
      <c r="D796" s="92"/>
      <c r="E796" s="92"/>
      <c r="F796" s="92"/>
      <c r="G796" s="92"/>
      <c r="H796" s="92"/>
      <c r="I796" s="92"/>
      <c r="J796" s="92"/>
      <c r="K796" s="92"/>
      <c r="L796" s="92"/>
      <c r="M796" s="92"/>
      <c r="N796" s="94"/>
      <c r="AG796" s="100"/>
      <c r="AH796" s="101"/>
      <c r="AI796" s="101"/>
      <c r="AJ796" s="100"/>
      <c r="AK796" s="100"/>
      <c r="AL796" s="100"/>
      <c r="AM796" s="100"/>
      <c r="AN796" s="100"/>
      <c r="AO796" s="100"/>
      <c r="AP796" s="100"/>
      <c r="AQ796" s="100"/>
      <c r="AR796" s="100"/>
      <c r="AS796" s="100"/>
      <c r="AT796" s="102"/>
      <c r="AX796" s="100"/>
      <c r="AY796" s="101"/>
      <c r="AZ796" s="101"/>
      <c r="BA796" s="100"/>
      <c r="BB796" s="100"/>
      <c r="BC796" s="100"/>
      <c r="BD796" s="100"/>
      <c r="BE796" s="100"/>
      <c r="BF796" s="100"/>
      <c r="BG796" s="100"/>
      <c r="BH796" s="100"/>
      <c r="BI796" s="100"/>
      <c r="BJ796" s="100"/>
      <c r="BK796" s="102"/>
      <c r="BN796" s="36"/>
    </row>
    <row r="797" spans="1:66" x14ac:dyDescent="0.25">
      <c r="A797" s="92"/>
      <c r="B797" s="93"/>
      <c r="C797" s="93"/>
      <c r="D797" s="92"/>
      <c r="E797" s="92"/>
      <c r="F797" s="92"/>
      <c r="G797" s="92"/>
      <c r="H797" s="92"/>
      <c r="I797" s="92"/>
      <c r="J797" s="92"/>
      <c r="K797" s="92"/>
      <c r="L797" s="92"/>
      <c r="M797" s="92"/>
      <c r="N797" s="94"/>
      <c r="AG797" s="100"/>
      <c r="AH797" s="101"/>
      <c r="AI797" s="101"/>
      <c r="AJ797" s="101"/>
      <c r="AK797" s="100"/>
      <c r="AL797" s="100"/>
      <c r="AM797" s="100"/>
      <c r="AN797" s="100"/>
      <c r="AO797" s="100"/>
      <c r="AP797" s="100"/>
      <c r="AQ797" s="100"/>
      <c r="AR797" s="100"/>
      <c r="AS797" s="100"/>
      <c r="AT797" s="102"/>
      <c r="AX797" s="100"/>
      <c r="AY797" s="101"/>
      <c r="AZ797" s="101"/>
      <c r="BA797" s="100"/>
      <c r="BB797" s="100"/>
      <c r="BC797" s="100"/>
      <c r="BD797" s="100"/>
      <c r="BE797" s="100"/>
      <c r="BF797" s="100"/>
      <c r="BG797" s="100"/>
      <c r="BH797" s="100"/>
      <c r="BI797" s="100"/>
      <c r="BJ797" s="100"/>
      <c r="BK797" s="102"/>
      <c r="BN797" s="36"/>
    </row>
    <row r="798" spans="1:66" x14ac:dyDescent="0.25">
      <c r="A798" s="92"/>
      <c r="B798" s="93"/>
      <c r="C798" s="93"/>
      <c r="D798" s="92"/>
      <c r="E798" s="92"/>
      <c r="F798" s="92"/>
      <c r="G798" s="92"/>
      <c r="H798" s="92"/>
      <c r="I798" s="92"/>
      <c r="J798" s="92"/>
      <c r="K798" s="92"/>
      <c r="L798" s="92"/>
      <c r="M798" s="92"/>
      <c r="N798" s="94"/>
      <c r="AG798" s="100"/>
      <c r="AH798" s="101"/>
      <c r="AI798" s="101"/>
      <c r="AJ798" s="100"/>
      <c r="AK798" s="100"/>
      <c r="AL798" s="100"/>
      <c r="AM798" s="100"/>
      <c r="AN798" s="100"/>
      <c r="AO798" s="100"/>
      <c r="AP798" s="100"/>
      <c r="AQ798" s="100"/>
      <c r="AR798" s="100"/>
      <c r="AS798" s="100"/>
      <c r="AT798" s="102"/>
      <c r="AX798" s="100"/>
      <c r="AY798" s="101"/>
      <c r="AZ798" s="101"/>
      <c r="BA798" s="100"/>
      <c r="BB798" s="100"/>
      <c r="BC798" s="100"/>
      <c r="BD798" s="100"/>
      <c r="BE798" s="100"/>
      <c r="BF798" s="100"/>
      <c r="BG798" s="100"/>
      <c r="BH798" s="100"/>
      <c r="BI798" s="100"/>
      <c r="BJ798" s="100"/>
      <c r="BK798" s="102"/>
      <c r="BN798" s="36"/>
    </row>
    <row r="799" spans="1:66" x14ac:dyDescent="0.25">
      <c r="A799" s="92"/>
      <c r="B799" s="92"/>
      <c r="C799" s="92"/>
      <c r="D799" s="92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AG799" s="100"/>
      <c r="AH799" s="101"/>
      <c r="AI799" s="101"/>
      <c r="AJ799" s="100"/>
      <c r="AK799" s="100"/>
      <c r="AL799" s="100"/>
      <c r="AM799" s="100"/>
      <c r="AN799" s="100"/>
      <c r="AO799" s="100"/>
      <c r="AP799" s="100"/>
      <c r="AQ799" s="100"/>
      <c r="AR799" s="100"/>
      <c r="AS799" s="100"/>
      <c r="AT799" s="102"/>
      <c r="AX799" s="100"/>
      <c r="AY799" s="101"/>
      <c r="AZ799" s="101"/>
      <c r="BA799" s="101"/>
      <c r="BB799" s="100"/>
      <c r="BC799" s="100"/>
      <c r="BD799" s="100"/>
      <c r="BE799" s="100"/>
      <c r="BF799" s="100"/>
      <c r="BG799" s="100"/>
      <c r="BH799" s="100"/>
      <c r="BI799" s="100"/>
      <c r="BJ799" s="100"/>
      <c r="BK799" s="102"/>
      <c r="BN799" s="36"/>
    </row>
    <row r="800" spans="1:66" x14ac:dyDescent="0.25">
      <c r="A800" s="92"/>
      <c r="B800" s="92"/>
      <c r="C800" s="92"/>
      <c r="D800" s="92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AG800" s="100"/>
      <c r="AH800" s="101"/>
      <c r="AI800" s="101"/>
      <c r="AJ800" s="100"/>
      <c r="AK800" s="100"/>
      <c r="AL800" s="100"/>
      <c r="AM800" s="100"/>
      <c r="AN800" s="100"/>
      <c r="AO800" s="100"/>
      <c r="AP800" s="100"/>
      <c r="AQ800" s="100"/>
      <c r="AR800" s="100"/>
      <c r="AS800" s="100"/>
      <c r="AT800" s="102"/>
      <c r="AX800" s="100"/>
      <c r="AY800" s="101"/>
      <c r="AZ800" s="101"/>
      <c r="BA800" s="100"/>
      <c r="BB800" s="100"/>
      <c r="BC800" s="100"/>
      <c r="BD800" s="100"/>
      <c r="BE800" s="100"/>
      <c r="BF800" s="100"/>
      <c r="BG800" s="100"/>
      <c r="BH800" s="100"/>
      <c r="BI800" s="100"/>
      <c r="BJ800" s="100"/>
      <c r="BK800" s="102"/>
      <c r="BN800" s="36"/>
    </row>
    <row r="801" spans="1:66" x14ac:dyDescent="0.25">
      <c r="A801" s="92"/>
      <c r="B801" s="92"/>
      <c r="C801" s="92"/>
      <c r="D801" s="92"/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AG801" s="100"/>
      <c r="AH801" s="101"/>
      <c r="AI801" s="101"/>
      <c r="AJ801" s="100"/>
      <c r="AK801" s="100"/>
      <c r="AL801" s="100"/>
      <c r="AM801" s="100"/>
      <c r="AN801" s="100"/>
      <c r="AO801" s="100"/>
      <c r="AP801" s="100"/>
      <c r="AQ801" s="100"/>
      <c r="AR801" s="100"/>
      <c r="AS801" s="100"/>
      <c r="AT801" s="102"/>
      <c r="AX801" s="100"/>
      <c r="AY801" s="101"/>
      <c r="AZ801" s="101"/>
      <c r="BA801" s="100"/>
      <c r="BB801" s="100"/>
      <c r="BC801" s="100"/>
      <c r="BD801" s="100"/>
      <c r="BE801" s="100"/>
      <c r="BF801" s="100"/>
      <c r="BG801" s="100"/>
      <c r="BH801" s="100"/>
      <c r="BI801" s="100"/>
      <c r="BJ801" s="100"/>
      <c r="BK801" s="102"/>
      <c r="BN801" s="36"/>
    </row>
    <row r="802" spans="1:66" x14ac:dyDescent="0.25">
      <c r="A802" s="92"/>
      <c r="B802" s="92"/>
      <c r="C802" s="92"/>
      <c r="D802" s="92"/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AG802" s="100"/>
      <c r="AH802" s="101"/>
      <c r="AI802" s="101"/>
      <c r="AJ802" s="100"/>
      <c r="AK802" s="100"/>
      <c r="AL802" s="100"/>
      <c r="AM802" s="100"/>
      <c r="AN802" s="100"/>
      <c r="AO802" s="100"/>
      <c r="AP802" s="100"/>
      <c r="AQ802" s="100"/>
      <c r="AR802" s="100"/>
      <c r="AS802" s="100"/>
      <c r="AT802" s="102"/>
      <c r="AX802" s="100"/>
      <c r="AY802" s="101"/>
      <c r="AZ802" s="101"/>
      <c r="BA802" s="100"/>
      <c r="BB802" s="100"/>
      <c r="BC802" s="100"/>
      <c r="BD802" s="100"/>
      <c r="BE802" s="100"/>
      <c r="BF802" s="100"/>
      <c r="BG802" s="100"/>
      <c r="BH802" s="100"/>
      <c r="BI802" s="100"/>
      <c r="BJ802" s="100"/>
      <c r="BK802" s="102"/>
      <c r="BN802" s="36"/>
    </row>
    <row r="803" spans="1:66" x14ac:dyDescent="0.25">
      <c r="A803" s="92"/>
      <c r="B803" s="92"/>
      <c r="C803" s="92"/>
      <c r="D803" s="92"/>
      <c r="E803" s="92"/>
      <c r="F803" s="92"/>
      <c r="G803" s="92"/>
      <c r="H803" s="92"/>
      <c r="I803" s="92"/>
      <c r="J803" s="92"/>
      <c r="K803" s="92"/>
      <c r="L803" s="92"/>
      <c r="M803" s="92"/>
      <c r="N803" s="92"/>
      <c r="AG803" s="100"/>
      <c r="AH803" s="101"/>
      <c r="AI803" s="101"/>
      <c r="AJ803" s="100"/>
      <c r="AK803" s="100"/>
      <c r="AL803" s="100"/>
      <c r="AM803" s="100"/>
      <c r="AN803" s="100"/>
      <c r="AO803" s="100"/>
      <c r="AP803" s="100"/>
      <c r="AQ803" s="100"/>
      <c r="AR803" s="100"/>
      <c r="AS803" s="100"/>
      <c r="AT803" s="102"/>
      <c r="AX803" s="100"/>
      <c r="AY803" s="101"/>
      <c r="AZ803" s="101"/>
      <c r="BA803" s="101"/>
      <c r="BB803" s="100"/>
      <c r="BC803" s="100"/>
      <c r="BD803" s="100"/>
      <c r="BE803" s="100"/>
      <c r="BF803" s="100"/>
      <c r="BG803" s="100"/>
      <c r="BH803" s="100"/>
      <c r="BI803" s="100"/>
      <c r="BJ803" s="100"/>
      <c r="BK803" s="102"/>
      <c r="BN803" s="36"/>
    </row>
    <row r="804" spans="1:66" x14ac:dyDescent="0.25">
      <c r="A804" s="92"/>
      <c r="B804" s="92"/>
      <c r="C804" s="92"/>
      <c r="D804" s="92"/>
      <c r="E804" s="92"/>
      <c r="F804" s="92"/>
      <c r="G804" s="92"/>
      <c r="H804" s="92"/>
      <c r="I804" s="92"/>
      <c r="J804" s="92"/>
      <c r="K804" s="92"/>
      <c r="L804" s="92"/>
      <c r="M804" s="92"/>
      <c r="N804" s="92"/>
      <c r="AG804" s="100"/>
      <c r="AH804" s="101"/>
      <c r="AI804" s="101"/>
      <c r="AJ804" s="100"/>
      <c r="AK804" s="100"/>
      <c r="AL804" s="100"/>
      <c r="AM804" s="100"/>
      <c r="AN804" s="100"/>
      <c r="AO804" s="100"/>
      <c r="AP804" s="100"/>
      <c r="AQ804" s="100"/>
      <c r="AR804" s="100"/>
      <c r="AS804" s="100"/>
      <c r="AT804" s="102"/>
      <c r="AX804" s="100"/>
      <c r="AY804" s="101"/>
      <c r="AZ804" s="101"/>
      <c r="BA804" s="100"/>
      <c r="BB804" s="100"/>
      <c r="BC804" s="100"/>
      <c r="BD804" s="100"/>
      <c r="BE804" s="100"/>
      <c r="BF804" s="100"/>
      <c r="BG804" s="100"/>
      <c r="BH804" s="100"/>
      <c r="BI804" s="100"/>
      <c r="BJ804" s="100"/>
      <c r="BK804" s="102"/>
      <c r="BN804" s="36"/>
    </row>
    <row r="805" spans="1:66" x14ac:dyDescent="0.25">
      <c r="A805" s="92"/>
      <c r="B805" s="92"/>
      <c r="C805" s="92"/>
      <c r="D805" s="92"/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AG805" s="100"/>
      <c r="AH805" s="101"/>
      <c r="AI805" s="101"/>
      <c r="AJ805" s="100"/>
      <c r="AK805" s="100"/>
      <c r="AL805" s="100"/>
      <c r="AM805" s="100"/>
      <c r="AN805" s="100"/>
      <c r="AO805" s="100"/>
      <c r="AP805" s="100"/>
      <c r="AQ805" s="100"/>
      <c r="AR805" s="100"/>
      <c r="AS805" s="100"/>
      <c r="AT805" s="102"/>
      <c r="AX805" s="100"/>
      <c r="AY805" s="101"/>
      <c r="AZ805" s="101"/>
      <c r="BA805" s="100"/>
      <c r="BB805" s="100"/>
      <c r="BC805" s="100"/>
      <c r="BD805" s="100"/>
      <c r="BE805" s="100"/>
      <c r="BF805" s="100"/>
      <c r="BG805" s="100"/>
      <c r="BH805" s="100"/>
      <c r="BI805" s="100"/>
      <c r="BJ805" s="100"/>
      <c r="BK805" s="102"/>
      <c r="BN805" s="36"/>
    </row>
    <row r="806" spans="1:66" x14ac:dyDescent="0.25">
      <c r="A806" s="92"/>
      <c r="B806" s="93"/>
      <c r="C806" s="93"/>
      <c r="D806" s="92"/>
      <c r="E806" s="92"/>
      <c r="F806" s="92"/>
      <c r="G806" s="92"/>
      <c r="H806" s="92"/>
      <c r="I806" s="92"/>
      <c r="J806" s="92"/>
      <c r="K806" s="92"/>
      <c r="L806" s="92"/>
      <c r="M806" s="92"/>
      <c r="N806" s="94"/>
      <c r="AG806" s="100"/>
      <c r="AH806" s="101"/>
      <c r="AI806" s="101"/>
      <c r="AJ806" s="101"/>
      <c r="AK806" s="100"/>
      <c r="AL806" s="100"/>
      <c r="AM806" s="100"/>
      <c r="AN806" s="100"/>
      <c r="AO806" s="100"/>
      <c r="AP806" s="100"/>
      <c r="AQ806" s="100"/>
      <c r="AR806" s="100"/>
      <c r="AS806" s="100"/>
      <c r="AT806" s="102"/>
      <c r="AX806" s="100"/>
      <c r="AY806" s="101"/>
      <c r="AZ806" s="101"/>
      <c r="BA806" s="100"/>
      <c r="BB806" s="100"/>
      <c r="BC806" s="100"/>
      <c r="BD806" s="100"/>
      <c r="BE806" s="100"/>
      <c r="BF806" s="100"/>
      <c r="BG806" s="100"/>
      <c r="BH806" s="100"/>
      <c r="BI806" s="100"/>
      <c r="BJ806" s="100"/>
      <c r="BK806" s="102"/>
      <c r="BN806" s="36"/>
    </row>
    <row r="807" spans="1:66" x14ac:dyDescent="0.25">
      <c r="A807" s="92"/>
      <c r="B807" s="92"/>
      <c r="C807" s="92"/>
      <c r="D807" s="92"/>
      <c r="E807" s="92"/>
      <c r="F807" s="92"/>
      <c r="G807" s="92"/>
      <c r="H807" s="92"/>
      <c r="I807" s="92"/>
      <c r="J807" s="92"/>
      <c r="K807" s="92"/>
      <c r="L807" s="92"/>
      <c r="M807" s="92"/>
      <c r="N807" s="92"/>
      <c r="AG807" s="100"/>
      <c r="AH807" s="101"/>
      <c r="AI807" s="101"/>
      <c r="AJ807" s="101"/>
      <c r="AK807" s="100"/>
      <c r="AL807" s="100"/>
      <c r="AM807" s="100"/>
      <c r="AN807" s="100"/>
      <c r="AO807" s="100"/>
      <c r="AP807" s="100"/>
      <c r="AQ807" s="100"/>
      <c r="AR807" s="100"/>
      <c r="AS807" s="100"/>
      <c r="AT807" s="102"/>
      <c r="AX807" s="100"/>
      <c r="AY807" s="101"/>
      <c r="AZ807" s="100"/>
      <c r="BA807" s="101"/>
      <c r="BB807" s="100"/>
      <c r="BC807" s="100"/>
      <c r="BD807" s="100"/>
      <c r="BE807" s="100"/>
      <c r="BF807" s="100"/>
      <c r="BG807" s="100"/>
      <c r="BH807" s="100"/>
      <c r="BI807" s="100"/>
      <c r="BJ807" s="100"/>
      <c r="BK807" s="102"/>
      <c r="BN807" s="36"/>
    </row>
    <row r="808" spans="1:66" x14ac:dyDescent="0.25">
      <c r="A808" s="92"/>
      <c r="B808" s="93"/>
      <c r="C808" s="93"/>
      <c r="D808" s="93"/>
      <c r="E808" s="92"/>
      <c r="F808" s="92"/>
      <c r="G808" s="92"/>
      <c r="H808" s="92"/>
      <c r="I808" s="92"/>
      <c r="J808" s="92"/>
      <c r="K808" s="92"/>
      <c r="L808" s="92"/>
      <c r="M808" s="92"/>
      <c r="N808" s="94"/>
      <c r="AG808" s="100"/>
      <c r="AH808" s="101"/>
      <c r="AI808" s="101"/>
      <c r="AJ808" s="101"/>
      <c r="AK808" s="100"/>
      <c r="AL808" s="100"/>
      <c r="AM808" s="100"/>
      <c r="AN808" s="100"/>
      <c r="AO808" s="100"/>
      <c r="AP808" s="100"/>
      <c r="AQ808" s="100"/>
      <c r="AR808" s="100"/>
      <c r="AS808" s="100"/>
      <c r="AT808" s="102"/>
      <c r="AX808" s="100"/>
      <c r="AY808" s="101"/>
      <c r="AZ808" s="100"/>
      <c r="BA808" s="101"/>
      <c r="BB808" s="100"/>
      <c r="BC808" s="100"/>
      <c r="BD808" s="100"/>
      <c r="BE808" s="100"/>
      <c r="BF808" s="100"/>
      <c r="BG808" s="100"/>
      <c r="BH808" s="100"/>
      <c r="BI808" s="100"/>
      <c r="BJ808" s="100"/>
      <c r="BK808" s="102"/>
      <c r="BN808" s="36"/>
    </row>
    <row r="809" spans="1:66" x14ac:dyDescent="0.25">
      <c r="A809" s="92"/>
      <c r="B809" s="93"/>
      <c r="C809" s="93"/>
      <c r="D809" s="92"/>
      <c r="E809" s="92"/>
      <c r="F809" s="92"/>
      <c r="G809" s="92"/>
      <c r="H809" s="92"/>
      <c r="I809" s="92"/>
      <c r="J809" s="92"/>
      <c r="K809" s="92"/>
      <c r="L809" s="92"/>
      <c r="M809" s="92"/>
      <c r="N809" s="94"/>
      <c r="AG809" s="100"/>
      <c r="AH809" s="101"/>
      <c r="AI809" s="101"/>
      <c r="AJ809" s="100"/>
      <c r="AK809" s="100"/>
      <c r="AL809" s="100"/>
      <c r="AM809" s="100"/>
      <c r="AN809" s="100"/>
      <c r="AO809" s="100"/>
      <c r="AP809" s="100"/>
      <c r="AQ809" s="100"/>
      <c r="AR809" s="100"/>
      <c r="AS809" s="100"/>
      <c r="AT809" s="102"/>
      <c r="AX809" s="100"/>
      <c r="AY809" s="101"/>
      <c r="AZ809" s="101"/>
      <c r="BA809" s="100"/>
      <c r="BB809" s="100"/>
      <c r="BC809" s="100"/>
      <c r="BD809" s="100"/>
      <c r="BE809" s="100"/>
      <c r="BF809" s="100"/>
      <c r="BG809" s="100"/>
      <c r="BH809" s="100"/>
      <c r="BI809" s="100"/>
      <c r="BJ809" s="100"/>
      <c r="BK809" s="102"/>
      <c r="BN809" s="36"/>
    </row>
    <row r="810" spans="1:66" x14ac:dyDescent="0.25">
      <c r="A810" s="92"/>
      <c r="B810" s="93"/>
      <c r="C810" s="93"/>
      <c r="D810" s="92"/>
      <c r="E810" s="92"/>
      <c r="F810" s="92"/>
      <c r="G810" s="92"/>
      <c r="H810" s="92"/>
      <c r="I810" s="92"/>
      <c r="J810" s="92"/>
      <c r="K810" s="92"/>
      <c r="L810" s="92"/>
      <c r="M810" s="92"/>
      <c r="N810" s="94"/>
      <c r="AG810" s="100"/>
      <c r="AH810" s="101"/>
      <c r="AI810" s="101"/>
      <c r="AJ810" s="100"/>
      <c r="AK810" s="100"/>
      <c r="AL810" s="100"/>
      <c r="AM810" s="100"/>
      <c r="AN810" s="100"/>
      <c r="AO810" s="100"/>
      <c r="AP810" s="100"/>
      <c r="AQ810" s="100"/>
      <c r="AR810" s="100"/>
      <c r="AS810" s="100"/>
      <c r="AT810" s="102"/>
      <c r="AX810" s="100"/>
      <c r="AY810" s="101"/>
      <c r="AZ810" s="101"/>
      <c r="BA810" s="101"/>
      <c r="BB810" s="100"/>
      <c r="BC810" s="100"/>
      <c r="BD810" s="100"/>
      <c r="BE810" s="100"/>
      <c r="BF810" s="100"/>
      <c r="BG810" s="100"/>
      <c r="BH810" s="100"/>
      <c r="BI810" s="100"/>
      <c r="BJ810" s="100"/>
      <c r="BK810" s="102"/>
      <c r="BN810" s="36"/>
    </row>
    <row r="811" spans="1:66" x14ac:dyDescent="0.25">
      <c r="A811" s="92"/>
      <c r="B811" s="93"/>
      <c r="C811" s="93"/>
      <c r="D811" s="92"/>
      <c r="E811" s="92"/>
      <c r="F811" s="92"/>
      <c r="G811" s="92"/>
      <c r="H811" s="92"/>
      <c r="I811" s="92"/>
      <c r="J811" s="92"/>
      <c r="K811" s="92"/>
      <c r="L811" s="92"/>
      <c r="M811" s="92"/>
      <c r="N811" s="94"/>
      <c r="AG811" s="100"/>
      <c r="AH811" s="101"/>
      <c r="AI811" s="101"/>
      <c r="AJ811" s="100"/>
      <c r="AK811" s="100"/>
      <c r="AL811" s="100"/>
      <c r="AM811" s="100"/>
      <c r="AN811" s="100"/>
      <c r="AO811" s="100"/>
      <c r="AP811" s="100"/>
      <c r="AQ811" s="100"/>
      <c r="AR811" s="100"/>
      <c r="AS811" s="100"/>
      <c r="AT811" s="102"/>
      <c r="AX811" s="100"/>
      <c r="AY811" s="101"/>
      <c r="AZ811" s="101"/>
      <c r="BA811" s="100"/>
      <c r="BB811" s="100"/>
      <c r="BC811" s="100"/>
      <c r="BD811" s="100"/>
      <c r="BE811" s="100"/>
      <c r="BF811" s="100"/>
      <c r="BG811" s="100"/>
      <c r="BH811" s="100"/>
      <c r="BI811" s="100"/>
      <c r="BJ811" s="100"/>
      <c r="BK811" s="102"/>
      <c r="BN811" s="36"/>
    </row>
    <row r="812" spans="1:66" x14ac:dyDescent="0.25">
      <c r="A812" s="92"/>
      <c r="B812" s="93"/>
      <c r="C812" s="93"/>
      <c r="D812" s="92"/>
      <c r="E812" s="92"/>
      <c r="F812" s="92"/>
      <c r="G812" s="92"/>
      <c r="H812" s="92"/>
      <c r="I812" s="92"/>
      <c r="J812" s="92"/>
      <c r="K812" s="92"/>
      <c r="L812" s="92"/>
      <c r="M812" s="92"/>
      <c r="N812" s="94"/>
      <c r="AG812" s="100"/>
      <c r="AH812" s="101"/>
      <c r="AI812" s="101"/>
      <c r="AJ812" s="100"/>
      <c r="AK812" s="100"/>
      <c r="AL812" s="100"/>
      <c r="AM812" s="100"/>
      <c r="AN812" s="100"/>
      <c r="AO812" s="100"/>
      <c r="AP812" s="100"/>
      <c r="AQ812" s="100"/>
      <c r="AR812" s="100"/>
      <c r="AS812" s="100"/>
      <c r="AT812" s="102"/>
      <c r="AX812" s="100"/>
      <c r="AY812" s="101"/>
      <c r="AZ812" s="101"/>
      <c r="BA812" s="100"/>
      <c r="BB812" s="100"/>
      <c r="BC812" s="100"/>
      <c r="BD812" s="100"/>
      <c r="BE812" s="100"/>
      <c r="BF812" s="100"/>
      <c r="BG812" s="100"/>
      <c r="BH812" s="100"/>
      <c r="BI812" s="100"/>
      <c r="BJ812" s="100"/>
      <c r="BK812" s="102"/>
      <c r="BN812" s="36"/>
    </row>
    <row r="813" spans="1:66" x14ac:dyDescent="0.25">
      <c r="A813" s="92"/>
      <c r="B813" s="93"/>
      <c r="C813" s="93"/>
      <c r="D813" s="92"/>
      <c r="E813" s="92"/>
      <c r="F813" s="92"/>
      <c r="G813" s="92"/>
      <c r="H813" s="92"/>
      <c r="I813" s="92"/>
      <c r="J813" s="92"/>
      <c r="K813" s="92"/>
      <c r="L813" s="92"/>
      <c r="M813" s="92"/>
      <c r="N813" s="94"/>
      <c r="AG813" s="100"/>
      <c r="AH813" s="101"/>
      <c r="AI813" s="101"/>
      <c r="AJ813" s="100"/>
      <c r="AK813" s="100"/>
      <c r="AL813" s="100"/>
      <c r="AM813" s="100"/>
      <c r="AN813" s="100"/>
      <c r="AO813" s="100"/>
      <c r="AP813" s="100"/>
      <c r="AQ813" s="100"/>
      <c r="AR813" s="100"/>
      <c r="AS813" s="100"/>
      <c r="AT813" s="102"/>
      <c r="AX813" s="100"/>
      <c r="AY813" s="101"/>
      <c r="AZ813" s="101"/>
      <c r="BA813" s="100"/>
      <c r="BB813" s="100"/>
      <c r="BC813" s="100"/>
      <c r="BD813" s="100"/>
      <c r="BE813" s="100"/>
      <c r="BF813" s="100"/>
      <c r="BG813" s="100"/>
      <c r="BH813" s="100"/>
      <c r="BI813" s="100"/>
      <c r="BJ813" s="100"/>
      <c r="BK813" s="102"/>
      <c r="BN813" s="36"/>
    </row>
    <row r="814" spans="1:66" x14ac:dyDescent="0.25">
      <c r="A814" s="92"/>
      <c r="B814" s="93"/>
      <c r="C814" s="93"/>
      <c r="D814" s="93"/>
      <c r="E814" s="92"/>
      <c r="F814" s="92"/>
      <c r="G814" s="92"/>
      <c r="H814" s="92"/>
      <c r="I814" s="92"/>
      <c r="J814" s="92"/>
      <c r="K814" s="92"/>
      <c r="L814" s="92"/>
      <c r="M814" s="92"/>
      <c r="N814" s="94"/>
      <c r="AG814" s="100"/>
      <c r="AH814" s="101"/>
      <c r="AI814" s="101"/>
      <c r="AJ814" s="100"/>
      <c r="AK814" s="100"/>
      <c r="AL814" s="100"/>
      <c r="AM814" s="100"/>
      <c r="AN814" s="100"/>
      <c r="AO814" s="100"/>
      <c r="AP814" s="100"/>
      <c r="AQ814" s="100"/>
      <c r="AR814" s="100"/>
      <c r="AS814" s="100"/>
      <c r="AT814" s="102"/>
      <c r="AX814" s="100"/>
      <c r="AY814" s="101"/>
      <c r="AZ814" s="101"/>
      <c r="BA814" s="101"/>
      <c r="BB814" s="100"/>
      <c r="BC814" s="100"/>
      <c r="BD814" s="100"/>
      <c r="BE814" s="100"/>
      <c r="BF814" s="100"/>
      <c r="BG814" s="100"/>
      <c r="BH814" s="100"/>
      <c r="BI814" s="100"/>
      <c r="BJ814" s="100"/>
      <c r="BK814" s="102"/>
      <c r="BN814" s="36"/>
    </row>
    <row r="815" spans="1:66" x14ac:dyDescent="0.25">
      <c r="A815" s="92"/>
      <c r="B815" s="92"/>
      <c r="C815" s="92"/>
      <c r="D815" s="92"/>
      <c r="E815" s="92"/>
      <c r="F815" s="92"/>
      <c r="G815" s="92"/>
      <c r="H815" s="92"/>
      <c r="I815" s="92"/>
      <c r="J815" s="92"/>
      <c r="K815" s="92"/>
      <c r="L815" s="92"/>
      <c r="M815" s="92"/>
      <c r="N815" s="92"/>
      <c r="AG815" s="100"/>
      <c r="AH815" s="101"/>
      <c r="AI815" s="101"/>
      <c r="AJ815" s="100"/>
      <c r="AK815" s="100"/>
      <c r="AL815" s="100"/>
      <c r="AM815" s="100"/>
      <c r="AN815" s="100"/>
      <c r="AO815" s="100"/>
      <c r="AP815" s="100"/>
      <c r="AQ815" s="100"/>
      <c r="AR815" s="100"/>
      <c r="AS815" s="100"/>
      <c r="AT815" s="102"/>
      <c r="AX815" s="100"/>
      <c r="AY815" s="101"/>
      <c r="AZ815" s="101"/>
      <c r="BA815" s="100"/>
      <c r="BB815" s="100"/>
      <c r="BC815" s="100"/>
      <c r="BD815" s="100"/>
      <c r="BE815" s="100"/>
      <c r="BF815" s="100"/>
      <c r="BG815" s="100"/>
      <c r="BH815" s="100"/>
      <c r="BI815" s="100"/>
      <c r="BJ815" s="100"/>
      <c r="BK815" s="102"/>
      <c r="BN815" s="36"/>
    </row>
    <row r="816" spans="1:66" x14ac:dyDescent="0.25">
      <c r="A816" s="92"/>
      <c r="B816" s="93"/>
      <c r="C816" s="93"/>
      <c r="D816" s="93"/>
      <c r="E816" s="92"/>
      <c r="F816" s="92"/>
      <c r="G816" s="92"/>
      <c r="H816" s="92"/>
      <c r="I816" s="92"/>
      <c r="J816" s="92"/>
      <c r="K816" s="92"/>
      <c r="L816" s="92"/>
      <c r="M816" s="92"/>
      <c r="N816" s="94"/>
      <c r="AG816" s="100"/>
      <c r="AH816" s="101"/>
      <c r="AI816" s="101"/>
      <c r="AJ816" s="100"/>
      <c r="AK816" s="100"/>
      <c r="AL816" s="100"/>
      <c r="AM816" s="100"/>
      <c r="AN816" s="100"/>
      <c r="AO816" s="100"/>
      <c r="AP816" s="100"/>
      <c r="AQ816" s="100"/>
      <c r="AR816" s="100"/>
      <c r="AS816" s="100"/>
      <c r="AT816" s="102"/>
      <c r="AX816" s="100"/>
      <c r="AY816" s="101"/>
      <c r="AZ816" s="101"/>
      <c r="BA816" s="100"/>
      <c r="BB816" s="100"/>
      <c r="BC816" s="100"/>
      <c r="BD816" s="100"/>
      <c r="BE816" s="100"/>
      <c r="BF816" s="100"/>
      <c r="BG816" s="100"/>
      <c r="BH816" s="100"/>
      <c r="BI816" s="100"/>
      <c r="BJ816" s="100"/>
      <c r="BK816" s="102"/>
      <c r="BN816" s="36"/>
    </row>
    <row r="817" spans="1:66" x14ac:dyDescent="0.25">
      <c r="A817" s="92"/>
      <c r="B817" s="92"/>
      <c r="C817" s="92"/>
      <c r="D817" s="93"/>
      <c r="E817" s="92"/>
      <c r="F817" s="92"/>
      <c r="G817" s="92"/>
      <c r="H817" s="92"/>
      <c r="I817" s="92"/>
      <c r="J817" s="92"/>
      <c r="K817" s="92"/>
      <c r="L817" s="92"/>
      <c r="M817" s="92"/>
      <c r="N817" s="92"/>
      <c r="AG817" s="100"/>
      <c r="AH817" s="101"/>
      <c r="AI817" s="101"/>
      <c r="AJ817" s="100"/>
      <c r="AK817" s="100"/>
      <c r="AL817" s="100"/>
      <c r="AM817" s="100"/>
      <c r="AN817" s="100"/>
      <c r="AO817" s="100"/>
      <c r="AP817" s="100"/>
      <c r="AQ817" s="100"/>
      <c r="AR817" s="100"/>
      <c r="AS817" s="100"/>
      <c r="AT817" s="102"/>
      <c r="AX817" s="100"/>
      <c r="AY817" s="101"/>
      <c r="AZ817" s="101"/>
      <c r="BA817" s="101"/>
      <c r="BB817" s="100"/>
      <c r="BC817" s="100"/>
      <c r="BD817" s="100"/>
      <c r="BE817" s="100"/>
      <c r="BF817" s="100"/>
      <c r="BG817" s="100"/>
      <c r="BH817" s="100"/>
      <c r="BI817" s="100"/>
      <c r="BJ817" s="100"/>
      <c r="BK817" s="102"/>
      <c r="BN817" s="36"/>
    </row>
    <row r="818" spans="1:66" x14ac:dyDescent="0.25">
      <c r="A818" s="92"/>
      <c r="B818" s="92"/>
      <c r="C818" s="92"/>
      <c r="D818" s="93"/>
      <c r="E818" s="92"/>
      <c r="F818" s="92"/>
      <c r="G818" s="92"/>
      <c r="H818" s="92"/>
      <c r="I818" s="92"/>
      <c r="J818" s="92"/>
      <c r="K818" s="92"/>
      <c r="L818" s="92"/>
      <c r="M818" s="92"/>
      <c r="N818" s="92"/>
      <c r="AG818" s="100"/>
      <c r="AH818" s="101"/>
      <c r="AI818" s="101"/>
      <c r="AJ818" s="100"/>
      <c r="AK818" s="100"/>
      <c r="AL818" s="100"/>
      <c r="AM818" s="100"/>
      <c r="AN818" s="100"/>
      <c r="AO818" s="100"/>
      <c r="AP818" s="100"/>
      <c r="AQ818" s="100"/>
      <c r="AR818" s="100"/>
      <c r="AS818" s="100"/>
      <c r="AT818" s="102"/>
      <c r="AX818" s="100"/>
      <c r="AY818" s="101"/>
      <c r="AZ818" s="101"/>
      <c r="BA818" s="100"/>
      <c r="BB818" s="100"/>
      <c r="BC818" s="100"/>
      <c r="BD818" s="100"/>
      <c r="BE818" s="100"/>
      <c r="BF818" s="100"/>
      <c r="BG818" s="100"/>
      <c r="BH818" s="100"/>
      <c r="BI818" s="100"/>
      <c r="BJ818" s="100"/>
      <c r="BK818" s="102"/>
      <c r="BN818" s="36"/>
    </row>
    <row r="819" spans="1:66" x14ac:dyDescent="0.25">
      <c r="A819" s="92"/>
      <c r="B819" s="92"/>
      <c r="C819" s="92"/>
      <c r="D819" s="93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AG819" s="100"/>
      <c r="AH819" s="101"/>
      <c r="AI819" s="101"/>
      <c r="AJ819" s="100"/>
      <c r="AK819" s="100"/>
      <c r="AL819" s="100"/>
      <c r="AM819" s="100"/>
      <c r="AN819" s="100"/>
      <c r="AO819" s="100"/>
      <c r="AP819" s="100"/>
      <c r="AQ819" s="100"/>
      <c r="AR819" s="100"/>
      <c r="AS819" s="100"/>
      <c r="AT819" s="102"/>
      <c r="AX819" s="100"/>
      <c r="AY819" s="101"/>
      <c r="AZ819" s="101"/>
      <c r="BA819" s="100"/>
      <c r="BB819" s="100"/>
      <c r="BC819" s="100"/>
      <c r="BD819" s="100"/>
      <c r="BE819" s="100"/>
      <c r="BF819" s="100"/>
      <c r="BG819" s="100"/>
      <c r="BH819" s="100"/>
      <c r="BI819" s="100"/>
      <c r="BJ819" s="100"/>
      <c r="BK819" s="102"/>
      <c r="BN819" s="36"/>
    </row>
    <row r="820" spans="1:66" x14ac:dyDescent="0.25">
      <c r="A820" s="92"/>
      <c r="B820" s="92"/>
      <c r="C820" s="92"/>
      <c r="D820" s="93"/>
      <c r="E820" s="92"/>
      <c r="F820" s="92"/>
      <c r="G820" s="92"/>
      <c r="H820" s="92"/>
      <c r="I820" s="92"/>
      <c r="J820" s="95"/>
      <c r="K820" s="92"/>
      <c r="L820" s="92"/>
      <c r="M820" s="92"/>
      <c r="N820" s="92"/>
      <c r="AG820" s="100"/>
      <c r="AH820" s="101"/>
      <c r="AI820" s="101"/>
      <c r="AJ820" s="101"/>
      <c r="AK820" s="100"/>
      <c r="AL820" s="100"/>
      <c r="AM820" s="100"/>
      <c r="AN820" s="100"/>
      <c r="AO820" s="100"/>
      <c r="AP820" s="100"/>
      <c r="AQ820" s="100"/>
      <c r="AR820" s="100"/>
      <c r="AS820" s="100"/>
      <c r="AT820" s="102"/>
      <c r="AX820" s="100"/>
      <c r="AY820" s="101"/>
      <c r="AZ820" s="101"/>
      <c r="BA820" s="100"/>
      <c r="BB820" s="100"/>
      <c r="BC820" s="100"/>
      <c r="BD820" s="100"/>
      <c r="BE820" s="100"/>
      <c r="BF820" s="100"/>
      <c r="BG820" s="100"/>
      <c r="BH820" s="100"/>
      <c r="BI820" s="100"/>
      <c r="BJ820" s="100"/>
      <c r="BK820" s="102"/>
      <c r="BN820" s="36"/>
    </row>
    <row r="821" spans="1:66" x14ac:dyDescent="0.25">
      <c r="A821" s="92"/>
      <c r="B821" s="92"/>
      <c r="C821" s="92"/>
      <c r="D821" s="93"/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AG821" s="100"/>
      <c r="AH821" s="101"/>
      <c r="AI821" s="101"/>
      <c r="AJ821" s="100"/>
      <c r="AK821" s="100"/>
      <c r="AL821" s="100"/>
      <c r="AM821" s="100"/>
      <c r="AN821" s="100"/>
      <c r="AO821" s="100"/>
      <c r="AP821" s="100"/>
      <c r="AQ821" s="100"/>
      <c r="AR821" s="100"/>
      <c r="AS821" s="100"/>
      <c r="AT821" s="102"/>
      <c r="AX821" s="100"/>
      <c r="AY821" s="101"/>
      <c r="AZ821" s="101"/>
      <c r="BA821" s="100"/>
      <c r="BB821" s="100"/>
      <c r="BC821" s="100"/>
      <c r="BD821" s="100"/>
      <c r="BE821" s="100"/>
      <c r="BF821" s="100"/>
      <c r="BG821" s="100"/>
      <c r="BH821" s="100"/>
      <c r="BI821" s="100"/>
      <c r="BJ821" s="100"/>
      <c r="BK821" s="102"/>
      <c r="BN821" s="36"/>
    </row>
    <row r="822" spans="1:66" x14ac:dyDescent="0.25">
      <c r="A822" s="92"/>
      <c r="B822" s="92"/>
      <c r="C822" s="92"/>
      <c r="D822" s="93"/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AG822" s="100"/>
      <c r="AH822" s="101"/>
      <c r="AI822" s="101"/>
      <c r="AJ822" s="100"/>
      <c r="AK822" s="100"/>
      <c r="AL822" s="100"/>
      <c r="AM822" s="100"/>
      <c r="AN822" s="100"/>
      <c r="AO822" s="100"/>
      <c r="AP822" s="100"/>
      <c r="AQ822" s="100"/>
      <c r="AR822" s="100"/>
      <c r="AS822" s="100"/>
      <c r="AT822" s="102"/>
      <c r="AX822" s="100"/>
      <c r="AY822" s="101"/>
      <c r="AZ822" s="101"/>
      <c r="BA822" s="100"/>
      <c r="BB822" s="100"/>
      <c r="BC822" s="100"/>
      <c r="BD822" s="100"/>
      <c r="BE822" s="100"/>
      <c r="BF822" s="100"/>
      <c r="BG822" s="100"/>
      <c r="BH822" s="100"/>
      <c r="BI822" s="100"/>
      <c r="BJ822" s="100"/>
      <c r="BK822" s="102"/>
      <c r="BN822" s="36"/>
    </row>
    <row r="823" spans="1:66" x14ac:dyDescent="0.25">
      <c r="A823" s="92"/>
      <c r="B823" s="92"/>
      <c r="C823" s="92"/>
      <c r="D823" s="93"/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AG823" s="100"/>
      <c r="AH823" s="101"/>
      <c r="AI823" s="101"/>
      <c r="AJ823" s="100"/>
      <c r="AK823" s="100"/>
      <c r="AL823" s="100"/>
      <c r="AM823" s="100"/>
      <c r="AN823" s="100"/>
      <c r="AO823" s="100"/>
      <c r="AP823" s="100"/>
      <c r="AQ823" s="100"/>
      <c r="AR823" s="100"/>
      <c r="AS823" s="100"/>
      <c r="AT823" s="102"/>
      <c r="AX823" s="100"/>
      <c r="AY823" s="101"/>
      <c r="AZ823" s="101"/>
      <c r="BA823" s="100"/>
      <c r="BB823" s="100"/>
      <c r="BC823" s="100"/>
      <c r="BD823" s="100"/>
      <c r="BE823" s="100"/>
      <c r="BF823" s="100"/>
      <c r="BG823" s="100"/>
      <c r="BH823" s="100"/>
      <c r="BI823" s="100"/>
      <c r="BJ823" s="100"/>
      <c r="BK823" s="102"/>
      <c r="BN823" s="36"/>
    </row>
    <row r="824" spans="1:66" x14ac:dyDescent="0.25">
      <c r="A824" s="92"/>
      <c r="B824" s="92"/>
      <c r="C824" s="92"/>
      <c r="D824" s="93"/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AG824" s="100"/>
      <c r="AH824" s="101"/>
      <c r="AI824" s="101"/>
      <c r="AJ824" s="101"/>
      <c r="AK824" s="100"/>
      <c r="AL824" s="100"/>
      <c r="AM824" s="100"/>
      <c r="AN824" s="100"/>
      <c r="AO824" s="100"/>
      <c r="AP824" s="100"/>
      <c r="AQ824" s="100"/>
      <c r="AR824" s="100"/>
      <c r="AS824" s="100"/>
      <c r="AT824" s="102"/>
      <c r="AX824" s="100"/>
      <c r="AY824" s="101"/>
      <c r="AZ824" s="101"/>
      <c r="BA824" s="100"/>
      <c r="BB824" s="100"/>
      <c r="BC824" s="100"/>
      <c r="BD824" s="100"/>
      <c r="BE824" s="100"/>
      <c r="BF824" s="100"/>
      <c r="BG824" s="100"/>
      <c r="BH824" s="100"/>
      <c r="BI824" s="100"/>
      <c r="BJ824" s="100"/>
      <c r="BK824" s="102"/>
      <c r="BN824" s="36"/>
    </row>
    <row r="825" spans="1:66" x14ac:dyDescent="0.25">
      <c r="A825" s="92"/>
      <c r="B825" s="92"/>
      <c r="C825" s="92"/>
      <c r="D825" s="93"/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AG825" s="100"/>
      <c r="AH825" s="101"/>
      <c r="AI825" s="101"/>
      <c r="AJ825" s="101"/>
      <c r="AK825" s="100"/>
      <c r="AL825" s="100"/>
      <c r="AM825" s="100"/>
      <c r="AN825" s="100"/>
      <c r="AO825" s="100"/>
      <c r="AP825" s="100"/>
      <c r="AQ825" s="100"/>
      <c r="AR825" s="100"/>
      <c r="AS825" s="100"/>
      <c r="AT825" s="102"/>
      <c r="AX825" s="100"/>
      <c r="AY825" s="101"/>
      <c r="AZ825" s="101"/>
      <c r="BA825" s="100"/>
      <c r="BB825" s="100"/>
      <c r="BC825" s="100"/>
      <c r="BD825" s="100"/>
      <c r="BE825" s="100"/>
      <c r="BF825" s="100"/>
      <c r="BG825" s="100"/>
      <c r="BH825" s="100"/>
      <c r="BI825" s="100"/>
      <c r="BJ825" s="100"/>
      <c r="BK825" s="102"/>
      <c r="BN825" s="36"/>
    </row>
    <row r="826" spans="1:66" x14ac:dyDescent="0.25">
      <c r="A826" s="92"/>
      <c r="B826" s="92"/>
      <c r="C826" s="92"/>
      <c r="D826" s="93"/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AG826" s="100"/>
      <c r="AH826" s="101"/>
      <c r="AI826" s="101"/>
      <c r="AJ826" s="100"/>
      <c r="AK826" s="100"/>
      <c r="AL826" s="100"/>
      <c r="AM826" s="100"/>
      <c r="AN826" s="100"/>
      <c r="AO826" s="100"/>
      <c r="AP826" s="100"/>
      <c r="AQ826" s="100"/>
      <c r="AR826" s="100"/>
      <c r="AS826" s="100"/>
      <c r="AT826" s="102"/>
      <c r="AX826" s="100"/>
      <c r="AY826" s="101"/>
      <c r="AZ826" s="101"/>
      <c r="BA826" s="101"/>
      <c r="BB826" s="100"/>
      <c r="BC826" s="100"/>
      <c r="BD826" s="100"/>
      <c r="BE826" s="100"/>
      <c r="BF826" s="100"/>
      <c r="BG826" s="100"/>
      <c r="BH826" s="100"/>
      <c r="BI826" s="100"/>
      <c r="BJ826" s="100"/>
      <c r="BK826" s="102"/>
      <c r="BN826" s="36"/>
    </row>
    <row r="827" spans="1:66" x14ac:dyDescent="0.25">
      <c r="A827" s="92"/>
      <c r="B827" s="92"/>
      <c r="C827" s="92"/>
      <c r="D827" s="93"/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AG827" s="100"/>
      <c r="AH827" s="101"/>
      <c r="AI827" s="101"/>
      <c r="AJ827" s="100"/>
      <c r="AK827" s="100"/>
      <c r="AL827" s="100"/>
      <c r="AM827" s="100"/>
      <c r="AN827" s="100"/>
      <c r="AO827" s="100"/>
      <c r="AP827" s="100"/>
      <c r="AQ827" s="100"/>
      <c r="AR827" s="100"/>
      <c r="AS827" s="100"/>
      <c r="AT827" s="102"/>
      <c r="AX827" s="100"/>
      <c r="AY827" s="101"/>
      <c r="AZ827" s="101"/>
      <c r="BA827" s="101"/>
      <c r="BB827" s="100"/>
      <c r="BC827" s="100"/>
      <c r="BD827" s="100"/>
      <c r="BE827" s="100"/>
      <c r="BF827" s="100"/>
      <c r="BG827" s="100"/>
      <c r="BH827" s="100"/>
      <c r="BI827" s="100"/>
      <c r="BJ827" s="100"/>
      <c r="BK827" s="102"/>
      <c r="BN827" s="36"/>
    </row>
    <row r="828" spans="1:66" x14ac:dyDescent="0.25">
      <c r="A828" s="92"/>
      <c r="B828" s="92"/>
      <c r="C828" s="92"/>
      <c r="D828" s="93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AG828" s="100"/>
      <c r="AH828" s="101"/>
      <c r="AI828" s="101"/>
      <c r="AJ828" s="101"/>
      <c r="AK828" s="100"/>
      <c r="AL828" s="100"/>
      <c r="AM828" s="100"/>
      <c r="AN828" s="100"/>
      <c r="AO828" s="100"/>
      <c r="AP828" s="100"/>
      <c r="AQ828" s="100"/>
      <c r="AR828" s="100"/>
      <c r="AS828" s="100"/>
      <c r="AT828" s="102"/>
      <c r="AX828" s="100"/>
      <c r="AY828" s="101"/>
      <c r="AZ828" s="101"/>
      <c r="BA828" s="101"/>
      <c r="BB828" s="100"/>
      <c r="BC828" s="100"/>
      <c r="BD828" s="100"/>
      <c r="BE828" s="100"/>
      <c r="BF828" s="100"/>
      <c r="BG828" s="100"/>
      <c r="BH828" s="100"/>
      <c r="BI828" s="100"/>
      <c r="BJ828" s="100"/>
      <c r="BK828" s="102"/>
      <c r="BN828" s="36"/>
    </row>
    <row r="829" spans="1:66" x14ac:dyDescent="0.25">
      <c r="A829" s="92"/>
      <c r="B829" s="92"/>
      <c r="C829" s="92"/>
      <c r="D829" s="93"/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AG829" s="100"/>
      <c r="AH829" s="101"/>
      <c r="AI829" s="101"/>
      <c r="AJ829" s="100"/>
      <c r="AK829" s="100"/>
      <c r="AL829" s="100"/>
      <c r="AM829" s="100"/>
      <c r="AN829" s="100"/>
      <c r="AO829" s="100"/>
      <c r="AP829" s="100"/>
      <c r="AQ829" s="100"/>
      <c r="AR829" s="100"/>
      <c r="AS829" s="100"/>
      <c r="AT829" s="102"/>
      <c r="AX829" s="100"/>
      <c r="AY829" s="101"/>
      <c r="AZ829" s="101"/>
      <c r="BA829" s="100"/>
      <c r="BB829" s="100"/>
      <c r="BC829" s="100"/>
      <c r="BD829" s="100"/>
      <c r="BE829" s="100"/>
      <c r="BF829" s="100"/>
      <c r="BG829" s="100"/>
      <c r="BH829" s="100"/>
      <c r="BI829" s="100"/>
      <c r="BJ829" s="100"/>
      <c r="BK829" s="102"/>
      <c r="BN829" s="36"/>
    </row>
    <row r="830" spans="1:66" x14ac:dyDescent="0.25">
      <c r="A830" s="92"/>
      <c r="B830" s="92"/>
      <c r="C830" s="92"/>
      <c r="D830" s="93"/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AG830" s="100"/>
      <c r="AH830" s="101"/>
      <c r="AI830" s="101"/>
      <c r="AJ830" s="100"/>
      <c r="AK830" s="100"/>
      <c r="AL830" s="100"/>
      <c r="AM830" s="100"/>
      <c r="AN830" s="100"/>
      <c r="AO830" s="100"/>
      <c r="AP830" s="100"/>
      <c r="AQ830" s="100"/>
      <c r="AR830" s="100"/>
      <c r="AS830" s="100"/>
      <c r="AT830" s="102"/>
      <c r="AX830" s="100"/>
      <c r="AY830" s="101"/>
      <c r="AZ830" s="101"/>
      <c r="BA830" s="100"/>
      <c r="BB830" s="100"/>
      <c r="BC830" s="100"/>
      <c r="BD830" s="100"/>
      <c r="BE830" s="100"/>
      <c r="BF830" s="100"/>
      <c r="BG830" s="100"/>
      <c r="BH830" s="100"/>
      <c r="BI830" s="100"/>
      <c r="BJ830" s="100"/>
      <c r="BK830" s="102"/>
      <c r="BN830" s="36"/>
    </row>
    <row r="831" spans="1:66" x14ac:dyDescent="0.25">
      <c r="A831" s="92"/>
      <c r="B831" s="93"/>
      <c r="C831" s="93"/>
      <c r="D831" s="92"/>
      <c r="E831" s="92"/>
      <c r="F831" s="92"/>
      <c r="G831" s="92"/>
      <c r="H831" s="92"/>
      <c r="I831" s="92"/>
      <c r="J831" s="92"/>
      <c r="K831" s="92"/>
      <c r="L831" s="92"/>
      <c r="M831" s="92"/>
      <c r="N831" s="94"/>
      <c r="AG831" s="100"/>
      <c r="AH831" s="101"/>
      <c r="AI831" s="101"/>
      <c r="AJ831" s="101"/>
      <c r="AK831" s="100"/>
      <c r="AL831" s="100"/>
      <c r="AM831" s="100"/>
      <c r="AN831" s="100"/>
      <c r="AO831" s="100"/>
      <c r="AP831" s="100"/>
      <c r="AQ831" s="100"/>
      <c r="AR831" s="100"/>
      <c r="AS831" s="100"/>
      <c r="AT831" s="102"/>
      <c r="AX831" s="100"/>
      <c r="AY831" s="101"/>
      <c r="AZ831" s="101"/>
      <c r="BA831" s="100"/>
      <c r="BB831" s="100"/>
      <c r="BC831" s="100"/>
      <c r="BD831" s="100"/>
      <c r="BE831" s="100"/>
      <c r="BF831" s="100"/>
      <c r="BG831" s="100"/>
      <c r="BH831" s="100"/>
      <c r="BI831" s="100"/>
      <c r="BJ831" s="100"/>
      <c r="BK831" s="102"/>
      <c r="BN831" s="36"/>
    </row>
    <row r="832" spans="1:66" x14ac:dyDescent="0.25">
      <c r="A832" s="92"/>
      <c r="B832" s="93"/>
      <c r="C832" s="93"/>
      <c r="D832" s="92"/>
      <c r="E832" s="92"/>
      <c r="F832" s="92"/>
      <c r="G832" s="92"/>
      <c r="H832" s="92"/>
      <c r="I832" s="92"/>
      <c r="J832" s="92"/>
      <c r="K832" s="92"/>
      <c r="L832" s="92"/>
      <c r="M832" s="92"/>
      <c r="N832" s="94"/>
      <c r="AG832" s="100"/>
      <c r="AH832" s="101"/>
      <c r="AI832" s="101"/>
      <c r="AJ832" s="101"/>
      <c r="AK832" s="100"/>
      <c r="AL832" s="100"/>
      <c r="AM832" s="100"/>
      <c r="AN832" s="100"/>
      <c r="AO832" s="100"/>
      <c r="AP832" s="100"/>
      <c r="AQ832" s="100"/>
      <c r="AR832" s="100"/>
      <c r="AS832" s="100"/>
      <c r="AT832" s="102"/>
      <c r="AX832" s="100"/>
      <c r="AY832" s="101"/>
      <c r="AZ832" s="101"/>
      <c r="BA832" s="100"/>
      <c r="BB832" s="100"/>
      <c r="BC832" s="100"/>
      <c r="BD832" s="100"/>
      <c r="BE832" s="100"/>
      <c r="BF832" s="100"/>
      <c r="BG832" s="100"/>
      <c r="BH832" s="100"/>
      <c r="BI832" s="100"/>
      <c r="BJ832" s="100"/>
      <c r="BK832" s="102"/>
      <c r="BN832" s="36"/>
    </row>
    <row r="833" spans="1:66" x14ac:dyDescent="0.25">
      <c r="A833" s="92"/>
      <c r="B833" s="93"/>
      <c r="C833" s="93"/>
      <c r="D833" s="92"/>
      <c r="E833" s="92"/>
      <c r="F833" s="92"/>
      <c r="G833" s="92"/>
      <c r="H833" s="92"/>
      <c r="I833" s="92"/>
      <c r="J833" s="92"/>
      <c r="K833" s="92"/>
      <c r="L833" s="92"/>
      <c r="M833" s="92"/>
      <c r="N833" s="94"/>
      <c r="AG833" s="100"/>
      <c r="AH833" s="101"/>
      <c r="AI833" s="101"/>
      <c r="AJ833" s="101"/>
      <c r="AK833" s="100"/>
      <c r="AL833" s="100"/>
      <c r="AM833" s="100"/>
      <c r="AN833" s="100"/>
      <c r="AO833" s="100"/>
      <c r="AP833" s="100"/>
      <c r="AQ833" s="100"/>
      <c r="AR833" s="100"/>
      <c r="AS833" s="100"/>
      <c r="AT833" s="102"/>
      <c r="AX833" s="100"/>
      <c r="AY833" s="101"/>
      <c r="AZ833" s="101"/>
      <c r="BA833" s="100"/>
      <c r="BB833" s="100"/>
      <c r="BC833" s="100"/>
      <c r="BD833" s="100"/>
      <c r="BE833" s="100"/>
      <c r="BF833" s="100"/>
      <c r="BG833" s="100"/>
      <c r="BH833" s="100"/>
      <c r="BI833" s="100"/>
      <c r="BJ833" s="100"/>
      <c r="BK833" s="102"/>
      <c r="BN833" s="36"/>
    </row>
    <row r="834" spans="1:66" x14ac:dyDescent="0.25">
      <c r="A834" s="92"/>
      <c r="B834" s="93"/>
      <c r="C834" s="93"/>
      <c r="D834" s="92"/>
      <c r="E834" s="92"/>
      <c r="F834" s="92"/>
      <c r="G834" s="92"/>
      <c r="H834" s="92"/>
      <c r="I834" s="92"/>
      <c r="J834" s="92"/>
      <c r="K834" s="92"/>
      <c r="L834" s="92"/>
      <c r="M834" s="92"/>
      <c r="N834" s="94"/>
      <c r="AG834" s="100"/>
      <c r="AH834" s="101"/>
      <c r="AI834" s="101"/>
      <c r="AJ834" s="100"/>
      <c r="AK834" s="100"/>
      <c r="AL834" s="100"/>
      <c r="AM834" s="100"/>
      <c r="AN834" s="100"/>
      <c r="AO834" s="100"/>
      <c r="AP834" s="100"/>
      <c r="AQ834" s="100"/>
      <c r="AR834" s="100"/>
      <c r="AS834" s="100"/>
      <c r="AT834" s="102"/>
      <c r="AX834" s="100"/>
      <c r="AY834" s="101"/>
      <c r="AZ834" s="101"/>
      <c r="BA834" s="100"/>
      <c r="BB834" s="100"/>
      <c r="BC834" s="100"/>
      <c r="BD834" s="100"/>
      <c r="BE834" s="100"/>
      <c r="BF834" s="100"/>
      <c r="BG834" s="100"/>
      <c r="BH834" s="100"/>
      <c r="BI834" s="100"/>
      <c r="BJ834" s="100"/>
      <c r="BK834" s="102"/>
      <c r="BN834" s="36"/>
    </row>
    <row r="835" spans="1:66" x14ac:dyDescent="0.25">
      <c r="A835" s="92"/>
      <c r="B835" s="93"/>
      <c r="C835" s="93"/>
      <c r="D835" s="92"/>
      <c r="E835" s="92"/>
      <c r="F835" s="92"/>
      <c r="G835" s="92"/>
      <c r="H835" s="92"/>
      <c r="I835" s="92"/>
      <c r="J835" s="92"/>
      <c r="K835" s="92"/>
      <c r="L835" s="92"/>
      <c r="M835" s="92"/>
      <c r="N835" s="94"/>
      <c r="AG835" s="100"/>
      <c r="AH835" s="101"/>
      <c r="AI835" s="101"/>
      <c r="AJ835" s="100"/>
      <c r="AK835" s="100"/>
      <c r="AL835" s="100"/>
      <c r="AM835" s="100"/>
      <c r="AN835" s="100"/>
      <c r="AO835" s="100"/>
      <c r="AP835" s="100"/>
      <c r="AQ835" s="100"/>
      <c r="AR835" s="100"/>
      <c r="AS835" s="100"/>
      <c r="AT835" s="102"/>
      <c r="AX835" s="100"/>
      <c r="AY835" s="101"/>
      <c r="AZ835" s="101"/>
      <c r="BA835" s="100"/>
      <c r="BB835" s="100"/>
      <c r="BC835" s="100"/>
      <c r="BD835" s="100"/>
      <c r="BE835" s="100"/>
      <c r="BF835" s="100"/>
      <c r="BG835" s="100"/>
      <c r="BH835" s="100"/>
      <c r="BI835" s="100"/>
      <c r="BJ835" s="100"/>
      <c r="BK835" s="102"/>
      <c r="BN835" s="36"/>
    </row>
    <row r="836" spans="1:66" x14ac:dyDescent="0.25">
      <c r="A836" s="92"/>
      <c r="B836" s="93"/>
      <c r="C836" s="93"/>
      <c r="D836" s="92"/>
      <c r="E836" s="92"/>
      <c r="F836" s="92"/>
      <c r="G836" s="92"/>
      <c r="H836" s="92"/>
      <c r="I836" s="92"/>
      <c r="J836" s="92"/>
      <c r="K836" s="92"/>
      <c r="L836" s="92"/>
      <c r="M836" s="92"/>
      <c r="N836" s="94"/>
      <c r="AG836" s="100"/>
      <c r="AH836" s="101"/>
      <c r="AI836" s="101"/>
      <c r="AJ836" s="100"/>
      <c r="AK836" s="100"/>
      <c r="AL836" s="100"/>
      <c r="AM836" s="100"/>
      <c r="AN836" s="100"/>
      <c r="AO836" s="100"/>
      <c r="AP836" s="100"/>
      <c r="AQ836" s="100"/>
      <c r="AR836" s="100"/>
      <c r="AS836" s="100"/>
      <c r="AT836" s="102"/>
      <c r="AX836" s="100"/>
      <c r="AY836" s="101"/>
      <c r="AZ836" s="101"/>
      <c r="BA836" s="100"/>
      <c r="BB836" s="100"/>
      <c r="BC836" s="100"/>
      <c r="BD836" s="100"/>
      <c r="BE836" s="100"/>
      <c r="BF836" s="100"/>
      <c r="BG836" s="100"/>
      <c r="BH836" s="100"/>
      <c r="BI836" s="100"/>
      <c r="BJ836" s="100"/>
      <c r="BK836" s="102"/>
      <c r="BN836" s="36"/>
    </row>
    <row r="837" spans="1:66" x14ac:dyDescent="0.25">
      <c r="A837" s="92"/>
      <c r="B837" s="92"/>
      <c r="C837" s="92"/>
      <c r="D837" s="92"/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AG837" s="100"/>
      <c r="AH837" s="101"/>
      <c r="AI837" s="101"/>
      <c r="AJ837" s="101"/>
      <c r="AK837" s="100"/>
      <c r="AL837" s="100"/>
      <c r="AM837" s="100"/>
      <c r="AN837" s="100"/>
      <c r="AO837" s="100"/>
      <c r="AP837" s="100"/>
      <c r="AQ837" s="100"/>
      <c r="AR837" s="100"/>
      <c r="AS837" s="100"/>
      <c r="AT837" s="102"/>
      <c r="AX837" s="100"/>
      <c r="AY837" s="101"/>
      <c r="AZ837" s="101"/>
      <c r="BA837" s="100"/>
      <c r="BB837" s="100"/>
      <c r="BC837" s="100"/>
      <c r="BD837" s="100"/>
      <c r="BE837" s="100"/>
      <c r="BF837" s="100"/>
      <c r="BG837" s="100"/>
      <c r="BH837" s="100"/>
      <c r="BI837" s="100"/>
      <c r="BJ837" s="100"/>
      <c r="BK837" s="102"/>
      <c r="BN837" s="36"/>
    </row>
    <row r="838" spans="1:66" x14ac:dyDescent="0.25">
      <c r="A838" s="92"/>
      <c r="B838" s="93"/>
      <c r="C838" s="93"/>
      <c r="D838" s="93"/>
      <c r="E838" s="92"/>
      <c r="F838" s="92"/>
      <c r="G838" s="92"/>
      <c r="H838" s="92"/>
      <c r="I838" s="92"/>
      <c r="J838" s="92"/>
      <c r="K838" s="92"/>
      <c r="L838" s="92"/>
      <c r="M838" s="92"/>
      <c r="N838" s="94"/>
      <c r="AG838" s="100"/>
      <c r="AH838" s="101"/>
      <c r="AI838" s="101"/>
      <c r="AJ838" s="101"/>
      <c r="AK838" s="100"/>
      <c r="AL838" s="100"/>
      <c r="AM838" s="100"/>
      <c r="AN838" s="100"/>
      <c r="AO838" s="100"/>
      <c r="AP838" s="100"/>
      <c r="AQ838" s="100"/>
      <c r="AR838" s="100"/>
      <c r="AS838" s="100"/>
      <c r="AT838" s="102"/>
      <c r="AX838" s="100"/>
      <c r="AY838" s="101"/>
      <c r="AZ838" s="101"/>
      <c r="BA838" s="100"/>
      <c r="BB838" s="100"/>
      <c r="BC838" s="100"/>
      <c r="BD838" s="100"/>
      <c r="BE838" s="100"/>
      <c r="BF838" s="100"/>
      <c r="BG838" s="100"/>
      <c r="BH838" s="100"/>
      <c r="BI838" s="100"/>
      <c r="BJ838" s="100"/>
      <c r="BK838" s="102"/>
      <c r="BN838" s="36"/>
    </row>
    <row r="839" spans="1:66" x14ac:dyDescent="0.25">
      <c r="A839" s="92"/>
      <c r="B839" s="93"/>
      <c r="C839" s="93"/>
      <c r="D839" s="92"/>
      <c r="E839" s="92"/>
      <c r="F839" s="92"/>
      <c r="G839" s="92"/>
      <c r="H839" s="92"/>
      <c r="I839" s="92"/>
      <c r="J839" s="92"/>
      <c r="K839" s="92"/>
      <c r="L839" s="92"/>
      <c r="M839" s="92"/>
      <c r="N839" s="94"/>
      <c r="AG839" s="100"/>
      <c r="AH839" s="101"/>
      <c r="AI839" s="101"/>
      <c r="AJ839" s="100"/>
      <c r="AK839" s="100"/>
      <c r="AL839" s="100"/>
      <c r="AM839" s="100"/>
      <c r="AN839" s="100"/>
      <c r="AO839" s="100"/>
      <c r="AP839" s="100"/>
      <c r="AQ839" s="100"/>
      <c r="AR839" s="100"/>
      <c r="AS839" s="100"/>
      <c r="AT839" s="102"/>
      <c r="AX839" s="100"/>
      <c r="AY839" s="101"/>
      <c r="AZ839" s="101"/>
      <c r="BA839" s="100"/>
      <c r="BB839" s="100"/>
      <c r="BC839" s="100"/>
      <c r="BD839" s="100"/>
      <c r="BE839" s="100"/>
      <c r="BF839" s="100"/>
      <c r="BG839" s="100"/>
      <c r="BH839" s="100"/>
      <c r="BI839" s="100"/>
      <c r="BJ839" s="100"/>
      <c r="BK839" s="102"/>
      <c r="BN839" s="36"/>
    </row>
    <row r="840" spans="1:66" x14ac:dyDescent="0.25">
      <c r="A840" s="92"/>
      <c r="B840" s="92"/>
      <c r="C840" s="92"/>
      <c r="D840" s="92"/>
      <c r="E840" s="92"/>
      <c r="F840" s="92"/>
      <c r="G840" s="92"/>
      <c r="H840" s="92"/>
      <c r="I840" s="92"/>
      <c r="J840" s="92"/>
      <c r="K840" s="92"/>
      <c r="L840" s="92"/>
      <c r="M840" s="92"/>
      <c r="N840" s="92"/>
      <c r="AG840" s="100"/>
      <c r="AH840" s="101"/>
      <c r="AI840" s="101"/>
      <c r="AJ840" s="100"/>
      <c r="AK840" s="100"/>
      <c r="AL840" s="100"/>
      <c r="AM840" s="100"/>
      <c r="AN840" s="100"/>
      <c r="AO840" s="100"/>
      <c r="AP840" s="100"/>
      <c r="AQ840" s="100"/>
      <c r="AR840" s="100"/>
      <c r="AS840" s="100"/>
      <c r="AT840" s="102"/>
      <c r="AX840" s="100"/>
      <c r="AY840" s="101"/>
      <c r="AZ840" s="101"/>
      <c r="BA840" s="101"/>
      <c r="BB840" s="100"/>
      <c r="BC840" s="100"/>
      <c r="BD840" s="100"/>
      <c r="BE840" s="100"/>
      <c r="BF840" s="100"/>
      <c r="BG840" s="100"/>
      <c r="BH840" s="100"/>
      <c r="BI840" s="100"/>
      <c r="BJ840" s="100"/>
      <c r="BK840" s="102"/>
      <c r="BN840" s="36"/>
    </row>
    <row r="841" spans="1:66" x14ac:dyDescent="0.25">
      <c r="A841" s="92"/>
      <c r="B841" s="93"/>
      <c r="C841" s="93"/>
      <c r="D841" s="92"/>
      <c r="E841" s="92"/>
      <c r="F841" s="92"/>
      <c r="G841" s="92"/>
      <c r="H841" s="92"/>
      <c r="I841" s="92"/>
      <c r="J841" s="92"/>
      <c r="K841" s="92"/>
      <c r="L841" s="92"/>
      <c r="M841" s="92"/>
      <c r="N841" s="94"/>
      <c r="AG841" s="100"/>
      <c r="AH841" s="101"/>
      <c r="AI841" s="101"/>
      <c r="AJ841" s="100"/>
      <c r="AK841" s="100"/>
      <c r="AL841" s="100"/>
      <c r="AM841" s="100"/>
      <c r="AN841" s="100"/>
      <c r="AO841" s="100"/>
      <c r="AP841" s="100"/>
      <c r="AQ841" s="100"/>
      <c r="AR841" s="100"/>
      <c r="AS841" s="100"/>
      <c r="AT841" s="102"/>
      <c r="AX841" s="100"/>
      <c r="AY841" s="101"/>
      <c r="AZ841" s="101"/>
      <c r="BA841" s="100"/>
      <c r="BB841" s="100"/>
      <c r="BC841" s="100"/>
      <c r="BD841" s="100"/>
      <c r="BE841" s="100"/>
      <c r="BF841" s="100"/>
      <c r="BG841" s="100"/>
      <c r="BH841" s="100"/>
      <c r="BI841" s="100"/>
      <c r="BJ841" s="100"/>
      <c r="BK841" s="102"/>
      <c r="BN841" s="36"/>
    </row>
    <row r="842" spans="1:66" x14ac:dyDescent="0.25">
      <c r="A842" s="92"/>
      <c r="B842" s="92"/>
      <c r="C842" s="92"/>
      <c r="D842" s="92"/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AG842" s="100"/>
      <c r="AH842" s="101"/>
      <c r="AI842" s="101"/>
      <c r="AJ842" s="100"/>
      <c r="AK842" s="100"/>
      <c r="AL842" s="100"/>
      <c r="AM842" s="100"/>
      <c r="AN842" s="100"/>
      <c r="AO842" s="100"/>
      <c r="AP842" s="100"/>
      <c r="AQ842" s="100"/>
      <c r="AR842" s="100"/>
      <c r="AS842" s="100"/>
      <c r="AT842" s="102"/>
      <c r="AX842" s="100"/>
      <c r="AY842" s="101"/>
      <c r="AZ842" s="101"/>
      <c r="BA842" s="100"/>
      <c r="BB842" s="100"/>
      <c r="BC842" s="100"/>
      <c r="BD842" s="100"/>
      <c r="BE842" s="100"/>
      <c r="BF842" s="100"/>
      <c r="BG842" s="100"/>
      <c r="BH842" s="100"/>
      <c r="BI842" s="100"/>
      <c r="BJ842" s="100"/>
      <c r="BK842" s="102"/>
      <c r="BN842" s="36"/>
    </row>
    <row r="843" spans="1:66" x14ac:dyDescent="0.25">
      <c r="A843" s="92"/>
      <c r="B843" s="93"/>
      <c r="C843" s="93"/>
      <c r="D843" s="92"/>
      <c r="E843" s="92"/>
      <c r="F843" s="92"/>
      <c r="G843" s="92"/>
      <c r="H843" s="92"/>
      <c r="I843" s="92"/>
      <c r="J843" s="92"/>
      <c r="K843" s="92"/>
      <c r="L843" s="92"/>
      <c r="M843" s="92"/>
      <c r="N843" s="94"/>
      <c r="AG843" s="100"/>
      <c r="AH843" s="101"/>
      <c r="AI843" s="101"/>
      <c r="AJ843" s="100"/>
      <c r="AK843" s="100"/>
      <c r="AL843" s="100"/>
      <c r="AM843" s="100"/>
      <c r="AN843" s="100"/>
      <c r="AO843" s="100"/>
      <c r="AP843" s="100"/>
      <c r="AQ843" s="100"/>
      <c r="AR843" s="100"/>
      <c r="AS843" s="100"/>
      <c r="AT843" s="102"/>
      <c r="AX843" s="100"/>
      <c r="AY843" s="101"/>
      <c r="AZ843" s="101"/>
      <c r="BA843" s="100"/>
      <c r="BB843" s="100"/>
      <c r="BC843" s="100"/>
      <c r="BD843" s="100"/>
      <c r="BE843" s="100"/>
      <c r="BF843" s="100"/>
      <c r="BG843" s="100"/>
      <c r="BH843" s="100"/>
      <c r="BI843" s="100"/>
      <c r="BJ843" s="100"/>
      <c r="BK843" s="102"/>
      <c r="BN843" s="36"/>
    </row>
    <row r="844" spans="1:66" x14ac:dyDescent="0.25">
      <c r="A844" s="92"/>
      <c r="B844" s="93"/>
      <c r="C844" s="93"/>
      <c r="D844" s="93"/>
      <c r="E844" s="92"/>
      <c r="F844" s="92"/>
      <c r="G844" s="92"/>
      <c r="H844" s="92"/>
      <c r="I844" s="92"/>
      <c r="J844" s="92"/>
      <c r="K844" s="92"/>
      <c r="L844" s="92"/>
      <c r="M844" s="92"/>
      <c r="N844" s="94"/>
      <c r="AG844" s="100"/>
      <c r="AH844" s="101"/>
      <c r="AI844" s="101"/>
      <c r="AJ844" s="101"/>
      <c r="AK844" s="100"/>
      <c r="AL844" s="100"/>
      <c r="AM844" s="100"/>
      <c r="AN844" s="100"/>
      <c r="AO844" s="100"/>
      <c r="AP844" s="100"/>
      <c r="AQ844" s="100"/>
      <c r="AR844" s="100"/>
      <c r="AS844" s="100"/>
      <c r="AT844" s="102"/>
      <c r="AX844" s="100"/>
      <c r="AY844" s="101"/>
      <c r="AZ844" s="101"/>
      <c r="BA844" s="101"/>
      <c r="BB844" s="100"/>
      <c r="BC844" s="100"/>
      <c r="BD844" s="100"/>
      <c r="BE844" s="100"/>
      <c r="BF844" s="100"/>
      <c r="BG844" s="100"/>
      <c r="BH844" s="100"/>
      <c r="BI844" s="100"/>
      <c r="BJ844" s="100"/>
      <c r="BK844" s="102"/>
      <c r="BN844" s="36"/>
    </row>
    <row r="845" spans="1:66" x14ac:dyDescent="0.25">
      <c r="A845" s="92"/>
      <c r="B845" s="92"/>
      <c r="C845" s="92"/>
      <c r="D845" s="92"/>
      <c r="E845" s="92"/>
      <c r="F845" s="92"/>
      <c r="G845" s="92"/>
      <c r="H845" s="92"/>
      <c r="I845" s="92"/>
      <c r="J845" s="92"/>
      <c r="K845" s="92"/>
      <c r="L845" s="92"/>
      <c r="M845" s="92"/>
      <c r="N845" s="92"/>
      <c r="AG845" s="100"/>
      <c r="AH845" s="101"/>
      <c r="AI845" s="101"/>
      <c r="AJ845" s="100"/>
      <c r="AK845" s="100"/>
      <c r="AL845" s="100"/>
      <c r="AM845" s="100"/>
      <c r="AN845" s="100"/>
      <c r="AO845" s="100"/>
      <c r="AP845" s="100"/>
      <c r="AQ845" s="100"/>
      <c r="AR845" s="100"/>
      <c r="AS845" s="100"/>
      <c r="AT845" s="102"/>
      <c r="AX845" s="100"/>
      <c r="AY845" s="101"/>
      <c r="AZ845" s="101"/>
      <c r="BA845" s="101"/>
      <c r="BB845" s="100"/>
      <c r="BC845" s="100"/>
      <c r="BD845" s="100"/>
      <c r="BE845" s="100"/>
      <c r="BF845" s="100"/>
      <c r="BG845" s="100"/>
      <c r="BH845" s="100"/>
      <c r="BI845" s="100"/>
      <c r="BJ845" s="100"/>
      <c r="BK845" s="102"/>
      <c r="BN845" s="36"/>
    </row>
    <row r="846" spans="1:66" x14ac:dyDescent="0.25">
      <c r="A846" s="92"/>
      <c r="B846" s="93"/>
      <c r="C846" s="93"/>
      <c r="D846" s="93"/>
      <c r="E846" s="92"/>
      <c r="F846" s="92"/>
      <c r="G846" s="92"/>
      <c r="H846" s="92"/>
      <c r="I846" s="92"/>
      <c r="J846" s="92"/>
      <c r="K846" s="92"/>
      <c r="L846" s="92"/>
      <c r="M846" s="92"/>
      <c r="N846" s="94"/>
      <c r="AG846" s="100"/>
      <c r="AH846" s="101"/>
      <c r="AI846" s="101"/>
      <c r="AJ846" s="100"/>
      <c r="AK846" s="100"/>
      <c r="AL846" s="100"/>
      <c r="AM846" s="100"/>
      <c r="AN846" s="100"/>
      <c r="AO846" s="100"/>
      <c r="AP846" s="100"/>
      <c r="AQ846" s="100"/>
      <c r="AR846" s="100"/>
      <c r="AS846" s="100"/>
      <c r="AT846" s="102"/>
      <c r="AX846" s="100"/>
      <c r="AY846" s="101"/>
      <c r="AZ846" s="101"/>
      <c r="BA846" s="100"/>
      <c r="BB846" s="100"/>
      <c r="BC846" s="100"/>
      <c r="BD846" s="100"/>
      <c r="BE846" s="100"/>
      <c r="BF846" s="100"/>
      <c r="BG846" s="100"/>
      <c r="BH846" s="100"/>
      <c r="BI846" s="100"/>
      <c r="BJ846" s="100"/>
      <c r="BK846" s="102"/>
      <c r="BN846" s="36"/>
    </row>
    <row r="847" spans="1:66" x14ac:dyDescent="0.25">
      <c r="A847" s="92"/>
      <c r="B847" s="92"/>
      <c r="C847" s="92"/>
      <c r="D847" s="92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AG847" s="100"/>
      <c r="AH847" s="101"/>
      <c r="AI847" s="101"/>
      <c r="AJ847" s="100"/>
      <c r="AK847" s="100"/>
      <c r="AL847" s="100"/>
      <c r="AM847" s="100"/>
      <c r="AN847" s="100"/>
      <c r="AO847" s="100"/>
      <c r="AP847" s="100"/>
      <c r="AQ847" s="100"/>
      <c r="AR847" s="100"/>
      <c r="AS847" s="100"/>
      <c r="AT847" s="102"/>
      <c r="AX847" s="100"/>
      <c r="AY847" s="101"/>
      <c r="AZ847" s="101"/>
      <c r="BA847" s="100"/>
      <c r="BB847" s="100"/>
      <c r="BC847" s="100"/>
      <c r="BD847" s="100"/>
      <c r="BE847" s="100"/>
      <c r="BF847" s="100"/>
      <c r="BG847" s="100"/>
      <c r="BH847" s="100"/>
      <c r="BI847" s="100"/>
      <c r="BJ847" s="100"/>
      <c r="BK847" s="102"/>
      <c r="BN847" s="36"/>
    </row>
    <row r="848" spans="1:66" x14ac:dyDescent="0.25">
      <c r="A848" s="92"/>
      <c r="B848" s="92"/>
      <c r="C848" s="92"/>
      <c r="D848" s="92"/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AG848" s="100"/>
      <c r="AH848" s="101"/>
      <c r="AI848" s="101"/>
      <c r="AJ848" s="100"/>
      <c r="AK848" s="100"/>
      <c r="AL848" s="100"/>
      <c r="AM848" s="100"/>
      <c r="AN848" s="100"/>
      <c r="AO848" s="100"/>
      <c r="AP848" s="100"/>
      <c r="AQ848" s="100"/>
      <c r="AR848" s="100"/>
      <c r="AS848" s="100"/>
      <c r="AT848" s="102"/>
      <c r="AX848" s="100"/>
      <c r="AY848" s="101"/>
      <c r="AZ848" s="101"/>
      <c r="BA848" s="101"/>
      <c r="BB848" s="100"/>
      <c r="BC848" s="100"/>
      <c r="BD848" s="100"/>
      <c r="BE848" s="100"/>
      <c r="BF848" s="100"/>
      <c r="BG848" s="100"/>
      <c r="BH848" s="100"/>
      <c r="BI848" s="100"/>
      <c r="BJ848" s="100"/>
      <c r="BK848" s="102"/>
      <c r="BN848" s="36"/>
    </row>
    <row r="849" spans="1:66" x14ac:dyDescent="0.25">
      <c r="A849" s="92"/>
      <c r="B849" s="92"/>
      <c r="C849" s="92"/>
      <c r="D849" s="92"/>
      <c r="E849" s="92"/>
      <c r="F849" s="92"/>
      <c r="G849" s="92"/>
      <c r="H849" s="92"/>
      <c r="I849" s="92"/>
      <c r="J849" s="92"/>
      <c r="K849" s="92"/>
      <c r="L849" s="92"/>
      <c r="M849" s="92"/>
      <c r="N849" s="92"/>
      <c r="AG849" s="100"/>
      <c r="AH849" s="101"/>
      <c r="AI849" s="101"/>
      <c r="AJ849" s="100"/>
      <c r="AK849" s="100"/>
      <c r="AL849" s="100"/>
      <c r="AM849" s="100"/>
      <c r="AN849" s="100"/>
      <c r="AO849" s="100"/>
      <c r="AP849" s="100"/>
      <c r="AQ849" s="100"/>
      <c r="AR849" s="100"/>
      <c r="AS849" s="100"/>
      <c r="AT849" s="102"/>
      <c r="AX849" s="100"/>
      <c r="AY849" s="101"/>
      <c r="AZ849" s="101"/>
      <c r="BA849" s="100"/>
      <c r="BB849" s="100"/>
      <c r="BC849" s="100"/>
      <c r="BD849" s="100"/>
      <c r="BE849" s="100"/>
      <c r="BF849" s="100"/>
      <c r="BG849" s="100"/>
      <c r="BH849" s="100"/>
      <c r="BI849" s="100"/>
      <c r="BJ849" s="100"/>
      <c r="BK849" s="102"/>
      <c r="BN849" s="36"/>
    </row>
    <row r="850" spans="1:66" x14ac:dyDescent="0.25">
      <c r="A850" s="92"/>
      <c r="B850" s="93"/>
      <c r="C850" s="93"/>
      <c r="D850" s="93"/>
      <c r="E850" s="92"/>
      <c r="F850" s="92"/>
      <c r="G850" s="92"/>
      <c r="H850" s="92"/>
      <c r="I850" s="92"/>
      <c r="J850" s="92"/>
      <c r="K850" s="92"/>
      <c r="L850" s="92"/>
      <c r="M850" s="92"/>
      <c r="N850" s="94"/>
      <c r="AG850" s="100"/>
      <c r="AH850" s="101"/>
      <c r="AI850" s="101"/>
      <c r="AJ850" s="100"/>
      <c r="AK850" s="100"/>
      <c r="AL850" s="100"/>
      <c r="AM850" s="100"/>
      <c r="AN850" s="100"/>
      <c r="AO850" s="100"/>
      <c r="AP850" s="100"/>
      <c r="AQ850" s="100"/>
      <c r="AR850" s="100"/>
      <c r="AS850" s="100"/>
      <c r="AT850" s="102"/>
      <c r="AX850" s="100"/>
      <c r="AY850" s="101"/>
      <c r="AZ850" s="101"/>
      <c r="BA850" s="100"/>
      <c r="BB850" s="100"/>
      <c r="BC850" s="100"/>
      <c r="BD850" s="100"/>
      <c r="BE850" s="100"/>
      <c r="BF850" s="100"/>
      <c r="BG850" s="100"/>
      <c r="BH850" s="100"/>
      <c r="BI850" s="100"/>
      <c r="BJ850" s="100"/>
      <c r="BK850" s="102"/>
      <c r="BN850" s="36"/>
    </row>
    <row r="851" spans="1:66" x14ac:dyDescent="0.25">
      <c r="A851" s="92"/>
      <c r="B851" s="92"/>
      <c r="C851" s="92"/>
      <c r="D851" s="92"/>
      <c r="E851" s="92"/>
      <c r="F851" s="92"/>
      <c r="G851" s="92"/>
      <c r="H851" s="92"/>
      <c r="I851" s="92"/>
      <c r="J851" s="92"/>
      <c r="K851" s="92"/>
      <c r="L851" s="92"/>
      <c r="M851" s="92"/>
      <c r="N851" s="92"/>
      <c r="AG851" s="100"/>
      <c r="AH851" s="101"/>
      <c r="AI851" s="101"/>
      <c r="AJ851" s="100"/>
      <c r="AK851" s="100"/>
      <c r="AL851" s="100"/>
      <c r="AM851" s="100"/>
      <c r="AN851" s="100"/>
      <c r="AO851" s="100"/>
      <c r="AP851" s="100"/>
      <c r="AQ851" s="100"/>
      <c r="AR851" s="100"/>
      <c r="AS851" s="100"/>
      <c r="AT851" s="102"/>
      <c r="AX851" s="100"/>
      <c r="AY851" s="101"/>
      <c r="AZ851" s="101"/>
      <c r="BA851" s="101"/>
      <c r="BB851" s="100"/>
      <c r="BC851" s="100"/>
      <c r="BD851" s="100"/>
      <c r="BE851" s="100"/>
      <c r="BF851" s="100"/>
      <c r="BG851" s="100"/>
      <c r="BH851" s="100"/>
      <c r="BI851" s="100"/>
      <c r="BJ851" s="100"/>
      <c r="BK851" s="102"/>
      <c r="BN851" s="36"/>
    </row>
    <row r="852" spans="1:66" x14ac:dyDescent="0.25">
      <c r="A852" s="92"/>
      <c r="B852" s="93"/>
      <c r="C852" s="93"/>
      <c r="D852" s="92"/>
      <c r="E852" s="92"/>
      <c r="F852" s="92"/>
      <c r="G852" s="92"/>
      <c r="H852" s="92"/>
      <c r="I852" s="92"/>
      <c r="J852" s="92"/>
      <c r="K852" s="92"/>
      <c r="L852" s="92"/>
      <c r="M852" s="92"/>
      <c r="N852" s="94"/>
      <c r="AG852" s="100"/>
      <c r="AH852" s="101"/>
      <c r="AI852" s="101"/>
      <c r="AJ852" s="101"/>
      <c r="AK852" s="100"/>
      <c r="AL852" s="100"/>
      <c r="AM852" s="100"/>
      <c r="AN852" s="100"/>
      <c r="AO852" s="100"/>
      <c r="AP852" s="100"/>
      <c r="AQ852" s="100"/>
      <c r="AR852" s="100"/>
      <c r="AS852" s="100"/>
      <c r="AT852" s="102"/>
      <c r="AX852" s="100"/>
      <c r="AY852" s="101"/>
      <c r="AZ852" s="101"/>
      <c r="BA852" s="101"/>
      <c r="BB852" s="100"/>
      <c r="BC852" s="100"/>
      <c r="BD852" s="100"/>
      <c r="BE852" s="100"/>
      <c r="BF852" s="100"/>
      <c r="BG852" s="100"/>
      <c r="BH852" s="100"/>
      <c r="BI852" s="100"/>
      <c r="BJ852" s="100"/>
      <c r="BK852" s="102"/>
      <c r="BN852" s="36"/>
    </row>
    <row r="853" spans="1:66" x14ac:dyDescent="0.25">
      <c r="A853" s="92"/>
      <c r="B853" s="92"/>
      <c r="C853" s="92"/>
      <c r="D853" s="92"/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AG853" s="100"/>
      <c r="AH853" s="101"/>
      <c r="AI853" s="101"/>
      <c r="AJ853" s="100"/>
      <c r="AK853" s="100"/>
      <c r="AL853" s="100"/>
      <c r="AM853" s="100"/>
      <c r="AN853" s="100"/>
      <c r="AO853" s="100"/>
      <c r="AP853" s="100"/>
      <c r="AQ853" s="100"/>
      <c r="AR853" s="100"/>
      <c r="AS853" s="100"/>
      <c r="AT853" s="102"/>
      <c r="AX853" s="100"/>
      <c r="AY853" s="101"/>
      <c r="AZ853" s="101"/>
      <c r="BA853" s="101"/>
      <c r="BB853" s="100"/>
      <c r="BC853" s="100"/>
      <c r="BD853" s="100"/>
      <c r="BE853" s="100"/>
      <c r="BF853" s="100"/>
      <c r="BG853" s="100"/>
      <c r="BH853" s="100"/>
      <c r="BI853" s="100"/>
      <c r="BJ853" s="100"/>
      <c r="BK853" s="102"/>
      <c r="BN853" s="36"/>
    </row>
    <row r="854" spans="1:66" x14ac:dyDescent="0.25">
      <c r="A854" s="92"/>
      <c r="B854" s="92"/>
      <c r="C854" s="92"/>
      <c r="D854" s="92"/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AG854" s="100"/>
      <c r="AH854" s="101"/>
      <c r="AI854" s="101"/>
      <c r="AJ854" s="100"/>
      <c r="AK854" s="100"/>
      <c r="AL854" s="100"/>
      <c r="AM854" s="100"/>
      <c r="AN854" s="100"/>
      <c r="AO854" s="100"/>
      <c r="AP854" s="100"/>
      <c r="AQ854" s="100"/>
      <c r="AR854" s="100"/>
      <c r="AS854" s="100"/>
      <c r="AT854" s="102"/>
      <c r="AX854" s="100"/>
      <c r="AY854" s="101"/>
      <c r="AZ854" s="101"/>
      <c r="BA854" s="100"/>
      <c r="BB854" s="100"/>
      <c r="BC854" s="100"/>
      <c r="BD854" s="100"/>
      <c r="BE854" s="100"/>
      <c r="BF854" s="100"/>
      <c r="BG854" s="100"/>
      <c r="BH854" s="100"/>
      <c r="BI854" s="100"/>
      <c r="BJ854" s="100"/>
      <c r="BK854" s="102"/>
      <c r="BN854" s="36"/>
    </row>
    <row r="855" spans="1:66" x14ac:dyDescent="0.25">
      <c r="A855" s="92"/>
      <c r="B855" s="92"/>
      <c r="C855" s="92"/>
      <c r="D855" s="92"/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AG855" s="100"/>
      <c r="AH855" s="101"/>
      <c r="AI855" s="101"/>
      <c r="AJ855" s="100"/>
      <c r="AK855" s="100"/>
      <c r="AL855" s="100"/>
      <c r="AM855" s="100"/>
      <c r="AN855" s="100"/>
      <c r="AO855" s="100"/>
      <c r="AP855" s="100"/>
      <c r="AQ855" s="100"/>
      <c r="AR855" s="100"/>
      <c r="AS855" s="100"/>
      <c r="AT855" s="102"/>
      <c r="AX855" s="100"/>
      <c r="AY855" s="101"/>
      <c r="AZ855" s="101"/>
      <c r="BA855" s="100"/>
      <c r="BB855" s="100"/>
      <c r="BC855" s="100"/>
      <c r="BD855" s="100"/>
      <c r="BE855" s="100"/>
      <c r="BF855" s="100"/>
      <c r="BG855" s="100"/>
      <c r="BH855" s="100"/>
      <c r="BI855" s="100"/>
      <c r="BJ855" s="100"/>
      <c r="BK855" s="102"/>
      <c r="BN855" s="36"/>
    </row>
    <row r="856" spans="1:66" x14ac:dyDescent="0.25">
      <c r="A856" s="92"/>
      <c r="B856" s="92"/>
      <c r="C856" s="92"/>
      <c r="D856" s="92"/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AG856" s="100"/>
      <c r="AH856" s="101"/>
      <c r="AI856" s="101"/>
      <c r="AJ856" s="101"/>
      <c r="AK856" s="100"/>
      <c r="AL856" s="100"/>
      <c r="AM856" s="100"/>
      <c r="AN856" s="100"/>
      <c r="AO856" s="100"/>
      <c r="AP856" s="100"/>
      <c r="AQ856" s="100"/>
      <c r="AR856" s="100"/>
      <c r="AS856" s="100"/>
      <c r="AT856" s="102"/>
      <c r="AX856" s="100"/>
      <c r="AY856" s="101"/>
      <c r="AZ856" s="101"/>
      <c r="BA856" s="100"/>
      <c r="BB856" s="100"/>
      <c r="BC856" s="100"/>
      <c r="BD856" s="100"/>
      <c r="BE856" s="100"/>
      <c r="BF856" s="100"/>
      <c r="BG856" s="100"/>
      <c r="BH856" s="100"/>
      <c r="BI856" s="100"/>
      <c r="BJ856" s="100"/>
      <c r="BK856" s="102"/>
      <c r="BN856" s="36"/>
    </row>
    <row r="857" spans="1:66" x14ac:dyDescent="0.25">
      <c r="A857" s="92"/>
      <c r="B857" s="92"/>
      <c r="C857" s="92"/>
      <c r="D857" s="92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AG857" s="100"/>
      <c r="AH857" s="101"/>
      <c r="AI857" s="101"/>
      <c r="AJ857" s="100"/>
      <c r="AK857" s="100"/>
      <c r="AL857" s="100"/>
      <c r="AM857" s="100"/>
      <c r="AN857" s="100"/>
      <c r="AO857" s="100"/>
      <c r="AP857" s="100"/>
      <c r="AQ857" s="100"/>
      <c r="AR857" s="100"/>
      <c r="AS857" s="100"/>
      <c r="AT857" s="102"/>
      <c r="AX857" s="100"/>
      <c r="AY857" s="101"/>
      <c r="AZ857" s="101"/>
      <c r="BA857" s="101"/>
      <c r="BB857" s="100"/>
      <c r="BC857" s="100"/>
      <c r="BD857" s="100"/>
      <c r="BE857" s="100"/>
      <c r="BF857" s="100"/>
      <c r="BG857" s="100"/>
      <c r="BH857" s="100"/>
      <c r="BI857" s="100"/>
      <c r="BJ857" s="100"/>
      <c r="BK857" s="102"/>
      <c r="BN857" s="36"/>
    </row>
    <row r="858" spans="1:66" x14ac:dyDescent="0.25">
      <c r="A858" s="92"/>
      <c r="B858" s="92"/>
      <c r="C858" s="92"/>
      <c r="D858" s="92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AG858" s="100"/>
      <c r="AH858" s="101"/>
      <c r="AI858" s="101"/>
      <c r="AJ858" s="101"/>
      <c r="AK858" s="100"/>
      <c r="AL858" s="100"/>
      <c r="AM858" s="100"/>
      <c r="AN858" s="100"/>
      <c r="AO858" s="100"/>
      <c r="AP858" s="100"/>
      <c r="AQ858" s="100"/>
      <c r="AR858" s="100"/>
      <c r="AS858" s="100"/>
      <c r="AT858" s="102"/>
      <c r="AX858" s="100"/>
      <c r="AY858" s="101"/>
      <c r="AZ858" s="101"/>
      <c r="BA858" s="101"/>
      <c r="BB858" s="100"/>
      <c r="BC858" s="100"/>
      <c r="BD858" s="100"/>
      <c r="BE858" s="100"/>
      <c r="BF858" s="100"/>
      <c r="BG858" s="100"/>
      <c r="BH858" s="100"/>
      <c r="BI858" s="100"/>
      <c r="BJ858" s="100"/>
      <c r="BK858" s="102"/>
      <c r="BN858" s="36"/>
    </row>
    <row r="859" spans="1:66" x14ac:dyDescent="0.25">
      <c r="A859" s="92"/>
      <c r="B859" s="92"/>
      <c r="C859" s="92"/>
      <c r="D859" s="92"/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AG859" s="100"/>
      <c r="AH859" s="101"/>
      <c r="AI859" s="101"/>
      <c r="AJ859" s="100"/>
      <c r="AK859" s="100"/>
      <c r="AL859" s="100"/>
      <c r="AM859" s="100"/>
      <c r="AN859" s="100"/>
      <c r="AO859" s="100"/>
      <c r="AP859" s="100"/>
      <c r="AQ859" s="100"/>
      <c r="AR859" s="100"/>
      <c r="AS859" s="100"/>
      <c r="AT859" s="102"/>
      <c r="AX859" s="100"/>
      <c r="AY859" s="101"/>
      <c r="AZ859" s="101"/>
      <c r="BA859" s="100"/>
      <c r="BB859" s="100"/>
      <c r="BC859" s="100"/>
      <c r="BD859" s="100"/>
      <c r="BE859" s="100"/>
      <c r="BF859" s="100"/>
      <c r="BG859" s="100"/>
      <c r="BH859" s="100"/>
      <c r="BI859" s="100"/>
      <c r="BJ859" s="100"/>
      <c r="BK859" s="102"/>
      <c r="BN859" s="36"/>
    </row>
    <row r="860" spans="1:66" x14ac:dyDescent="0.25">
      <c r="A860" s="92"/>
      <c r="B860" s="92"/>
      <c r="C860" s="92"/>
      <c r="D860" s="92"/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AG860" s="100"/>
      <c r="AH860" s="101"/>
      <c r="AI860" s="101"/>
      <c r="AJ860" s="101"/>
      <c r="AK860" s="100"/>
      <c r="AL860" s="100"/>
      <c r="AM860" s="100"/>
      <c r="AN860" s="100"/>
      <c r="AO860" s="100"/>
      <c r="AP860" s="100"/>
      <c r="AQ860" s="100"/>
      <c r="AR860" s="100"/>
      <c r="AS860" s="100"/>
      <c r="AT860" s="102"/>
      <c r="AX860" s="100"/>
      <c r="AY860" s="101"/>
      <c r="AZ860" s="101"/>
      <c r="BA860" s="100"/>
      <c r="BB860" s="100"/>
      <c r="BC860" s="100"/>
      <c r="BD860" s="100"/>
      <c r="BE860" s="100"/>
      <c r="BF860" s="100"/>
      <c r="BG860" s="100"/>
      <c r="BH860" s="100"/>
      <c r="BI860" s="100"/>
      <c r="BJ860" s="100"/>
      <c r="BK860" s="102"/>
      <c r="BN860" s="36"/>
    </row>
    <row r="861" spans="1:66" x14ac:dyDescent="0.25">
      <c r="A861" s="92"/>
      <c r="B861" s="92"/>
      <c r="C861" s="92"/>
      <c r="D861" s="92"/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AG861" s="100"/>
      <c r="AH861" s="101"/>
      <c r="AI861" s="101"/>
      <c r="AJ861" s="101"/>
      <c r="AK861" s="100"/>
      <c r="AL861" s="100"/>
      <c r="AM861" s="100"/>
      <c r="AN861" s="100"/>
      <c r="AO861" s="100"/>
      <c r="AP861" s="100"/>
      <c r="AQ861" s="100"/>
      <c r="AR861" s="100"/>
      <c r="AS861" s="100"/>
      <c r="AT861" s="102"/>
      <c r="AX861" s="100"/>
      <c r="AY861" s="101"/>
      <c r="AZ861" s="101"/>
      <c r="BA861" s="100"/>
      <c r="BB861" s="100"/>
      <c r="BC861" s="100"/>
      <c r="BD861" s="100"/>
      <c r="BE861" s="100"/>
      <c r="BF861" s="100"/>
      <c r="BG861" s="100"/>
      <c r="BH861" s="100"/>
      <c r="BI861" s="100"/>
      <c r="BJ861" s="100"/>
      <c r="BK861" s="102"/>
      <c r="BN861" s="36"/>
    </row>
    <row r="862" spans="1:66" x14ac:dyDescent="0.25">
      <c r="A862" s="92"/>
      <c r="B862" s="92"/>
      <c r="C862" s="92"/>
      <c r="D862" s="92"/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AG862" s="100"/>
      <c r="AH862" s="101"/>
      <c r="AI862" s="101"/>
      <c r="AJ862" s="100"/>
      <c r="AK862" s="100"/>
      <c r="AL862" s="100"/>
      <c r="AM862" s="100"/>
      <c r="AN862" s="100"/>
      <c r="AO862" s="100"/>
      <c r="AP862" s="100"/>
      <c r="AQ862" s="100"/>
      <c r="AR862" s="100"/>
      <c r="AS862" s="100"/>
      <c r="AT862" s="102"/>
      <c r="AX862" s="100"/>
      <c r="AY862" s="101"/>
      <c r="AZ862" s="101"/>
      <c r="BA862" s="100"/>
      <c r="BB862" s="100"/>
      <c r="BC862" s="100"/>
      <c r="BD862" s="100"/>
      <c r="BE862" s="100"/>
      <c r="BF862" s="100"/>
      <c r="BG862" s="100"/>
      <c r="BH862" s="100"/>
      <c r="BI862" s="100"/>
      <c r="BJ862" s="100"/>
      <c r="BK862" s="102"/>
      <c r="BN862" s="36"/>
    </row>
    <row r="863" spans="1:66" x14ac:dyDescent="0.25">
      <c r="A863" s="92"/>
      <c r="B863" s="93"/>
      <c r="C863" s="93"/>
      <c r="D863" s="93"/>
      <c r="E863" s="92"/>
      <c r="F863" s="92"/>
      <c r="G863" s="92"/>
      <c r="H863" s="92"/>
      <c r="I863" s="92"/>
      <c r="J863" s="92"/>
      <c r="K863" s="92"/>
      <c r="L863" s="92"/>
      <c r="M863" s="92"/>
      <c r="N863" s="94"/>
      <c r="AG863" s="100"/>
      <c r="AH863" s="101"/>
      <c r="AI863" s="101"/>
      <c r="AJ863" s="100"/>
      <c r="AK863" s="100"/>
      <c r="AL863" s="100"/>
      <c r="AM863" s="100"/>
      <c r="AN863" s="100"/>
      <c r="AO863" s="100"/>
      <c r="AP863" s="100"/>
      <c r="AQ863" s="100"/>
      <c r="AR863" s="100"/>
      <c r="AS863" s="100"/>
      <c r="AT863" s="102"/>
      <c r="AX863" s="100"/>
      <c r="AY863" s="101"/>
      <c r="AZ863" s="101"/>
      <c r="BA863" s="100"/>
      <c r="BB863" s="100"/>
      <c r="BC863" s="100"/>
      <c r="BD863" s="100"/>
      <c r="BE863" s="100"/>
      <c r="BF863" s="100"/>
      <c r="BG863" s="100"/>
      <c r="BH863" s="100"/>
      <c r="BI863" s="100"/>
      <c r="BJ863" s="100"/>
      <c r="BK863" s="102"/>
      <c r="BN863" s="36"/>
    </row>
    <row r="864" spans="1:66" x14ac:dyDescent="0.25">
      <c r="A864" s="92"/>
      <c r="B864" s="92"/>
      <c r="C864" s="92"/>
      <c r="D864" s="92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AG864" s="100"/>
      <c r="AH864" s="101"/>
      <c r="AI864" s="101"/>
      <c r="AJ864" s="100"/>
      <c r="AK864" s="100"/>
      <c r="AL864" s="100"/>
      <c r="AM864" s="100"/>
      <c r="AN864" s="100"/>
      <c r="AO864" s="100"/>
      <c r="AP864" s="100"/>
      <c r="AQ864" s="100"/>
      <c r="AR864" s="100"/>
      <c r="AS864" s="100"/>
      <c r="AT864" s="102"/>
      <c r="AX864" s="100"/>
      <c r="AY864" s="101"/>
      <c r="AZ864" s="101"/>
      <c r="BA864" s="101"/>
      <c r="BB864" s="100"/>
      <c r="BC864" s="100"/>
      <c r="BD864" s="100"/>
      <c r="BE864" s="100"/>
      <c r="BF864" s="100"/>
      <c r="BG864" s="100"/>
      <c r="BH864" s="100"/>
      <c r="BI864" s="100"/>
      <c r="BJ864" s="100"/>
      <c r="BK864" s="102"/>
      <c r="BN864" s="36"/>
    </row>
    <row r="865" spans="1:66" x14ac:dyDescent="0.25">
      <c r="A865" s="92"/>
      <c r="B865" s="92"/>
      <c r="C865" s="92"/>
      <c r="D865" s="92"/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AG865" s="100"/>
      <c r="AH865" s="101"/>
      <c r="AI865" s="101"/>
      <c r="AJ865" s="100"/>
      <c r="AK865" s="100"/>
      <c r="AL865" s="100"/>
      <c r="AM865" s="100"/>
      <c r="AN865" s="100"/>
      <c r="AO865" s="100"/>
      <c r="AP865" s="100"/>
      <c r="AQ865" s="100"/>
      <c r="AR865" s="100"/>
      <c r="AS865" s="100"/>
      <c r="AT865" s="102"/>
      <c r="AX865" s="100"/>
      <c r="AY865" s="101"/>
      <c r="AZ865" s="101"/>
      <c r="BA865" s="100"/>
      <c r="BB865" s="100"/>
      <c r="BC865" s="100"/>
      <c r="BD865" s="100"/>
      <c r="BE865" s="100"/>
      <c r="BF865" s="100"/>
      <c r="BG865" s="100"/>
      <c r="BH865" s="100"/>
      <c r="BI865" s="100"/>
      <c r="BJ865" s="100"/>
      <c r="BK865" s="102"/>
      <c r="BN865" s="36"/>
    </row>
    <row r="866" spans="1:66" x14ac:dyDescent="0.25">
      <c r="A866" s="92"/>
      <c r="B866" s="93"/>
      <c r="C866" s="93"/>
      <c r="D866" s="92"/>
      <c r="E866" s="92"/>
      <c r="F866" s="92"/>
      <c r="G866" s="92"/>
      <c r="H866" s="92"/>
      <c r="I866" s="92"/>
      <c r="J866" s="92"/>
      <c r="K866" s="92"/>
      <c r="L866" s="92"/>
      <c r="M866" s="92"/>
      <c r="N866" s="94"/>
      <c r="AG866" s="100"/>
      <c r="AH866" s="101"/>
      <c r="AI866" s="101"/>
      <c r="AJ866" s="100"/>
      <c r="AK866" s="100"/>
      <c r="AL866" s="100"/>
      <c r="AM866" s="100"/>
      <c r="AN866" s="100"/>
      <c r="AO866" s="100"/>
      <c r="AP866" s="100"/>
      <c r="AQ866" s="100"/>
      <c r="AR866" s="100"/>
      <c r="AS866" s="100"/>
      <c r="AT866" s="102"/>
      <c r="AX866" s="100"/>
      <c r="AY866" s="101"/>
      <c r="AZ866" s="101"/>
      <c r="BA866" s="100"/>
      <c r="BB866" s="100"/>
      <c r="BC866" s="100"/>
      <c r="BD866" s="100"/>
      <c r="BE866" s="100"/>
      <c r="BF866" s="100"/>
      <c r="BG866" s="100"/>
      <c r="BH866" s="100"/>
      <c r="BI866" s="100"/>
      <c r="BJ866" s="100"/>
      <c r="BK866" s="102"/>
      <c r="BN866" s="36"/>
    </row>
    <row r="867" spans="1:66" x14ac:dyDescent="0.25">
      <c r="A867" s="92"/>
      <c r="B867" s="93"/>
      <c r="C867" s="93"/>
      <c r="D867" s="92"/>
      <c r="E867" s="92"/>
      <c r="F867" s="92"/>
      <c r="G867" s="92"/>
      <c r="H867" s="92"/>
      <c r="I867" s="92"/>
      <c r="J867" s="92"/>
      <c r="K867" s="92"/>
      <c r="L867" s="92"/>
      <c r="M867" s="92"/>
      <c r="N867" s="94"/>
      <c r="AG867" s="100"/>
      <c r="AH867" s="101"/>
      <c r="AI867" s="101"/>
      <c r="AJ867" s="100"/>
      <c r="AK867" s="100"/>
      <c r="AL867" s="100"/>
      <c r="AM867" s="100"/>
      <c r="AN867" s="100"/>
      <c r="AO867" s="100"/>
      <c r="AP867" s="100"/>
      <c r="AQ867" s="100"/>
      <c r="AR867" s="100"/>
      <c r="AS867" s="100"/>
      <c r="AT867" s="102"/>
      <c r="AX867" s="100"/>
      <c r="AY867" s="101"/>
      <c r="AZ867" s="101"/>
      <c r="BA867" s="100"/>
      <c r="BB867" s="100"/>
      <c r="BC867" s="100"/>
      <c r="BD867" s="100"/>
      <c r="BE867" s="100"/>
      <c r="BF867" s="100"/>
      <c r="BG867" s="100"/>
      <c r="BH867" s="100"/>
      <c r="BI867" s="100"/>
      <c r="BJ867" s="100"/>
      <c r="BK867" s="102"/>
      <c r="BN867" s="36"/>
    </row>
    <row r="868" spans="1:66" x14ac:dyDescent="0.25">
      <c r="A868" s="92"/>
      <c r="B868" s="93"/>
      <c r="C868" s="93"/>
      <c r="D868" s="93"/>
      <c r="E868" s="92"/>
      <c r="F868" s="92"/>
      <c r="G868" s="92"/>
      <c r="H868" s="92"/>
      <c r="I868" s="92"/>
      <c r="J868" s="92"/>
      <c r="K868" s="92"/>
      <c r="L868" s="92"/>
      <c r="M868" s="92"/>
      <c r="N868" s="94"/>
      <c r="AG868" s="100"/>
      <c r="AH868" s="101"/>
      <c r="AI868" s="101"/>
      <c r="AJ868" s="100"/>
      <c r="AK868" s="100"/>
      <c r="AL868" s="100"/>
      <c r="AM868" s="100"/>
      <c r="AN868" s="100"/>
      <c r="AO868" s="100"/>
      <c r="AP868" s="100"/>
      <c r="AQ868" s="100"/>
      <c r="AR868" s="100"/>
      <c r="AS868" s="100"/>
      <c r="AT868" s="102"/>
      <c r="AX868" s="100"/>
      <c r="AY868" s="101"/>
      <c r="AZ868" s="101"/>
      <c r="BA868" s="100"/>
      <c r="BB868" s="100"/>
      <c r="BC868" s="100"/>
      <c r="BD868" s="100"/>
      <c r="BE868" s="100"/>
      <c r="BF868" s="100"/>
      <c r="BG868" s="100"/>
      <c r="BH868" s="100"/>
      <c r="BI868" s="100"/>
      <c r="BJ868" s="100"/>
      <c r="BK868" s="102"/>
      <c r="BN868" s="36"/>
    </row>
    <row r="869" spans="1:66" x14ac:dyDescent="0.25">
      <c r="A869" s="92"/>
      <c r="B869" s="93"/>
      <c r="C869" s="93"/>
      <c r="D869" s="92"/>
      <c r="E869" s="92"/>
      <c r="F869" s="92"/>
      <c r="G869" s="92"/>
      <c r="H869" s="92"/>
      <c r="I869" s="92"/>
      <c r="J869" s="92"/>
      <c r="K869" s="92"/>
      <c r="L869" s="92"/>
      <c r="M869" s="92"/>
      <c r="N869" s="94"/>
      <c r="AG869" s="100"/>
      <c r="AH869" s="101"/>
      <c r="AI869" s="101"/>
      <c r="AJ869" s="100"/>
      <c r="AK869" s="100"/>
      <c r="AL869" s="100"/>
      <c r="AM869" s="100"/>
      <c r="AN869" s="100"/>
      <c r="AO869" s="100"/>
      <c r="AP869" s="100"/>
      <c r="AQ869" s="100"/>
      <c r="AR869" s="100"/>
      <c r="AS869" s="100"/>
      <c r="AT869" s="102"/>
      <c r="AX869" s="100"/>
      <c r="AY869" s="101"/>
      <c r="AZ869" s="101"/>
      <c r="BA869" s="100"/>
      <c r="BB869" s="100"/>
      <c r="BC869" s="100"/>
      <c r="BD869" s="100"/>
      <c r="BE869" s="100"/>
      <c r="BF869" s="100"/>
      <c r="BG869" s="100"/>
      <c r="BH869" s="100"/>
      <c r="BI869" s="100"/>
      <c r="BJ869" s="100"/>
      <c r="BK869" s="102"/>
      <c r="BN869" s="36"/>
    </row>
    <row r="870" spans="1:66" x14ac:dyDescent="0.25">
      <c r="A870" s="92"/>
      <c r="B870" s="92"/>
      <c r="C870" s="92"/>
      <c r="D870" s="92"/>
      <c r="E870" s="92"/>
      <c r="F870" s="92"/>
      <c r="G870" s="92"/>
      <c r="H870" s="92"/>
      <c r="I870" s="92"/>
      <c r="J870" s="92"/>
      <c r="K870" s="92"/>
      <c r="L870" s="92"/>
      <c r="M870" s="92"/>
      <c r="N870" s="92"/>
      <c r="AG870" s="100"/>
      <c r="AH870" s="101"/>
      <c r="AI870" s="101"/>
      <c r="AJ870" s="100"/>
      <c r="AK870" s="100"/>
      <c r="AL870" s="100"/>
      <c r="AM870" s="100"/>
      <c r="AN870" s="100"/>
      <c r="AO870" s="100"/>
      <c r="AP870" s="100"/>
      <c r="AQ870" s="100"/>
      <c r="AR870" s="100"/>
      <c r="AS870" s="100"/>
      <c r="AT870" s="102"/>
      <c r="AX870" s="100"/>
      <c r="AY870" s="101"/>
      <c r="AZ870" s="101"/>
      <c r="BA870" s="100"/>
      <c r="BB870" s="100"/>
      <c r="BC870" s="100"/>
      <c r="BD870" s="100"/>
      <c r="BE870" s="100"/>
      <c r="BF870" s="100"/>
      <c r="BG870" s="100"/>
      <c r="BH870" s="100"/>
      <c r="BI870" s="100"/>
      <c r="BJ870" s="100"/>
      <c r="BK870" s="102"/>
      <c r="BN870" s="36"/>
    </row>
    <row r="871" spans="1:66" x14ac:dyDescent="0.25">
      <c r="A871" s="92"/>
      <c r="B871" s="93"/>
      <c r="C871" s="93"/>
      <c r="D871" s="92"/>
      <c r="E871" s="92"/>
      <c r="F871" s="92"/>
      <c r="G871" s="92"/>
      <c r="H871" s="92"/>
      <c r="I871" s="92"/>
      <c r="J871" s="92"/>
      <c r="K871" s="92"/>
      <c r="L871" s="92"/>
      <c r="M871" s="92"/>
      <c r="N871" s="94"/>
      <c r="AG871" s="100"/>
      <c r="AH871" s="101"/>
      <c r="AI871" s="101"/>
      <c r="AJ871" s="101"/>
      <c r="AK871" s="100"/>
      <c r="AL871" s="100"/>
      <c r="AM871" s="100"/>
      <c r="AN871" s="100"/>
      <c r="AO871" s="100"/>
      <c r="AP871" s="100"/>
      <c r="AQ871" s="100"/>
      <c r="AR871" s="100"/>
      <c r="AS871" s="100"/>
      <c r="AT871" s="102"/>
      <c r="AX871" s="100"/>
      <c r="AY871" s="101"/>
      <c r="AZ871" s="101"/>
      <c r="BA871" s="100"/>
      <c r="BB871" s="100"/>
      <c r="BC871" s="100"/>
      <c r="BD871" s="100"/>
      <c r="BE871" s="100"/>
      <c r="BF871" s="100"/>
      <c r="BG871" s="100"/>
      <c r="BH871" s="100"/>
      <c r="BI871" s="100"/>
      <c r="BJ871" s="100"/>
      <c r="BK871" s="102"/>
      <c r="BN871" s="36"/>
    </row>
    <row r="872" spans="1:66" x14ac:dyDescent="0.25">
      <c r="A872" s="92"/>
      <c r="B872" s="93"/>
      <c r="C872" s="93"/>
      <c r="D872" s="92"/>
      <c r="E872" s="92"/>
      <c r="F872" s="92"/>
      <c r="G872" s="92"/>
      <c r="H872" s="92"/>
      <c r="I872" s="92"/>
      <c r="J872" s="92"/>
      <c r="K872" s="92"/>
      <c r="L872" s="92"/>
      <c r="M872" s="92"/>
      <c r="N872" s="94"/>
      <c r="AG872" s="100"/>
      <c r="AH872" s="101"/>
      <c r="AI872" s="101"/>
      <c r="AJ872" s="100"/>
      <c r="AK872" s="100"/>
      <c r="AL872" s="100"/>
      <c r="AM872" s="100"/>
      <c r="AN872" s="100"/>
      <c r="AO872" s="100"/>
      <c r="AP872" s="100"/>
      <c r="AQ872" s="100"/>
      <c r="AR872" s="100"/>
      <c r="AS872" s="100"/>
      <c r="AT872" s="102"/>
      <c r="AX872" s="100"/>
      <c r="AY872" s="101"/>
      <c r="AZ872" s="101"/>
      <c r="BA872" s="101"/>
      <c r="BB872" s="100"/>
      <c r="BC872" s="100"/>
      <c r="BD872" s="100"/>
      <c r="BE872" s="100"/>
      <c r="BF872" s="100"/>
      <c r="BG872" s="100"/>
      <c r="BH872" s="100"/>
      <c r="BI872" s="100"/>
      <c r="BJ872" s="100"/>
      <c r="BK872" s="102"/>
      <c r="BN872" s="36"/>
    </row>
    <row r="873" spans="1:66" x14ac:dyDescent="0.25">
      <c r="A873" s="92"/>
      <c r="B873" s="93"/>
      <c r="C873" s="93"/>
      <c r="D873" s="92"/>
      <c r="E873" s="92"/>
      <c r="F873" s="92"/>
      <c r="G873" s="92"/>
      <c r="H873" s="92"/>
      <c r="I873" s="92"/>
      <c r="J873" s="92"/>
      <c r="K873" s="92"/>
      <c r="L873" s="92"/>
      <c r="M873" s="92"/>
      <c r="N873" s="94"/>
      <c r="AG873" s="100"/>
      <c r="AH873" s="101"/>
      <c r="AI873" s="101"/>
      <c r="AJ873" s="100"/>
      <c r="AK873" s="100"/>
      <c r="AL873" s="100"/>
      <c r="AM873" s="100"/>
      <c r="AN873" s="100"/>
      <c r="AO873" s="100"/>
      <c r="AP873" s="100"/>
      <c r="AQ873" s="100"/>
      <c r="AR873" s="100"/>
      <c r="AS873" s="100"/>
      <c r="AT873" s="102"/>
      <c r="AX873" s="100"/>
      <c r="AY873" s="101"/>
      <c r="AZ873" s="101"/>
      <c r="BA873" s="100"/>
      <c r="BB873" s="100"/>
      <c r="BC873" s="100"/>
      <c r="BD873" s="100"/>
      <c r="BE873" s="100"/>
      <c r="BF873" s="100"/>
      <c r="BG873" s="100"/>
      <c r="BH873" s="100"/>
      <c r="BI873" s="100"/>
      <c r="BJ873" s="100"/>
      <c r="BK873" s="102"/>
      <c r="BN873" s="36"/>
    </row>
    <row r="874" spans="1:66" x14ac:dyDescent="0.25">
      <c r="A874" s="92"/>
      <c r="B874" s="93"/>
      <c r="C874" s="93"/>
      <c r="D874" s="92"/>
      <c r="E874" s="92"/>
      <c r="F874" s="92"/>
      <c r="G874" s="92"/>
      <c r="H874" s="92"/>
      <c r="I874" s="92"/>
      <c r="J874" s="92"/>
      <c r="K874" s="92"/>
      <c r="L874" s="92"/>
      <c r="M874" s="92"/>
      <c r="N874" s="94"/>
      <c r="AG874" s="100"/>
      <c r="AH874" s="101"/>
      <c r="AI874" s="101"/>
      <c r="AJ874" s="100"/>
      <c r="AK874" s="100"/>
      <c r="AL874" s="100"/>
      <c r="AM874" s="100"/>
      <c r="AN874" s="100"/>
      <c r="AO874" s="100"/>
      <c r="AP874" s="100"/>
      <c r="AQ874" s="100"/>
      <c r="AR874" s="100"/>
      <c r="AS874" s="100"/>
      <c r="AT874" s="102"/>
      <c r="AX874" s="100"/>
      <c r="AY874" s="101"/>
      <c r="AZ874" s="101"/>
      <c r="BA874" s="100"/>
      <c r="BB874" s="100"/>
      <c r="BC874" s="100"/>
      <c r="BD874" s="100"/>
      <c r="BE874" s="100"/>
      <c r="BF874" s="100"/>
      <c r="BG874" s="100"/>
      <c r="BH874" s="100"/>
      <c r="BI874" s="100"/>
      <c r="BJ874" s="100"/>
      <c r="BK874" s="102"/>
      <c r="BN874" s="36"/>
    </row>
    <row r="875" spans="1:66" x14ac:dyDescent="0.25">
      <c r="A875" s="92"/>
      <c r="B875" s="93"/>
      <c r="C875" s="93"/>
      <c r="D875" s="92"/>
      <c r="E875" s="92"/>
      <c r="F875" s="92"/>
      <c r="G875" s="92"/>
      <c r="H875" s="92"/>
      <c r="I875" s="92"/>
      <c r="J875" s="92"/>
      <c r="K875" s="92"/>
      <c r="L875" s="92"/>
      <c r="M875" s="92"/>
      <c r="N875" s="94"/>
      <c r="AG875" s="100"/>
      <c r="AH875" s="101"/>
      <c r="AI875" s="101"/>
      <c r="AJ875" s="100"/>
      <c r="AK875" s="100"/>
      <c r="AL875" s="100"/>
      <c r="AM875" s="100"/>
      <c r="AN875" s="100"/>
      <c r="AO875" s="100"/>
      <c r="AP875" s="100"/>
      <c r="AQ875" s="100"/>
      <c r="AR875" s="100"/>
      <c r="AS875" s="100"/>
      <c r="AT875" s="102"/>
      <c r="AX875" s="100"/>
      <c r="AY875" s="101"/>
      <c r="AZ875" s="101"/>
      <c r="BA875" s="100"/>
      <c r="BB875" s="100"/>
      <c r="BC875" s="100"/>
      <c r="BD875" s="100"/>
      <c r="BE875" s="100"/>
      <c r="BF875" s="100"/>
      <c r="BG875" s="100"/>
      <c r="BH875" s="100"/>
      <c r="BI875" s="100"/>
      <c r="BJ875" s="100"/>
      <c r="BK875" s="102"/>
      <c r="BN875" s="36"/>
    </row>
    <row r="876" spans="1:66" x14ac:dyDescent="0.25">
      <c r="A876" s="92"/>
      <c r="B876" s="92"/>
      <c r="C876" s="92"/>
      <c r="D876" s="92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AG876" s="100"/>
      <c r="AH876" s="101"/>
      <c r="AI876" s="101"/>
      <c r="AJ876" s="101"/>
      <c r="AK876" s="100"/>
      <c r="AL876" s="100"/>
      <c r="AM876" s="100"/>
      <c r="AN876" s="100"/>
      <c r="AO876" s="100"/>
      <c r="AP876" s="100"/>
      <c r="AQ876" s="100"/>
      <c r="AR876" s="100"/>
      <c r="AS876" s="100"/>
      <c r="AT876" s="102"/>
      <c r="AX876" s="100"/>
      <c r="AY876" s="101"/>
      <c r="AZ876" s="101"/>
      <c r="BA876" s="101"/>
      <c r="BB876" s="100"/>
      <c r="BC876" s="100"/>
      <c r="BD876" s="100"/>
      <c r="BE876" s="100"/>
      <c r="BF876" s="100"/>
      <c r="BG876" s="100"/>
      <c r="BH876" s="100"/>
      <c r="BI876" s="100"/>
      <c r="BJ876" s="100"/>
      <c r="BK876" s="102"/>
      <c r="BN876" s="36"/>
    </row>
    <row r="877" spans="1:66" x14ac:dyDescent="0.25">
      <c r="A877" s="92"/>
      <c r="B877" s="92"/>
      <c r="C877" s="92"/>
      <c r="D877" s="92"/>
      <c r="E877" s="92"/>
      <c r="F877" s="92"/>
      <c r="G877" s="92"/>
      <c r="H877" s="92"/>
      <c r="I877" s="92"/>
      <c r="J877" s="92"/>
      <c r="K877" s="92"/>
      <c r="L877" s="92"/>
      <c r="M877" s="92"/>
      <c r="N877" s="92"/>
      <c r="AG877" s="100"/>
      <c r="AH877" s="101"/>
      <c r="AI877" s="101"/>
      <c r="AJ877" s="100"/>
      <c r="AK877" s="100"/>
      <c r="AL877" s="100"/>
      <c r="AM877" s="100"/>
      <c r="AN877" s="100"/>
      <c r="AO877" s="100"/>
      <c r="AP877" s="100"/>
      <c r="AQ877" s="100"/>
      <c r="AR877" s="100"/>
      <c r="AS877" s="100"/>
      <c r="AT877" s="102"/>
      <c r="AX877" s="100"/>
      <c r="AY877" s="101"/>
      <c r="AZ877" s="101"/>
      <c r="BA877" s="100"/>
      <c r="BB877" s="100"/>
      <c r="BC877" s="100"/>
      <c r="BD877" s="100"/>
      <c r="BE877" s="100"/>
      <c r="BF877" s="100"/>
      <c r="BG877" s="100"/>
      <c r="BH877" s="100"/>
      <c r="BI877" s="100"/>
      <c r="BJ877" s="100"/>
      <c r="BK877" s="102"/>
      <c r="BN877" s="36"/>
    </row>
    <row r="878" spans="1:66" x14ac:dyDescent="0.25">
      <c r="A878" s="92"/>
      <c r="B878" s="92"/>
      <c r="C878" s="92"/>
      <c r="D878" s="92"/>
      <c r="E878" s="92"/>
      <c r="F878" s="92"/>
      <c r="G878" s="92"/>
      <c r="H878" s="92"/>
      <c r="I878" s="92"/>
      <c r="J878" s="92"/>
      <c r="K878" s="92"/>
      <c r="L878" s="92"/>
      <c r="M878" s="92"/>
      <c r="N878" s="92"/>
      <c r="AG878" s="100"/>
      <c r="AH878" s="101"/>
      <c r="AI878" s="101"/>
      <c r="AJ878" s="101"/>
      <c r="AK878" s="100"/>
      <c r="AL878" s="100"/>
      <c r="AM878" s="100"/>
      <c r="AN878" s="100"/>
      <c r="AO878" s="100"/>
      <c r="AP878" s="100"/>
      <c r="AQ878" s="100"/>
      <c r="AR878" s="100"/>
      <c r="AS878" s="100"/>
      <c r="AT878" s="102"/>
      <c r="AX878" s="100"/>
      <c r="AY878" s="101"/>
      <c r="AZ878" s="101"/>
      <c r="BA878" s="101"/>
      <c r="BB878" s="100"/>
      <c r="BC878" s="100"/>
      <c r="BD878" s="100"/>
      <c r="BE878" s="100"/>
      <c r="BF878" s="100"/>
      <c r="BG878" s="100"/>
      <c r="BH878" s="100"/>
      <c r="BI878" s="100"/>
      <c r="BJ878" s="100"/>
      <c r="BK878" s="102"/>
      <c r="BN878" s="36"/>
    </row>
    <row r="879" spans="1:66" x14ac:dyDescent="0.25">
      <c r="A879" s="92"/>
      <c r="B879" s="92"/>
      <c r="C879" s="92"/>
      <c r="D879" s="92"/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AG879" s="100"/>
      <c r="AH879" s="101"/>
      <c r="AI879" s="101"/>
      <c r="AJ879" s="101"/>
      <c r="AK879" s="100"/>
      <c r="AL879" s="100"/>
      <c r="AM879" s="100"/>
      <c r="AN879" s="100"/>
      <c r="AO879" s="100"/>
      <c r="AP879" s="100"/>
      <c r="AQ879" s="100"/>
      <c r="AR879" s="100"/>
      <c r="AS879" s="100"/>
      <c r="AT879" s="102"/>
      <c r="AX879" s="100"/>
      <c r="AY879" s="101"/>
      <c r="AZ879" s="101"/>
      <c r="BA879" s="100"/>
      <c r="BB879" s="100"/>
      <c r="BC879" s="100"/>
      <c r="BD879" s="100"/>
      <c r="BE879" s="100"/>
      <c r="BF879" s="100"/>
      <c r="BG879" s="100"/>
      <c r="BH879" s="100"/>
      <c r="BI879" s="100"/>
      <c r="BJ879" s="100"/>
      <c r="BK879" s="102"/>
      <c r="BN879" s="36"/>
    </row>
    <row r="880" spans="1:66" x14ac:dyDescent="0.25">
      <c r="A880" s="92"/>
      <c r="B880" s="92"/>
      <c r="C880" s="92"/>
      <c r="D880" s="92"/>
      <c r="E880" s="92"/>
      <c r="F880" s="92"/>
      <c r="G880" s="92"/>
      <c r="H880" s="92"/>
      <c r="I880" s="92"/>
      <c r="J880" s="92"/>
      <c r="K880" s="92"/>
      <c r="L880" s="92"/>
      <c r="M880" s="92"/>
      <c r="N880" s="92"/>
      <c r="AG880" s="100"/>
      <c r="AH880" s="101"/>
      <c r="AI880" s="101"/>
      <c r="AJ880" s="100"/>
      <c r="AK880" s="100"/>
      <c r="AL880" s="100"/>
      <c r="AM880" s="100"/>
      <c r="AN880" s="100"/>
      <c r="AO880" s="100"/>
      <c r="AP880" s="100"/>
      <c r="AQ880" s="100"/>
      <c r="AR880" s="100"/>
      <c r="AS880" s="100"/>
      <c r="AT880" s="102"/>
      <c r="AX880" s="100"/>
      <c r="AY880" s="101"/>
      <c r="AZ880" s="101"/>
      <c r="BA880" s="101"/>
      <c r="BB880" s="100"/>
      <c r="BC880" s="100"/>
      <c r="BD880" s="100"/>
      <c r="BE880" s="100"/>
      <c r="BF880" s="100"/>
      <c r="BG880" s="100"/>
      <c r="BH880" s="100"/>
      <c r="BI880" s="100"/>
      <c r="BJ880" s="100"/>
      <c r="BK880" s="102"/>
      <c r="BN880" s="36"/>
    </row>
    <row r="881" spans="1:66" x14ac:dyDescent="0.25">
      <c r="A881" s="92"/>
      <c r="B881" s="93"/>
      <c r="C881" s="93"/>
      <c r="D881" s="92"/>
      <c r="E881" s="92"/>
      <c r="F881" s="92"/>
      <c r="G881" s="92"/>
      <c r="H881" s="92"/>
      <c r="I881" s="92"/>
      <c r="J881" s="92"/>
      <c r="K881" s="92"/>
      <c r="L881" s="92"/>
      <c r="M881" s="92"/>
      <c r="N881" s="94"/>
      <c r="AG881" s="100"/>
      <c r="AH881" s="101"/>
      <c r="AI881" s="101"/>
      <c r="AJ881" s="100"/>
      <c r="AK881" s="100"/>
      <c r="AL881" s="100"/>
      <c r="AM881" s="100"/>
      <c r="AN881" s="100"/>
      <c r="AO881" s="100"/>
      <c r="AP881" s="100"/>
      <c r="AQ881" s="100"/>
      <c r="AR881" s="100"/>
      <c r="AS881" s="100"/>
      <c r="AT881" s="102"/>
      <c r="AX881" s="100"/>
      <c r="AY881" s="101"/>
      <c r="AZ881" s="101"/>
      <c r="BA881" s="101"/>
      <c r="BB881" s="100"/>
      <c r="BC881" s="100"/>
      <c r="BD881" s="100"/>
      <c r="BE881" s="100"/>
      <c r="BF881" s="100"/>
      <c r="BG881" s="100"/>
      <c r="BH881" s="100"/>
      <c r="BI881" s="100"/>
      <c r="BJ881" s="100"/>
      <c r="BK881" s="102"/>
      <c r="BN881" s="36"/>
    </row>
    <row r="882" spans="1:66" x14ac:dyDescent="0.25">
      <c r="A882" s="92"/>
      <c r="B882" s="92"/>
      <c r="C882" s="92"/>
      <c r="D882" s="92"/>
      <c r="E882" s="92"/>
      <c r="F882" s="92"/>
      <c r="G882" s="92"/>
      <c r="H882" s="92"/>
      <c r="I882" s="92"/>
      <c r="J882" s="92"/>
      <c r="K882" s="92"/>
      <c r="L882" s="92"/>
      <c r="M882" s="92"/>
      <c r="N882" s="92"/>
      <c r="AG882" s="100"/>
      <c r="AH882" s="101"/>
      <c r="AI882" s="101"/>
      <c r="AJ882" s="101"/>
      <c r="AK882" s="100"/>
      <c r="AL882" s="100"/>
      <c r="AM882" s="100"/>
      <c r="AN882" s="100"/>
      <c r="AO882" s="100"/>
      <c r="AP882" s="100"/>
      <c r="AQ882" s="100"/>
      <c r="AR882" s="100"/>
      <c r="AS882" s="100"/>
      <c r="AT882" s="102"/>
      <c r="AX882" s="100"/>
      <c r="AY882" s="101"/>
      <c r="AZ882" s="101"/>
      <c r="BA882" s="100"/>
      <c r="BB882" s="100"/>
      <c r="BC882" s="100"/>
      <c r="BD882" s="100"/>
      <c r="BE882" s="100"/>
      <c r="BF882" s="100"/>
      <c r="BG882" s="100"/>
      <c r="BH882" s="100"/>
      <c r="BI882" s="100"/>
      <c r="BJ882" s="100"/>
      <c r="BK882" s="102"/>
      <c r="BN882" s="36"/>
    </row>
    <row r="883" spans="1:66" x14ac:dyDescent="0.25">
      <c r="A883" s="92"/>
      <c r="B883" s="93"/>
      <c r="C883" s="93"/>
      <c r="D883" s="93"/>
      <c r="E883" s="92"/>
      <c r="F883" s="92"/>
      <c r="G883" s="92"/>
      <c r="H883" s="92"/>
      <c r="I883" s="92"/>
      <c r="J883" s="92"/>
      <c r="K883" s="92"/>
      <c r="L883" s="92"/>
      <c r="M883" s="92"/>
      <c r="N883" s="94"/>
      <c r="AG883" s="100"/>
      <c r="AH883" s="101"/>
      <c r="AI883" s="101"/>
      <c r="AJ883" s="100"/>
      <c r="AK883" s="100"/>
      <c r="AL883" s="100"/>
      <c r="AM883" s="100"/>
      <c r="AN883" s="100"/>
      <c r="AO883" s="100"/>
      <c r="AP883" s="100"/>
      <c r="AQ883" s="100"/>
      <c r="AR883" s="100"/>
      <c r="AS883" s="100"/>
      <c r="AT883" s="102"/>
      <c r="AX883" s="100"/>
      <c r="AY883" s="101"/>
      <c r="AZ883" s="101"/>
      <c r="BA883" s="100"/>
      <c r="BB883" s="100"/>
      <c r="BC883" s="100"/>
      <c r="BD883" s="100"/>
      <c r="BE883" s="100"/>
      <c r="BF883" s="100"/>
      <c r="BG883" s="100"/>
      <c r="BH883" s="100"/>
      <c r="BI883" s="100"/>
      <c r="BJ883" s="100"/>
      <c r="BK883" s="102"/>
      <c r="BN883" s="36"/>
    </row>
    <row r="884" spans="1:66" x14ac:dyDescent="0.25">
      <c r="A884" s="92"/>
      <c r="B884" s="93"/>
      <c r="C884" s="93"/>
      <c r="D884" s="92"/>
      <c r="E884" s="92"/>
      <c r="F884" s="92"/>
      <c r="G884" s="92"/>
      <c r="H884" s="92"/>
      <c r="I884" s="92"/>
      <c r="J884" s="92"/>
      <c r="K884" s="92"/>
      <c r="L884" s="92"/>
      <c r="M884" s="92"/>
      <c r="N884" s="94"/>
      <c r="AG884" s="100"/>
      <c r="AH884" s="101"/>
      <c r="AI884" s="101"/>
      <c r="AJ884" s="100"/>
      <c r="AK884" s="100"/>
      <c r="AL884" s="100"/>
      <c r="AM884" s="100"/>
      <c r="AN884" s="100"/>
      <c r="AO884" s="100"/>
      <c r="AP884" s="100"/>
      <c r="AQ884" s="100"/>
      <c r="AR884" s="100"/>
      <c r="AS884" s="100"/>
      <c r="AT884" s="102"/>
      <c r="AX884" s="100"/>
      <c r="AY884" s="101"/>
      <c r="AZ884" s="101"/>
      <c r="BA884" s="100"/>
      <c r="BB884" s="100"/>
      <c r="BC884" s="100"/>
      <c r="BD884" s="100"/>
      <c r="BE884" s="100"/>
      <c r="BF884" s="100"/>
      <c r="BG884" s="100"/>
      <c r="BH884" s="100"/>
      <c r="BI884" s="100"/>
      <c r="BJ884" s="100"/>
      <c r="BK884" s="102"/>
      <c r="BN884" s="36"/>
    </row>
    <row r="885" spans="1:66" x14ac:dyDescent="0.25">
      <c r="A885" s="92"/>
      <c r="B885" s="93"/>
      <c r="C885" s="93"/>
      <c r="D885" s="92"/>
      <c r="E885" s="92"/>
      <c r="F885" s="92"/>
      <c r="G885" s="92"/>
      <c r="H885" s="92"/>
      <c r="I885" s="92"/>
      <c r="J885" s="92"/>
      <c r="K885" s="92"/>
      <c r="L885" s="92"/>
      <c r="M885" s="92"/>
      <c r="N885" s="94"/>
      <c r="AG885" s="100"/>
      <c r="AH885" s="101"/>
      <c r="AI885" s="101"/>
      <c r="AJ885" s="100"/>
      <c r="AK885" s="100"/>
      <c r="AL885" s="100"/>
      <c r="AM885" s="100"/>
      <c r="AN885" s="100"/>
      <c r="AO885" s="100"/>
      <c r="AP885" s="100"/>
      <c r="AQ885" s="100"/>
      <c r="AR885" s="100"/>
      <c r="AS885" s="100"/>
      <c r="AT885" s="102"/>
      <c r="AX885" s="100"/>
      <c r="AY885" s="101"/>
      <c r="AZ885" s="101"/>
      <c r="BA885" s="100"/>
      <c r="BB885" s="100"/>
      <c r="BC885" s="100"/>
      <c r="BD885" s="100"/>
      <c r="BE885" s="100"/>
      <c r="BF885" s="100"/>
      <c r="BG885" s="100"/>
      <c r="BH885" s="100"/>
      <c r="BI885" s="100"/>
      <c r="BJ885" s="100"/>
      <c r="BK885" s="102"/>
      <c r="BN885" s="36"/>
    </row>
    <row r="886" spans="1:66" x14ac:dyDescent="0.25">
      <c r="A886" s="92"/>
      <c r="B886" s="93"/>
      <c r="C886" s="93"/>
      <c r="D886" s="92"/>
      <c r="E886" s="92"/>
      <c r="F886" s="92"/>
      <c r="G886" s="92"/>
      <c r="H886" s="92"/>
      <c r="I886" s="92"/>
      <c r="J886" s="92"/>
      <c r="K886" s="92"/>
      <c r="L886" s="92"/>
      <c r="M886" s="92"/>
      <c r="N886" s="94"/>
      <c r="AG886" s="100"/>
      <c r="AH886" s="101"/>
      <c r="AI886" s="101"/>
      <c r="AJ886" s="101"/>
      <c r="AK886" s="100"/>
      <c r="AL886" s="100"/>
      <c r="AM886" s="100"/>
      <c r="AN886" s="100"/>
      <c r="AO886" s="100"/>
      <c r="AP886" s="100"/>
      <c r="AQ886" s="100"/>
      <c r="AR886" s="100"/>
      <c r="AS886" s="100"/>
      <c r="AT886" s="102"/>
      <c r="AX886" s="100"/>
      <c r="AY886" s="101"/>
      <c r="AZ886" s="101"/>
      <c r="BA886" s="100"/>
      <c r="BB886" s="100"/>
      <c r="BC886" s="100"/>
      <c r="BD886" s="100"/>
      <c r="BE886" s="100"/>
      <c r="BF886" s="100"/>
      <c r="BG886" s="100"/>
      <c r="BH886" s="100"/>
      <c r="BI886" s="100"/>
      <c r="BJ886" s="100"/>
      <c r="BK886" s="102"/>
      <c r="BN886" s="36"/>
    </row>
    <row r="887" spans="1:66" x14ac:dyDescent="0.25">
      <c r="A887" s="92"/>
      <c r="B887" s="92"/>
      <c r="C887" s="92"/>
      <c r="D887" s="92"/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AG887" s="100"/>
      <c r="AH887" s="101"/>
      <c r="AI887" s="101"/>
      <c r="AJ887" s="100"/>
      <c r="AK887" s="100"/>
      <c r="AL887" s="100"/>
      <c r="AM887" s="100"/>
      <c r="AN887" s="100"/>
      <c r="AO887" s="100"/>
      <c r="AP887" s="100"/>
      <c r="AQ887" s="100"/>
      <c r="AR887" s="100"/>
      <c r="AS887" s="100"/>
      <c r="AT887" s="102"/>
      <c r="AX887" s="100"/>
      <c r="AY887" s="101"/>
      <c r="AZ887" s="101"/>
      <c r="BA887" s="100"/>
      <c r="BB887" s="100"/>
      <c r="BC887" s="100"/>
      <c r="BD887" s="100"/>
      <c r="BE887" s="100"/>
      <c r="BF887" s="100"/>
      <c r="BG887" s="100"/>
      <c r="BH887" s="100"/>
      <c r="BI887" s="100"/>
      <c r="BJ887" s="100"/>
      <c r="BK887" s="102"/>
      <c r="BN887" s="36"/>
    </row>
    <row r="888" spans="1:66" x14ac:dyDescent="0.25">
      <c r="A888" s="92"/>
      <c r="B888" s="93"/>
      <c r="C888" s="93"/>
      <c r="D888" s="92"/>
      <c r="E888" s="92"/>
      <c r="F888" s="92"/>
      <c r="G888" s="92"/>
      <c r="H888" s="92"/>
      <c r="I888" s="92"/>
      <c r="J888" s="92"/>
      <c r="K888" s="92"/>
      <c r="L888" s="92"/>
      <c r="M888" s="92"/>
      <c r="N888" s="94"/>
      <c r="AG888" s="100"/>
      <c r="AH888" s="101"/>
      <c r="AI888" s="101"/>
      <c r="AJ888" s="100"/>
      <c r="AK888" s="100"/>
      <c r="AL888" s="100"/>
      <c r="AM888" s="100"/>
      <c r="AN888" s="100"/>
      <c r="AO888" s="100"/>
      <c r="AP888" s="100"/>
      <c r="AQ888" s="100"/>
      <c r="AR888" s="100"/>
      <c r="AS888" s="100"/>
      <c r="AT888" s="102"/>
      <c r="AX888" s="100"/>
      <c r="AY888" s="101"/>
      <c r="AZ888" s="101"/>
      <c r="BA888" s="100"/>
      <c r="BB888" s="100"/>
      <c r="BC888" s="100"/>
      <c r="BD888" s="100"/>
      <c r="BE888" s="100"/>
      <c r="BF888" s="100"/>
      <c r="BG888" s="100"/>
      <c r="BH888" s="100"/>
      <c r="BI888" s="100"/>
      <c r="BJ888" s="100"/>
      <c r="BK888" s="102"/>
      <c r="BN888" s="36"/>
    </row>
    <row r="889" spans="1:66" x14ac:dyDescent="0.25">
      <c r="A889" s="92"/>
      <c r="B889" s="93"/>
      <c r="C889" s="93"/>
      <c r="D889" s="92"/>
      <c r="E889" s="92"/>
      <c r="F889" s="92"/>
      <c r="G889" s="92"/>
      <c r="H889" s="92"/>
      <c r="I889" s="92"/>
      <c r="J889" s="92"/>
      <c r="K889" s="92"/>
      <c r="L889" s="92"/>
      <c r="M889" s="92"/>
      <c r="N889" s="94"/>
      <c r="AG889" s="100"/>
      <c r="AH889" s="101"/>
      <c r="AI889" s="101"/>
      <c r="AJ889" s="100"/>
      <c r="AK889" s="100"/>
      <c r="AL889" s="100"/>
      <c r="AM889" s="100"/>
      <c r="AN889" s="100"/>
      <c r="AO889" s="100"/>
      <c r="AP889" s="100"/>
      <c r="AQ889" s="100"/>
      <c r="AR889" s="100"/>
      <c r="AS889" s="100"/>
      <c r="AT889" s="102"/>
      <c r="AX889" s="100"/>
      <c r="AY889" s="101"/>
      <c r="AZ889" s="101"/>
      <c r="BA889" s="100"/>
      <c r="BB889" s="100"/>
      <c r="BC889" s="100"/>
      <c r="BD889" s="100"/>
      <c r="BE889" s="100"/>
      <c r="BF889" s="100"/>
      <c r="BG889" s="100"/>
      <c r="BH889" s="100"/>
      <c r="BI889" s="100"/>
      <c r="BJ889" s="100"/>
      <c r="BK889" s="102"/>
      <c r="BN889" s="36"/>
    </row>
    <row r="890" spans="1:66" x14ac:dyDescent="0.25">
      <c r="A890" s="92"/>
      <c r="B890" s="93"/>
      <c r="C890" s="93"/>
      <c r="D890" s="93"/>
      <c r="E890" s="92"/>
      <c r="F890" s="92"/>
      <c r="G890" s="92"/>
      <c r="H890" s="92"/>
      <c r="I890" s="92"/>
      <c r="J890" s="92"/>
      <c r="K890" s="92"/>
      <c r="L890" s="92"/>
      <c r="M890" s="92"/>
      <c r="N890" s="94"/>
      <c r="AG890" s="100"/>
      <c r="AH890" s="101"/>
      <c r="AI890" s="101"/>
      <c r="AJ890" s="100"/>
      <c r="AK890" s="100"/>
      <c r="AL890" s="100"/>
      <c r="AM890" s="100"/>
      <c r="AN890" s="100"/>
      <c r="AO890" s="100"/>
      <c r="AP890" s="100"/>
      <c r="AQ890" s="100"/>
      <c r="AR890" s="100"/>
      <c r="AS890" s="100"/>
      <c r="AT890" s="102"/>
      <c r="AX890" s="100"/>
      <c r="AY890" s="101"/>
      <c r="AZ890" s="101"/>
      <c r="BA890" s="100"/>
      <c r="BB890" s="100"/>
      <c r="BC890" s="100"/>
      <c r="BD890" s="100"/>
      <c r="BE890" s="100"/>
      <c r="BF890" s="100"/>
      <c r="BG890" s="100"/>
      <c r="BH890" s="100"/>
      <c r="BI890" s="100"/>
      <c r="BJ890" s="100"/>
      <c r="BK890" s="102"/>
      <c r="BN890" s="36"/>
    </row>
    <row r="891" spans="1:66" x14ac:dyDescent="0.25">
      <c r="A891" s="92"/>
      <c r="B891" s="93"/>
      <c r="C891" s="93"/>
      <c r="D891" s="92"/>
      <c r="E891" s="92"/>
      <c r="F891" s="92"/>
      <c r="G891" s="92"/>
      <c r="H891" s="92"/>
      <c r="I891" s="92"/>
      <c r="J891" s="92"/>
      <c r="K891" s="92"/>
      <c r="L891" s="92"/>
      <c r="M891" s="92"/>
      <c r="N891" s="94"/>
      <c r="AG891" s="100"/>
      <c r="AH891" s="101"/>
      <c r="AI891" s="101"/>
      <c r="AJ891" s="101"/>
      <c r="AK891" s="100"/>
      <c r="AL891" s="100"/>
      <c r="AM891" s="100"/>
      <c r="AN891" s="100"/>
      <c r="AO891" s="100"/>
      <c r="AP891" s="100"/>
      <c r="AQ891" s="100"/>
      <c r="AR891" s="100"/>
      <c r="AS891" s="100"/>
      <c r="AT891" s="102"/>
      <c r="AX891" s="100"/>
      <c r="AY891" s="101"/>
      <c r="AZ891" s="101"/>
      <c r="BA891" s="101"/>
      <c r="BB891" s="100"/>
      <c r="BC891" s="100"/>
      <c r="BD891" s="100"/>
      <c r="BE891" s="100"/>
      <c r="BF891" s="100"/>
      <c r="BG891" s="100"/>
      <c r="BH891" s="100"/>
      <c r="BI891" s="100"/>
      <c r="BJ891" s="100"/>
      <c r="BK891" s="102"/>
      <c r="BN891" s="36"/>
    </row>
    <row r="892" spans="1:66" x14ac:dyDescent="0.25">
      <c r="A892" s="92"/>
      <c r="B892" s="93"/>
      <c r="C892" s="93"/>
      <c r="D892" s="92"/>
      <c r="E892" s="92"/>
      <c r="F892" s="92"/>
      <c r="G892" s="92"/>
      <c r="H892" s="92"/>
      <c r="I892" s="92"/>
      <c r="J892" s="92"/>
      <c r="K892" s="92"/>
      <c r="L892" s="92"/>
      <c r="M892" s="92"/>
      <c r="N892" s="94"/>
      <c r="AG892" s="100"/>
      <c r="AH892" s="101"/>
      <c r="AI892" s="101"/>
      <c r="AJ892" s="100"/>
      <c r="AK892" s="100"/>
      <c r="AL892" s="100"/>
      <c r="AM892" s="100"/>
      <c r="AN892" s="100"/>
      <c r="AO892" s="100"/>
      <c r="AP892" s="100"/>
      <c r="AQ892" s="100"/>
      <c r="AR892" s="100"/>
      <c r="AS892" s="100"/>
      <c r="AT892" s="102"/>
      <c r="AX892" s="100"/>
      <c r="AY892" s="101"/>
      <c r="AZ892" s="101"/>
      <c r="BA892" s="100"/>
      <c r="BB892" s="100"/>
      <c r="BC892" s="100"/>
      <c r="BD892" s="100"/>
      <c r="BE892" s="100"/>
      <c r="BF892" s="100"/>
      <c r="BG892" s="100"/>
      <c r="BH892" s="100"/>
      <c r="BI892" s="100"/>
      <c r="BJ892" s="100"/>
      <c r="BK892" s="102"/>
      <c r="BN892" s="36"/>
    </row>
    <row r="893" spans="1:66" x14ac:dyDescent="0.25">
      <c r="A893" s="92"/>
      <c r="B893" s="92"/>
      <c r="C893" s="92"/>
      <c r="D893" s="92"/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AG893" s="100"/>
      <c r="AH893" s="101"/>
      <c r="AI893" s="101"/>
      <c r="AJ893" s="100"/>
      <c r="AK893" s="100"/>
      <c r="AL893" s="100"/>
      <c r="AM893" s="100"/>
      <c r="AN893" s="100"/>
      <c r="AO893" s="100"/>
      <c r="AP893" s="100"/>
      <c r="AQ893" s="100"/>
      <c r="AR893" s="100"/>
      <c r="AS893" s="100"/>
      <c r="AT893" s="102"/>
      <c r="AX893" s="100"/>
      <c r="AY893" s="101"/>
      <c r="AZ893" s="101"/>
      <c r="BA893" s="100"/>
      <c r="BB893" s="100"/>
      <c r="BC893" s="100"/>
      <c r="BD893" s="100"/>
      <c r="BE893" s="100"/>
      <c r="BF893" s="100"/>
      <c r="BG893" s="100"/>
      <c r="BH893" s="100"/>
      <c r="BI893" s="100"/>
      <c r="BJ893" s="100"/>
      <c r="BK893" s="102"/>
      <c r="BN893" s="36"/>
    </row>
    <row r="894" spans="1:66" x14ac:dyDescent="0.25">
      <c r="A894" s="92"/>
      <c r="B894" s="92"/>
      <c r="C894" s="92"/>
      <c r="D894" s="92"/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AG894" s="100"/>
      <c r="AH894" s="101"/>
      <c r="AI894" s="101"/>
      <c r="AJ894" s="100"/>
      <c r="AK894" s="100"/>
      <c r="AL894" s="100"/>
      <c r="AM894" s="100"/>
      <c r="AN894" s="100"/>
      <c r="AO894" s="100"/>
      <c r="AP894" s="100"/>
      <c r="AQ894" s="100"/>
      <c r="AR894" s="100"/>
      <c r="AS894" s="100"/>
      <c r="AT894" s="102"/>
      <c r="AX894" s="100"/>
      <c r="AY894" s="101"/>
      <c r="AZ894" s="101"/>
      <c r="BA894" s="100"/>
      <c r="BB894" s="100"/>
      <c r="BC894" s="100"/>
      <c r="BD894" s="100"/>
      <c r="BE894" s="100"/>
      <c r="BF894" s="100"/>
      <c r="BG894" s="100"/>
      <c r="BH894" s="100"/>
      <c r="BI894" s="100"/>
      <c r="BJ894" s="100"/>
      <c r="BK894" s="102"/>
      <c r="BN894" s="36"/>
    </row>
    <row r="895" spans="1:66" x14ac:dyDescent="0.25">
      <c r="A895" s="92"/>
      <c r="B895" s="92"/>
      <c r="C895" s="92"/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AG895" s="100"/>
      <c r="AH895" s="101"/>
      <c r="AI895" s="101"/>
      <c r="AJ895" s="101"/>
      <c r="AK895" s="100"/>
      <c r="AL895" s="100"/>
      <c r="AM895" s="100"/>
      <c r="AN895" s="100"/>
      <c r="AO895" s="100"/>
      <c r="AP895" s="100"/>
      <c r="AQ895" s="100"/>
      <c r="AR895" s="100"/>
      <c r="AS895" s="100"/>
      <c r="AT895" s="102"/>
      <c r="AX895" s="100"/>
      <c r="AY895" s="101"/>
      <c r="AZ895" s="101"/>
      <c r="BA895" s="100"/>
      <c r="BB895" s="100"/>
      <c r="BC895" s="100"/>
      <c r="BD895" s="100"/>
      <c r="BE895" s="100"/>
      <c r="BF895" s="100"/>
      <c r="BG895" s="100"/>
      <c r="BH895" s="100"/>
      <c r="BI895" s="100"/>
      <c r="BJ895" s="100"/>
      <c r="BK895" s="102"/>
      <c r="BN895" s="36"/>
    </row>
    <row r="896" spans="1:66" x14ac:dyDescent="0.25">
      <c r="A896" s="92"/>
      <c r="B896" s="92"/>
      <c r="C896" s="92"/>
      <c r="D896" s="92"/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AG896" s="100"/>
      <c r="AH896" s="101"/>
      <c r="AI896" s="101"/>
      <c r="AJ896" s="100"/>
      <c r="AK896" s="100"/>
      <c r="AL896" s="100"/>
      <c r="AM896" s="100"/>
      <c r="AN896" s="100"/>
      <c r="AO896" s="100"/>
      <c r="AP896" s="100"/>
      <c r="AQ896" s="100"/>
      <c r="AR896" s="100"/>
      <c r="AS896" s="100"/>
      <c r="AT896" s="102"/>
      <c r="AX896" s="100"/>
      <c r="AY896" s="101"/>
      <c r="AZ896" s="101"/>
      <c r="BA896" s="101"/>
      <c r="BB896" s="100"/>
      <c r="BC896" s="100"/>
      <c r="BD896" s="100"/>
      <c r="BE896" s="100"/>
      <c r="BF896" s="100"/>
      <c r="BG896" s="100"/>
      <c r="BH896" s="100"/>
      <c r="BI896" s="100"/>
      <c r="BJ896" s="100"/>
      <c r="BK896" s="102"/>
      <c r="BN896" s="36"/>
    </row>
    <row r="897" spans="1:66" x14ac:dyDescent="0.25">
      <c r="A897" s="92"/>
      <c r="B897" s="92"/>
      <c r="C897" s="92"/>
      <c r="D897" s="92"/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AG897" s="100"/>
      <c r="AH897" s="101"/>
      <c r="AI897" s="101"/>
      <c r="AJ897" s="100"/>
      <c r="AK897" s="100"/>
      <c r="AL897" s="100"/>
      <c r="AM897" s="100"/>
      <c r="AN897" s="100"/>
      <c r="AO897" s="100"/>
      <c r="AP897" s="100"/>
      <c r="AQ897" s="100"/>
      <c r="AR897" s="100"/>
      <c r="AS897" s="100"/>
      <c r="AT897" s="102"/>
      <c r="AX897" s="100"/>
      <c r="AY897" s="101"/>
      <c r="AZ897" s="101"/>
      <c r="BA897" s="100"/>
      <c r="BB897" s="100"/>
      <c r="BC897" s="100"/>
      <c r="BD897" s="100"/>
      <c r="BE897" s="100"/>
      <c r="BF897" s="100"/>
      <c r="BG897" s="100"/>
      <c r="BH897" s="100"/>
      <c r="BI897" s="100"/>
      <c r="BJ897" s="100"/>
      <c r="BK897" s="102"/>
      <c r="BN897" s="36"/>
    </row>
    <row r="898" spans="1:66" x14ac:dyDescent="0.25">
      <c r="A898" s="92"/>
      <c r="B898" s="93"/>
      <c r="C898" s="93"/>
      <c r="D898" s="92"/>
      <c r="E898" s="92"/>
      <c r="F898" s="92"/>
      <c r="G898" s="92"/>
      <c r="H898" s="92"/>
      <c r="I898" s="92"/>
      <c r="J898" s="92"/>
      <c r="K898" s="92"/>
      <c r="L898" s="92"/>
      <c r="M898" s="92"/>
      <c r="N898" s="94"/>
      <c r="AG898" s="100"/>
      <c r="AH898" s="101"/>
      <c r="AI898" s="101"/>
      <c r="AJ898" s="100"/>
      <c r="AK898" s="100"/>
      <c r="AL898" s="100"/>
      <c r="AM898" s="100"/>
      <c r="AN898" s="100"/>
      <c r="AO898" s="100"/>
      <c r="AP898" s="100"/>
      <c r="AQ898" s="100"/>
      <c r="AR898" s="100"/>
      <c r="AS898" s="100"/>
      <c r="AT898" s="102"/>
      <c r="AX898" s="100"/>
      <c r="AY898" s="101"/>
      <c r="AZ898" s="101"/>
      <c r="BA898" s="101"/>
      <c r="BB898" s="100"/>
      <c r="BC898" s="100"/>
      <c r="BD898" s="100"/>
      <c r="BE898" s="100"/>
      <c r="BF898" s="100"/>
      <c r="BG898" s="100"/>
      <c r="BH898" s="100"/>
      <c r="BI898" s="100"/>
      <c r="BJ898" s="100"/>
      <c r="BK898" s="102"/>
      <c r="BN898" s="36"/>
    </row>
    <row r="899" spans="1:66" x14ac:dyDescent="0.25">
      <c r="A899" s="92"/>
      <c r="B899" s="92"/>
      <c r="C899" s="92"/>
      <c r="D899" s="92"/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AG899" s="100"/>
      <c r="AH899" s="101"/>
      <c r="AI899" s="101"/>
      <c r="AJ899" s="100"/>
      <c r="AK899" s="100"/>
      <c r="AL899" s="100"/>
      <c r="AM899" s="100"/>
      <c r="AN899" s="100"/>
      <c r="AO899" s="100"/>
      <c r="AP899" s="100"/>
      <c r="AQ899" s="100"/>
      <c r="AR899" s="100"/>
      <c r="AS899" s="100"/>
      <c r="AT899" s="102"/>
      <c r="AX899" s="100"/>
      <c r="AY899" s="101"/>
      <c r="AZ899" s="101"/>
      <c r="BA899" s="101"/>
      <c r="BB899" s="100"/>
      <c r="BC899" s="100"/>
      <c r="BD899" s="100"/>
      <c r="BE899" s="100"/>
      <c r="BF899" s="100"/>
      <c r="BG899" s="100"/>
      <c r="BH899" s="100"/>
      <c r="BI899" s="100"/>
      <c r="BJ899" s="100"/>
      <c r="BK899" s="102"/>
      <c r="BN899" s="36"/>
    </row>
    <row r="900" spans="1:66" x14ac:dyDescent="0.25">
      <c r="A900" s="92"/>
      <c r="B900" s="93"/>
      <c r="C900" s="93"/>
      <c r="D900" s="92"/>
      <c r="E900" s="92"/>
      <c r="F900" s="92"/>
      <c r="G900" s="92"/>
      <c r="H900" s="92"/>
      <c r="I900" s="92"/>
      <c r="J900" s="92"/>
      <c r="K900" s="92"/>
      <c r="L900" s="92"/>
      <c r="M900" s="92"/>
      <c r="N900" s="94"/>
      <c r="AG900" s="100"/>
      <c r="AH900" s="101"/>
      <c r="AI900" s="101"/>
      <c r="AJ900" s="101"/>
      <c r="AK900" s="100"/>
      <c r="AL900" s="100"/>
      <c r="AM900" s="100"/>
      <c r="AN900" s="100"/>
      <c r="AO900" s="100"/>
      <c r="AP900" s="100"/>
      <c r="AQ900" s="100"/>
      <c r="AR900" s="100"/>
      <c r="AS900" s="100"/>
      <c r="AT900" s="102"/>
      <c r="AX900" s="100"/>
      <c r="AY900" s="101"/>
      <c r="AZ900" s="101"/>
      <c r="BA900" s="100"/>
      <c r="BB900" s="100"/>
      <c r="BC900" s="100"/>
      <c r="BD900" s="100"/>
      <c r="BE900" s="100"/>
      <c r="BF900" s="100"/>
      <c r="BG900" s="100"/>
      <c r="BH900" s="100"/>
      <c r="BI900" s="100"/>
      <c r="BJ900" s="100"/>
      <c r="BK900" s="102"/>
      <c r="BN900" s="36"/>
    </row>
    <row r="901" spans="1:66" x14ac:dyDescent="0.25">
      <c r="A901" s="92"/>
      <c r="B901" s="93"/>
      <c r="C901" s="93"/>
      <c r="D901" s="92"/>
      <c r="E901" s="92"/>
      <c r="F901" s="92"/>
      <c r="G901" s="92"/>
      <c r="H901" s="92"/>
      <c r="I901" s="92"/>
      <c r="J901" s="92"/>
      <c r="K901" s="92"/>
      <c r="L901" s="92"/>
      <c r="M901" s="92"/>
      <c r="N901" s="94"/>
      <c r="AG901" s="100"/>
      <c r="AH901" s="101"/>
      <c r="AI901" s="101"/>
      <c r="AJ901" s="101"/>
      <c r="AK901" s="100"/>
      <c r="AL901" s="100"/>
      <c r="AM901" s="100"/>
      <c r="AN901" s="100"/>
      <c r="AO901" s="100"/>
      <c r="AP901" s="100"/>
      <c r="AQ901" s="100"/>
      <c r="AR901" s="100"/>
      <c r="AS901" s="100"/>
      <c r="AT901" s="102"/>
      <c r="AX901" s="100"/>
      <c r="AY901" s="101"/>
      <c r="AZ901" s="101"/>
      <c r="BA901" s="100"/>
      <c r="BB901" s="100"/>
      <c r="BC901" s="100"/>
      <c r="BD901" s="100"/>
      <c r="BE901" s="100"/>
      <c r="BF901" s="100"/>
      <c r="BG901" s="100"/>
      <c r="BH901" s="100"/>
      <c r="BI901" s="100"/>
      <c r="BJ901" s="100"/>
      <c r="BK901" s="102"/>
      <c r="BN901" s="36"/>
    </row>
    <row r="902" spans="1:66" x14ac:dyDescent="0.25">
      <c r="A902" s="92"/>
      <c r="B902" s="93"/>
      <c r="C902" s="93"/>
      <c r="D902" s="92"/>
      <c r="E902" s="92"/>
      <c r="F902" s="92"/>
      <c r="G902" s="92"/>
      <c r="H902" s="92"/>
      <c r="I902" s="92"/>
      <c r="J902" s="92"/>
      <c r="K902" s="92"/>
      <c r="L902" s="92"/>
      <c r="M902" s="92"/>
      <c r="N902" s="94"/>
      <c r="AG902" s="100"/>
      <c r="AH902" s="101"/>
      <c r="AI902" s="101"/>
      <c r="AJ902" s="101"/>
      <c r="AK902" s="100"/>
      <c r="AL902" s="100"/>
      <c r="AM902" s="100"/>
      <c r="AN902" s="100"/>
      <c r="AO902" s="100"/>
      <c r="AP902" s="100"/>
      <c r="AQ902" s="100"/>
      <c r="AR902" s="100"/>
      <c r="AS902" s="100"/>
      <c r="AT902" s="102"/>
      <c r="AX902" s="100"/>
      <c r="AY902" s="101"/>
      <c r="AZ902" s="101"/>
      <c r="BA902" s="101"/>
      <c r="BB902" s="100"/>
      <c r="BC902" s="100"/>
      <c r="BD902" s="100"/>
      <c r="BE902" s="100"/>
      <c r="BF902" s="100"/>
      <c r="BG902" s="100"/>
      <c r="BH902" s="100"/>
      <c r="BI902" s="100"/>
      <c r="BJ902" s="100"/>
      <c r="BK902" s="102"/>
      <c r="BN902" s="36"/>
    </row>
    <row r="903" spans="1:66" x14ac:dyDescent="0.25">
      <c r="A903" s="92"/>
      <c r="B903" s="93"/>
      <c r="C903" s="93"/>
      <c r="D903" s="92"/>
      <c r="E903" s="92"/>
      <c r="F903" s="92"/>
      <c r="G903" s="92"/>
      <c r="H903" s="92"/>
      <c r="I903" s="92"/>
      <c r="J903" s="92"/>
      <c r="K903" s="92"/>
      <c r="L903" s="92"/>
      <c r="M903" s="92"/>
      <c r="N903" s="94"/>
      <c r="AG903" s="100"/>
      <c r="AH903" s="101"/>
      <c r="AI903" s="101"/>
      <c r="AJ903" s="100"/>
      <c r="AK903" s="100"/>
      <c r="AL903" s="100"/>
      <c r="AM903" s="100"/>
      <c r="AN903" s="100"/>
      <c r="AO903" s="100"/>
      <c r="AP903" s="100"/>
      <c r="AQ903" s="100"/>
      <c r="AR903" s="100"/>
      <c r="AS903" s="100"/>
      <c r="AT903" s="102"/>
      <c r="AX903" s="100"/>
      <c r="AY903" s="101"/>
      <c r="AZ903" s="101"/>
      <c r="BA903" s="100"/>
      <c r="BB903" s="100"/>
      <c r="BC903" s="100"/>
      <c r="BD903" s="100"/>
      <c r="BE903" s="100"/>
      <c r="BF903" s="100"/>
      <c r="BG903" s="100"/>
      <c r="BH903" s="100"/>
      <c r="BI903" s="100"/>
      <c r="BJ903" s="100"/>
      <c r="BK903" s="102"/>
      <c r="BN903" s="36"/>
    </row>
    <row r="904" spans="1:66" x14ac:dyDescent="0.25">
      <c r="A904" s="92"/>
      <c r="B904" s="92"/>
      <c r="C904" s="92"/>
      <c r="D904" s="92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AG904" s="100"/>
      <c r="AH904" s="101"/>
      <c r="AI904" s="101"/>
      <c r="AJ904" s="100"/>
      <c r="AK904" s="100"/>
      <c r="AL904" s="100"/>
      <c r="AM904" s="100"/>
      <c r="AN904" s="100"/>
      <c r="AO904" s="100"/>
      <c r="AP904" s="100"/>
      <c r="AQ904" s="100"/>
      <c r="AR904" s="100"/>
      <c r="AS904" s="100"/>
      <c r="AT904" s="102"/>
      <c r="AX904" s="100"/>
      <c r="AY904" s="101"/>
      <c r="AZ904" s="101"/>
      <c r="BA904" s="100"/>
      <c r="BB904" s="100"/>
      <c r="BC904" s="100"/>
      <c r="BD904" s="100"/>
      <c r="BE904" s="100"/>
      <c r="BF904" s="100"/>
      <c r="BG904" s="100"/>
      <c r="BH904" s="100"/>
      <c r="BI904" s="100"/>
      <c r="BJ904" s="100"/>
      <c r="BK904" s="102"/>
      <c r="BN904" s="36"/>
    </row>
    <row r="905" spans="1:66" x14ac:dyDescent="0.25">
      <c r="A905" s="92"/>
      <c r="B905" s="92"/>
      <c r="C905" s="92"/>
      <c r="D905" s="92"/>
      <c r="E905" s="92"/>
      <c r="F905" s="92"/>
      <c r="G905" s="92"/>
      <c r="H905" s="92"/>
      <c r="I905" s="92"/>
      <c r="J905" s="92"/>
      <c r="K905" s="92"/>
      <c r="L905" s="92"/>
      <c r="M905" s="92"/>
      <c r="N905" s="92"/>
      <c r="AG905" s="100"/>
      <c r="AH905" s="101"/>
      <c r="AI905" s="101"/>
      <c r="AJ905" s="101"/>
      <c r="AK905" s="100"/>
      <c r="AL905" s="100"/>
      <c r="AM905" s="100"/>
      <c r="AN905" s="100"/>
      <c r="AO905" s="100"/>
      <c r="AP905" s="100"/>
      <c r="AQ905" s="100"/>
      <c r="AR905" s="100"/>
      <c r="AS905" s="100"/>
      <c r="AT905" s="102"/>
      <c r="AX905" s="100"/>
      <c r="AY905" s="101"/>
      <c r="AZ905" s="101"/>
      <c r="BA905" s="100"/>
      <c r="BB905" s="100"/>
      <c r="BC905" s="100"/>
      <c r="BD905" s="100"/>
      <c r="BE905" s="100"/>
      <c r="BF905" s="100"/>
      <c r="BG905" s="100"/>
      <c r="BH905" s="100"/>
      <c r="BI905" s="100"/>
      <c r="BJ905" s="100"/>
      <c r="BK905" s="102"/>
      <c r="BN905" s="36"/>
    </row>
    <row r="906" spans="1:66" x14ac:dyDescent="0.25">
      <c r="A906" s="92"/>
      <c r="B906" s="92"/>
      <c r="C906" s="92"/>
      <c r="D906" s="92"/>
      <c r="E906" s="92"/>
      <c r="F906" s="92"/>
      <c r="G906" s="92"/>
      <c r="H906" s="92"/>
      <c r="I906" s="92"/>
      <c r="J906" s="92"/>
      <c r="K906" s="92"/>
      <c r="L906" s="92"/>
      <c r="M906" s="92"/>
      <c r="N906" s="92"/>
      <c r="AG906" s="100"/>
      <c r="AH906" s="101"/>
      <c r="AI906" s="101"/>
      <c r="AJ906" s="100"/>
      <c r="AK906" s="100"/>
      <c r="AL906" s="100"/>
      <c r="AM906" s="100"/>
      <c r="AN906" s="100"/>
      <c r="AO906" s="100"/>
      <c r="AP906" s="100"/>
      <c r="AQ906" s="100"/>
      <c r="AR906" s="100"/>
      <c r="AS906" s="100"/>
      <c r="AT906" s="102"/>
      <c r="AX906" s="100"/>
      <c r="AY906" s="101"/>
      <c r="AZ906" s="101"/>
      <c r="BA906" s="101"/>
      <c r="BB906" s="100"/>
      <c r="BC906" s="100"/>
      <c r="BD906" s="100"/>
      <c r="BE906" s="100"/>
      <c r="BF906" s="100"/>
      <c r="BG906" s="100"/>
      <c r="BH906" s="100"/>
      <c r="BI906" s="100"/>
      <c r="BJ906" s="100"/>
      <c r="BK906" s="102"/>
      <c r="BN906" s="36"/>
    </row>
    <row r="907" spans="1:66" x14ac:dyDescent="0.25">
      <c r="A907" s="92"/>
      <c r="B907" s="93"/>
      <c r="C907" s="93"/>
      <c r="D907" s="93"/>
      <c r="E907" s="92"/>
      <c r="F907" s="92"/>
      <c r="G907" s="92"/>
      <c r="H907" s="92"/>
      <c r="I907" s="92"/>
      <c r="J907" s="92"/>
      <c r="K907" s="92"/>
      <c r="L907" s="92"/>
      <c r="M907" s="92"/>
      <c r="N907" s="94"/>
      <c r="AG907" s="100"/>
      <c r="AH907" s="101"/>
      <c r="AI907" s="101"/>
      <c r="AJ907" s="100"/>
      <c r="AK907" s="100"/>
      <c r="AL907" s="100"/>
      <c r="AM907" s="100"/>
      <c r="AN907" s="100"/>
      <c r="AO907" s="100"/>
      <c r="AP907" s="100"/>
      <c r="AQ907" s="100"/>
      <c r="AR907" s="100"/>
      <c r="AS907" s="100"/>
      <c r="AT907" s="102"/>
      <c r="AX907" s="100"/>
      <c r="AY907" s="101"/>
      <c r="AZ907" s="101"/>
      <c r="BA907" s="100"/>
      <c r="BB907" s="100"/>
      <c r="BC907" s="100"/>
      <c r="BD907" s="100"/>
      <c r="BE907" s="100"/>
      <c r="BF907" s="100"/>
      <c r="BG907" s="100"/>
      <c r="BH907" s="100"/>
      <c r="BI907" s="100"/>
      <c r="BJ907" s="100"/>
      <c r="BK907" s="102"/>
      <c r="BN907" s="36"/>
    </row>
    <row r="908" spans="1:66" x14ac:dyDescent="0.25">
      <c r="A908" s="92"/>
      <c r="B908" s="92"/>
      <c r="C908" s="92"/>
      <c r="D908" s="92"/>
      <c r="E908" s="92"/>
      <c r="F908" s="92"/>
      <c r="G908" s="92"/>
      <c r="H908" s="92"/>
      <c r="I908" s="92"/>
      <c r="J908" s="92"/>
      <c r="K908" s="92"/>
      <c r="L908" s="92"/>
      <c r="M908" s="92"/>
      <c r="N908" s="92"/>
      <c r="AG908" s="100"/>
      <c r="AH908" s="101"/>
      <c r="AI908" s="101"/>
      <c r="AJ908" s="101"/>
      <c r="AK908" s="100"/>
      <c r="AL908" s="100"/>
      <c r="AM908" s="100"/>
      <c r="AN908" s="100"/>
      <c r="AO908" s="100"/>
      <c r="AP908" s="100"/>
      <c r="AQ908" s="100"/>
      <c r="AR908" s="100"/>
      <c r="AS908" s="100"/>
      <c r="AT908" s="102"/>
      <c r="AX908" s="100"/>
      <c r="AY908" s="101"/>
      <c r="AZ908" s="101"/>
      <c r="BA908" s="100"/>
      <c r="BB908" s="100"/>
      <c r="BC908" s="100"/>
      <c r="BD908" s="100"/>
      <c r="BE908" s="100"/>
      <c r="BF908" s="100"/>
      <c r="BG908" s="100"/>
      <c r="BH908" s="100"/>
      <c r="BI908" s="100"/>
      <c r="BJ908" s="100"/>
      <c r="BK908" s="102"/>
      <c r="BN908" s="36"/>
    </row>
    <row r="909" spans="1:66" x14ac:dyDescent="0.25">
      <c r="A909" s="92"/>
      <c r="B909" s="92"/>
      <c r="C909" s="92"/>
      <c r="D909" s="92"/>
      <c r="E909" s="92"/>
      <c r="F909" s="92"/>
      <c r="G909" s="92"/>
      <c r="H909" s="92"/>
      <c r="I909" s="92"/>
      <c r="J909" s="92"/>
      <c r="K909" s="92"/>
      <c r="L909" s="92"/>
      <c r="M909" s="92"/>
      <c r="N909" s="92"/>
      <c r="AG909" s="100"/>
      <c r="AH909" s="101"/>
      <c r="AI909" s="101"/>
      <c r="AJ909" s="100"/>
      <c r="AK909" s="100"/>
      <c r="AL909" s="100"/>
      <c r="AM909" s="100"/>
      <c r="AN909" s="100"/>
      <c r="AO909" s="100"/>
      <c r="AP909" s="100"/>
      <c r="AQ909" s="100"/>
      <c r="AR909" s="100"/>
      <c r="AS909" s="100"/>
      <c r="AT909" s="102"/>
      <c r="AX909" s="100"/>
      <c r="AY909" s="101"/>
      <c r="AZ909" s="101"/>
      <c r="BA909" s="100"/>
      <c r="BB909" s="100"/>
      <c r="BC909" s="100"/>
      <c r="BD909" s="100"/>
      <c r="BE909" s="100"/>
      <c r="BF909" s="100"/>
      <c r="BG909" s="100"/>
      <c r="BH909" s="100"/>
      <c r="BI909" s="100"/>
      <c r="BJ909" s="100"/>
      <c r="BK909" s="102"/>
      <c r="BN909" s="36"/>
    </row>
    <row r="910" spans="1:66" x14ac:dyDescent="0.25">
      <c r="A910" s="92"/>
      <c r="B910" s="92"/>
      <c r="C910" s="92"/>
      <c r="D910" s="92"/>
      <c r="E910" s="92"/>
      <c r="F910" s="92"/>
      <c r="G910" s="92"/>
      <c r="H910" s="92"/>
      <c r="I910" s="92"/>
      <c r="J910" s="92"/>
      <c r="K910" s="92"/>
      <c r="L910" s="92"/>
      <c r="M910" s="92"/>
      <c r="N910" s="92"/>
      <c r="AG910" s="100"/>
      <c r="AH910" s="101"/>
      <c r="AI910" s="101"/>
      <c r="AJ910" s="100"/>
      <c r="AK910" s="100"/>
      <c r="AL910" s="100"/>
      <c r="AM910" s="100"/>
      <c r="AN910" s="100"/>
      <c r="AO910" s="100"/>
      <c r="AP910" s="100"/>
      <c r="AQ910" s="100"/>
      <c r="AR910" s="100"/>
      <c r="AS910" s="100"/>
      <c r="AT910" s="102"/>
      <c r="AX910" s="100"/>
      <c r="AY910" s="101"/>
      <c r="AZ910" s="101"/>
      <c r="BA910" s="100"/>
      <c r="BB910" s="100"/>
      <c r="BC910" s="100"/>
      <c r="BD910" s="100"/>
      <c r="BE910" s="100"/>
      <c r="BF910" s="100"/>
      <c r="BG910" s="100"/>
      <c r="BH910" s="100"/>
      <c r="BI910" s="100"/>
      <c r="BJ910" s="100"/>
      <c r="BK910" s="102"/>
      <c r="BN910" s="36"/>
    </row>
    <row r="911" spans="1:66" x14ac:dyDescent="0.25">
      <c r="A911" s="92"/>
      <c r="B911" s="92"/>
      <c r="C911" s="92"/>
      <c r="D911" s="92"/>
      <c r="E911" s="92"/>
      <c r="F911" s="92"/>
      <c r="G911" s="92"/>
      <c r="H911" s="92"/>
      <c r="I911" s="92"/>
      <c r="J911" s="92"/>
      <c r="K911" s="92"/>
      <c r="L911" s="92"/>
      <c r="M911" s="92"/>
      <c r="N911" s="92"/>
      <c r="AG911" s="100"/>
      <c r="AH911" s="101"/>
      <c r="AI911" s="101"/>
      <c r="AJ911" s="100"/>
      <c r="AK911" s="100"/>
      <c r="AL911" s="100"/>
      <c r="AM911" s="100"/>
      <c r="AN911" s="100"/>
      <c r="AO911" s="100"/>
      <c r="AP911" s="100"/>
      <c r="AQ911" s="100"/>
      <c r="AR911" s="100"/>
      <c r="AS911" s="100"/>
      <c r="AT911" s="102"/>
      <c r="AX911" s="100"/>
      <c r="AY911" s="101"/>
      <c r="AZ911" s="101"/>
      <c r="BA911" s="101"/>
      <c r="BB911" s="100"/>
      <c r="BC911" s="100"/>
      <c r="BD911" s="100"/>
      <c r="BE911" s="100"/>
      <c r="BF911" s="100"/>
      <c r="BG911" s="100"/>
      <c r="BH911" s="100"/>
      <c r="BI911" s="100"/>
      <c r="BJ911" s="100"/>
      <c r="BK911" s="102"/>
      <c r="BN911" s="36"/>
    </row>
    <row r="912" spans="1:66" x14ac:dyDescent="0.25">
      <c r="A912" s="92"/>
      <c r="B912" s="92"/>
      <c r="C912" s="92"/>
      <c r="D912" s="92"/>
      <c r="E912" s="92"/>
      <c r="F912" s="92"/>
      <c r="G912" s="92"/>
      <c r="H912" s="92"/>
      <c r="I912" s="92"/>
      <c r="J912" s="92"/>
      <c r="K912" s="92"/>
      <c r="L912" s="92"/>
      <c r="M912" s="92"/>
      <c r="N912" s="92"/>
      <c r="AG912" s="100"/>
      <c r="AH912" s="101"/>
      <c r="AI912" s="101"/>
      <c r="AJ912" s="101"/>
      <c r="AK912" s="100"/>
      <c r="AL912" s="100"/>
      <c r="AM912" s="100"/>
      <c r="AN912" s="100"/>
      <c r="AO912" s="100"/>
      <c r="AP912" s="100"/>
      <c r="AQ912" s="100"/>
      <c r="AR912" s="100"/>
      <c r="AS912" s="100"/>
      <c r="AT912" s="102"/>
      <c r="AX912" s="100"/>
      <c r="AY912" s="101"/>
      <c r="AZ912" s="101"/>
      <c r="BA912" s="100"/>
      <c r="BB912" s="100"/>
      <c r="BC912" s="100"/>
      <c r="BD912" s="100"/>
      <c r="BE912" s="100"/>
      <c r="BF912" s="100"/>
      <c r="BG912" s="100"/>
      <c r="BH912" s="100"/>
      <c r="BI912" s="100"/>
      <c r="BJ912" s="100"/>
      <c r="BK912" s="102"/>
      <c r="BN912" s="36"/>
    </row>
    <row r="913" spans="1:66" x14ac:dyDescent="0.25">
      <c r="A913" s="92"/>
      <c r="B913" s="92"/>
      <c r="C913" s="92"/>
      <c r="D913" s="92"/>
      <c r="E913" s="92"/>
      <c r="F913" s="92"/>
      <c r="G913" s="92"/>
      <c r="H913" s="92"/>
      <c r="I913" s="92"/>
      <c r="J913" s="92"/>
      <c r="K913" s="92"/>
      <c r="L913" s="92"/>
      <c r="M913" s="92"/>
      <c r="N913" s="92"/>
      <c r="AG913" s="100"/>
      <c r="AH913" s="101"/>
      <c r="AI913" s="101"/>
      <c r="AJ913" s="100"/>
      <c r="AK913" s="100"/>
      <c r="AL913" s="100"/>
      <c r="AM913" s="100"/>
      <c r="AN913" s="100"/>
      <c r="AO913" s="100"/>
      <c r="AP913" s="100"/>
      <c r="AQ913" s="100"/>
      <c r="AR913" s="100"/>
      <c r="AS913" s="100"/>
      <c r="AT913" s="102"/>
      <c r="AX913" s="100"/>
      <c r="AY913" s="101"/>
      <c r="AZ913" s="101"/>
      <c r="BA913" s="100"/>
      <c r="BB913" s="100"/>
      <c r="BC913" s="100"/>
      <c r="BD913" s="100"/>
      <c r="BE913" s="100"/>
      <c r="BF913" s="100"/>
      <c r="BG913" s="100"/>
      <c r="BH913" s="100"/>
      <c r="BI913" s="100"/>
      <c r="BJ913" s="100"/>
      <c r="BK913" s="102"/>
      <c r="BN913" s="36"/>
    </row>
    <row r="914" spans="1:66" x14ac:dyDescent="0.25">
      <c r="A914" s="92"/>
      <c r="B914" s="93"/>
      <c r="C914" s="93"/>
      <c r="D914" s="92"/>
      <c r="E914" s="92"/>
      <c r="F914" s="92"/>
      <c r="G914" s="92"/>
      <c r="H914" s="92"/>
      <c r="I914" s="92"/>
      <c r="J914" s="92"/>
      <c r="K914" s="92"/>
      <c r="L914" s="92"/>
      <c r="M914" s="92"/>
      <c r="N914" s="94"/>
      <c r="AG914" s="100"/>
      <c r="AH914" s="101"/>
      <c r="AI914" s="101"/>
      <c r="AJ914" s="100"/>
      <c r="AK914" s="100"/>
      <c r="AL914" s="100"/>
      <c r="AM914" s="100"/>
      <c r="AN914" s="100"/>
      <c r="AO914" s="100"/>
      <c r="AP914" s="100"/>
      <c r="AQ914" s="100"/>
      <c r="AR914" s="100"/>
      <c r="AS914" s="100"/>
      <c r="AT914" s="102"/>
      <c r="AX914" s="100"/>
      <c r="AY914" s="101"/>
      <c r="AZ914" s="101"/>
      <c r="BA914" s="100"/>
      <c r="BB914" s="100"/>
      <c r="BC914" s="100"/>
      <c r="BD914" s="100"/>
      <c r="BE914" s="100"/>
      <c r="BF914" s="100"/>
      <c r="BG914" s="100"/>
      <c r="BH914" s="100"/>
      <c r="BI914" s="100"/>
      <c r="BJ914" s="100"/>
      <c r="BK914" s="102"/>
      <c r="BN914" s="36"/>
    </row>
    <row r="915" spans="1:66" x14ac:dyDescent="0.25">
      <c r="A915" s="92"/>
      <c r="B915" s="93"/>
      <c r="C915" s="93"/>
      <c r="D915" s="92"/>
      <c r="E915" s="92"/>
      <c r="F915" s="92"/>
      <c r="G915" s="92"/>
      <c r="H915" s="92"/>
      <c r="I915" s="92"/>
      <c r="J915" s="92"/>
      <c r="K915" s="92"/>
      <c r="L915" s="92"/>
      <c r="M915" s="92"/>
      <c r="N915" s="94"/>
      <c r="AG915" s="100"/>
      <c r="AH915" s="101"/>
      <c r="AI915" s="101"/>
      <c r="AJ915" s="100"/>
      <c r="AK915" s="100"/>
      <c r="AL915" s="100"/>
      <c r="AM915" s="100"/>
      <c r="AN915" s="100"/>
      <c r="AO915" s="100"/>
      <c r="AP915" s="100"/>
      <c r="AQ915" s="100"/>
      <c r="AR915" s="100"/>
      <c r="AS915" s="100"/>
      <c r="AT915" s="102"/>
      <c r="AX915" s="100"/>
      <c r="AY915" s="101"/>
      <c r="AZ915" s="101"/>
      <c r="BA915" s="101"/>
      <c r="BB915" s="100"/>
      <c r="BC915" s="100"/>
      <c r="BD915" s="100"/>
      <c r="BE915" s="100"/>
      <c r="BF915" s="100"/>
      <c r="BG915" s="100"/>
      <c r="BH915" s="100"/>
      <c r="BI915" s="100"/>
      <c r="BJ915" s="100"/>
      <c r="BK915" s="102"/>
      <c r="BN915" s="36"/>
    </row>
    <row r="916" spans="1:66" x14ac:dyDescent="0.25">
      <c r="A916" s="92"/>
      <c r="B916" s="93"/>
      <c r="C916" s="93"/>
      <c r="D916" s="92"/>
      <c r="E916" s="92"/>
      <c r="F916" s="92"/>
      <c r="G916" s="92"/>
      <c r="H916" s="92"/>
      <c r="I916" s="92"/>
      <c r="J916" s="92"/>
      <c r="K916" s="92"/>
      <c r="L916" s="92"/>
      <c r="M916" s="92"/>
      <c r="N916" s="94"/>
      <c r="AG916" s="100"/>
      <c r="AH916" s="101"/>
      <c r="AI916" s="101"/>
      <c r="AJ916" s="101"/>
      <c r="AK916" s="100"/>
      <c r="AL916" s="100"/>
      <c r="AM916" s="100"/>
      <c r="AN916" s="100"/>
      <c r="AO916" s="100"/>
      <c r="AP916" s="100"/>
      <c r="AQ916" s="100"/>
      <c r="AR916" s="100"/>
      <c r="AS916" s="100"/>
      <c r="AT916" s="102"/>
      <c r="AX916" s="100"/>
      <c r="AY916" s="101"/>
      <c r="AZ916" s="101"/>
      <c r="BA916" s="100"/>
      <c r="BB916" s="100"/>
      <c r="BC916" s="100"/>
      <c r="BD916" s="100"/>
      <c r="BE916" s="100"/>
      <c r="BF916" s="100"/>
      <c r="BG916" s="100"/>
      <c r="BH916" s="100"/>
      <c r="BI916" s="100"/>
      <c r="BJ916" s="100"/>
      <c r="BK916" s="102"/>
      <c r="BN916" s="36"/>
    </row>
    <row r="917" spans="1:66" x14ac:dyDescent="0.25">
      <c r="A917" s="92"/>
      <c r="B917" s="92"/>
      <c r="C917" s="92"/>
      <c r="D917" s="92"/>
      <c r="E917" s="92"/>
      <c r="F917" s="92"/>
      <c r="G917" s="92"/>
      <c r="H917" s="92"/>
      <c r="I917" s="92"/>
      <c r="J917" s="92"/>
      <c r="K917" s="92"/>
      <c r="L917" s="92"/>
      <c r="M917" s="92"/>
      <c r="N917" s="92"/>
      <c r="AG917" s="100"/>
      <c r="AH917" s="101"/>
      <c r="AI917" s="101"/>
      <c r="AJ917" s="100"/>
      <c r="AK917" s="100"/>
      <c r="AL917" s="100"/>
      <c r="AM917" s="100"/>
      <c r="AN917" s="100"/>
      <c r="AO917" s="100"/>
      <c r="AP917" s="100"/>
      <c r="AQ917" s="100"/>
      <c r="AR917" s="100"/>
      <c r="AS917" s="100"/>
      <c r="AT917" s="102"/>
      <c r="AX917" s="100"/>
      <c r="AY917" s="101"/>
      <c r="AZ917" s="101"/>
      <c r="BA917" s="100"/>
      <c r="BB917" s="100"/>
      <c r="BC917" s="100"/>
      <c r="BD917" s="100"/>
      <c r="BE917" s="100"/>
      <c r="BF917" s="100"/>
      <c r="BG917" s="100"/>
      <c r="BH917" s="100"/>
      <c r="BI917" s="100"/>
      <c r="BJ917" s="100"/>
      <c r="BK917" s="102"/>
      <c r="BN917" s="36"/>
    </row>
    <row r="918" spans="1:66" x14ac:dyDescent="0.25">
      <c r="A918" s="92"/>
      <c r="B918" s="92"/>
      <c r="C918" s="92"/>
      <c r="D918" s="92"/>
      <c r="E918" s="92"/>
      <c r="F918" s="92"/>
      <c r="G918" s="92"/>
      <c r="H918" s="92"/>
      <c r="I918" s="92"/>
      <c r="J918" s="92"/>
      <c r="K918" s="92"/>
      <c r="L918" s="92"/>
      <c r="M918" s="92"/>
      <c r="N918" s="92"/>
      <c r="AG918" s="100"/>
      <c r="AH918" s="101"/>
      <c r="AI918" s="101"/>
      <c r="AJ918" s="100"/>
      <c r="AK918" s="100"/>
      <c r="AL918" s="100"/>
      <c r="AM918" s="100"/>
      <c r="AN918" s="100"/>
      <c r="AO918" s="100"/>
      <c r="AP918" s="100"/>
      <c r="AQ918" s="100"/>
      <c r="AR918" s="100"/>
      <c r="AS918" s="100"/>
      <c r="AT918" s="102"/>
      <c r="AX918" s="100"/>
      <c r="AY918" s="101"/>
      <c r="AZ918" s="101"/>
      <c r="BA918" s="100"/>
      <c r="BB918" s="100"/>
      <c r="BC918" s="100"/>
      <c r="BD918" s="100"/>
      <c r="BE918" s="100"/>
      <c r="BF918" s="100"/>
      <c r="BG918" s="100"/>
      <c r="BH918" s="100"/>
      <c r="BI918" s="100"/>
      <c r="BJ918" s="100"/>
      <c r="BK918" s="102"/>
      <c r="BN918" s="36"/>
    </row>
    <row r="919" spans="1:66" x14ac:dyDescent="0.25">
      <c r="A919" s="92"/>
      <c r="B919" s="92"/>
      <c r="C919" s="92"/>
      <c r="D919" s="92"/>
      <c r="E919" s="92"/>
      <c r="F919" s="92"/>
      <c r="G919" s="92"/>
      <c r="H919" s="92"/>
      <c r="I919" s="92"/>
      <c r="J919" s="92"/>
      <c r="K919" s="92"/>
      <c r="L919" s="92"/>
      <c r="M919" s="92"/>
      <c r="N919" s="92"/>
      <c r="AG919" s="100"/>
      <c r="AH919" s="101"/>
      <c r="AI919" s="101"/>
      <c r="AJ919" s="100"/>
      <c r="AK919" s="100"/>
      <c r="AL919" s="100"/>
      <c r="AM919" s="100"/>
      <c r="AN919" s="100"/>
      <c r="AO919" s="100"/>
      <c r="AP919" s="100"/>
      <c r="AQ919" s="100"/>
      <c r="AR919" s="100"/>
      <c r="AS919" s="100"/>
      <c r="AT919" s="102"/>
      <c r="AX919" s="100"/>
      <c r="AY919" s="101"/>
      <c r="AZ919" s="101"/>
      <c r="BA919" s="100"/>
      <c r="BB919" s="100"/>
      <c r="BC919" s="100"/>
      <c r="BD919" s="100"/>
      <c r="BE919" s="100"/>
      <c r="BF919" s="100"/>
      <c r="BG919" s="100"/>
      <c r="BH919" s="100"/>
      <c r="BI919" s="100"/>
      <c r="BJ919" s="100"/>
      <c r="BK919" s="102"/>
      <c r="BN919" s="36"/>
    </row>
    <row r="920" spans="1:66" x14ac:dyDescent="0.25">
      <c r="A920" s="92"/>
      <c r="B920" s="92"/>
      <c r="C920" s="92"/>
      <c r="D920" s="92"/>
      <c r="E920" s="92"/>
      <c r="F920" s="92"/>
      <c r="G920" s="92"/>
      <c r="H920" s="92"/>
      <c r="I920" s="92"/>
      <c r="J920" s="92"/>
      <c r="K920" s="92"/>
      <c r="L920" s="92"/>
      <c r="M920" s="92"/>
      <c r="N920" s="92"/>
      <c r="AG920" s="100"/>
      <c r="AH920" s="101"/>
      <c r="AI920" s="101"/>
      <c r="AJ920" s="101"/>
      <c r="AK920" s="100"/>
      <c r="AL920" s="100"/>
      <c r="AM920" s="100"/>
      <c r="AN920" s="100"/>
      <c r="AO920" s="100"/>
      <c r="AP920" s="100"/>
      <c r="AQ920" s="100"/>
      <c r="AR920" s="100"/>
      <c r="AS920" s="100"/>
      <c r="AT920" s="102"/>
      <c r="AX920" s="100"/>
      <c r="AY920" s="101"/>
      <c r="AZ920" s="101"/>
      <c r="BA920" s="101"/>
      <c r="BB920" s="100"/>
      <c r="BC920" s="100"/>
      <c r="BD920" s="100"/>
      <c r="BE920" s="100"/>
      <c r="BF920" s="100"/>
      <c r="BG920" s="100"/>
      <c r="BH920" s="100"/>
      <c r="BI920" s="100"/>
      <c r="BJ920" s="100"/>
      <c r="BK920" s="102"/>
      <c r="BN920" s="36"/>
    </row>
    <row r="921" spans="1:66" x14ac:dyDescent="0.25">
      <c r="A921" s="92"/>
      <c r="B921" s="92"/>
      <c r="C921" s="92"/>
      <c r="D921" s="92"/>
      <c r="E921" s="92"/>
      <c r="F921" s="92"/>
      <c r="G921" s="92"/>
      <c r="H921" s="92"/>
      <c r="I921" s="92"/>
      <c r="J921" s="92"/>
      <c r="K921" s="92"/>
      <c r="L921" s="92"/>
      <c r="M921" s="92"/>
      <c r="N921" s="92"/>
      <c r="AG921" s="100"/>
      <c r="AH921" s="101"/>
      <c r="AI921" s="101"/>
      <c r="AJ921" s="100"/>
      <c r="AK921" s="100"/>
      <c r="AL921" s="100"/>
      <c r="AM921" s="100"/>
      <c r="AN921" s="100"/>
      <c r="AO921" s="100"/>
      <c r="AP921" s="100"/>
      <c r="AQ921" s="100"/>
      <c r="AR921" s="100"/>
      <c r="AS921" s="100"/>
      <c r="AT921" s="102"/>
      <c r="AX921" s="100"/>
      <c r="AY921" s="101"/>
      <c r="AZ921" s="101"/>
      <c r="BA921" s="101"/>
      <c r="BB921" s="100"/>
      <c r="BC921" s="100"/>
      <c r="BD921" s="100"/>
      <c r="BE921" s="100"/>
      <c r="BF921" s="100"/>
      <c r="BG921" s="100"/>
      <c r="BH921" s="100"/>
      <c r="BI921" s="100"/>
      <c r="BJ921" s="100"/>
      <c r="BK921" s="102"/>
      <c r="BN921" s="36"/>
    </row>
    <row r="922" spans="1:66" x14ac:dyDescent="0.25">
      <c r="A922" s="92"/>
      <c r="B922" s="92"/>
      <c r="C922" s="92"/>
      <c r="D922" s="92"/>
      <c r="E922" s="92"/>
      <c r="F922" s="92"/>
      <c r="G922" s="92"/>
      <c r="H922" s="92"/>
      <c r="I922" s="92"/>
      <c r="J922" s="92"/>
      <c r="K922" s="92"/>
      <c r="L922" s="92"/>
      <c r="M922" s="92"/>
      <c r="N922" s="92"/>
      <c r="AG922" s="100"/>
      <c r="AH922" s="101"/>
      <c r="AI922" s="101"/>
      <c r="AJ922" s="100"/>
      <c r="AK922" s="100"/>
      <c r="AL922" s="100"/>
      <c r="AM922" s="100"/>
      <c r="AN922" s="100"/>
      <c r="AO922" s="100"/>
      <c r="AP922" s="100"/>
      <c r="AQ922" s="100"/>
      <c r="AR922" s="100"/>
      <c r="AS922" s="100"/>
      <c r="AT922" s="102"/>
      <c r="AX922" s="100"/>
      <c r="AY922" s="101"/>
      <c r="AZ922" s="101"/>
      <c r="BA922" s="101"/>
      <c r="BB922" s="100"/>
      <c r="BC922" s="100"/>
      <c r="BD922" s="100"/>
      <c r="BE922" s="100"/>
      <c r="BF922" s="100"/>
      <c r="BG922" s="100"/>
      <c r="BH922" s="100"/>
      <c r="BI922" s="100"/>
      <c r="BJ922" s="100"/>
      <c r="BK922" s="102"/>
      <c r="BN922" s="36"/>
    </row>
    <row r="923" spans="1:66" x14ac:dyDescent="0.25">
      <c r="A923" s="92"/>
      <c r="B923" s="92"/>
      <c r="C923" s="92"/>
      <c r="D923" s="92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AG923" s="100"/>
      <c r="AH923" s="101"/>
      <c r="AI923" s="101"/>
      <c r="AJ923" s="100"/>
      <c r="AK923" s="100"/>
      <c r="AL923" s="100"/>
      <c r="AM923" s="100"/>
      <c r="AN923" s="100"/>
      <c r="AO923" s="100"/>
      <c r="AP923" s="100"/>
      <c r="AQ923" s="100"/>
      <c r="AR923" s="100"/>
      <c r="AS923" s="100"/>
      <c r="AT923" s="102"/>
      <c r="AX923" s="100"/>
      <c r="AY923" s="101"/>
      <c r="AZ923" s="101"/>
      <c r="BA923" s="100"/>
      <c r="BB923" s="100"/>
      <c r="BC923" s="100"/>
      <c r="BD923" s="100"/>
      <c r="BE923" s="100"/>
      <c r="BF923" s="100"/>
      <c r="BG923" s="100"/>
      <c r="BH923" s="100"/>
      <c r="BI923" s="100"/>
      <c r="BJ923" s="100"/>
      <c r="BK923" s="102"/>
      <c r="BN923" s="36"/>
    </row>
    <row r="924" spans="1:66" x14ac:dyDescent="0.25">
      <c r="A924" s="92"/>
      <c r="B924" s="92"/>
      <c r="C924" s="92"/>
      <c r="D924" s="92"/>
      <c r="E924" s="92"/>
      <c r="F924" s="92"/>
      <c r="G924" s="92"/>
      <c r="H924" s="92"/>
      <c r="I924" s="92"/>
      <c r="J924" s="92"/>
      <c r="K924" s="92"/>
      <c r="L924" s="92"/>
      <c r="M924" s="92"/>
      <c r="N924" s="92"/>
      <c r="AG924" s="100"/>
      <c r="AH924" s="101"/>
      <c r="AI924" s="101"/>
      <c r="AJ924" s="101"/>
      <c r="AK924" s="100"/>
      <c r="AL924" s="100"/>
      <c r="AM924" s="100"/>
      <c r="AN924" s="100"/>
      <c r="AO924" s="100"/>
      <c r="AP924" s="100"/>
      <c r="AQ924" s="100"/>
      <c r="AR924" s="100"/>
      <c r="AS924" s="100"/>
      <c r="AT924" s="102"/>
      <c r="AX924" s="100"/>
      <c r="AY924" s="101"/>
      <c r="AZ924" s="101"/>
      <c r="BA924" s="100"/>
      <c r="BB924" s="100"/>
      <c r="BC924" s="100"/>
      <c r="BD924" s="100"/>
      <c r="BE924" s="100"/>
      <c r="BF924" s="100"/>
      <c r="BG924" s="100"/>
      <c r="BH924" s="100"/>
      <c r="BI924" s="100"/>
      <c r="BJ924" s="100"/>
      <c r="BK924" s="102"/>
      <c r="BN924" s="36"/>
    </row>
    <row r="925" spans="1:66" x14ac:dyDescent="0.25">
      <c r="A925" s="92"/>
      <c r="B925" s="92"/>
      <c r="C925" s="92"/>
      <c r="D925" s="92"/>
      <c r="E925" s="92"/>
      <c r="F925" s="92"/>
      <c r="G925" s="92"/>
      <c r="H925" s="92"/>
      <c r="I925" s="92"/>
      <c r="J925" s="92"/>
      <c r="K925" s="92"/>
      <c r="L925" s="92"/>
      <c r="M925" s="92"/>
      <c r="N925" s="92"/>
      <c r="AG925" s="100"/>
      <c r="AH925" s="101"/>
      <c r="AI925" s="101"/>
      <c r="AJ925" s="100"/>
      <c r="AK925" s="100"/>
      <c r="AL925" s="100"/>
      <c r="AM925" s="100"/>
      <c r="AN925" s="100"/>
      <c r="AO925" s="100"/>
      <c r="AP925" s="100"/>
      <c r="AQ925" s="100"/>
      <c r="AR925" s="100"/>
      <c r="AS925" s="100"/>
      <c r="AT925" s="102"/>
      <c r="AX925" s="100"/>
      <c r="AY925" s="101"/>
      <c r="AZ925" s="101"/>
      <c r="BA925" s="101"/>
      <c r="BB925" s="100"/>
      <c r="BC925" s="100"/>
      <c r="BD925" s="100"/>
      <c r="BE925" s="100"/>
      <c r="BF925" s="100"/>
      <c r="BG925" s="100"/>
      <c r="BH925" s="100"/>
      <c r="BI925" s="100"/>
      <c r="BJ925" s="100"/>
      <c r="BK925" s="102"/>
      <c r="BN925" s="36"/>
    </row>
    <row r="926" spans="1:66" x14ac:dyDescent="0.25">
      <c r="A926" s="92"/>
      <c r="B926" s="92"/>
      <c r="C926" s="92"/>
      <c r="D926" s="92"/>
      <c r="E926" s="92"/>
      <c r="F926" s="92"/>
      <c r="G926" s="92"/>
      <c r="H926" s="92"/>
      <c r="I926" s="92"/>
      <c r="J926" s="92"/>
      <c r="K926" s="92"/>
      <c r="L926" s="92"/>
      <c r="M926" s="92"/>
      <c r="N926" s="92"/>
      <c r="AG926" s="100"/>
      <c r="AH926" s="101"/>
      <c r="AI926" s="101"/>
      <c r="AJ926" s="100"/>
      <c r="AK926" s="100"/>
      <c r="AL926" s="100"/>
      <c r="AM926" s="100"/>
      <c r="AN926" s="100"/>
      <c r="AO926" s="100"/>
      <c r="AP926" s="100"/>
      <c r="AQ926" s="100"/>
      <c r="AR926" s="100"/>
      <c r="AS926" s="100"/>
      <c r="AT926" s="102"/>
      <c r="AX926" s="100"/>
      <c r="AY926" s="101"/>
      <c r="AZ926" s="101"/>
      <c r="BA926" s="100"/>
      <c r="BB926" s="100"/>
      <c r="BC926" s="100"/>
      <c r="BD926" s="100"/>
      <c r="BE926" s="100"/>
      <c r="BF926" s="100"/>
      <c r="BG926" s="100"/>
      <c r="BH926" s="100"/>
      <c r="BI926" s="100"/>
      <c r="BJ926" s="100"/>
      <c r="BK926" s="102"/>
      <c r="BN926" s="36"/>
    </row>
    <row r="927" spans="1:66" x14ac:dyDescent="0.25">
      <c r="A927" s="92"/>
      <c r="B927" s="92"/>
      <c r="C927" s="92"/>
      <c r="D927" s="92"/>
      <c r="E927" s="92"/>
      <c r="F927" s="92"/>
      <c r="G927" s="92"/>
      <c r="H927" s="92"/>
      <c r="I927" s="92"/>
      <c r="J927" s="92"/>
      <c r="K927" s="92"/>
      <c r="L927" s="92"/>
      <c r="M927" s="92"/>
      <c r="N927" s="92"/>
      <c r="AG927" s="100"/>
      <c r="AH927" s="101"/>
      <c r="AI927" s="101"/>
      <c r="AJ927" s="101"/>
      <c r="AK927" s="100"/>
      <c r="AL927" s="100"/>
      <c r="AM927" s="100"/>
      <c r="AN927" s="100"/>
      <c r="AO927" s="100"/>
      <c r="AP927" s="100"/>
      <c r="AQ927" s="100"/>
      <c r="AR927" s="100"/>
      <c r="AS927" s="100"/>
      <c r="AT927" s="102"/>
      <c r="AX927" s="100"/>
      <c r="AY927" s="101"/>
      <c r="AZ927" s="101"/>
      <c r="BA927" s="100"/>
      <c r="BB927" s="100"/>
      <c r="BC927" s="100"/>
      <c r="BD927" s="100"/>
      <c r="BE927" s="100"/>
      <c r="BF927" s="100"/>
      <c r="BG927" s="100"/>
      <c r="BH927" s="100"/>
      <c r="BI927" s="100"/>
      <c r="BJ927" s="100"/>
      <c r="BK927" s="102"/>
      <c r="BN927" s="36"/>
    </row>
    <row r="928" spans="1:66" x14ac:dyDescent="0.25">
      <c r="A928" s="92"/>
      <c r="B928" s="92"/>
      <c r="C928" s="92"/>
      <c r="D928" s="92"/>
      <c r="E928" s="92"/>
      <c r="F928" s="92"/>
      <c r="G928" s="92"/>
      <c r="H928" s="92"/>
      <c r="I928" s="92"/>
      <c r="J928" s="92"/>
      <c r="K928" s="92"/>
      <c r="L928" s="92"/>
      <c r="M928" s="92"/>
      <c r="N928" s="92"/>
      <c r="AG928" s="100"/>
      <c r="AH928" s="101"/>
      <c r="AI928" s="101"/>
      <c r="AJ928" s="101"/>
      <c r="AK928" s="100"/>
      <c r="AL928" s="100"/>
      <c r="AM928" s="100"/>
      <c r="AN928" s="100"/>
      <c r="AO928" s="100"/>
      <c r="AP928" s="100"/>
      <c r="AQ928" s="100"/>
      <c r="AR928" s="100"/>
      <c r="AS928" s="100"/>
      <c r="AT928" s="102"/>
      <c r="AX928" s="100"/>
      <c r="AY928" s="101"/>
      <c r="AZ928" s="101"/>
      <c r="BA928" s="101"/>
      <c r="BB928" s="100"/>
      <c r="BC928" s="100"/>
      <c r="BD928" s="100"/>
      <c r="BE928" s="100"/>
      <c r="BF928" s="100"/>
      <c r="BG928" s="100"/>
      <c r="BH928" s="100"/>
      <c r="BI928" s="100"/>
      <c r="BJ928" s="100"/>
      <c r="BK928" s="102"/>
      <c r="BN928" s="36"/>
    </row>
    <row r="929" spans="1:66" x14ac:dyDescent="0.25">
      <c r="A929" s="92"/>
      <c r="B929" s="92"/>
      <c r="C929" s="92"/>
      <c r="D929" s="92"/>
      <c r="E929" s="92"/>
      <c r="F929" s="92"/>
      <c r="G929" s="92"/>
      <c r="H929" s="92"/>
      <c r="I929" s="92"/>
      <c r="J929" s="92"/>
      <c r="K929" s="92"/>
      <c r="L929" s="92"/>
      <c r="M929" s="92"/>
      <c r="N929" s="92"/>
      <c r="AG929" s="100"/>
      <c r="AH929" s="101"/>
      <c r="AI929" s="101"/>
      <c r="AJ929" s="100"/>
      <c r="AK929" s="100"/>
      <c r="AL929" s="100"/>
      <c r="AM929" s="100"/>
      <c r="AN929" s="100"/>
      <c r="AO929" s="100"/>
      <c r="AP929" s="100"/>
      <c r="AQ929" s="100"/>
      <c r="AR929" s="100"/>
      <c r="AS929" s="100"/>
      <c r="AT929" s="102"/>
      <c r="AX929" s="100"/>
      <c r="AY929" s="101"/>
      <c r="AZ929" s="101"/>
      <c r="BA929" s="100"/>
      <c r="BB929" s="100"/>
      <c r="BC929" s="100"/>
      <c r="BD929" s="100"/>
      <c r="BE929" s="100"/>
      <c r="BF929" s="100"/>
      <c r="BG929" s="100"/>
      <c r="BH929" s="100"/>
      <c r="BI929" s="100"/>
      <c r="BJ929" s="100"/>
      <c r="BK929" s="102"/>
      <c r="BN929" s="36"/>
    </row>
    <row r="930" spans="1:66" x14ac:dyDescent="0.25">
      <c r="A930" s="92"/>
      <c r="B930" s="92"/>
      <c r="C930" s="92"/>
      <c r="D930" s="92"/>
      <c r="E930" s="92"/>
      <c r="F930" s="92"/>
      <c r="G930" s="92"/>
      <c r="H930" s="92"/>
      <c r="I930" s="92"/>
      <c r="J930" s="92"/>
      <c r="K930" s="92"/>
      <c r="L930" s="92"/>
      <c r="M930" s="92"/>
      <c r="N930" s="92"/>
      <c r="AG930" s="100"/>
      <c r="AH930" s="101"/>
      <c r="AI930" s="101"/>
      <c r="AJ930" s="100"/>
      <c r="AK930" s="100"/>
      <c r="AL930" s="100"/>
      <c r="AM930" s="100"/>
      <c r="AN930" s="100"/>
      <c r="AO930" s="100"/>
      <c r="AP930" s="100"/>
      <c r="AQ930" s="100"/>
      <c r="AR930" s="100"/>
      <c r="AS930" s="100"/>
      <c r="AT930" s="102"/>
      <c r="AX930" s="100"/>
      <c r="AY930" s="101"/>
      <c r="AZ930" s="101"/>
      <c r="BA930" s="100"/>
      <c r="BB930" s="100"/>
      <c r="BC930" s="100"/>
      <c r="BD930" s="100"/>
      <c r="BE930" s="100"/>
      <c r="BF930" s="100"/>
      <c r="BG930" s="100"/>
      <c r="BH930" s="100"/>
      <c r="BI930" s="100"/>
      <c r="BJ930" s="100"/>
      <c r="BK930" s="102"/>
      <c r="BN930" s="36"/>
    </row>
    <row r="931" spans="1:66" x14ac:dyDescent="0.25">
      <c r="A931" s="92"/>
      <c r="B931" s="92"/>
      <c r="C931" s="92"/>
      <c r="D931" s="92"/>
      <c r="E931" s="92"/>
      <c r="F931" s="92"/>
      <c r="G931" s="92"/>
      <c r="H931" s="92"/>
      <c r="I931" s="92"/>
      <c r="J931" s="92"/>
      <c r="K931" s="92"/>
      <c r="L931" s="92"/>
      <c r="M931" s="92"/>
      <c r="N931" s="92"/>
      <c r="AG931" s="100"/>
      <c r="AH931" s="101"/>
      <c r="AI931" s="101"/>
      <c r="AJ931" s="100"/>
      <c r="AK931" s="100"/>
      <c r="AL931" s="100"/>
      <c r="AM931" s="100"/>
      <c r="AN931" s="100"/>
      <c r="AO931" s="100"/>
      <c r="AP931" s="100"/>
      <c r="AQ931" s="100"/>
      <c r="AR931" s="100"/>
      <c r="AS931" s="100"/>
      <c r="AT931" s="102"/>
      <c r="AX931" s="100"/>
      <c r="AY931" s="101"/>
      <c r="AZ931" s="101"/>
      <c r="BA931" s="100"/>
      <c r="BB931" s="100"/>
      <c r="BC931" s="100"/>
      <c r="BD931" s="100"/>
      <c r="BE931" s="100"/>
      <c r="BF931" s="100"/>
      <c r="BG931" s="100"/>
      <c r="BH931" s="100"/>
      <c r="BI931" s="100"/>
      <c r="BJ931" s="100"/>
      <c r="BK931" s="102"/>
      <c r="BN931" s="36"/>
    </row>
    <row r="932" spans="1:66" x14ac:dyDescent="0.25">
      <c r="A932" s="92"/>
      <c r="B932" s="92"/>
      <c r="C932" s="92"/>
      <c r="D932" s="92"/>
      <c r="E932" s="92"/>
      <c r="F932" s="92"/>
      <c r="G932" s="92"/>
      <c r="H932" s="92"/>
      <c r="I932" s="92"/>
      <c r="J932" s="92"/>
      <c r="K932" s="92"/>
      <c r="L932" s="92"/>
      <c r="M932" s="92"/>
      <c r="N932" s="92"/>
      <c r="AG932" s="100"/>
      <c r="AH932" s="101"/>
      <c r="AI932" s="101"/>
      <c r="AJ932" s="101"/>
      <c r="AK932" s="100"/>
      <c r="AL932" s="100"/>
      <c r="AM932" s="100"/>
      <c r="AN932" s="100"/>
      <c r="AO932" s="100"/>
      <c r="AP932" s="100"/>
      <c r="AQ932" s="100"/>
      <c r="AR932" s="100"/>
      <c r="AS932" s="100"/>
      <c r="AT932" s="102"/>
      <c r="AX932" s="100"/>
      <c r="AY932" s="101"/>
      <c r="AZ932" s="101"/>
      <c r="BA932" s="101"/>
      <c r="BB932" s="100"/>
      <c r="BC932" s="100"/>
      <c r="BD932" s="100"/>
      <c r="BE932" s="100"/>
      <c r="BF932" s="100"/>
      <c r="BG932" s="100"/>
      <c r="BH932" s="100"/>
      <c r="BI932" s="100"/>
      <c r="BJ932" s="100"/>
      <c r="BK932" s="102"/>
      <c r="BN932" s="36"/>
    </row>
    <row r="933" spans="1:66" x14ac:dyDescent="0.25">
      <c r="A933" s="92"/>
      <c r="B933" s="92"/>
      <c r="C933" s="92"/>
      <c r="D933" s="92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AG933" s="100"/>
      <c r="AH933" s="101"/>
      <c r="AI933" s="101"/>
      <c r="AJ933" s="100"/>
      <c r="AK933" s="100"/>
      <c r="AL933" s="100"/>
      <c r="AM933" s="100"/>
      <c r="AN933" s="100"/>
      <c r="AO933" s="100"/>
      <c r="AP933" s="100"/>
      <c r="AQ933" s="100"/>
      <c r="AR933" s="100"/>
      <c r="AS933" s="100"/>
      <c r="AT933" s="102"/>
      <c r="AX933" s="100"/>
      <c r="AY933" s="101"/>
      <c r="AZ933" s="101"/>
      <c r="BA933" s="100"/>
      <c r="BB933" s="100"/>
      <c r="BC933" s="100"/>
      <c r="BD933" s="100"/>
      <c r="BE933" s="100"/>
      <c r="BF933" s="100"/>
      <c r="BG933" s="100"/>
      <c r="BH933" s="100"/>
      <c r="BI933" s="100"/>
      <c r="BJ933" s="100"/>
      <c r="BK933" s="102"/>
      <c r="BN933" s="36"/>
    </row>
    <row r="934" spans="1:66" x14ac:dyDescent="0.25">
      <c r="A934" s="92"/>
      <c r="B934" s="92"/>
      <c r="C934" s="92"/>
      <c r="D934" s="92"/>
      <c r="E934" s="92"/>
      <c r="F934" s="92"/>
      <c r="G934" s="92"/>
      <c r="H934" s="92"/>
      <c r="I934" s="92"/>
      <c r="J934" s="92"/>
      <c r="K934" s="92"/>
      <c r="L934" s="92"/>
      <c r="M934" s="92"/>
      <c r="N934" s="92"/>
      <c r="AG934" s="100"/>
      <c r="AH934" s="101"/>
      <c r="AI934" s="101"/>
      <c r="AJ934" s="101"/>
      <c r="AK934" s="100"/>
      <c r="AL934" s="100"/>
      <c r="AM934" s="100"/>
      <c r="AN934" s="100"/>
      <c r="AO934" s="100"/>
      <c r="AP934" s="100"/>
      <c r="AQ934" s="100"/>
      <c r="AR934" s="100"/>
      <c r="AS934" s="100"/>
      <c r="AT934" s="102"/>
      <c r="AX934" s="100"/>
      <c r="AY934" s="101"/>
      <c r="AZ934" s="101"/>
      <c r="BA934" s="100"/>
      <c r="BB934" s="100"/>
      <c r="BC934" s="100"/>
      <c r="BD934" s="100"/>
      <c r="BE934" s="100"/>
      <c r="BF934" s="100"/>
      <c r="BG934" s="100"/>
      <c r="BH934" s="100"/>
      <c r="BI934" s="100"/>
      <c r="BJ934" s="100"/>
      <c r="BK934" s="102"/>
      <c r="BN934" s="36"/>
    </row>
    <row r="935" spans="1:66" x14ac:dyDescent="0.25">
      <c r="A935" s="92"/>
      <c r="B935" s="93"/>
      <c r="C935" s="93"/>
      <c r="D935" s="92"/>
      <c r="E935" s="92"/>
      <c r="F935" s="92"/>
      <c r="G935" s="92"/>
      <c r="H935" s="92"/>
      <c r="I935" s="92"/>
      <c r="J935" s="92"/>
      <c r="K935" s="92"/>
      <c r="L935" s="92"/>
      <c r="M935" s="92"/>
      <c r="N935" s="94"/>
      <c r="AG935" s="100"/>
      <c r="AH935" s="101"/>
      <c r="AI935" s="101"/>
      <c r="AJ935" s="100"/>
      <c r="AK935" s="100"/>
      <c r="AL935" s="100"/>
      <c r="AM935" s="100"/>
      <c r="AN935" s="100"/>
      <c r="AO935" s="100"/>
      <c r="AP935" s="100"/>
      <c r="AQ935" s="100"/>
      <c r="AR935" s="100"/>
      <c r="AS935" s="100"/>
      <c r="AT935" s="102"/>
      <c r="AX935" s="100"/>
      <c r="AY935" s="101"/>
      <c r="AZ935" s="101"/>
      <c r="BA935" s="100"/>
      <c r="BB935" s="100"/>
      <c r="BC935" s="100"/>
      <c r="BD935" s="100"/>
      <c r="BE935" s="100"/>
      <c r="BF935" s="100"/>
      <c r="BG935" s="100"/>
      <c r="BH935" s="100"/>
      <c r="BI935" s="100"/>
      <c r="BJ935" s="100"/>
      <c r="BK935" s="102"/>
      <c r="BN935" s="36"/>
    </row>
    <row r="936" spans="1:66" x14ac:dyDescent="0.25">
      <c r="A936" s="92"/>
      <c r="B936" s="93"/>
      <c r="C936" s="93"/>
      <c r="D936" s="93"/>
      <c r="E936" s="92"/>
      <c r="F936" s="92"/>
      <c r="G936" s="92"/>
      <c r="H936" s="92"/>
      <c r="I936" s="92"/>
      <c r="J936" s="92"/>
      <c r="K936" s="92"/>
      <c r="L936" s="92"/>
      <c r="M936" s="92"/>
      <c r="N936" s="94"/>
      <c r="AG936" s="100"/>
      <c r="AH936" s="101"/>
      <c r="AI936" s="101"/>
      <c r="AJ936" s="100"/>
      <c r="AK936" s="100"/>
      <c r="AL936" s="100"/>
      <c r="AM936" s="100"/>
      <c r="AN936" s="100"/>
      <c r="AO936" s="100"/>
      <c r="AP936" s="100"/>
      <c r="AQ936" s="100"/>
      <c r="AR936" s="100"/>
      <c r="AS936" s="100"/>
      <c r="AT936" s="102"/>
      <c r="AX936" s="100"/>
      <c r="AY936" s="101"/>
      <c r="AZ936" s="101"/>
      <c r="BA936" s="101"/>
      <c r="BB936" s="100"/>
      <c r="BC936" s="100"/>
      <c r="BD936" s="100"/>
      <c r="BE936" s="100"/>
      <c r="BF936" s="100"/>
      <c r="BG936" s="100"/>
      <c r="BH936" s="100"/>
      <c r="BI936" s="100"/>
      <c r="BJ936" s="100"/>
      <c r="BK936" s="102"/>
      <c r="BN936" s="36"/>
    </row>
    <row r="937" spans="1:66" x14ac:dyDescent="0.25">
      <c r="A937" s="92"/>
      <c r="B937" s="93"/>
      <c r="C937" s="93"/>
      <c r="D937" s="92"/>
      <c r="E937" s="92"/>
      <c r="F937" s="92"/>
      <c r="G937" s="92"/>
      <c r="H937" s="92"/>
      <c r="I937" s="92"/>
      <c r="J937" s="92"/>
      <c r="K937" s="92"/>
      <c r="L937" s="92"/>
      <c r="M937" s="92"/>
      <c r="N937" s="94"/>
      <c r="AG937" s="100"/>
      <c r="AH937" s="101"/>
      <c r="AI937" s="101"/>
      <c r="AJ937" s="101"/>
      <c r="AK937" s="100"/>
      <c r="AL937" s="100"/>
      <c r="AM937" s="100"/>
      <c r="AN937" s="100"/>
      <c r="AO937" s="100"/>
      <c r="AP937" s="100"/>
      <c r="AQ937" s="100"/>
      <c r="AR937" s="100"/>
      <c r="AS937" s="100"/>
      <c r="AT937" s="102"/>
      <c r="AX937" s="100"/>
      <c r="AY937" s="101"/>
      <c r="AZ937" s="101"/>
      <c r="BA937" s="100"/>
      <c r="BB937" s="100"/>
      <c r="BC937" s="100"/>
      <c r="BD937" s="100"/>
      <c r="BE937" s="100"/>
      <c r="BF937" s="100"/>
      <c r="BG937" s="100"/>
      <c r="BH937" s="100"/>
      <c r="BI937" s="100"/>
      <c r="BJ937" s="100"/>
      <c r="BK937" s="102"/>
      <c r="BN937" s="36"/>
    </row>
    <row r="938" spans="1:66" x14ac:dyDescent="0.25">
      <c r="A938" s="92"/>
      <c r="B938" s="92"/>
      <c r="C938" s="92"/>
      <c r="D938" s="92"/>
      <c r="E938" s="92"/>
      <c r="F938" s="92"/>
      <c r="G938" s="92"/>
      <c r="H938" s="92"/>
      <c r="I938" s="92"/>
      <c r="J938" s="92"/>
      <c r="K938" s="92"/>
      <c r="L938" s="92"/>
      <c r="M938" s="92"/>
      <c r="N938" s="92"/>
      <c r="AG938" s="100"/>
      <c r="AH938" s="101"/>
      <c r="AI938" s="101"/>
      <c r="AJ938" s="100"/>
      <c r="AK938" s="100"/>
      <c r="AL938" s="100"/>
      <c r="AM938" s="100"/>
      <c r="AN938" s="100"/>
      <c r="AO938" s="100"/>
      <c r="AP938" s="100"/>
      <c r="AQ938" s="100"/>
      <c r="AR938" s="100"/>
      <c r="AS938" s="100"/>
      <c r="AT938" s="102"/>
      <c r="AX938" s="100"/>
      <c r="AY938" s="101"/>
      <c r="AZ938" s="101"/>
      <c r="BA938" s="100"/>
      <c r="BB938" s="100"/>
      <c r="BC938" s="100"/>
      <c r="BD938" s="100"/>
      <c r="BE938" s="100"/>
      <c r="BF938" s="100"/>
      <c r="BG938" s="100"/>
      <c r="BH938" s="100"/>
      <c r="BI938" s="100"/>
      <c r="BJ938" s="100"/>
      <c r="BK938" s="102"/>
      <c r="BN938" s="36"/>
    </row>
    <row r="939" spans="1:66" x14ac:dyDescent="0.25">
      <c r="A939" s="92"/>
      <c r="B939" s="93"/>
      <c r="C939" s="93"/>
      <c r="D939" s="92"/>
      <c r="E939" s="92"/>
      <c r="F939" s="92"/>
      <c r="G939" s="92"/>
      <c r="H939" s="92"/>
      <c r="I939" s="92"/>
      <c r="J939" s="92"/>
      <c r="K939" s="92"/>
      <c r="L939" s="92"/>
      <c r="M939" s="92"/>
      <c r="N939" s="94"/>
      <c r="AG939" s="100"/>
      <c r="AH939" s="101"/>
      <c r="AI939" s="101"/>
      <c r="AJ939" s="100"/>
      <c r="AK939" s="100"/>
      <c r="AL939" s="100"/>
      <c r="AM939" s="100"/>
      <c r="AN939" s="100"/>
      <c r="AO939" s="100"/>
      <c r="AP939" s="100"/>
      <c r="AQ939" s="100"/>
      <c r="AR939" s="100"/>
      <c r="AS939" s="100"/>
      <c r="AT939" s="102"/>
      <c r="AX939" s="100"/>
      <c r="AY939" s="101"/>
      <c r="AZ939" s="101"/>
      <c r="BA939" s="100"/>
      <c r="BB939" s="100"/>
      <c r="BC939" s="100"/>
      <c r="BD939" s="100"/>
      <c r="BE939" s="100"/>
      <c r="BF939" s="100"/>
      <c r="BG939" s="100"/>
      <c r="BH939" s="100"/>
      <c r="BI939" s="100"/>
      <c r="BJ939" s="100"/>
      <c r="BK939" s="102"/>
      <c r="BN939" s="36"/>
    </row>
    <row r="940" spans="1:66" x14ac:dyDescent="0.25">
      <c r="A940" s="92"/>
      <c r="B940" s="93"/>
      <c r="C940" s="93"/>
      <c r="D940" s="92"/>
      <c r="E940" s="92"/>
      <c r="F940" s="92"/>
      <c r="G940" s="92"/>
      <c r="H940" s="92"/>
      <c r="I940" s="92"/>
      <c r="J940" s="92"/>
      <c r="K940" s="92"/>
      <c r="L940" s="92"/>
      <c r="M940" s="92"/>
      <c r="N940" s="94"/>
      <c r="AG940" s="100"/>
      <c r="AH940" s="101"/>
      <c r="AI940" s="101"/>
      <c r="AJ940" s="100"/>
      <c r="AK940" s="100"/>
      <c r="AL940" s="100"/>
      <c r="AM940" s="100"/>
      <c r="AN940" s="100"/>
      <c r="AO940" s="100"/>
      <c r="AP940" s="100"/>
      <c r="AQ940" s="100"/>
      <c r="AR940" s="100"/>
      <c r="AS940" s="100"/>
      <c r="AT940" s="102"/>
      <c r="AX940" s="100"/>
      <c r="AY940" s="101"/>
      <c r="AZ940" s="101"/>
      <c r="BA940" s="101"/>
      <c r="BB940" s="100"/>
      <c r="BC940" s="100"/>
      <c r="BD940" s="100"/>
      <c r="BE940" s="100"/>
      <c r="BF940" s="100"/>
      <c r="BG940" s="100"/>
      <c r="BH940" s="100"/>
      <c r="BI940" s="100"/>
      <c r="BJ940" s="100"/>
      <c r="BK940" s="102"/>
      <c r="BN940" s="36"/>
    </row>
    <row r="941" spans="1:66" x14ac:dyDescent="0.25">
      <c r="A941" s="92"/>
      <c r="B941" s="93"/>
      <c r="C941" s="93"/>
      <c r="D941" s="92"/>
      <c r="E941" s="92"/>
      <c r="F941" s="92"/>
      <c r="G941" s="92"/>
      <c r="H941" s="92"/>
      <c r="I941" s="92"/>
      <c r="J941" s="92"/>
      <c r="K941" s="92"/>
      <c r="L941" s="92"/>
      <c r="M941" s="92"/>
      <c r="N941" s="94"/>
      <c r="AG941" s="100"/>
      <c r="AH941" s="101"/>
      <c r="AI941" s="101"/>
      <c r="AJ941" s="100"/>
      <c r="AK941" s="100"/>
      <c r="AL941" s="100"/>
      <c r="AM941" s="100"/>
      <c r="AN941" s="100"/>
      <c r="AO941" s="100"/>
      <c r="AP941" s="100"/>
      <c r="AQ941" s="100"/>
      <c r="AR941" s="100"/>
      <c r="AS941" s="100"/>
      <c r="AT941" s="102"/>
      <c r="AX941" s="100"/>
      <c r="AY941" s="101"/>
      <c r="AZ941" s="101"/>
      <c r="BA941" s="100"/>
      <c r="BB941" s="100"/>
      <c r="BC941" s="100"/>
      <c r="BD941" s="100"/>
      <c r="BE941" s="100"/>
      <c r="BF941" s="100"/>
      <c r="BG941" s="100"/>
      <c r="BH941" s="100"/>
      <c r="BI941" s="100"/>
      <c r="BJ941" s="100"/>
      <c r="BK941" s="102"/>
      <c r="BN941" s="36"/>
    </row>
    <row r="942" spans="1:66" x14ac:dyDescent="0.25">
      <c r="A942" s="92"/>
      <c r="B942" s="92"/>
      <c r="C942" s="92"/>
      <c r="D942" s="92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AG942" s="100"/>
      <c r="AH942" s="101"/>
      <c r="AI942" s="101"/>
      <c r="AJ942" s="100"/>
      <c r="AK942" s="100"/>
      <c r="AL942" s="100"/>
      <c r="AM942" s="100"/>
      <c r="AN942" s="100"/>
      <c r="AO942" s="100"/>
      <c r="AP942" s="100"/>
      <c r="AQ942" s="100"/>
      <c r="AR942" s="100"/>
      <c r="AS942" s="100"/>
      <c r="AT942" s="102"/>
      <c r="AX942" s="100"/>
      <c r="AY942" s="101"/>
      <c r="AZ942" s="101"/>
      <c r="BA942" s="100"/>
      <c r="BB942" s="100"/>
      <c r="BC942" s="100"/>
      <c r="BD942" s="100"/>
      <c r="BE942" s="100"/>
      <c r="BF942" s="100"/>
      <c r="BG942" s="100"/>
      <c r="BH942" s="100"/>
      <c r="BI942" s="100"/>
      <c r="BJ942" s="100"/>
      <c r="BK942" s="102"/>
      <c r="BN942" s="36"/>
    </row>
    <row r="943" spans="1:66" x14ac:dyDescent="0.25">
      <c r="A943" s="92"/>
      <c r="B943" s="92"/>
      <c r="C943" s="92"/>
      <c r="D943" s="92"/>
      <c r="E943" s="92"/>
      <c r="F943" s="92"/>
      <c r="G943" s="92"/>
      <c r="H943" s="92"/>
      <c r="I943" s="92"/>
      <c r="J943" s="92"/>
      <c r="K943" s="92"/>
      <c r="L943" s="92"/>
      <c r="M943" s="92"/>
      <c r="N943" s="92"/>
      <c r="AG943" s="100"/>
      <c r="AH943" s="101"/>
      <c r="AI943" s="101"/>
      <c r="AJ943" s="100"/>
      <c r="AK943" s="100"/>
      <c r="AL943" s="100"/>
      <c r="AM943" s="100"/>
      <c r="AN943" s="100"/>
      <c r="AO943" s="100"/>
      <c r="AP943" s="100"/>
      <c r="AQ943" s="100"/>
      <c r="AR943" s="100"/>
      <c r="AS943" s="100"/>
      <c r="AT943" s="102"/>
      <c r="AX943" s="100"/>
      <c r="AY943" s="101"/>
      <c r="AZ943" s="101"/>
      <c r="BA943" s="100"/>
      <c r="BB943" s="100"/>
      <c r="BC943" s="100"/>
      <c r="BD943" s="100"/>
      <c r="BE943" s="100"/>
      <c r="BF943" s="100"/>
      <c r="BG943" s="100"/>
      <c r="BH943" s="100"/>
      <c r="BI943" s="100"/>
      <c r="BJ943" s="100"/>
      <c r="BK943" s="102"/>
      <c r="BN943" s="36"/>
    </row>
    <row r="944" spans="1:66" x14ac:dyDescent="0.25">
      <c r="A944" s="92"/>
      <c r="B944" s="93"/>
      <c r="C944" s="93"/>
      <c r="D944" s="92"/>
      <c r="E944" s="92"/>
      <c r="F944" s="92"/>
      <c r="G944" s="92"/>
      <c r="H944" s="92"/>
      <c r="I944" s="92"/>
      <c r="J944" s="92"/>
      <c r="K944" s="92"/>
      <c r="L944" s="92"/>
      <c r="M944" s="92"/>
      <c r="N944" s="94"/>
      <c r="AG944" s="100"/>
      <c r="AH944" s="101"/>
      <c r="AI944" s="101"/>
      <c r="AJ944" s="100"/>
      <c r="AK944" s="100"/>
      <c r="AL944" s="100"/>
      <c r="AM944" s="100"/>
      <c r="AN944" s="100"/>
      <c r="AO944" s="100"/>
      <c r="AP944" s="100"/>
      <c r="AQ944" s="100"/>
      <c r="AR944" s="100"/>
      <c r="AS944" s="100"/>
      <c r="AT944" s="102"/>
      <c r="AX944" s="100"/>
      <c r="AY944" s="101"/>
      <c r="AZ944" s="101"/>
      <c r="BA944" s="101"/>
      <c r="BB944" s="100"/>
      <c r="BC944" s="100"/>
      <c r="BD944" s="100"/>
      <c r="BE944" s="100"/>
      <c r="BF944" s="100"/>
      <c r="BG944" s="100"/>
      <c r="BH944" s="100"/>
      <c r="BI944" s="100"/>
      <c r="BJ944" s="100"/>
      <c r="BK944" s="102"/>
      <c r="BN944" s="36"/>
    </row>
    <row r="945" spans="1:66" x14ac:dyDescent="0.25">
      <c r="A945" s="92"/>
      <c r="B945" s="93"/>
      <c r="C945" s="93"/>
      <c r="D945" s="93"/>
      <c r="E945" s="92"/>
      <c r="F945" s="92"/>
      <c r="G945" s="92"/>
      <c r="H945" s="92"/>
      <c r="I945" s="92"/>
      <c r="J945" s="92"/>
      <c r="K945" s="92"/>
      <c r="L945" s="92"/>
      <c r="M945" s="92"/>
      <c r="N945" s="94"/>
      <c r="AG945" s="100"/>
      <c r="AH945" s="101"/>
      <c r="AI945" s="101"/>
      <c r="AJ945" s="101"/>
      <c r="AK945" s="100"/>
      <c r="AL945" s="100"/>
      <c r="AM945" s="100"/>
      <c r="AN945" s="100"/>
      <c r="AO945" s="100"/>
      <c r="AP945" s="100"/>
      <c r="AQ945" s="100"/>
      <c r="AR945" s="100"/>
      <c r="AS945" s="100"/>
      <c r="AT945" s="102"/>
      <c r="AX945" s="100"/>
      <c r="AY945" s="101"/>
      <c r="AZ945" s="101"/>
      <c r="BA945" s="100"/>
      <c r="BB945" s="100"/>
      <c r="BC945" s="100"/>
      <c r="BD945" s="100"/>
      <c r="BE945" s="100"/>
      <c r="BF945" s="100"/>
      <c r="BG945" s="100"/>
      <c r="BH945" s="100"/>
      <c r="BI945" s="100"/>
      <c r="BJ945" s="100"/>
      <c r="BK945" s="102"/>
      <c r="BN945" s="36"/>
    </row>
    <row r="946" spans="1:66" x14ac:dyDescent="0.25">
      <c r="A946" s="92"/>
      <c r="B946" s="93"/>
      <c r="C946" s="93"/>
      <c r="D946" s="92"/>
      <c r="E946" s="92"/>
      <c r="F946" s="92"/>
      <c r="G946" s="92"/>
      <c r="H946" s="92"/>
      <c r="I946" s="92"/>
      <c r="J946" s="92"/>
      <c r="K946" s="92"/>
      <c r="L946" s="92"/>
      <c r="M946" s="92"/>
      <c r="N946" s="94"/>
      <c r="AG946" s="100"/>
      <c r="AH946" s="101"/>
      <c r="AI946" s="101"/>
      <c r="AJ946" s="100"/>
      <c r="AK946" s="100"/>
      <c r="AL946" s="100"/>
      <c r="AM946" s="100"/>
      <c r="AN946" s="100"/>
      <c r="AO946" s="100"/>
      <c r="AP946" s="100"/>
      <c r="AQ946" s="100"/>
      <c r="AR946" s="100"/>
      <c r="AS946" s="100"/>
      <c r="AT946" s="102"/>
      <c r="AX946" s="100"/>
      <c r="AY946" s="101"/>
      <c r="AZ946" s="101"/>
      <c r="BA946" s="100"/>
      <c r="BB946" s="100"/>
      <c r="BC946" s="100"/>
      <c r="BD946" s="100"/>
      <c r="BE946" s="100"/>
      <c r="BF946" s="100"/>
      <c r="BG946" s="100"/>
      <c r="BH946" s="100"/>
      <c r="BI946" s="100"/>
      <c r="BJ946" s="100"/>
      <c r="BK946" s="102"/>
      <c r="BN946" s="36"/>
    </row>
    <row r="947" spans="1:66" x14ac:dyDescent="0.25">
      <c r="A947" s="92"/>
      <c r="B947" s="93"/>
      <c r="C947" s="93"/>
      <c r="D947" s="92"/>
      <c r="E947" s="92"/>
      <c r="F947" s="92"/>
      <c r="G947" s="92"/>
      <c r="H947" s="92"/>
      <c r="I947" s="92"/>
      <c r="J947" s="92"/>
      <c r="K947" s="92"/>
      <c r="L947" s="92"/>
      <c r="M947" s="92"/>
      <c r="N947" s="94"/>
      <c r="AG947" s="100"/>
      <c r="AH947" s="101"/>
      <c r="AI947" s="101"/>
      <c r="AJ947" s="100"/>
      <c r="AK947" s="100"/>
      <c r="AL947" s="100"/>
      <c r="AM947" s="100"/>
      <c r="AN947" s="100"/>
      <c r="AO947" s="100"/>
      <c r="AP947" s="100"/>
      <c r="AQ947" s="100"/>
      <c r="AR947" s="100"/>
      <c r="AS947" s="100"/>
      <c r="AT947" s="102"/>
      <c r="AX947" s="100"/>
      <c r="AY947" s="101"/>
      <c r="AZ947" s="101"/>
      <c r="BA947" s="101"/>
      <c r="BB947" s="100"/>
      <c r="BC947" s="100"/>
      <c r="BD947" s="100"/>
      <c r="BE947" s="100"/>
      <c r="BF947" s="100"/>
      <c r="BG947" s="100"/>
      <c r="BH947" s="100"/>
      <c r="BI947" s="100"/>
      <c r="BJ947" s="100"/>
      <c r="BK947" s="102"/>
      <c r="BN947" s="36"/>
    </row>
    <row r="948" spans="1:66" x14ac:dyDescent="0.25">
      <c r="A948" s="92"/>
      <c r="B948" s="93"/>
      <c r="C948" s="93"/>
      <c r="D948" s="92"/>
      <c r="E948" s="92"/>
      <c r="F948" s="92"/>
      <c r="G948" s="92"/>
      <c r="H948" s="92"/>
      <c r="I948" s="92"/>
      <c r="J948" s="92"/>
      <c r="K948" s="92"/>
      <c r="L948" s="92"/>
      <c r="M948" s="92"/>
      <c r="N948" s="94"/>
      <c r="AG948" s="100"/>
      <c r="AH948" s="101"/>
      <c r="AI948" s="101"/>
      <c r="AJ948" s="101"/>
      <c r="AK948" s="100"/>
      <c r="AL948" s="100"/>
      <c r="AM948" s="100"/>
      <c r="AN948" s="100"/>
      <c r="AO948" s="100"/>
      <c r="AP948" s="100"/>
      <c r="AQ948" s="100"/>
      <c r="AR948" s="100"/>
      <c r="AS948" s="100"/>
      <c r="AT948" s="102"/>
      <c r="AX948" s="100"/>
      <c r="AY948" s="101"/>
      <c r="AZ948" s="101"/>
      <c r="BA948" s="101"/>
      <c r="BB948" s="100"/>
      <c r="BC948" s="100"/>
      <c r="BD948" s="100"/>
      <c r="BE948" s="100"/>
      <c r="BF948" s="100"/>
      <c r="BG948" s="100"/>
      <c r="BH948" s="100"/>
      <c r="BI948" s="100"/>
      <c r="BJ948" s="100"/>
      <c r="BK948" s="102"/>
      <c r="BN948" s="36"/>
    </row>
    <row r="949" spans="1:66" x14ac:dyDescent="0.25">
      <c r="A949" s="92"/>
      <c r="B949" s="93"/>
      <c r="C949" s="93"/>
      <c r="D949" s="93"/>
      <c r="E949" s="92"/>
      <c r="F949" s="92"/>
      <c r="G949" s="92"/>
      <c r="H949" s="92"/>
      <c r="I949" s="92"/>
      <c r="J949" s="92"/>
      <c r="K949" s="92"/>
      <c r="L949" s="92"/>
      <c r="M949" s="92"/>
      <c r="N949" s="94"/>
      <c r="AG949" s="100"/>
      <c r="AH949" s="101"/>
      <c r="AI949" s="101"/>
      <c r="AJ949" s="100"/>
      <c r="AK949" s="100"/>
      <c r="AL949" s="100"/>
      <c r="AM949" s="100"/>
      <c r="AN949" s="100"/>
      <c r="AO949" s="100"/>
      <c r="AP949" s="100"/>
      <c r="AQ949" s="100"/>
      <c r="AR949" s="100"/>
      <c r="AS949" s="100"/>
      <c r="AT949" s="102"/>
      <c r="AX949" s="100"/>
      <c r="AY949" s="101"/>
      <c r="AZ949" s="101"/>
      <c r="BA949" s="100"/>
      <c r="BB949" s="100"/>
      <c r="BC949" s="100"/>
      <c r="BD949" s="100"/>
      <c r="BE949" s="100"/>
      <c r="BF949" s="100"/>
      <c r="BG949" s="100"/>
      <c r="BH949" s="100"/>
      <c r="BI949" s="100"/>
      <c r="BJ949" s="100"/>
      <c r="BK949" s="102"/>
      <c r="BN949" s="36"/>
    </row>
    <row r="950" spans="1:66" x14ac:dyDescent="0.25">
      <c r="A950" s="92"/>
      <c r="B950" s="93"/>
      <c r="C950" s="93"/>
      <c r="D950" s="92"/>
      <c r="E950" s="92"/>
      <c r="F950" s="92"/>
      <c r="G950" s="92"/>
      <c r="H950" s="92"/>
      <c r="I950" s="92"/>
      <c r="J950" s="92"/>
      <c r="K950" s="92"/>
      <c r="L950" s="92"/>
      <c r="M950" s="92"/>
      <c r="N950" s="94"/>
      <c r="AG950" s="100"/>
      <c r="AH950" s="101"/>
      <c r="AI950" s="101"/>
      <c r="AJ950" s="100"/>
      <c r="AK950" s="100"/>
      <c r="AL950" s="100"/>
      <c r="AM950" s="100"/>
      <c r="AN950" s="100"/>
      <c r="AO950" s="100"/>
      <c r="AP950" s="100"/>
      <c r="AQ950" s="100"/>
      <c r="AR950" s="100"/>
      <c r="AS950" s="100"/>
      <c r="AT950" s="102"/>
      <c r="AX950" s="100"/>
      <c r="AY950" s="101"/>
      <c r="AZ950" s="101"/>
      <c r="BA950" s="100"/>
      <c r="BB950" s="100"/>
      <c r="BC950" s="100"/>
      <c r="BD950" s="100"/>
      <c r="BE950" s="100"/>
      <c r="BF950" s="100"/>
      <c r="BG950" s="100"/>
      <c r="BH950" s="100"/>
      <c r="BI950" s="100"/>
      <c r="BJ950" s="100"/>
      <c r="BK950" s="102"/>
      <c r="BN950" s="36"/>
    </row>
    <row r="951" spans="1:66" x14ac:dyDescent="0.25">
      <c r="A951" s="92"/>
      <c r="B951" s="93"/>
      <c r="C951" s="93"/>
      <c r="D951" s="92"/>
      <c r="E951" s="92"/>
      <c r="F951" s="92"/>
      <c r="G951" s="92"/>
      <c r="H951" s="92"/>
      <c r="I951" s="92"/>
      <c r="J951" s="92"/>
      <c r="K951" s="92"/>
      <c r="L951" s="92"/>
      <c r="M951" s="92"/>
      <c r="N951" s="94"/>
      <c r="AG951" s="100"/>
      <c r="AH951" s="101"/>
      <c r="AI951" s="101"/>
      <c r="AJ951" s="100"/>
      <c r="AK951" s="100"/>
      <c r="AL951" s="100"/>
      <c r="AM951" s="100"/>
      <c r="AN951" s="100"/>
      <c r="AO951" s="100"/>
      <c r="AP951" s="100"/>
      <c r="AQ951" s="100"/>
      <c r="AR951" s="100"/>
      <c r="AS951" s="100"/>
      <c r="AT951" s="102"/>
      <c r="AX951" s="100"/>
      <c r="AY951" s="101"/>
      <c r="AZ951" s="101"/>
      <c r="BA951" s="100"/>
      <c r="BB951" s="100"/>
      <c r="BC951" s="100"/>
      <c r="BD951" s="100"/>
      <c r="BE951" s="100"/>
      <c r="BF951" s="100"/>
      <c r="BG951" s="100"/>
      <c r="BH951" s="100"/>
      <c r="BI951" s="100"/>
      <c r="BJ951" s="100"/>
      <c r="BK951" s="102"/>
      <c r="BN951" s="36"/>
    </row>
    <row r="952" spans="1:66" x14ac:dyDescent="0.25">
      <c r="A952" s="92"/>
      <c r="B952" s="93"/>
      <c r="C952" s="93"/>
      <c r="D952" s="92"/>
      <c r="E952" s="92"/>
      <c r="F952" s="92"/>
      <c r="G952" s="92"/>
      <c r="H952" s="92"/>
      <c r="I952" s="92"/>
      <c r="J952" s="92"/>
      <c r="K952" s="92"/>
      <c r="L952" s="92"/>
      <c r="M952" s="92"/>
      <c r="N952" s="94"/>
      <c r="AG952" s="100"/>
      <c r="AH952" s="101"/>
      <c r="AI952" s="101"/>
      <c r="AJ952" s="101"/>
      <c r="AK952" s="100"/>
      <c r="AL952" s="100"/>
      <c r="AM952" s="100"/>
      <c r="AN952" s="100"/>
      <c r="AO952" s="100"/>
      <c r="AP952" s="100"/>
      <c r="AQ952" s="100"/>
      <c r="AR952" s="100"/>
      <c r="AS952" s="100"/>
      <c r="AT952" s="102"/>
      <c r="AX952" s="100"/>
      <c r="AY952" s="101"/>
      <c r="AZ952" s="101"/>
      <c r="BA952" s="101"/>
      <c r="BB952" s="100"/>
      <c r="BC952" s="100"/>
      <c r="BD952" s="100"/>
      <c r="BE952" s="100"/>
      <c r="BF952" s="100"/>
      <c r="BG952" s="100"/>
      <c r="BH952" s="100"/>
      <c r="BI952" s="100"/>
      <c r="BJ952" s="100"/>
      <c r="BK952" s="102"/>
      <c r="BN952" s="36"/>
    </row>
    <row r="953" spans="1:66" x14ac:dyDescent="0.25">
      <c r="A953" s="92"/>
      <c r="B953" s="93"/>
      <c r="C953" s="93"/>
      <c r="D953" s="92"/>
      <c r="E953" s="92"/>
      <c r="F953" s="92"/>
      <c r="G953" s="92"/>
      <c r="H953" s="92"/>
      <c r="I953" s="92"/>
      <c r="J953" s="92"/>
      <c r="K953" s="92"/>
      <c r="L953" s="92"/>
      <c r="M953" s="92"/>
      <c r="N953" s="94"/>
      <c r="AG953" s="100"/>
      <c r="AH953" s="101"/>
      <c r="AI953" s="101"/>
      <c r="AJ953" s="100"/>
      <c r="AK953" s="100"/>
      <c r="AL953" s="100"/>
      <c r="AM953" s="100"/>
      <c r="AN953" s="100"/>
      <c r="AO953" s="100"/>
      <c r="AP953" s="100"/>
      <c r="AQ953" s="100"/>
      <c r="AR953" s="100"/>
      <c r="AS953" s="100"/>
      <c r="AT953" s="102"/>
      <c r="AX953" s="100"/>
      <c r="AY953" s="101"/>
      <c r="AZ953" s="101"/>
      <c r="BA953" s="100"/>
      <c r="BB953" s="100"/>
      <c r="BC953" s="100"/>
      <c r="BD953" s="100"/>
      <c r="BE953" s="100"/>
      <c r="BF953" s="100"/>
      <c r="BG953" s="100"/>
      <c r="BH953" s="100"/>
      <c r="BI953" s="100"/>
      <c r="BJ953" s="100"/>
      <c r="BK953" s="102"/>
      <c r="BN953" s="36"/>
    </row>
    <row r="954" spans="1:66" x14ac:dyDescent="0.25">
      <c r="A954" s="92"/>
      <c r="B954" s="93"/>
      <c r="C954" s="93"/>
      <c r="D954" s="92"/>
      <c r="E954" s="92"/>
      <c r="F954" s="92"/>
      <c r="G954" s="92"/>
      <c r="H954" s="92"/>
      <c r="I954" s="92"/>
      <c r="J954" s="92"/>
      <c r="K954" s="92"/>
      <c r="L954" s="92"/>
      <c r="M954" s="92"/>
      <c r="N954" s="94"/>
      <c r="AG954" s="100"/>
      <c r="AH954" s="101"/>
      <c r="AI954" s="101"/>
      <c r="AJ954" s="100"/>
      <c r="AK954" s="100"/>
      <c r="AL954" s="100"/>
      <c r="AM954" s="100"/>
      <c r="AN954" s="100"/>
      <c r="AO954" s="100"/>
      <c r="AP954" s="100"/>
      <c r="AQ954" s="100"/>
      <c r="AR954" s="100"/>
      <c r="AS954" s="100"/>
      <c r="AT954" s="102"/>
      <c r="AX954" s="100"/>
      <c r="AY954" s="101"/>
      <c r="AZ954" s="101"/>
      <c r="BA954" s="101"/>
      <c r="BB954" s="100"/>
      <c r="BC954" s="100"/>
      <c r="BD954" s="100"/>
      <c r="BE954" s="100"/>
      <c r="BF954" s="100"/>
      <c r="BG954" s="100"/>
      <c r="BH954" s="100"/>
      <c r="BI954" s="100"/>
      <c r="BJ954" s="100"/>
      <c r="BK954" s="102"/>
      <c r="BN954" s="36"/>
    </row>
    <row r="955" spans="1:66" x14ac:dyDescent="0.25">
      <c r="A955" s="92"/>
      <c r="B955" s="93"/>
      <c r="C955" s="93"/>
      <c r="D955" s="92"/>
      <c r="E955" s="92"/>
      <c r="F955" s="92"/>
      <c r="G955" s="92"/>
      <c r="H955" s="92"/>
      <c r="I955" s="92"/>
      <c r="J955" s="92"/>
      <c r="K955" s="92"/>
      <c r="L955" s="92"/>
      <c r="M955" s="92"/>
      <c r="N955" s="94"/>
      <c r="AG955" s="100"/>
      <c r="AH955" s="101"/>
      <c r="AI955" s="101"/>
      <c r="AJ955" s="100"/>
      <c r="AK955" s="100"/>
      <c r="AL955" s="100"/>
      <c r="AM955" s="100"/>
      <c r="AN955" s="100"/>
      <c r="AO955" s="100"/>
      <c r="AP955" s="100"/>
      <c r="AQ955" s="100"/>
      <c r="AR955" s="100"/>
      <c r="AS955" s="100"/>
      <c r="AT955" s="102"/>
      <c r="AX955" s="100"/>
      <c r="AY955" s="101"/>
      <c r="AZ955" s="101"/>
      <c r="BA955" s="100"/>
      <c r="BB955" s="100"/>
      <c r="BC955" s="100"/>
      <c r="BD955" s="100"/>
      <c r="BE955" s="100"/>
      <c r="BF955" s="100"/>
      <c r="BG955" s="100"/>
      <c r="BH955" s="100"/>
      <c r="BI955" s="100"/>
      <c r="BJ955" s="100"/>
      <c r="BK955" s="102"/>
      <c r="BN955" s="36"/>
    </row>
    <row r="956" spans="1:66" x14ac:dyDescent="0.25">
      <c r="A956" s="92"/>
      <c r="B956" s="92"/>
      <c r="C956" s="92"/>
      <c r="D956" s="92"/>
      <c r="E956" s="92"/>
      <c r="F956" s="92"/>
      <c r="G956" s="92"/>
      <c r="H956" s="92"/>
      <c r="I956" s="92"/>
      <c r="J956" s="92"/>
      <c r="K956" s="92"/>
      <c r="L956" s="92"/>
      <c r="M956" s="92"/>
      <c r="N956" s="92"/>
      <c r="AG956" s="100"/>
      <c r="AH956" s="101"/>
      <c r="AI956" s="101"/>
      <c r="AJ956" s="101"/>
      <c r="AK956" s="100"/>
      <c r="AL956" s="100"/>
      <c r="AM956" s="100"/>
      <c r="AN956" s="100"/>
      <c r="AO956" s="100"/>
      <c r="AP956" s="100"/>
      <c r="AQ956" s="100"/>
      <c r="AR956" s="100"/>
      <c r="AS956" s="100"/>
      <c r="AT956" s="102"/>
      <c r="AX956" s="100"/>
      <c r="AY956" s="101"/>
      <c r="AZ956" s="101"/>
      <c r="BA956" s="100"/>
      <c r="BB956" s="100"/>
      <c r="BC956" s="100"/>
      <c r="BD956" s="100"/>
      <c r="BE956" s="100"/>
      <c r="BF956" s="100"/>
      <c r="BG956" s="100"/>
      <c r="BH956" s="100"/>
      <c r="BI956" s="100"/>
      <c r="BJ956" s="100"/>
      <c r="BK956" s="102"/>
      <c r="BN956" s="36"/>
    </row>
    <row r="957" spans="1:66" x14ac:dyDescent="0.25">
      <c r="A957" s="92"/>
      <c r="B957" s="92"/>
      <c r="C957" s="92"/>
      <c r="D957" s="92"/>
      <c r="E957" s="92"/>
      <c r="F957" s="92"/>
      <c r="G957" s="92"/>
      <c r="H957" s="92"/>
      <c r="I957" s="92"/>
      <c r="J957" s="92"/>
      <c r="K957" s="92"/>
      <c r="L957" s="92"/>
      <c r="M957" s="92"/>
      <c r="N957" s="92"/>
      <c r="AG957" s="100"/>
      <c r="AH957" s="101"/>
      <c r="AI957" s="101"/>
      <c r="AJ957" s="101"/>
      <c r="AK957" s="100"/>
      <c r="AL957" s="100"/>
      <c r="AM957" s="100"/>
      <c r="AN957" s="100"/>
      <c r="AO957" s="100"/>
      <c r="AP957" s="100"/>
      <c r="AQ957" s="100"/>
      <c r="AR957" s="100"/>
      <c r="AS957" s="100"/>
      <c r="AT957" s="102"/>
      <c r="AX957" s="100"/>
      <c r="AY957" s="101"/>
      <c r="AZ957" s="101"/>
      <c r="BA957" s="101"/>
      <c r="BB957" s="100"/>
      <c r="BC957" s="100"/>
      <c r="BD957" s="100"/>
      <c r="BE957" s="100"/>
      <c r="BF957" s="100"/>
      <c r="BG957" s="100"/>
      <c r="BH957" s="100"/>
      <c r="BI957" s="100"/>
      <c r="BJ957" s="100"/>
      <c r="BK957" s="102"/>
      <c r="BN957" s="36"/>
    </row>
    <row r="958" spans="1:66" x14ac:dyDescent="0.25">
      <c r="A958" s="92"/>
      <c r="B958" s="92"/>
      <c r="C958" s="92"/>
      <c r="D958" s="92"/>
      <c r="E958" s="92"/>
      <c r="F958" s="92"/>
      <c r="G958" s="92"/>
      <c r="H958" s="92"/>
      <c r="I958" s="92"/>
      <c r="J958" s="92"/>
      <c r="K958" s="92"/>
      <c r="L958" s="92"/>
      <c r="M958" s="92"/>
      <c r="N958" s="92"/>
      <c r="AG958" s="100"/>
      <c r="AH958" s="101"/>
      <c r="AI958" s="101"/>
      <c r="AJ958" s="100"/>
      <c r="AK958" s="100"/>
      <c r="AL958" s="100"/>
      <c r="AM958" s="100"/>
      <c r="AN958" s="100"/>
      <c r="AO958" s="100"/>
      <c r="AP958" s="100"/>
      <c r="AQ958" s="100"/>
      <c r="AR958" s="100"/>
      <c r="AS958" s="100"/>
      <c r="AT958" s="102"/>
      <c r="AX958" s="100"/>
      <c r="AY958" s="101"/>
      <c r="AZ958" s="101"/>
      <c r="BA958" s="100"/>
      <c r="BB958" s="100"/>
      <c r="BC958" s="100"/>
      <c r="BD958" s="100"/>
      <c r="BE958" s="100"/>
      <c r="BF958" s="100"/>
      <c r="BG958" s="100"/>
      <c r="BH958" s="100"/>
      <c r="BI958" s="100"/>
      <c r="BJ958" s="100"/>
      <c r="BK958" s="102"/>
      <c r="BN958" s="36"/>
    </row>
    <row r="959" spans="1:66" x14ac:dyDescent="0.25">
      <c r="A959" s="92"/>
      <c r="B959" s="92"/>
      <c r="C959" s="92"/>
      <c r="D959" s="92"/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AG959" s="100"/>
      <c r="AH959" s="101"/>
      <c r="AI959" s="101"/>
      <c r="AJ959" s="100"/>
      <c r="AK959" s="100"/>
      <c r="AL959" s="100"/>
      <c r="AM959" s="100"/>
      <c r="AN959" s="100"/>
      <c r="AO959" s="100"/>
      <c r="AP959" s="100"/>
      <c r="AQ959" s="100"/>
      <c r="AR959" s="100"/>
      <c r="AS959" s="100"/>
      <c r="AT959" s="102"/>
      <c r="AX959" s="100"/>
      <c r="AY959" s="101"/>
      <c r="AZ959" s="101"/>
      <c r="BA959" s="100"/>
      <c r="BB959" s="100"/>
      <c r="BC959" s="100"/>
      <c r="BD959" s="100"/>
      <c r="BE959" s="100"/>
      <c r="BF959" s="100"/>
      <c r="BG959" s="100"/>
      <c r="BH959" s="100"/>
      <c r="BI959" s="100"/>
      <c r="BJ959" s="100"/>
      <c r="BK959" s="102"/>
      <c r="BN959" s="36"/>
    </row>
    <row r="960" spans="1:66" x14ac:dyDescent="0.25">
      <c r="A960" s="92"/>
      <c r="B960" s="92"/>
      <c r="C960" s="92"/>
      <c r="D960" s="92"/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AG960" s="100"/>
      <c r="AH960" s="101"/>
      <c r="AI960" s="101"/>
      <c r="AJ960" s="100"/>
      <c r="AK960" s="100"/>
      <c r="AL960" s="100"/>
      <c r="AM960" s="100"/>
      <c r="AN960" s="100"/>
      <c r="AO960" s="100"/>
      <c r="AP960" s="100"/>
      <c r="AQ960" s="100"/>
      <c r="AR960" s="100"/>
      <c r="AS960" s="100"/>
      <c r="AT960" s="102"/>
      <c r="AX960" s="100"/>
      <c r="AY960" s="101"/>
      <c r="AZ960" s="101"/>
      <c r="BA960" s="100"/>
      <c r="BB960" s="100"/>
      <c r="BC960" s="100"/>
      <c r="BD960" s="100"/>
      <c r="BE960" s="100"/>
      <c r="BF960" s="100"/>
      <c r="BG960" s="100"/>
      <c r="BH960" s="100"/>
      <c r="BI960" s="100"/>
      <c r="BJ960" s="100"/>
      <c r="BK960" s="102"/>
      <c r="BN960" s="36"/>
    </row>
    <row r="961" spans="1:66" x14ac:dyDescent="0.25">
      <c r="A961" s="92"/>
      <c r="B961" s="92"/>
      <c r="C961" s="92"/>
      <c r="D961" s="92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AG961" s="100"/>
      <c r="AH961" s="101"/>
      <c r="AI961" s="101"/>
      <c r="AJ961" s="101"/>
      <c r="AK961" s="100"/>
      <c r="AL961" s="100"/>
      <c r="AM961" s="100"/>
      <c r="AN961" s="100"/>
      <c r="AO961" s="100"/>
      <c r="AP961" s="100"/>
      <c r="AQ961" s="100"/>
      <c r="AR961" s="100"/>
      <c r="AS961" s="100"/>
      <c r="AT961" s="102"/>
      <c r="AX961" s="100"/>
      <c r="AY961" s="101"/>
      <c r="AZ961" s="101"/>
      <c r="BA961" s="100"/>
      <c r="BB961" s="100"/>
      <c r="BC961" s="100"/>
      <c r="BD961" s="100"/>
      <c r="BE961" s="100"/>
      <c r="BF961" s="100"/>
      <c r="BG961" s="100"/>
      <c r="BH961" s="100"/>
      <c r="BI961" s="100"/>
      <c r="BJ961" s="100"/>
      <c r="BK961" s="102"/>
      <c r="BN961" s="36"/>
    </row>
    <row r="962" spans="1:66" x14ac:dyDescent="0.25">
      <c r="A962" s="92"/>
      <c r="B962" s="92"/>
      <c r="C962" s="92"/>
      <c r="D962" s="92"/>
      <c r="E962" s="92"/>
      <c r="F962" s="92"/>
      <c r="G962" s="92"/>
      <c r="H962" s="92"/>
      <c r="I962" s="92"/>
      <c r="J962" s="92"/>
      <c r="K962" s="92"/>
      <c r="L962" s="92"/>
      <c r="M962" s="92"/>
      <c r="N962" s="92"/>
      <c r="AG962" s="100"/>
      <c r="AH962" s="101"/>
      <c r="AI962" s="101"/>
      <c r="AJ962" s="100"/>
      <c r="AK962" s="100"/>
      <c r="AL962" s="100"/>
      <c r="AM962" s="100"/>
      <c r="AN962" s="100"/>
      <c r="AO962" s="100"/>
      <c r="AP962" s="100"/>
      <c r="AQ962" s="100"/>
      <c r="AR962" s="100"/>
      <c r="AS962" s="100"/>
      <c r="AT962" s="102"/>
      <c r="AX962" s="100"/>
      <c r="AY962" s="101"/>
      <c r="AZ962" s="101"/>
      <c r="BA962" s="100"/>
      <c r="BB962" s="100"/>
      <c r="BC962" s="100"/>
      <c r="BD962" s="100"/>
      <c r="BE962" s="100"/>
      <c r="BF962" s="100"/>
      <c r="BG962" s="100"/>
      <c r="BH962" s="100"/>
      <c r="BI962" s="100"/>
      <c r="BJ962" s="100"/>
      <c r="BK962" s="102"/>
      <c r="BN962" s="36"/>
    </row>
    <row r="963" spans="1:66" x14ac:dyDescent="0.25">
      <c r="A963" s="92"/>
      <c r="B963" s="93"/>
      <c r="C963" s="93"/>
      <c r="D963" s="92"/>
      <c r="E963" s="92"/>
      <c r="F963" s="92"/>
      <c r="G963" s="92"/>
      <c r="H963" s="92"/>
      <c r="I963" s="92"/>
      <c r="J963" s="92"/>
      <c r="K963" s="92"/>
      <c r="L963" s="92"/>
      <c r="M963" s="92"/>
      <c r="N963" s="94"/>
      <c r="AG963" s="100"/>
      <c r="AH963" s="101"/>
      <c r="AI963" s="101"/>
      <c r="AJ963" s="100"/>
      <c r="AK963" s="100"/>
      <c r="AL963" s="100"/>
      <c r="AM963" s="100"/>
      <c r="AN963" s="100"/>
      <c r="AO963" s="100"/>
      <c r="AP963" s="100"/>
      <c r="AQ963" s="100"/>
      <c r="AR963" s="100"/>
      <c r="AS963" s="100"/>
      <c r="AT963" s="102"/>
      <c r="AX963" s="100"/>
      <c r="AY963" s="101"/>
      <c r="AZ963" s="101"/>
      <c r="BA963" s="100"/>
      <c r="BB963" s="100"/>
      <c r="BC963" s="100"/>
      <c r="BD963" s="100"/>
      <c r="BE963" s="100"/>
      <c r="BF963" s="100"/>
      <c r="BG963" s="100"/>
      <c r="BH963" s="100"/>
      <c r="BI963" s="100"/>
      <c r="BJ963" s="100"/>
      <c r="BK963" s="102"/>
      <c r="BN963" s="36"/>
    </row>
    <row r="964" spans="1:66" x14ac:dyDescent="0.25">
      <c r="A964" s="92"/>
      <c r="B964" s="93"/>
      <c r="C964" s="93"/>
      <c r="D964" s="92"/>
      <c r="E964" s="92"/>
      <c r="F964" s="92"/>
      <c r="G964" s="92"/>
      <c r="H964" s="92"/>
      <c r="I964" s="92"/>
      <c r="J964" s="92"/>
      <c r="K964" s="92"/>
      <c r="L964" s="92"/>
      <c r="M964" s="92"/>
      <c r="N964" s="94"/>
      <c r="AG964" s="100"/>
      <c r="AH964" s="101"/>
      <c r="AI964" s="101"/>
      <c r="AJ964" s="100"/>
      <c r="AK964" s="100"/>
      <c r="AL964" s="100"/>
      <c r="AM964" s="100"/>
      <c r="AN964" s="100"/>
      <c r="AO964" s="100"/>
      <c r="AP964" s="100"/>
      <c r="AQ964" s="100"/>
      <c r="AR964" s="100"/>
      <c r="AS964" s="100"/>
      <c r="AT964" s="102"/>
      <c r="AX964" s="100"/>
      <c r="AY964" s="101"/>
      <c r="AZ964" s="101"/>
      <c r="BA964" s="100"/>
      <c r="BB964" s="100"/>
      <c r="BC964" s="100"/>
      <c r="BD964" s="100"/>
      <c r="BE964" s="100"/>
      <c r="BF964" s="100"/>
      <c r="BG964" s="100"/>
      <c r="BH964" s="100"/>
      <c r="BI964" s="100"/>
      <c r="BJ964" s="100"/>
      <c r="BK964" s="102"/>
      <c r="BN964" s="36"/>
    </row>
    <row r="965" spans="1:66" x14ac:dyDescent="0.25">
      <c r="A965" s="92"/>
      <c r="B965" s="93"/>
      <c r="C965" s="93"/>
      <c r="D965" s="92"/>
      <c r="E965" s="92"/>
      <c r="F965" s="92"/>
      <c r="G965" s="92"/>
      <c r="H965" s="92"/>
      <c r="I965" s="92"/>
      <c r="J965" s="92"/>
      <c r="K965" s="92"/>
      <c r="L965" s="92"/>
      <c r="M965" s="92"/>
      <c r="N965" s="94"/>
      <c r="AG965" s="100"/>
      <c r="AH965" s="101"/>
      <c r="AI965" s="101"/>
      <c r="AJ965" s="100"/>
      <c r="AK965" s="100"/>
      <c r="AL965" s="100"/>
      <c r="AM965" s="100"/>
      <c r="AN965" s="100"/>
      <c r="AO965" s="100"/>
      <c r="AP965" s="100"/>
      <c r="AQ965" s="100"/>
      <c r="AR965" s="100"/>
      <c r="AS965" s="100"/>
      <c r="AT965" s="102"/>
      <c r="AX965" s="100"/>
      <c r="AY965" s="101"/>
      <c r="AZ965" s="101"/>
      <c r="BA965" s="101"/>
      <c r="BB965" s="100"/>
      <c r="BC965" s="100"/>
      <c r="BD965" s="100"/>
      <c r="BE965" s="100"/>
      <c r="BF965" s="100"/>
      <c r="BG965" s="100"/>
      <c r="BH965" s="100"/>
      <c r="BI965" s="100"/>
      <c r="BJ965" s="100"/>
      <c r="BK965" s="102"/>
      <c r="BN965" s="36"/>
    </row>
    <row r="966" spans="1:66" x14ac:dyDescent="0.25">
      <c r="A966" s="92"/>
      <c r="B966" s="93"/>
      <c r="C966" s="93"/>
      <c r="D966" s="92"/>
      <c r="E966" s="92"/>
      <c r="F966" s="92"/>
      <c r="G966" s="92"/>
      <c r="H966" s="92"/>
      <c r="I966" s="92"/>
      <c r="J966" s="92"/>
      <c r="K966" s="92"/>
      <c r="L966" s="92"/>
      <c r="M966" s="92"/>
      <c r="N966" s="94"/>
      <c r="AG966" s="100"/>
      <c r="AH966" s="101"/>
      <c r="AI966" s="101"/>
      <c r="AJ966" s="100"/>
      <c r="AK966" s="100"/>
      <c r="AL966" s="100"/>
      <c r="AM966" s="100"/>
      <c r="AN966" s="100"/>
      <c r="AO966" s="100"/>
      <c r="AP966" s="100"/>
      <c r="AQ966" s="100"/>
      <c r="AR966" s="100"/>
      <c r="AS966" s="100"/>
      <c r="AT966" s="102"/>
      <c r="AX966" s="100"/>
      <c r="AY966" s="101"/>
      <c r="AZ966" s="101"/>
      <c r="BA966" s="100"/>
      <c r="BB966" s="100"/>
      <c r="BC966" s="100"/>
      <c r="BD966" s="100"/>
      <c r="BE966" s="100"/>
      <c r="BF966" s="100"/>
      <c r="BG966" s="100"/>
      <c r="BH966" s="100"/>
      <c r="BI966" s="100"/>
      <c r="BJ966" s="100"/>
      <c r="BK966" s="102"/>
      <c r="BN966" s="36"/>
    </row>
    <row r="967" spans="1:66" x14ac:dyDescent="0.25">
      <c r="A967" s="92"/>
      <c r="B967" s="93"/>
      <c r="C967" s="93"/>
      <c r="D967" s="93"/>
      <c r="E967" s="92"/>
      <c r="F967" s="92"/>
      <c r="G967" s="92"/>
      <c r="H967" s="92"/>
      <c r="I967" s="92"/>
      <c r="J967" s="92"/>
      <c r="K967" s="92"/>
      <c r="L967" s="92"/>
      <c r="M967" s="92"/>
      <c r="N967" s="94"/>
      <c r="AG967" s="100"/>
      <c r="AH967" s="101"/>
      <c r="AI967" s="101"/>
      <c r="AJ967" s="100"/>
      <c r="AK967" s="100"/>
      <c r="AL967" s="100"/>
      <c r="AM967" s="100"/>
      <c r="AN967" s="100"/>
      <c r="AO967" s="100"/>
      <c r="AP967" s="100"/>
      <c r="AQ967" s="100"/>
      <c r="AR967" s="100"/>
      <c r="AS967" s="100"/>
      <c r="AT967" s="102"/>
      <c r="AX967" s="100"/>
      <c r="AY967" s="101"/>
      <c r="AZ967" s="101"/>
      <c r="BA967" s="100"/>
      <c r="BB967" s="100"/>
      <c r="BC967" s="100"/>
      <c r="BD967" s="100"/>
      <c r="BE967" s="100"/>
      <c r="BF967" s="100"/>
      <c r="BG967" s="100"/>
      <c r="BH967" s="100"/>
      <c r="BI967" s="100"/>
      <c r="BJ967" s="100"/>
      <c r="BK967" s="102"/>
      <c r="BN967" s="36"/>
    </row>
    <row r="968" spans="1:66" x14ac:dyDescent="0.25">
      <c r="A968" s="92"/>
      <c r="B968" s="93"/>
      <c r="C968" s="93"/>
      <c r="D968" s="92"/>
      <c r="E968" s="92"/>
      <c r="F968" s="92"/>
      <c r="G968" s="92"/>
      <c r="H968" s="92"/>
      <c r="I968" s="92"/>
      <c r="J968" s="92"/>
      <c r="K968" s="92"/>
      <c r="L968" s="92"/>
      <c r="M968" s="92"/>
      <c r="N968" s="94"/>
      <c r="AG968" s="100"/>
      <c r="AH968" s="101"/>
      <c r="AI968" s="101"/>
      <c r="AJ968" s="100"/>
      <c r="AK968" s="100"/>
      <c r="AL968" s="100"/>
      <c r="AM968" s="100"/>
      <c r="AN968" s="100"/>
      <c r="AO968" s="100"/>
      <c r="AP968" s="100"/>
      <c r="AQ968" s="100"/>
      <c r="AR968" s="100"/>
      <c r="AS968" s="100"/>
      <c r="AT968" s="102"/>
      <c r="AX968" s="100"/>
      <c r="AY968" s="101"/>
      <c r="AZ968" s="101"/>
      <c r="BA968" s="101"/>
      <c r="BB968" s="100"/>
      <c r="BC968" s="100"/>
      <c r="BD968" s="100"/>
      <c r="BE968" s="100"/>
      <c r="BF968" s="100"/>
      <c r="BG968" s="100"/>
      <c r="BH968" s="100"/>
      <c r="BI968" s="100"/>
      <c r="BJ968" s="100"/>
      <c r="BK968" s="102"/>
      <c r="BN968" s="36"/>
    </row>
    <row r="969" spans="1:66" x14ac:dyDescent="0.25">
      <c r="A969" s="92"/>
      <c r="B969" s="93"/>
      <c r="C969" s="93"/>
      <c r="D969" s="92"/>
      <c r="E969" s="92"/>
      <c r="F969" s="92"/>
      <c r="G969" s="92"/>
      <c r="H969" s="92"/>
      <c r="I969" s="92"/>
      <c r="J969" s="92"/>
      <c r="K969" s="92"/>
      <c r="L969" s="92"/>
      <c r="M969" s="92"/>
      <c r="N969" s="94"/>
      <c r="AG969" s="100"/>
      <c r="AH969" s="101"/>
      <c r="AI969" s="101"/>
      <c r="AJ969" s="100"/>
      <c r="AK969" s="100"/>
      <c r="AL969" s="100"/>
      <c r="AM969" s="100"/>
      <c r="AN969" s="100"/>
      <c r="AO969" s="100"/>
      <c r="AP969" s="100"/>
      <c r="AQ969" s="100"/>
      <c r="AR969" s="100"/>
      <c r="AS969" s="100"/>
      <c r="AT969" s="102"/>
      <c r="AX969" s="100"/>
      <c r="AY969" s="101"/>
      <c r="AZ969" s="101"/>
      <c r="BA969" s="100"/>
      <c r="BB969" s="100"/>
      <c r="BC969" s="100"/>
      <c r="BD969" s="100"/>
      <c r="BE969" s="100"/>
      <c r="BF969" s="100"/>
      <c r="BG969" s="100"/>
      <c r="BH969" s="100"/>
      <c r="BI969" s="100"/>
      <c r="BJ969" s="100"/>
      <c r="BK969" s="102"/>
      <c r="BN969" s="36"/>
    </row>
    <row r="970" spans="1:66" x14ac:dyDescent="0.25">
      <c r="A970" s="92"/>
      <c r="B970" s="93"/>
      <c r="C970" s="93"/>
      <c r="D970" s="92"/>
      <c r="E970" s="92"/>
      <c r="F970" s="92"/>
      <c r="G970" s="92"/>
      <c r="H970" s="92"/>
      <c r="I970" s="92"/>
      <c r="J970" s="92"/>
      <c r="K970" s="92"/>
      <c r="L970" s="92"/>
      <c r="M970" s="92"/>
      <c r="N970" s="94"/>
      <c r="AG970" s="100"/>
      <c r="AH970" s="101"/>
      <c r="AI970" s="101"/>
      <c r="AJ970" s="101"/>
      <c r="AK970" s="100"/>
      <c r="AL970" s="100"/>
      <c r="AM970" s="100"/>
      <c r="AN970" s="100"/>
      <c r="AO970" s="100"/>
      <c r="AP970" s="100"/>
      <c r="AQ970" s="100"/>
      <c r="AR970" s="100"/>
      <c r="AS970" s="100"/>
      <c r="AT970" s="102"/>
      <c r="AX970" s="100"/>
      <c r="AY970" s="101"/>
      <c r="AZ970" s="101"/>
      <c r="BA970" s="100"/>
      <c r="BB970" s="100"/>
      <c r="BC970" s="100"/>
      <c r="BD970" s="100"/>
      <c r="BE970" s="100"/>
      <c r="BF970" s="100"/>
      <c r="BG970" s="100"/>
      <c r="BH970" s="100"/>
      <c r="BI970" s="100"/>
      <c r="BJ970" s="100"/>
      <c r="BK970" s="102"/>
      <c r="BN970" s="36"/>
    </row>
    <row r="971" spans="1:66" x14ac:dyDescent="0.25">
      <c r="A971" s="92"/>
      <c r="B971" s="93"/>
      <c r="C971" s="93"/>
      <c r="D971" s="92"/>
      <c r="E971" s="92"/>
      <c r="F971" s="92"/>
      <c r="G971" s="92"/>
      <c r="H971" s="92"/>
      <c r="I971" s="92"/>
      <c r="J971" s="92"/>
      <c r="K971" s="92"/>
      <c r="L971" s="92"/>
      <c r="M971" s="92"/>
      <c r="N971" s="94"/>
      <c r="AG971" s="100"/>
      <c r="AH971" s="101"/>
      <c r="AI971" s="101"/>
      <c r="AJ971" s="101"/>
      <c r="AK971" s="100"/>
      <c r="AL971" s="100"/>
      <c r="AM971" s="100"/>
      <c r="AN971" s="100"/>
      <c r="AO971" s="100"/>
      <c r="AP971" s="100"/>
      <c r="AQ971" s="100"/>
      <c r="AR971" s="100"/>
      <c r="AS971" s="100"/>
      <c r="AT971" s="102"/>
      <c r="AX971" s="100"/>
      <c r="AY971" s="101"/>
      <c r="AZ971" s="101"/>
      <c r="BA971" s="100"/>
      <c r="BB971" s="100"/>
      <c r="BC971" s="100"/>
      <c r="BD971" s="100"/>
      <c r="BE971" s="100"/>
      <c r="BF971" s="100"/>
      <c r="BG971" s="100"/>
      <c r="BH971" s="100"/>
      <c r="BI971" s="100"/>
      <c r="BJ971" s="100"/>
      <c r="BK971" s="102"/>
      <c r="BN971" s="36"/>
    </row>
    <row r="972" spans="1:66" x14ac:dyDescent="0.25">
      <c r="A972" s="92"/>
      <c r="B972" s="93"/>
      <c r="C972" s="93"/>
      <c r="D972" s="93"/>
      <c r="E972" s="92"/>
      <c r="F972" s="92"/>
      <c r="G972" s="92"/>
      <c r="H972" s="92"/>
      <c r="I972" s="92"/>
      <c r="J972" s="92"/>
      <c r="K972" s="92"/>
      <c r="L972" s="92"/>
      <c r="M972" s="92"/>
      <c r="N972" s="94"/>
      <c r="AG972" s="100"/>
      <c r="AH972" s="101"/>
      <c r="AI972" s="101"/>
      <c r="AJ972" s="100"/>
      <c r="AK972" s="100"/>
      <c r="AL972" s="100"/>
      <c r="AM972" s="100"/>
      <c r="AN972" s="100"/>
      <c r="AO972" s="100"/>
      <c r="AP972" s="100"/>
      <c r="AQ972" s="100"/>
      <c r="AR972" s="100"/>
      <c r="AS972" s="100"/>
      <c r="AT972" s="102"/>
      <c r="AX972" s="100"/>
      <c r="AY972" s="101"/>
      <c r="AZ972" s="101"/>
      <c r="BA972" s="101"/>
      <c r="BB972" s="100"/>
      <c r="BC972" s="100"/>
      <c r="BD972" s="100"/>
      <c r="BE972" s="100"/>
      <c r="BF972" s="100"/>
      <c r="BG972" s="100"/>
      <c r="BH972" s="100"/>
      <c r="BI972" s="100"/>
      <c r="BJ972" s="100"/>
      <c r="BK972" s="102"/>
      <c r="BN972" s="36"/>
    </row>
    <row r="973" spans="1:66" x14ac:dyDescent="0.25">
      <c r="A973" s="92"/>
      <c r="B973" s="93"/>
      <c r="C973" s="93"/>
      <c r="D973" s="92"/>
      <c r="E973" s="92"/>
      <c r="F973" s="92"/>
      <c r="G973" s="92"/>
      <c r="H973" s="92"/>
      <c r="I973" s="92"/>
      <c r="J973" s="92"/>
      <c r="K973" s="92"/>
      <c r="L973" s="92"/>
      <c r="M973" s="92"/>
      <c r="N973" s="94"/>
      <c r="AG973" s="100"/>
      <c r="AH973" s="101"/>
      <c r="AI973" s="101"/>
      <c r="AJ973" s="100"/>
      <c r="AK973" s="100"/>
      <c r="AL973" s="100"/>
      <c r="AM973" s="100"/>
      <c r="AN973" s="100"/>
      <c r="AO973" s="100"/>
      <c r="AP973" s="100"/>
      <c r="AQ973" s="100"/>
      <c r="AR973" s="100"/>
      <c r="AS973" s="100"/>
      <c r="AT973" s="102"/>
      <c r="AX973" s="100"/>
      <c r="AY973" s="101"/>
      <c r="AZ973" s="101"/>
      <c r="BA973" s="100"/>
      <c r="BB973" s="100"/>
      <c r="BC973" s="100"/>
      <c r="BD973" s="100"/>
      <c r="BE973" s="100"/>
      <c r="BF973" s="100"/>
      <c r="BG973" s="100"/>
      <c r="BH973" s="100"/>
      <c r="BI973" s="100"/>
      <c r="BJ973" s="100"/>
      <c r="BK973" s="102"/>
      <c r="BN973" s="36"/>
    </row>
    <row r="974" spans="1:66" x14ac:dyDescent="0.25">
      <c r="A974" s="92"/>
      <c r="B974" s="92"/>
      <c r="C974" s="92"/>
      <c r="D974" s="92"/>
      <c r="E974" s="92"/>
      <c r="F974" s="92"/>
      <c r="G974" s="92"/>
      <c r="H974" s="92"/>
      <c r="I974" s="92"/>
      <c r="J974" s="92"/>
      <c r="K974" s="92"/>
      <c r="L974" s="92"/>
      <c r="M974" s="92"/>
      <c r="N974" s="92"/>
      <c r="AG974" s="100"/>
      <c r="AH974" s="101"/>
      <c r="AI974" s="101"/>
      <c r="AJ974" s="100"/>
      <c r="AK974" s="100"/>
      <c r="AL974" s="100"/>
      <c r="AM974" s="100"/>
      <c r="AN974" s="100"/>
      <c r="AO974" s="100"/>
      <c r="AP974" s="100"/>
      <c r="AQ974" s="100"/>
      <c r="AR974" s="100"/>
      <c r="AS974" s="100"/>
      <c r="AT974" s="102"/>
      <c r="AX974" s="100"/>
      <c r="AY974" s="101"/>
      <c r="AZ974" s="101"/>
      <c r="BA974" s="100"/>
      <c r="BB974" s="100"/>
      <c r="BC974" s="100"/>
      <c r="BD974" s="100"/>
      <c r="BE974" s="100"/>
      <c r="BF974" s="100"/>
      <c r="BG974" s="100"/>
      <c r="BH974" s="100"/>
      <c r="BI974" s="100"/>
      <c r="BJ974" s="100"/>
      <c r="BK974" s="102"/>
      <c r="BN974" s="36"/>
    </row>
    <row r="975" spans="1:66" x14ac:dyDescent="0.25">
      <c r="A975" s="92"/>
      <c r="B975" s="92"/>
      <c r="C975" s="92"/>
      <c r="D975" s="92"/>
      <c r="E975" s="92"/>
      <c r="F975" s="92"/>
      <c r="G975" s="92"/>
      <c r="H975" s="92"/>
      <c r="I975" s="92"/>
      <c r="J975" s="92"/>
      <c r="K975" s="92"/>
      <c r="L975" s="92"/>
      <c r="M975" s="92"/>
      <c r="N975" s="92"/>
      <c r="AG975" s="100"/>
      <c r="AH975" s="101"/>
      <c r="AI975" s="101"/>
      <c r="AJ975" s="100"/>
      <c r="AK975" s="100"/>
      <c r="AL975" s="100"/>
      <c r="AM975" s="100"/>
      <c r="AN975" s="100"/>
      <c r="AO975" s="100"/>
      <c r="AP975" s="100"/>
      <c r="AQ975" s="100"/>
      <c r="AR975" s="100"/>
      <c r="AS975" s="100"/>
      <c r="AT975" s="102"/>
      <c r="AX975" s="100"/>
      <c r="AY975" s="101"/>
      <c r="AZ975" s="101"/>
      <c r="BA975" s="100"/>
      <c r="BB975" s="100"/>
      <c r="BC975" s="100"/>
      <c r="BD975" s="100"/>
      <c r="BE975" s="100"/>
      <c r="BF975" s="100"/>
      <c r="BG975" s="100"/>
      <c r="BH975" s="100"/>
      <c r="BI975" s="100"/>
      <c r="BJ975" s="100"/>
      <c r="BK975" s="102"/>
      <c r="BN975" s="36"/>
    </row>
    <row r="976" spans="1:66" x14ac:dyDescent="0.25">
      <c r="A976" s="92"/>
      <c r="B976" s="93"/>
      <c r="C976" s="93"/>
      <c r="D976" s="92"/>
      <c r="E976" s="92"/>
      <c r="F976" s="92"/>
      <c r="G976" s="92"/>
      <c r="H976" s="92"/>
      <c r="I976" s="92"/>
      <c r="J976" s="92"/>
      <c r="K976" s="92"/>
      <c r="L976" s="92"/>
      <c r="M976" s="92"/>
      <c r="N976" s="94"/>
      <c r="AG976" s="100"/>
      <c r="AH976" s="101"/>
      <c r="AI976" s="101"/>
      <c r="AJ976" s="100"/>
      <c r="AK976" s="100"/>
      <c r="AL976" s="100"/>
      <c r="AM976" s="100"/>
      <c r="AN976" s="100"/>
      <c r="AO976" s="100"/>
      <c r="AP976" s="100"/>
      <c r="AQ976" s="100"/>
      <c r="AR976" s="100"/>
      <c r="AS976" s="100"/>
      <c r="AT976" s="102"/>
      <c r="AX976" s="100"/>
      <c r="AY976" s="101"/>
      <c r="AZ976" s="101"/>
      <c r="BA976" s="101"/>
      <c r="BB976" s="100"/>
      <c r="BC976" s="100"/>
      <c r="BD976" s="100"/>
      <c r="BE976" s="100"/>
      <c r="BF976" s="100"/>
      <c r="BG976" s="100"/>
      <c r="BH976" s="100"/>
      <c r="BI976" s="100"/>
      <c r="BJ976" s="100"/>
      <c r="BK976" s="102"/>
      <c r="BN976" s="36"/>
    </row>
    <row r="977" spans="1:66" x14ac:dyDescent="0.25">
      <c r="A977" s="92"/>
      <c r="B977" s="93"/>
      <c r="C977" s="93"/>
      <c r="D977" s="92"/>
      <c r="E977" s="92"/>
      <c r="F977" s="92"/>
      <c r="G977" s="92"/>
      <c r="H977" s="92"/>
      <c r="I977" s="92"/>
      <c r="J977" s="92"/>
      <c r="K977" s="92"/>
      <c r="L977" s="92"/>
      <c r="M977" s="92"/>
      <c r="N977" s="94"/>
      <c r="AG977" s="100"/>
      <c r="AH977" s="101"/>
      <c r="AI977" s="101"/>
      <c r="AJ977" s="101"/>
      <c r="AK977" s="100"/>
      <c r="AL977" s="100"/>
      <c r="AM977" s="100"/>
      <c r="AN977" s="100"/>
      <c r="AO977" s="100"/>
      <c r="AP977" s="100"/>
      <c r="AQ977" s="100"/>
      <c r="AR977" s="100"/>
      <c r="AS977" s="100"/>
      <c r="AT977" s="102"/>
      <c r="AX977" s="100"/>
      <c r="AY977" s="101"/>
      <c r="AZ977" s="101"/>
      <c r="BA977" s="101"/>
      <c r="BB977" s="100"/>
      <c r="BC977" s="100"/>
      <c r="BD977" s="100"/>
      <c r="BE977" s="100"/>
      <c r="BF977" s="100"/>
      <c r="BG977" s="100"/>
      <c r="BH977" s="100"/>
      <c r="BI977" s="100"/>
      <c r="BJ977" s="100"/>
      <c r="BK977" s="102"/>
      <c r="BN977" s="36"/>
    </row>
    <row r="978" spans="1:66" x14ac:dyDescent="0.25">
      <c r="A978" s="92"/>
      <c r="B978" s="93"/>
      <c r="C978" s="93"/>
      <c r="D978" s="93"/>
      <c r="E978" s="92"/>
      <c r="F978" s="92"/>
      <c r="G978" s="92"/>
      <c r="H978" s="92"/>
      <c r="I978" s="92"/>
      <c r="J978" s="92"/>
      <c r="K978" s="92"/>
      <c r="L978" s="92"/>
      <c r="M978" s="92"/>
      <c r="N978" s="94"/>
      <c r="AG978" s="100"/>
      <c r="AH978" s="101"/>
      <c r="AI978" s="101"/>
      <c r="AJ978" s="100"/>
      <c r="AK978" s="100"/>
      <c r="AL978" s="100"/>
      <c r="AM978" s="100"/>
      <c r="AN978" s="100"/>
      <c r="AO978" s="100"/>
      <c r="AP978" s="100"/>
      <c r="AQ978" s="100"/>
      <c r="AR978" s="100"/>
      <c r="AS978" s="100"/>
      <c r="AT978" s="102"/>
      <c r="AX978" s="100"/>
      <c r="AY978" s="101"/>
      <c r="AZ978" s="101"/>
      <c r="BA978" s="100"/>
      <c r="BB978" s="100"/>
      <c r="BC978" s="100"/>
      <c r="BD978" s="100"/>
      <c r="BE978" s="100"/>
      <c r="BF978" s="100"/>
      <c r="BG978" s="100"/>
      <c r="BH978" s="100"/>
      <c r="BI978" s="100"/>
      <c r="BJ978" s="100"/>
      <c r="BK978" s="102"/>
      <c r="BN978" s="36"/>
    </row>
    <row r="979" spans="1:66" x14ac:dyDescent="0.25">
      <c r="A979" s="92"/>
      <c r="B979" s="93"/>
      <c r="C979" s="93"/>
      <c r="D979" s="92"/>
      <c r="E979" s="92"/>
      <c r="F979" s="92"/>
      <c r="G979" s="92"/>
      <c r="H979" s="92"/>
      <c r="I979" s="92"/>
      <c r="J979" s="92"/>
      <c r="K979" s="92"/>
      <c r="L979" s="92"/>
      <c r="M979" s="92"/>
      <c r="N979" s="94"/>
      <c r="AG979" s="100"/>
      <c r="AH979" s="101"/>
      <c r="AI979" s="101"/>
      <c r="AJ979" s="100"/>
      <c r="AK979" s="100"/>
      <c r="AL979" s="100"/>
      <c r="AM979" s="100"/>
      <c r="AN979" s="100"/>
      <c r="AO979" s="100"/>
      <c r="AP979" s="100"/>
      <c r="AQ979" s="100"/>
      <c r="AR979" s="100"/>
      <c r="AS979" s="100"/>
      <c r="AT979" s="102"/>
      <c r="AX979" s="100"/>
      <c r="AY979" s="101"/>
      <c r="AZ979" s="101"/>
      <c r="BA979" s="100"/>
      <c r="BB979" s="100"/>
      <c r="BC979" s="100"/>
      <c r="BD979" s="100"/>
      <c r="BE979" s="100"/>
      <c r="BF979" s="100"/>
      <c r="BG979" s="100"/>
      <c r="BH979" s="100"/>
      <c r="BI979" s="100"/>
      <c r="BJ979" s="100"/>
      <c r="BK979" s="102"/>
      <c r="BN979" s="36"/>
    </row>
    <row r="980" spans="1:66" x14ac:dyDescent="0.25">
      <c r="A980" s="92"/>
      <c r="B980" s="92"/>
      <c r="C980" s="92"/>
      <c r="D980" s="92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AG980" s="100"/>
      <c r="AH980" s="101"/>
      <c r="AI980" s="101"/>
      <c r="AJ980" s="100"/>
      <c r="AK980" s="100"/>
      <c r="AL980" s="100"/>
      <c r="AM980" s="100"/>
      <c r="AN980" s="100"/>
      <c r="AO980" s="100"/>
      <c r="AP980" s="100"/>
      <c r="AQ980" s="100"/>
      <c r="AR980" s="100"/>
      <c r="AS980" s="100"/>
      <c r="AT980" s="102"/>
      <c r="AX980" s="100"/>
      <c r="AY980" s="101"/>
      <c r="AZ980" s="101"/>
      <c r="BA980" s="100"/>
      <c r="BB980" s="100"/>
      <c r="BC980" s="100"/>
      <c r="BD980" s="100"/>
      <c r="BE980" s="100"/>
      <c r="BF980" s="100"/>
      <c r="BG980" s="100"/>
      <c r="BH980" s="100"/>
      <c r="BI980" s="100"/>
      <c r="BJ980" s="100"/>
      <c r="BK980" s="102"/>
      <c r="BN980" s="36"/>
    </row>
    <row r="981" spans="1:66" x14ac:dyDescent="0.25">
      <c r="A981" s="92"/>
      <c r="B981" s="92"/>
      <c r="C981" s="92"/>
      <c r="D981" s="92"/>
      <c r="E981" s="92"/>
      <c r="F981" s="92"/>
      <c r="G981" s="92"/>
      <c r="H981" s="92"/>
      <c r="I981" s="92"/>
      <c r="J981" s="92"/>
      <c r="K981" s="92"/>
      <c r="L981" s="92"/>
      <c r="M981" s="92"/>
      <c r="N981" s="92"/>
      <c r="AG981" s="100"/>
      <c r="AH981" s="101"/>
      <c r="AI981" s="101"/>
      <c r="AJ981" s="100"/>
      <c r="AK981" s="100"/>
      <c r="AL981" s="100"/>
      <c r="AM981" s="100"/>
      <c r="AN981" s="100"/>
      <c r="AO981" s="100"/>
      <c r="AP981" s="100"/>
      <c r="AQ981" s="100"/>
      <c r="AR981" s="100"/>
      <c r="AS981" s="100"/>
      <c r="AT981" s="102"/>
      <c r="AX981" s="100"/>
      <c r="AY981" s="101"/>
      <c r="AZ981" s="101"/>
      <c r="BA981" s="101"/>
      <c r="BB981" s="100"/>
      <c r="BC981" s="100"/>
      <c r="BD981" s="100"/>
      <c r="BE981" s="100"/>
      <c r="BF981" s="100"/>
      <c r="BG981" s="100"/>
      <c r="BH981" s="100"/>
      <c r="BI981" s="100"/>
      <c r="BJ981" s="100"/>
      <c r="BK981" s="102"/>
      <c r="BN981" s="36"/>
    </row>
    <row r="982" spans="1:66" x14ac:dyDescent="0.25">
      <c r="A982" s="92"/>
      <c r="B982" s="92"/>
      <c r="C982" s="92"/>
      <c r="D982" s="92"/>
      <c r="E982" s="92"/>
      <c r="F982" s="92"/>
      <c r="G982" s="92"/>
      <c r="H982" s="92"/>
      <c r="I982" s="92"/>
      <c r="J982" s="92"/>
      <c r="K982" s="92"/>
      <c r="L982" s="92"/>
      <c r="M982" s="92"/>
      <c r="N982" s="92"/>
      <c r="AG982" s="100"/>
      <c r="AH982" s="101"/>
      <c r="AI982" s="101"/>
      <c r="AJ982" s="100"/>
      <c r="AK982" s="100"/>
      <c r="AL982" s="100"/>
      <c r="AM982" s="100"/>
      <c r="AN982" s="100"/>
      <c r="AO982" s="100"/>
      <c r="AP982" s="100"/>
      <c r="AQ982" s="100"/>
      <c r="AR982" s="100"/>
      <c r="AS982" s="100"/>
      <c r="AT982" s="102"/>
      <c r="AX982" s="100"/>
      <c r="AY982" s="101"/>
      <c r="AZ982" s="101"/>
      <c r="BA982" s="100"/>
      <c r="BB982" s="100"/>
      <c r="BC982" s="100"/>
      <c r="BD982" s="100"/>
      <c r="BE982" s="100"/>
      <c r="BF982" s="100"/>
      <c r="BG982" s="100"/>
      <c r="BH982" s="100"/>
      <c r="BI982" s="100"/>
      <c r="BJ982" s="100"/>
      <c r="BK982" s="102"/>
      <c r="BN982" s="36"/>
    </row>
    <row r="983" spans="1:66" x14ac:dyDescent="0.25">
      <c r="A983" s="92"/>
      <c r="B983" s="92"/>
      <c r="C983" s="92"/>
      <c r="D983" s="92"/>
      <c r="E983" s="92"/>
      <c r="F983" s="92"/>
      <c r="G983" s="92"/>
      <c r="H983" s="92"/>
      <c r="I983" s="92"/>
      <c r="J983" s="92"/>
      <c r="K983" s="92"/>
      <c r="L983" s="92"/>
      <c r="M983" s="92"/>
      <c r="N983" s="92"/>
      <c r="AG983" s="100"/>
      <c r="AH983" s="101"/>
      <c r="AI983" s="101"/>
      <c r="AJ983" s="100"/>
      <c r="AK983" s="100"/>
      <c r="AL983" s="100"/>
      <c r="AM983" s="100"/>
      <c r="AN983" s="100"/>
      <c r="AO983" s="100"/>
      <c r="AP983" s="100"/>
      <c r="AQ983" s="100"/>
      <c r="AR983" s="100"/>
      <c r="AS983" s="100"/>
      <c r="AT983" s="102"/>
      <c r="AX983" s="100"/>
      <c r="AY983" s="101"/>
      <c r="AZ983" s="101"/>
      <c r="BA983" s="100"/>
      <c r="BB983" s="100"/>
      <c r="BC983" s="100"/>
      <c r="BD983" s="100"/>
      <c r="BE983" s="100"/>
      <c r="BF983" s="100"/>
      <c r="BG983" s="100"/>
      <c r="BH983" s="100"/>
      <c r="BI983" s="100"/>
      <c r="BJ983" s="100"/>
      <c r="BK983" s="102"/>
      <c r="BN983" s="36"/>
    </row>
    <row r="984" spans="1:66" x14ac:dyDescent="0.25">
      <c r="A984" s="92"/>
      <c r="B984" s="93"/>
      <c r="C984" s="93"/>
      <c r="D984" s="92"/>
      <c r="E984" s="92"/>
      <c r="F984" s="92"/>
      <c r="G984" s="92"/>
      <c r="H984" s="92"/>
      <c r="I984" s="92"/>
      <c r="J984" s="92"/>
      <c r="K984" s="92"/>
      <c r="L984" s="92"/>
      <c r="M984" s="92"/>
      <c r="N984" s="94"/>
      <c r="AG984" s="100"/>
      <c r="AH984" s="101"/>
      <c r="AI984" s="101"/>
      <c r="AJ984" s="100"/>
      <c r="AK984" s="100"/>
      <c r="AL984" s="100"/>
      <c r="AM984" s="100"/>
      <c r="AN984" s="100"/>
      <c r="AO984" s="100"/>
      <c r="AP984" s="100"/>
      <c r="AQ984" s="100"/>
      <c r="AR984" s="100"/>
      <c r="AS984" s="100"/>
      <c r="AT984" s="102"/>
      <c r="AX984" s="100"/>
      <c r="AY984" s="101"/>
      <c r="AZ984" s="101"/>
      <c r="BA984" s="100"/>
      <c r="BB984" s="100"/>
      <c r="BC984" s="100"/>
      <c r="BD984" s="100"/>
      <c r="BE984" s="100"/>
      <c r="BF984" s="100"/>
      <c r="BG984" s="100"/>
      <c r="BH984" s="100"/>
      <c r="BI984" s="100"/>
      <c r="BJ984" s="100"/>
      <c r="BK984" s="102"/>
      <c r="BN984" s="36"/>
    </row>
    <row r="985" spans="1:66" x14ac:dyDescent="0.25">
      <c r="A985" s="92"/>
      <c r="B985" s="93"/>
      <c r="C985" s="93"/>
      <c r="D985" s="92"/>
      <c r="E985" s="92"/>
      <c r="F985" s="92"/>
      <c r="G985" s="92"/>
      <c r="H985" s="92"/>
      <c r="I985" s="92"/>
      <c r="J985" s="92"/>
      <c r="K985" s="92"/>
      <c r="L985" s="92"/>
      <c r="M985" s="92"/>
      <c r="N985" s="94"/>
      <c r="AG985" s="100"/>
      <c r="AH985" s="101"/>
      <c r="AI985" s="101"/>
      <c r="AJ985" s="100"/>
      <c r="AK985" s="100"/>
      <c r="AL985" s="100"/>
      <c r="AM985" s="100"/>
      <c r="AN985" s="100"/>
      <c r="AO985" s="100"/>
      <c r="AP985" s="100"/>
      <c r="AQ985" s="100"/>
      <c r="AR985" s="100"/>
      <c r="AS985" s="100"/>
      <c r="AT985" s="102"/>
      <c r="AX985" s="100"/>
      <c r="AY985" s="101"/>
      <c r="AZ985" s="101"/>
      <c r="BA985" s="100"/>
      <c r="BB985" s="100"/>
      <c r="BC985" s="100"/>
      <c r="BD985" s="100"/>
      <c r="BE985" s="100"/>
      <c r="BF985" s="100"/>
      <c r="BG985" s="100"/>
      <c r="BH985" s="100"/>
      <c r="BI985" s="100"/>
      <c r="BJ985" s="100"/>
      <c r="BK985" s="102"/>
      <c r="BN985" s="36"/>
    </row>
    <row r="986" spans="1:66" x14ac:dyDescent="0.25">
      <c r="A986" s="92"/>
      <c r="B986" s="92"/>
      <c r="C986" s="92"/>
      <c r="D986" s="92"/>
      <c r="E986" s="92"/>
      <c r="F986" s="92"/>
      <c r="G986" s="92"/>
      <c r="H986" s="92"/>
      <c r="I986" s="92"/>
      <c r="J986" s="92"/>
      <c r="K986" s="92"/>
      <c r="L986" s="92"/>
      <c r="M986" s="92"/>
      <c r="N986" s="92"/>
      <c r="AG986" s="100"/>
      <c r="AH986" s="101"/>
      <c r="AI986" s="101"/>
      <c r="AJ986" s="101"/>
      <c r="AK986" s="100"/>
      <c r="AL986" s="100"/>
      <c r="AM986" s="100"/>
      <c r="AN986" s="100"/>
      <c r="AO986" s="100"/>
      <c r="AP986" s="100"/>
      <c r="AQ986" s="100"/>
      <c r="AR986" s="100"/>
      <c r="AS986" s="100"/>
      <c r="AT986" s="102"/>
      <c r="AX986" s="100"/>
      <c r="AY986" s="101"/>
      <c r="AZ986" s="101"/>
      <c r="BA986" s="100"/>
      <c r="BB986" s="100"/>
      <c r="BC986" s="100"/>
      <c r="BD986" s="100"/>
      <c r="BE986" s="100"/>
      <c r="BF986" s="100"/>
      <c r="BG986" s="100"/>
      <c r="BH986" s="100"/>
      <c r="BI986" s="100"/>
      <c r="BJ986" s="100"/>
      <c r="BK986" s="102"/>
      <c r="BN986" s="36"/>
    </row>
    <row r="987" spans="1:66" x14ac:dyDescent="0.25">
      <c r="A987" s="92"/>
      <c r="B987" s="93"/>
      <c r="C987" s="93"/>
      <c r="D987" s="92"/>
      <c r="E987" s="92"/>
      <c r="F987" s="92"/>
      <c r="G987" s="92"/>
      <c r="H987" s="92"/>
      <c r="I987" s="92"/>
      <c r="J987" s="92"/>
      <c r="K987" s="92"/>
      <c r="L987" s="92"/>
      <c r="M987" s="92"/>
      <c r="N987" s="94"/>
      <c r="AG987" s="100"/>
      <c r="AH987" s="101"/>
      <c r="AI987" s="101"/>
      <c r="AJ987" s="100"/>
      <c r="AK987" s="100"/>
      <c r="AL987" s="100"/>
      <c r="AM987" s="100"/>
      <c r="AN987" s="100"/>
      <c r="AO987" s="100"/>
      <c r="AP987" s="96"/>
      <c r="AQ987" s="100"/>
      <c r="AR987" s="100"/>
      <c r="AS987" s="100"/>
      <c r="AT987" s="102"/>
      <c r="AX987" s="100"/>
      <c r="AY987" s="101"/>
      <c r="AZ987" s="101"/>
      <c r="BA987" s="100"/>
      <c r="BB987" s="100"/>
      <c r="BC987" s="100"/>
      <c r="BD987" s="100"/>
      <c r="BE987" s="100"/>
      <c r="BF987" s="100"/>
      <c r="BG987" s="100"/>
      <c r="BH987" s="100"/>
      <c r="BI987" s="100"/>
      <c r="BJ987" s="100"/>
      <c r="BK987" s="102"/>
      <c r="BN987" s="36"/>
    </row>
    <row r="988" spans="1:66" x14ac:dyDescent="0.25">
      <c r="A988" s="92"/>
      <c r="B988" s="92"/>
      <c r="C988" s="92"/>
      <c r="D988" s="92"/>
      <c r="E988" s="92"/>
      <c r="F988" s="92"/>
      <c r="G988" s="92"/>
      <c r="H988" s="92"/>
      <c r="I988" s="92"/>
      <c r="J988" s="92"/>
      <c r="K988" s="92"/>
      <c r="L988" s="92"/>
      <c r="M988" s="92"/>
      <c r="N988" s="92"/>
      <c r="AG988" s="100"/>
      <c r="AH988" s="101"/>
      <c r="AI988" s="101"/>
      <c r="AJ988" s="101"/>
      <c r="AK988" s="100"/>
      <c r="AL988" s="100"/>
      <c r="AM988" s="100"/>
      <c r="AN988" s="100"/>
      <c r="AO988" s="100"/>
      <c r="AP988" s="100"/>
      <c r="AQ988" s="100"/>
      <c r="AR988" s="100"/>
      <c r="AS988" s="100"/>
      <c r="AT988" s="102"/>
      <c r="AX988" s="100"/>
      <c r="AY988" s="101"/>
      <c r="AZ988" s="101"/>
      <c r="BA988" s="100"/>
      <c r="BB988" s="100"/>
      <c r="BC988" s="100"/>
      <c r="BD988" s="100"/>
      <c r="BE988" s="100"/>
      <c r="BF988" s="100"/>
      <c r="BG988" s="100"/>
      <c r="BH988" s="100"/>
      <c r="BI988" s="100"/>
      <c r="BJ988" s="100"/>
      <c r="BK988" s="102"/>
      <c r="BN988" s="36"/>
    </row>
    <row r="989" spans="1:66" x14ac:dyDescent="0.25">
      <c r="A989" s="92"/>
      <c r="B989" s="92"/>
      <c r="C989" s="92"/>
      <c r="D989" s="92"/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AG989" s="100"/>
      <c r="AH989" s="101"/>
      <c r="AI989" s="101"/>
      <c r="AJ989" s="100"/>
      <c r="AK989" s="100"/>
      <c r="AL989" s="100"/>
      <c r="AM989" s="100"/>
      <c r="AN989" s="100"/>
      <c r="AO989" s="100"/>
      <c r="AP989" s="100"/>
      <c r="AQ989" s="100"/>
      <c r="AR989" s="100"/>
      <c r="AS989" s="100"/>
      <c r="AT989" s="102"/>
      <c r="AX989" s="100"/>
      <c r="AY989" s="101"/>
      <c r="AZ989" s="101"/>
      <c r="BA989" s="100"/>
      <c r="BB989" s="100"/>
      <c r="BC989" s="100"/>
      <c r="BD989" s="100"/>
      <c r="BE989" s="100"/>
      <c r="BF989" s="100"/>
      <c r="BG989" s="100"/>
      <c r="BH989" s="100"/>
      <c r="BI989" s="100"/>
      <c r="BJ989" s="100"/>
      <c r="BK989" s="102"/>
      <c r="BN989" s="36"/>
    </row>
    <row r="990" spans="1:66" x14ac:dyDescent="0.25">
      <c r="A990" s="92"/>
      <c r="B990" s="92"/>
      <c r="C990" s="92"/>
      <c r="D990" s="92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AG990" s="100"/>
      <c r="AH990" s="101"/>
      <c r="AI990" s="101"/>
      <c r="AJ990" s="100"/>
      <c r="AK990" s="100"/>
      <c r="AL990" s="100"/>
      <c r="AM990" s="100"/>
      <c r="AN990" s="100"/>
      <c r="AO990" s="100"/>
      <c r="AP990" s="100"/>
      <c r="AQ990" s="100"/>
      <c r="AR990" s="100"/>
      <c r="AS990" s="100"/>
      <c r="AT990" s="102"/>
      <c r="AX990" s="100"/>
      <c r="AY990" s="101"/>
      <c r="AZ990" s="101"/>
      <c r="BA990" s="101"/>
      <c r="BB990" s="100"/>
      <c r="BC990" s="100"/>
      <c r="BD990" s="100"/>
      <c r="BE990" s="100"/>
      <c r="BF990" s="100"/>
      <c r="BG990" s="100"/>
      <c r="BH990" s="100"/>
      <c r="BI990" s="100"/>
      <c r="BJ990" s="100"/>
      <c r="BK990" s="102"/>
      <c r="BN990" s="36"/>
    </row>
    <row r="991" spans="1:66" x14ac:dyDescent="0.25">
      <c r="A991" s="92"/>
      <c r="B991" s="92"/>
      <c r="C991" s="92"/>
      <c r="D991" s="92"/>
      <c r="E991" s="92"/>
      <c r="F991" s="92"/>
      <c r="G991" s="92"/>
      <c r="H991" s="92"/>
      <c r="I991" s="92"/>
      <c r="J991" s="92"/>
      <c r="K991" s="92"/>
      <c r="L991" s="92"/>
      <c r="M991" s="92"/>
      <c r="N991" s="92"/>
      <c r="AG991" s="100"/>
      <c r="AH991" s="101"/>
      <c r="AI991" s="101"/>
      <c r="AJ991" s="100"/>
      <c r="AK991" s="100"/>
      <c r="AL991" s="100"/>
      <c r="AM991" s="100"/>
      <c r="AN991" s="100"/>
      <c r="AO991" s="100"/>
      <c r="AP991" s="100"/>
      <c r="AQ991" s="100"/>
      <c r="AR991" s="100"/>
      <c r="AS991" s="100"/>
      <c r="AT991" s="102"/>
      <c r="AX991" s="100"/>
      <c r="AY991" s="101"/>
      <c r="AZ991" s="101"/>
      <c r="BA991" s="101"/>
      <c r="BB991" s="100"/>
      <c r="BC991" s="100"/>
      <c r="BD991" s="100"/>
      <c r="BE991" s="100"/>
      <c r="BF991" s="100"/>
      <c r="BG991" s="100"/>
      <c r="BH991" s="100"/>
      <c r="BI991" s="100"/>
      <c r="BJ991" s="100"/>
      <c r="BK991" s="102"/>
      <c r="BN991" s="36"/>
    </row>
    <row r="992" spans="1:66" x14ac:dyDescent="0.25">
      <c r="A992" s="92"/>
      <c r="B992" s="92"/>
      <c r="C992" s="92"/>
      <c r="D992" s="92"/>
      <c r="E992" s="92"/>
      <c r="F992" s="92"/>
      <c r="G992" s="92"/>
      <c r="H992" s="92"/>
      <c r="I992" s="92"/>
      <c r="J992" s="92"/>
      <c r="K992" s="92"/>
      <c r="L992" s="92"/>
      <c r="M992" s="92"/>
      <c r="N992" s="92"/>
      <c r="AG992" s="100"/>
      <c r="AH992" s="101"/>
      <c r="AI992" s="101"/>
      <c r="AJ992" s="100"/>
      <c r="AK992" s="100"/>
      <c r="AL992" s="100"/>
      <c r="AM992" s="100"/>
      <c r="AN992" s="100"/>
      <c r="AO992" s="100"/>
      <c r="AP992" s="100"/>
      <c r="AQ992" s="100"/>
      <c r="AR992" s="100"/>
      <c r="AS992" s="100"/>
      <c r="AT992" s="102"/>
      <c r="AX992" s="100"/>
      <c r="AY992" s="101"/>
      <c r="AZ992" s="101"/>
      <c r="BA992" s="100"/>
      <c r="BB992" s="100"/>
      <c r="BC992" s="100"/>
      <c r="BD992" s="100"/>
      <c r="BE992" s="100"/>
      <c r="BF992" s="100"/>
      <c r="BG992" s="100"/>
      <c r="BH992" s="100"/>
      <c r="BI992" s="100"/>
      <c r="BJ992" s="100"/>
      <c r="BK992" s="102"/>
      <c r="BN992" s="36"/>
    </row>
    <row r="993" spans="1:66" x14ac:dyDescent="0.25">
      <c r="A993" s="92"/>
      <c r="B993" s="92"/>
      <c r="C993" s="92"/>
      <c r="D993" s="92"/>
      <c r="E993" s="92"/>
      <c r="F993" s="92"/>
      <c r="G993" s="92"/>
      <c r="H993" s="92"/>
      <c r="I993" s="92"/>
      <c r="J993" s="92"/>
      <c r="K993" s="92"/>
      <c r="L993" s="92"/>
      <c r="M993" s="92"/>
      <c r="N993" s="92"/>
      <c r="AG993" s="100"/>
      <c r="AH993" s="101"/>
      <c r="AI993" s="101"/>
      <c r="AJ993" s="101"/>
      <c r="AK993" s="100"/>
      <c r="AL993" s="100"/>
      <c r="AM993" s="100"/>
      <c r="AN993" s="100"/>
      <c r="AO993" s="100"/>
      <c r="AP993" s="100"/>
      <c r="AQ993" s="100"/>
      <c r="AR993" s="100"/>
      <c r="AS993" s="100"/>
      <c r="AT993" s="102"/>
      <c r="AX993" s="100"/>
      <c r="AY993" s="101"/>
      <c r="AZ993" s="101"/>
      <c r="BA993" s="100"/>
      <c r="BB993" s="100"/>
      <c r="BC993" s="100"/>
      <c r="BD993" s="100"/>
      <c r="BE993" s="100"/>
      <c r="BF993" s="100"/>
      <c r="BG993" s="100"/>
      <c r="BH993" s="100"/>
      <c r="BI993" s="100"/>
      <c r="BJ993" s="100"/>
      <c r="BK993" s="102"/>
      <c r="BN993" s="36"/>
    </row>
    <row r="994" spans="1:66" x14ac:dyDescent="0.25">
      <c r="A994" s="92"/>
      <c r="B994" s="93"/>
      <c r="C994" s="93"/>
      <c r="D994" s="93"/>
      <c r="E994" s="92"/>
      <c r="F994" s="92"/>
      <c r="G994" s="92"/>
      <c r="H994" s="92"/>
      <c r="I994" s="92"/>
      <c r="J994" s="92"/>
      <c r="K994" s="92"/>
      <c r="L994" s="92"/>
      <c r="M994" s="92"/>
      <c r="N994" s="94"/>
      <c r="AG994" s="100"/>
      <c r="AH994" s="101"/>
      <c r="AI994" s="101"/>
      <c r="AJ994" s="100"/>
      <c r="AK994" s="100"/>
      <c r="AL994" s="100"/>
      <c r="AM994" s="100"/>
      <c r="AN994" s="100"/>
      <c r="AO994" s="100"/>
      <c r="AP994" s="100"/>
      <c r="AQ994" s="100"/>
      <c r="AR994" s="100"/>
      <c r="AS994" s="100"/>
      <c r="AT994" s="102"/>
      <c r="AX994" s="100"/>
      <c r="AY994" s="101"/>
      <c r="AZ994" s="101"/>
      <c r="BA994" s="100"/>
      <c r="BB994" s="100"/>
      <c r="BC994" s="100"/>
      <c r="BD994" s="100"/>
      <c r="BE994" s="100"/>
      <c r="BF994" s="100"/>
      <c r="BG994" s="100"/>
      <c r="BH994" s="100"/>
      <c r="BI994" s="100"/>
      <c r="BJ994" s="100"/>
      <c r="BK994" s="102"/>
      <c r="BN994" s="36"/>
    </row>
    <row r="995" spans="1:66" x14ac:dyDescent="0.25">
      <c r="A995" s="92"/>
      <c r="B995" s="93"/>
      <c r="C995" s="93"/>
      <c r="D995" s="92"/>
      <c r="E995" s="92"/>
      <c r="F995" s="92"/>
      <c r="G995" s="92"/>
      <c r="H995" s="92"/>
      <c r="I995" s="92"/>
      <c r="J995" s="92"/>
      <c r="K995" s="92"/>
      <c r="L995" s="92"/>
      <c r="M995" s="92"/>
      <c r="N995" s="94"/>
      <c r="AG995" s="100"/>
      <c r="AH995" s="101"/>
      <c r="AI995" s="101"/>
      <c r="AJ995" s="100"/>
      <c r="AK995" s="100"/>
      <c r="AL995" s="100"/>
      <c r="AM995" s="100"/>
      <c r="AN995" s="100"/>
      <c r="AO995" s="100"/>
      <c r="AP995" s="100"/>
      <c r="AQ995" s="100"/>
      <c r="AR995" s="100"/>
      <c r="AS995" s="100"/>
      <c r="AT995" s="102"/>
      <c r="AX995" s="100"/>
      <c r="AY995" s="101"/>
      <c r="AZ995" s="101"/>
      <c r="BA995" s="100"/>
      <c r="BB995" s="100"/>
      <c r="BC995" s="100"/>
      <c r="BD995" s="100"/>
      <c r="BE995" s="100"/>
      <c r="BF995" s="100"/>
      <c r="BG995" s="100"/>
      <c r="BH995" s="100"/>
      <c r="BI995" s="100"/>
      <c r="BJ995" s="100"/>
      <c r="BK995" s="102"/>
      <c r="BN995" s="36"/>
    </row>
    <row r="996" spans="1:66" x14ac:dyDescent="0.25">
      <c r="A996" s="92"/>
      <c r="B996" s="92"/>
      <c r="C996" s="92"/>
      <c r="D996" s="92"/>
      <c r="E996" s="92"/>
      <c r="F996" s="92"/>
      <c r="G996" s="92"/>
      <c r="H996" s="92"/>
      <c r="I996" s="92"/>
      <c r="J996" s="92"/>
      <c r="K996" s="92"/>
      <c r="L996" s="92"/>
      <c r="M996" s="92"/>
      <c r="N996" s="92"/>
      <c r="AG996" s="100"/>
      <c r="AH996" s="101"/>
      <c r="AI996" s="101"/>
      <c r="AJ996" s="101"/>
      <c r="AK996" s="100"/>
      <c r="AL996" s="100"/>
      <c r="AM996" s="100"/>
      <c r="AN996" s="100"/>
      <c r="AO996" s="100"/>
      <c r="AP996" s="100"/>
      <c r="AQ996" s="100"/>
      <c r="AR996" s="100"/>
      <c r="AS996" s="100"/>
      <c r="AT996" s="102"/>
      <c r="AX996" s="100"/>
      <c r="AY996" s="101"/>
      <c r="AZ996" s="101"/>
      <c r="BA996" s="100"/>
      <c r="BB996" s="100"/>
      <c r="BC996" s="100"/>
      <c r="BD996" s="100"/>
      <c r="BE996" s="100"/>
      <c r="BF996" s="100"/>
      <c r="BG996" s="100"/>
      <c r="BH996" s="100"/>
      <c r="BI996" s="100"/>
      <c r="BJ996" s="100"/>
      <c r="BK996" s="102"/>
      <c r="BN996" s="36"/>
    </row>
    <row r="997" spans="1:66" x14ac:dyDescent="0.25">
      <c r="A997" s="92"/>
      <c r="B997" s="92"/>
      <c r="C997" s="92"/>
      <c r="D997" s="92"/>
      <c r="E997" s="92"/>
      <c r="F997" s="92"/>
      <c r="G997" s="92"/>
      <c r="H997" s="92"/>
      <c r="I997" s="92"/>
      <c r="J997" s="92"/>
      <c r="K997" s="92"/>
      <c r="L997" s="92"/>
      <c r="M997" s="92"/>
      <c r="N997" s="92"/>
      <c r="AG997" s="100"/>
      <c r="AH997" s="101"/>
      <c r="AI997" s="101"/>
      <c r="AJ997" s="101"/>
      <c r="AK997" s="100"/>
      <c r="AL997" s="100"/>
      <c r="AM997" s="100"/>
      <c r="AN997" s="100"/>
      <c r="AO997" s="100"/>
      <c r="AP997" s="100"/>
      <c r="AQ997" s="100"/>
      <c r="AR997" s="100"/>
      <c r="AS997" s="100"/>
      <c r="AT997" s="102"/>
      <c r="AX997" s="100"/>
      <c r="AY997" s="101"/>
      <c r="AZ997" s="101"/>
      <c r="BA997" s="101"/>
      <c r="BB997" s="100"/>
      <c r="BC997" s="100"/>
      <c r="BD997" s="100"/>
      <c r="BE997" s="100"/>
      <c r="BF997" s="100"/>
      <c r="BG997" s="100"/>
      <c r="BH997" s="100"/>
      <c r="BI997" s="100"/>
      <c r="BJ997" s="100"/>
      <c r="BK997" s="102"/>
      <c r="BN997" s="36"/>
    </row>
    <row r="998" spans="1:66" x14ac:dyDescent="0.25">
      <c r="A998" s="92"/>
      <c r="B998" s="92"/>
      <c r="C998" s="92"/>
      <c r="D998" s="92"/>
      <c r="E998" s="92"/>
      <c r="F998" s="92"/>
      <c r="G998" s="92"/>
      <c r="H998" s="92"/>
      <c r="I998" s="92"/>
      <c r="J998" s="92"/>
      <c r="K998" s="92"/>
      <c r="L998" s="92"/>
      <c r="M998" s="92"/>
      <c r="N998" s="92"/>
      <c r="AG998" s="100"/>
      <c r="AH998" s="101"/>
      <c r="AI998" s="101"/>
      <c r="AJ998" s="100"/>
      <c r="AK998" s="100"/>
      <c r="AL998" s="100"/>
      <c r="AM998" s="100"/>
      <c r="AN998" s="100"/>
      <c r="AO998" s="100"/>
      <c r="AP998" s="100"/>
      <c r="AQ998" s="100"/>
      <c r="AR998" s="100"/>
      <c r="AS998" s="100"/>
      <c r="AT998" s="102"/>
      <c r="AX998" s="100"/>
      <c r="AY998" s="101"/>
      <c r="AZ998" s="101"/>
      <c r="BA998" s="100"/>
      <c r="BB998" s="100"/>
      <c r="BC998" s="100"/>
      <c r="BD998" s="100"/>
      <c r="BE998" s="100"/>
      <c r="BF998" s="100"/>
      <c r="BG998" s="100"/>
      <c r="BH998" s="100"/>
      <c r="BI998" s="100"/>
      <c r="BJ998" s="100"/>
      <c r="BK998" s="102"/>
      <c r="BN998" s="36"/>
    </row>
    <row r="999" spans="1:66" x14ac:dyDescent="0.25">
      <c r="A999" s="92"/>
      <c r="B999" s="92"/>
      <c r="C999" s="92"/>
      <c r="D999" s="92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AG999" s="100"/>
      <c r="AH999" s="101"/>
      <c r="AI999" s="101"/>
      <c r="AJ999" s="100"/>
      <c r="AK999" s="100"/>
      <c r="AL999" s="100"/>
      <c r="AM999" s="100"/>
      <c r="AN999" s="100"/>
      <c r="AO999" s="100"/>
      <c r="AP999" s="100"/>
      <c r="AQ999" s="100"/>
      <c r="AR999" s="100"/>
      <c r="AS999" s="100"/>
      <c r="AT999" s="102"/>
      <c r="AX999" s="100"/>
      <c r="AY999" s="101"/>
      <c r="AZ999" s="101"/>
      <c r="BA999" s="100"/>
      <c r="BB999" s="100"/>
      <c r="BC999" s="100"/>
      <c r="BD999" s="100"/>
      <c r="BE999" s="100"/>
      <c r="BF999" s="100"/>
      <c r="BG999" s="100"/>
      <c r="BH999" s="100"/>
      <c r="BI999" s="100"/>
      <c r="BJ999" s="100"/>
      <c r="BK999" s="102"/>
      <c r="BN999" s="36"/>
    </row>
    <row r="1000" spans="1:66" x14ac:dyDescent="0.25">
      <c r="A1000" s="92"/>
      <c r="B1000" s="92"/>
      <c r="C1000" s="92"/>
      <c r="D1000" s="92"/>
      <c r="E1000" s="92"/>
      <c r="F1000" s="92"/>
      <c r="G1000" s="92"/>
      <c r="H1000" s="92"/>
      <c r="I1000" s="92"/>
      <c r="J1000" s="92"/>
      <c r="K1000" s="92"/>
      <c r="L1000" s="92"/>
      <c r="M1000" s="92"/>
      <c r="N1000" s="92"/>
      <c r="AG1000" s="100"/>
      <c r="AH1000" s="101"/>
      <c r="AI1000" s="101"/>
      <c r="AJ1000" s="100"/>
      <c r="AK1000" s="100"/>
      <c r="AL1000" s="100"/>
      <c r="AM1000" s="100"/>
      <c r="AN1000" s="100"/>
      <c r="AO1000" s="100"/>
      <c r="AP1000" s="100"/>
      <c r="AQ1000" s="100"/>
      <c r="AR1000" s="100"/>
      <c r="AS1000" s="100"/>
      <c r="AT1000" s="102"/>
      <c r="AX1000" s="100"/>
      <c r="AY1000" s="101"/>
      <c r="AZ1000" s="101"/>
      <c r="BA1000" s="100"/>
      <c r="BB1000" s="100"/>
      <c r="BC1000" s="100"/>
      <c r="BD1000" s="100"/>
      <c r="BE1000" s="100"/>
      <c r="BF1000" s="100"/>
      <c r="BG1000" s="100"/>
      <c r="BH1000" s="100"/>
      <c r="BI1000" s="100"/>
      <c r="BJ1000" s="100"/>
      <c r="BK1000" s="102"/>
      <c r="BN1000" s="36"/>
    </row>
    <row r="1001" spans="1:66" x14ac:dyDescent="0.25">
      <c r="A1001" s="92"/>
      <c r="B1001" s="92"/>
      <c r="C1001" s="92"/>
      <c r="D1001" s="92"/>
      <c r="E1001" s="92"/>
      <c r="F1001" s="92"/>
      <c r="G1001" s="92"/>
      <c r="H1001" s="92"/>
      <c r="I1001" s="92"/>
      <c r="J1001" s="92"/>
      <c r="K1001" s="92"/>
      <c r="L1001" s="92"/>
      <c r="M1001" s="92"/>
      <c r="N1001" s="92"/>
      <c r="AG1001" s="100"/>
      <c r="AH1001" s="101"/>
      <c r="AI1001" s="101"/>
      <c r="AJ1001" s="101"/>
      <c r="AK1001" s="100"/>
      <c r="AL1001" s="100"/>
      <c r="AM1001" s="100"/>
      <c r="AN1001" s="100"/>
      <c r="AO1001" s="100"/>
      <c r="AP1001" s="100"/>
      <c r="AQ1001" s="100"/>
      <c r="AR1001" s="100"/>
      <c r="AS1001" s="100"/>
      <c r="AT1001" s="102"/>
      <c r="AX1001" s="100"/>
      <c r="AY1001" s="101"/>
      <c r="AZ1001" s="101"/>
      <c r="BA1001" s="100"/>
      <c r="BB1001" s="100"/>
      <c r="BC1001" s="100"/>
      <c r="BD1001" s="100"/>
      <c r="BE1001" s="100"/>
      <c r="BF1001" s="100"/>
      <c r="BG1001" s="100"/>
      <c r="BH1001" s="100"/>
      <c r="BI1001" s="100"/>
      <c r="BJ1001" s="100"/>
      <c r="BK1001" s="102"/>
      <c r="BN1001" s="36"/>
    </row>
    <row r="1002" spans="1:66" x14ac:dyDescent="0.25">
      <c r="A1002" s="92"/>
      <c r="B1002" s="93"/>
      <c r="C1002" s="93"/>
      <c r="D1002" s="92"/>
      <c r="E1002" s="92"/>
      <c r="F1002" s="92"/>
      <c r="G1002" s="92"/>
      <c r="H1002" s="92"/>
      <c r="I1002" s="92"/>
      <c r="J1002" s="92"/>
      <c r="K1002" s="92"/>
      <c r="L1002" s="92"/>
      <c r="M1002" s="92"/>
      <c r="N1002" s="94"/>
      <c r="AG1002" s="100"/>
      <c r="AH1002" s="101"/>
      <c r="AI1002" s="101"/>
      <c r="AJ1002" s="101"/>
      <c r="AK1002" s="100"/>
      <c r="AL1002" s="100"/>
      <c r="AM1002" s="100"/>
      <c r="AN1002" s="100"/>
      <c r="AO1002" s="100"/>
      <c r="AP1002" s="100"/>
      <c r="AQ1002" s="100"/>
      <c r="AR1002" s="100"/>
      <c r="AS1002" s="100"/>
      <c r="AT1002" s="102"/>
      <c r="AX1002" s="100"/>
      <c r="AY1002" s="101"/>
      <c r="AZ1002" s="101"/>
      <c r="BA1002" s="100"/>
      <c r="BB1002" s="100"/>
      <c r="BC1002" s="100"/>
      <c r="BD1002" s="100"/>
      <c r="BE1002" s="100"/>
      <c r="BF1002" s="100"/>
      <c r="BG1002" s="100"/>
      <c r="BH1002" s="100"/>
      <c r="BI1002" s="100"/>
      <c r="BJ1002" s="100"/>
      <c r="BK1002" s="102"/>
      <c r="BN1002" s="36"/>
    </row>
    <row r="1003" spans="1:66" x14ac:dyDescent="0.25">
      <c r="A1003" s="92"/>
      <c r="B1003" s="93"/>
      <c r="C1003" s="93"/>
      <c r="D1003" s="92"/>
      <c r="E1003" s="92"/>
      <c r="F1003" s="92"/>
      <c r="G1003" s="92"/>
      <c r="H1003" s="92"/>
      <c r="I1003" s="92"/>
      <c r="J1003" s="92"/>
      <c r="K1003" s="92"/>
      <c r="L1003" s="92"/>
      <c r="M1003" s="92"/>
      <c r="N1003" s="94"/>
      <c r="AG1003" s="100"/>
      <c r="AH1003" s="101"/>
      <c r="AI1003" s="101"/>
      <c r="AJ1003" s="100"/>
      <c r="AK1003" s="100"/>
      <c r="AL1003" s="100"/>
      <c r="AM1003" s="100"/>
      <c r="AN1003" s="100"/>
      <c r="AO1003" s="100"/>
      <c r="AP1003" s="100"/>
      <c r="AQ1003" s="100"/>
      <c r="AR1003" s="100"/>
      <c r="AS1003" s="100"/>
      <c r="AT1003" s="102"/>
      <c r="AX1003" s="100"/>
      <c r="AY1003" s="101"/>
      <c r="AZ1003" s="101"/>
      <c r="BA1003" s="100"/>
      <c r="BB1003" s="100"/>
      <c r="BC1003" s="100"/>
      <c r="BD1003" s="100"/>
      <c r="BE1003" s="100"/>
      <c r="BF1003" s="100"/>
      <c r="BG1003" s="100"/>
      <c r="BH1003" s="100"/>
      <c r="BI1003" s="100"/>
      <c r="BJ1003" s="100"/>
      <c r="BK1003" s="102"/>
      <c r="BN1003" s="36"/>
    </row>
    <row r="1004" spans="1:66" x14ac:dyDescent="0.25">
      <c r="A1004" s="92"/>
      <c r="B1004" s="93"/>
      <c r="C1004" s="93"/>
      <c r="D1004" s="92"/>
      <c r="E1004" s="92"/>
      <c r="F1004" s="92"/>
      <c r="G1004" s="92"/>
      <c r="H1004" s="92"/>
      <c r="I1004" s="92"/>
      <c r="J1004" s="92"/>
      <c r="K1004" s="92"/>
      <c r="L1004" s="92"/>
      <c r="M1004" s="92"/>
      <c r="N1004" s="94"/>
      <c r="AG1004" s="100"/>
      <c r="AH1004" s="101"/>
      <c r="AI1004" s="101"/>
      <c r="AJ1004" s="100"/>
      <c r="AK1004" s="100"/>
      <c r="AL1004" s="100"/>
      <c r="AM1004" s="100"/>
      <c r="AN1004" s="100"/>
      <c r="AO1004" s="100"/>
      <c r="AP1004" s="100"/>
      <c r="AQ1004" s="100"/>
      <c r="AR1004" s="100"/>
      <c r="AS1004" s="100"/>
      <c r="AT1004" s="102"/>
      <c r="AX1004" s="100"/>
      <c r="AY1004" s="101"/>
      <c r="AZ1004" s="101"/>
      <c r="BA1004" s="100"/>
      <c r="BB1004" s="100"/>
      <c r="BC1004" s="100"/>
      <c r="BD1004" s="100"/>
      <c r="BE1004" s="100"/>
      <c r="BF1004" s="100"/>
      <c r="BG1004" s="100"/>
      <c r="BH1004" s="100"/>
      <c r="BI1004" s="100"/>
      <c r="BJ1004" s="100"/>
      <c r="BK1004" s="102"/>
      <c r="BN1004" s="36"/>
    </row>
    <row r="1005" spans="1:66" x14ac:dyDescent="0.25">
      <c r="A1005" s="92"/>
      <c r="B1005" s="93"/>
      <c r="C1005" s="93"/>
      <c r="D1005" s="92"/>
      <c r="E1005" s="92"/>
      <c r="F1005" s="92"/>
      <c r="G1005" s="92"/>
      <c r="H1005" s="92"/>
      <c r="I1005" s="92"/>
      <c r="J1005" s="92"/>
      <c r="K1005" s="92"/>
      <c r="L1005" s="92"/>
      <c r="M1005" s="92"/>
      <c r="N1005" s="94"/>
      <c r="AG1005" s="100"/>
      <c r="AH1005" s="101"/>
      <c r="AI1005" s="101"/>
      <c r="AJ1005" s="100"/>
      <c r="AK1005" s="100"/>
      <c r="AL1005" s="100"/>
      <c r="AM1005" s="100"/>
      <c r="AN1005" s="100"/>
      <c r="AO1005" s="100"/>
      <c r="AP1005" s="100"/>
      <c r="AQ1005" s="100"/>
      <c r="AR1005" s="100"/>
      <c r="AS1005" s="100"/>
      <c r="AT1005" s="102"/>
      <c r="AX1005" s="100"/>
      <c r="AY1005" s="101"/>
      <c r="AZ1005" s="101"/>
      <c r="BA1005" s="100"/>
      <c r="BB1005" s="100"/>
      <c r="BC1005" s="100"/>
      <c r="BD1005" s="100"/>
      <c r="BE1005" s="100"/>
      <c r="BF1005" s="100"/>
      <c r="BG1005" s="100"/>
      <c r="BH1005" s="100"/>
      <c r="BI1005" s="100"/>
      <c r="BJ1005" s="100"/>
      <c r="BK1005" s="102"/>
      <c r="BN1005" s="36"/>
    </row>
    <row r="1006" spans="1:66" x14ac:dyDescent="0.25">
      <c r="A1006" s="92"/>
      <c r="B1006" s="93"/>
      <c r="C1006" s="93"/>
      <c r="D1006" s="92"/>
      <c r="E1006" s="92"/>
      <c r="F1006" s="92"/>
      <c r="G1006" s="92"/>
      <c r="H1006" s="92"/>
      <c r="I1006" s="92"/>
      <c r="J1006" s="92"/>
      <c r="K1006" s="92"/>
      <c r="L1006" s="92"/>
      <c r="M1006" s="92"/>
      <c r="N1006" s="94"/>
      <c r="AG1006" s="100"/>
      <c r="AH1006" s="101"/>
      <c r="AI1006" s="101"/>
      <c r="AJ1006" s="100"/>
      <c r="AK1006" s="100"/>
      <c r="AL1006" s="100"/>
      <c r="AM1006" s="100"/>
      <c r="AN1006" s="100"/>
      <c r="AO1006" s="100"/>
      <c r="AP1006" s="100"/>
      <c r="AQ1006" s="100"/>
      <c r="AR1006" s="100"/>
      <c r="AS1006" s="100"/>
      <c r="AT1006" s="102"/>
      <c r="AX1006" s="100"/>
      <c r="AY1006" s="101"/>
      <c r="AZ1006" s="101"/>
      <c r="BA1006" s="101"/>
      <c r="BB1006" s="100"/>
      <c r="BC1006" s="100"/>
      <c r="BD1006" s="100"/>
      <c r="BE1006" s="100"/>
      <c r="BF1006" s="100"/>
      <c r="BG1006" s="100"/>
      <c r="BH1006" s="100"/>
      <c r="BI1006" s="100"/>
      <c r="BJ1006" s="100"/>
      <c r="BK1006" s="102"/>
      <c r="BN1006" s="36"/>
    </row>
    <row r="1007" spans="1:66" x14ac:dyDescent="0.25">
      <c r="A1007" s="92"/>
      <c r="B1007" s="92"/>
      <c r="C1007" s="92"/>
      <c r="D1007" s="92"/>
      <c r="E1007" s="92"/>
      <c r="F1007" s="92"/>
      <c r="G1007" s="92"/>
      <c r="H1007" s="92"/>
      <c r="I1007" s="92"/>
      <c r="J1007" s="92"/>
      <c r="K1007" s="92"/>
      <c r="L1007" s="92"/>
      <c r="M1007" s="92"/>
      <c r="N1007" s="92"/>
      <c r="AG1007" s="100"/>
      <c r="AH1007" s="101"/>
      <c r="AI1007" s="101"/>
      <c r="AJ1007" s="101"/>
      <c r="AK1007" s="100"/>
      <c r="AL1007" s="100"/>
      <c r="AM1007" s="100"/>
      <c r="AN1007" s="100"/>
      <c r="AO1007" s="100"/>
      <c r="AP1007" s="100"/>
      <c r="AQ1007" s="100"/>
      <c r="AR1007" s="100"/>
      <c r="AS1007" s="100"/>
      <c r="AT1007" s="102"/>
      <c r="AX1007" s="100"/>
      <c r="AY1007" s="101"/>
      <c r="AZ1007" s="101"/>
      <c r="BA1007" s="100"/>
      <c r="BB1007" s="100"/>
      <c r="BC1007" s="100"/>
      <c r="BD1007" s="100"/>
      <c r="BE1007" s="100"/>
      <c r="BF1007" s="100"/>
      <c r="BG1007" s="96"/>
      <c r="BH1007" s="100"/>
      <c r="BI1007" s="100"/>
      <c r="BJ1007" s="100"/>
      <c r="BK1007" s="102"/>
      <c r="BN1007" s="36"/>
    </row>
    <row r="1008" spans="1:66" x14ac:dyDescent="0.25">
      <c r="A1008" s="92"/>
      <c r="B1008" s="93"/>
      <c r="C1008" s="93"/>
      <c r="D1008" s="92"/>
      <c r="E1008" s="92"/>
      <c r="F1008" s="92"/>
      <c r="G1008" s="92"/>
      <c r="H1008" s="92"/>
      <c r="I1008" s="92"/>
      <c r="J1008" s="92"/>
      <c r="K1008" s="92"/>
      <c r="L1008" s="92"/>
      <c r="M1008" s="92"/>
      <c r="N1008" s="94"/>
      <c r="AG1008" s="100"/>
      <c r="AH1008" s="101"/>
      <c r="AI1008" s="101"/>
      <c r="AJ1008" s="100"/>
      <c r="AK1008" s="100"/>
      <c r="AL1008" s="100"/>
      <c r="AM1008" s="100"/>
      <c r="AN1008" s="100"/>
      <c r="AO1008" s="100"/>
      <c r="AP1008" s="100"/>
      <c r="AQ1008" s="100"/>
      <c r="AR1008" s="100"/>
      <c r="AS1008" s="100"/>
      <c r="AT1008" s="102"/>
      <c r="AX1008" s="100"/>
      <c r="AY1008" s="101"/>
      <c r="AZ1008" s="101"/>
      <c r="BA1008" s="101"/>
      <c r="BB1008" s="100"/>
      <c r="BC1008" s="100"/>
      <c r="BD1008" s="100"/>
      <c r="BE1008" s="100"/>
      <c r="BF1008" s="100"/>
      <c r="BG1008" s="100"/>
      <c r="BH1008" s="100"/>
      <c r="BI1008" s="100"/>
      <c r="BJ1008" s="100"/>
      <c r="BK1008" s="102"/>
      <c r="BN1008" s="36"/>
    </row>
    <row r="1009" spans="1:66" x14ac:dyDescent="0.25">
      <c r="A1009" s="92"/>
      <c r="B1009" s="93"/>
      <c r="C1009" s="93"/>
      <c r="D1009" s="92"/>
      <c r="E1009" s="92"/>
      <c r="F1009" s="92"/>
      <c r="G1009" s="92"/>
      <c r="H1009" s="92"/>
      <c r="I1009" s="92"/>
      <c r="J1009" s="92"/>
      <c r="K1009" s="92"/>
      <c r="L1009" s="92"/>
      <c r="M1009" s="92"/>
      <c r="N1009" s="94"/>
      <c r="AG1009" s="100"/>
      <c r="AH1009" s="101"/>
      <c r="AI1009" s="101"/>
      <c r="AJ1009" s="101"/>
      <c r="AK1009" s="100"/>
      <c r="AL1009" s="100"/>
      <c r="AM1009" s="100"/>
      <c r="AN1009" s="100"/>
      <c r="AO1009" s="100"/>
      <c r="AP1009" s="100"/>
      <c r="AQ1009" s="100"/>
      <c r="AR1009" s="100"/>
      <c r="AS1009" s="100"/>
      <c r="AT1009" s="102"/>
      <c r="AX1009" s="100"/>
      <c r="AY1009" s="101"/>
      <c r="AZ1009" s="101"/>
      <c r="BA1009" s="100"/>
      <c r="BB1009" s="100"/>
      <c r="BC1009" s="100"/>
      <c r="BD1009" s="100"/>
      <c r="BE1009" s="100"/>
      <c r="BF1009" s="100"/>
      <c r="BG1009" s="100"/>
      <c r="BH1009" s="100"/>
      <c r="BI1009" s="100"/>
      <c r="BJ1009" s="100"/>
      <c r="BK1009" s="102"/>
      <c r="BN1009" s="36"/>
    </row>
    <row r="1010" spans="1:66" x14ac:dyDescent="0.25">
      <c r="A1010" s="92"/>
      <c r="B1010" s="93"/>
      <c r="C1010" s="93"/>
      <c r="D1010" s="92"/>
      <c r="E1010" s="92"/>
      <c r="F1010" s="92"/>
      <c r="G1010" s="92"/>
      <c r="H1010" s="92"/>
      <c r="I1010" s="92"/>
      <c r="J1010" s="92"/>
      <c r="K1010" s="92"/>
      <c r="L1010" s="92"/>
      <c r="M1010" s="92"/>
      <c r="N1010" s="94"/>
      <c r="AG1010" s="100"/>
      <c r="AH1010" s="101"/>
      <c r="AI1010" s="101"/>
      <c r="AJ1010" s="100"/>
      <c r="AK1010" s="100"/>
      <c r="AL1010" s="100"/>
      <c r="AM1010" s="100"/>
      <c r="AN1010" s="100"/>
      <c r="AO1010" s="100"/>
      <c r="AP1010" s="100"/>
      <c r="AQ1010" s="100"/>
      <c r="AR1010" s="100"/>
      <c r="AS1010" s="100"/>
      <c r="AT1010" s="102"/>
      <c r="AX1010" s="100"/>
      <c r="AY1010" s="101"/>
      <c r="AZ1010" s="101"/>
      <c r="BA1010" s="100"/>
      <c r="BB1010" s="100"/>
      <c r="BC1010" s="100"/>
      <c r="BD1010" s="100"/>
      <c r="BE1010" s="100"/>
      <c r="BF1010" s="100"/>
      <c r="BG1010" s="100"/>
      <c r="BH1010" s="100"/>
      <c r="BI1010" s="100"/>
      <c r="BJ1010" s="100"/>
      <c r="BK1010" s="102"/>
      <c r="BN1010" s="36"/>
    </row>
    <row r="1011" spans="1:66" x14ac:dyDescent="0.25">
      <c r="A1011" s="92"/>
      <c r="B1011" s="93"/>
      <c r="C1011" s="92"/>
      <c r="D1011" s="93"/>
      <c r="E1011" s="92"/>
      <c r="F1011" s="92"/>
      <c r="G1011" s="92"/>
      <c r="H1011" s="92"/>
      <c r="I1011" s="92"/>
      <c r="J1011" s="92"/>
      <c r="K1011" s="92"/>
      <c r="L1011" s="92"/>
      <c r="M1011" s="92"/>
      <c r="N1011" s="94"/>
      <c r="AG1011" s="100"/>
      <c r="AH1011" s="101"/>
      <c r="AI1011" s="101"/>
      <c r="AJ1011" s="101"/>
      <c r="AK1011" s="100"/>
      <c r="AL1011" s="100"/>
      <c r="AM1011" s="100"/>
      <c r="AN1011" s="100"/>
      <c r="AO1011" s="100"/>
      <c r="AP1011" s="100"/>
      <c r="AQ1011" s="100"/>
      <c r="AR1011" s="100"/>
      <c r="AS1011" s="100"/>
      <c r="AT1011" s="102"/>
      <c r="AX1011" s="100"/>
      <c r="AY1011" s="101"/>
      <c r="AZ1011" s="101"/>
      <c r="BA1011" s="100"/>
      <c r="BB1011" s="100"/>
      <c r="BC1011" s="100"/>
      <c r="BD1011" s="100"/>
      <c r="BE1011" s="100"/>
      <c r="BF1011" s="100"/>
      <c r="BG1011" s="100"/>
      <c r="BH1011" s="100"/>
      <c r="BI1011" s="100"/>
      <c r="BJ1011" s="100"/>
      <c r="BK1011" s="102"/>
      <c r="BN1011" s="36"/>
    </row>
    <row r="1012" spans="1:66" x14ac:dyDescent="0.25">
      <c r="A1012" s="92"/>
      <c r="B1012" s="92"/>
      <c r="C1012" s="92"/>
      <c r="D1012" s="92"/>
      <c r="E1012" s="92"/>
      <c r="F1012" s="92"/>
      <c r="G1012" s="92"/>
      <c r="H1012" s="92"/>
      <c r="I1012" s="92"/>
      <c r="J1012" s="92"/>
      <c r="K1012" s="92"/>
      <c r="L1012" s="92"/>
      <c r="M1012" s="92"/>
      <c r="N1012" s="92"/>
      <c r="AG1012" s="100"/>
      <c r="AH1012" s="101"/>
      <c r="AI1012" s="101"/>
      <c r="AJ1012" s="100"/>
      <c r="AK1012" s="100"/>
      <c r="AL1012" s="100"/>
      <c r="AM1012" s="100"/>
      <c r="AN1012" s="100"/>
      <c r="AO1012" s="100"/>
      <c r="AP1012" s="100"/>
      <c r="AQ1012" s="100"/>
      <c r="AR1012" s="100"/>
      <c r="AS1012" s="100"/>
      <c r="AT1012" s="102"/>
      <c r="AX1012" s="100"/>
      <c r="AY1012" s="101"/>
      <c r="AZ1012" s="101"/>
      <c r="BA1012" s="100"/>
      <c r="BB1012" s="100"/>
      <c r="BC1012" s="100"/>
      <c r="BD1012" s="100"/>
      <c r="BE1012" s="100"/>
      <c r="BF1012" s="100"/>
      <c r="BG1012" s="100"/>
      <c r="BH1012" s="100"/>
      <c r="BI1012" s="100"/>
      <c r="BJ1012" s="100"/>
      <c r="BK1012" s="102"/>
      <c r="BN1012" s="36"/>
    </row>
    <row r="1013" spans="1:66" x14ac:dyDescent="0.25">
      <c r="A1013" s="92"/>
      <c r="B1013" s="92"/>
      <c r="C1013" s="92"/>
      <c r="D1013" s="92"/>
      <c r="E1013" s="92"/>
      <c r="F1013" s="92"/>
      <c r="G1013" s="92"/>
      <c r="H1013" s="92"/>
      <c r="I1013" s="92"/>
      <c r="J1013" s="92"/>
      <c r="K1013" s="92"/>
      <c r="L1013" s="92"/>
      <c r="M1013" s="92"/>
      <c r="N1013" s="92"/>
      <c r="AG1013" s="100"/>
      <c r="AH1013" s="101"/>
      <c r="AI1013" s="101"/>
      <c r="AJ1013" s="100"/>
      <c r="AK1013" s="100"/>
      <c r="AL1013" s="100"/>
      <c r="AM1013" s="100"/>
      <c r="AN1013" s="100"/>
      <c r="AO1013" s="100"/>
      <c r="AP1013" s="100"/>
      <c r="AQ1013" s="100"/>
      <c r="AR1013" s="100"/>
      <c r="AS1013" s="100"/>
      <c r="AT1013" s="102"/>
      <c r="AX1013" s="100"/>
      <c r="AY1013" s="101"/>
      <c r="AZ1013" s="101"/>
      <c r="BA1013" s="101"/>
      <c r="BB1013" s="100"/>
      <c r="BC1013" s="100"/>
      <c r="BD1013" s="100"/>
      <c r="BE1013" s="100"/>
      <c r="BF1013" s="100"/>
      <c r="BG1013" s="100"/>
      <c r="BH1013" s="100"/>
      <c r="BI1013" s="100"/>
      <c r="BJ1013" s="100"/>
      <c r="BK1013" s="102"/>
      <c r="BN1013" s="36"/>
    </row>
    <row r="1014" spans="1:66" x14ac:dyDescent="0.25">
      <c r="A1014" s="92"/>
      <c r="B1014" s="92"/>
      <c r="C1014" s="92"/>
      <c r="D1014" s="92"/>
      <c r="E1014" s="92"/>
      <c r="F1014" s="92"/>
      <c r="G1014" s="92"/>
      <c r="H1014" s="92"/>
      <c r="I1014" s="92"/>
      <c r="J1014" s="92"/>
      <c r="K1014" s="92"/>
      <c r="L1014" s="92"/>
      <c r="M1014" s="92"/>
      <c r="N1014" s="92"/>
      <c r="AG1014" s="100"/>
      <c r="AH1014" s="101"/>
      <c r="AI1014" s="101"/>
      <c r="AJ1014" s="100"/>
      <c r="AK1014" s="100"/>
      <c r="AL1014" s="100"/>
      <c r="AM1014" s="100"/>
      <c r="AN1014" s="100"/>
      <c r="AO1014" s="100"/>
      <c r="AP1014" s="100"/>
      <c r="AQ1014" s="100"/>
      <c r="AR1014" s="100"/>
      <c r="AS1014" s="100"/>
      <c r="AT1014" s="102"/>
      <c r="AX1014" s="100"/>
      <c r="AY1014" s="101"/>
      <c r="AZ1014" s="101"/>
      <c r="BA1014" s="100"/>
      <c r="BB1014" s="100"/>
      <c r="BC1014" s="100"/>
      <c r="BD1014" s="100"/>
      <c r="BE1014" s="100"/>
      <c r="BF1014" s="100"/>
      <c r="BG1014" s="100"/>
      <c r="BH1014" s="100"/>
      <c r="BI1014" s="100"/>
      <c r="BJ1014" s="100"/>
      <c r="BK1014" s="102"/>
      <c r="BN1014" s="36"/>
    </row>
    <row r="1015" spans="1:66" x14ac:dyDescent="0.25">
      <c r="A1015" s="92"/>
      <c r="B1015" s="92"/>
      <c r="C1015" s="92"/>
      <c r="D1015" s="92"/>
      <c r="E1015" s="92"/>
      <c r="F1015" s="92"/>
      <c r="G1015" s="92"/>
      <c r="H1015" s="92"/>
      <c r="I1015" s="92"/>
      <c r="J1015" s="92"/>
      <c r="K1015" s="92"/>
      <c r="L1015" s="92"/>
      <c r="M1015" s="92"/>
      <c r="N1015" s="92"/>
      <c r="AG1015" s="100"/>
      <c r="AH1015" s="101"/>
      <c r="AI1015" s="101"/>
      <c r="AJ1015" s="101"/>
      <c r="AK1015" s="100"/>
      <c r="AL1015" s="100"/>
      <c r="AM1015" s="100"/>
      <c r="AN1015" s="100"/>
      <c r="AO1015" s="100"/>
      <c r="AP1015" s="100"/>
      <c r="AQ1015" s="100"/>
      <c r="AR1015" s="100"/>
      <c r="AS1015" s="100"/>
      <c r="AT1015" s="102"/>
      <c r="AX1015" s="100"/>
      <c r="AY1015" s="101"/>
      <c r="AZ1015" s="101"/>
      <c r="BA1015" s="100"/>
      <c r="BB1015" s="100"/>
      <c r="BC1015" s="100"/>
      <c r="BD1015" s="100"/>
      <c r="BE1015" s="100"/>
      <c r="BF1015" s="100"/>
      <c r="BG1015" s="100"/>
      <c r="BH1015" s="100"/>
      <c r="BI1015" s="100"/>
      <c r="BJ1015" s="100"/>
      <c r="BK1015" s="102"/>
      <c r="BN1015" s="36"/>
    </row>
    <row r="1016" spans="1:66" x14ac:dyDescent="0.25">
      <c r="A1016" s="92"/>
      <c r="B1016" s="92"/>
      <c r="C1016" s="92"/>
      <c r="D1016" s="92"/>
      <c r="E1016" s="92"/>
      <c r="F1016" s="92"/>
      <c r="G1016" s="92"/>
      <c r="H1016" s="92"/>
      <c r="I1016" s="92"/>
      <c r="J1016" s="92"/>
      <c r="K1016" s="92"/>
      <c r="L1016" s="92"/>
      <c r="M1016" s="92"/>
      <c r="N1016" s="92"/>
      <c r="AG1016" s="100"/>
      <c r="AH1016" s="101"/>
      <c r="AI1016" s="101"/>
      <c r="AJ1016" s="100"/>
      <c r="AK1016" s="100"/>
      <c r="AL1016" s="100"/>
      <c r="AM1016" s="100"/>
      <c r="AN1016" s="100"/>
      <c r="AO1016" s="100"/>
      <c r="AP1016" s="100"/>
      <c r="AQ1016" s="100"/>
      <c r="AR1016" s="100"/>
      <c r="AS1016" s="100"/>
      <c r="AT1016" s="102"/>
      <c r="AX1016" s="100"/>
      <c r="AY1016" s="101"/>
      <c r="AZ1016" s="101"/>
      <c r="BA1016" s="101"/>
      <c r="BB1016" s="100"/>
      <c r="BC1016" s="100"/>
      <c r="BD1016" s="100"/>
      <c r="BE1016" s="100"/>
      <c r="BF1016" s="100"/>
      <c r="BG1016" s="100"/>
      <c r="BH1016" s="100"/>
      <c r="BI1016" s="100"/>
      <c r="BJ1016" s="100"/>
      <c r="BK1016" s="102"/>
      <c r="BN1016" s="36"/>
    </row>
    <row r="1017" spans="1:66" x14ac:dyDescent="0.25">
      <c r="A1017" s="92"/>
      <c r="B1017" s="93"/>
      <c r="C1017" s="92"/>
      <c r="D1017" s="93"/>
      <c r="E1017" s="92"/>
      <c r="F1017" s="92"/>
      <c r="G1017" s="92"/>
      <c r="H1017" s="92"/>
      <c r="I1017" s="92"/>
      <c r="J1017" s="92"/>
      <c r="K1017" s="92"/>
      <c r="L1017" s="92"/>
      <c r="M1017" s="92"/>
      <c r="N1017" s="94"/>
      <c r="AG1017" s="100"/>
      <c r="AH1017" s="101"/>
      <c r="AI1017" s="101"/>
      <c r="AJ1017" s="101"/>
      <c r="AK1017" s="100"/>
      <c r="AL1017" s="100"/>
      <c r="AM1017" s="100"/>
      <c r="AN1017" s="100"/>
      <c r="AO1017" s="100"/>
      <c r="AP1017" s="100"/>
      <c r="AQ1017" s="100"/>
      <c r="AR1017" s="100"/>
      <c r="AS1017" s="100"/>
      <c r="AT1017" s="102"/>
      <c r="AX1017" s="100"/>
      <c r="AY1017" s="101"/>
      <c r="AZ1017" s="101"/>
      <c r="BA1017" s="101"/>
      <c r="BB1017" s="100"/>
      <c r="BC1017" s="100"/>
      <c r="BD1017" s="100"/>
      <c r="BE1017" s="100"/>
      <c r="BF1017" s="100"/>
      <c r="BG1017" s="100"/>
      <c r="BH1017" s="100"/>
      <c r="BI1017" s="100"/>
      <c r="BJ1017" s="100"/>
      <c r="BK1017" s="102"/>
      <c r="BN1017" s="36"/>
    </row>
    <row r="1018" spans="1:66" x14ac:dyDescent="0.25">
      <c r="A1018" s="92"/>
      <c r="B1018" s="92"/>
      <c r="C1018" s="92"/>
      <c r="D1018" s="92"/>
      <c r="E1018" s="92"/>
      <c r="F1018" s="92"/>
      <c r="G1018" s="92"/>
      <c r="H1018" s="92"/>
      <c r="I1018" s="92"/>
      <c r="J1018" s="92"/>
      <c r="K1018" s="92"/>
      <c r="L1018" s="92"/>
      <c r="M1018" s="92"/>
      <c r="N1018" s="92"/>
      <c r="AG1018" s="100"/>
      <c r="AH1018" s="101"/>
      <c r="AI1018" s="101"/>
      <c r="AJ1018" s="100"/>
      <c r="AK1018" s="100"/>
      <c r="AL1018" s="100"/>
      <c r="AM1018" s="100"/>
      <c r="AN1018" s="100"/>
      <c r="AO1018" s="100"/>
      <c r="AP1018" s="100"/>
      <c r="AQ1018" s="100"/>
      <c r="AR1018" s="100"/>
      <c r="AS1018" s="100"/>
      <c r="AT1018" s="102"/>
      <c r="AX1018" s="100"/>
      <c r="AY1018" s="101"/>
      <c r="AZ1018" s="101"/>
      <c r="BA1018" s="100"/>
      <c r="BB1018" s="100"/>
      <c r="BC1018" s="100"/>
      <c r="BD1018" s="100"/>
      <c r="BE1018" s="100"/>
      <c r="BF1018" s="100"/>
      <c r="BG1018" s="100"/>
      <c r="BH1018" s="100"/>
      <c r="BI1018" s="100"/>
      <c r="BJ1018" s="100"/>
      <c r="BK1018" s="102"/>
      <c r="BN1018" s="36"/>
    </row>
    <row r="1019" spans="1:66" x14ac:dyDescent="0.25">
      <c r="A1019" s="92"/>
      <c r="B1019" s="92"/>
      <c r="C1019" s="92"/>
      <c r="D1019" s="92"/>
      <c r="E1019" s="92"/>
      <c r="F1019" s="92"/>
      <c r="G1019" s="92"/>
      <c r="H1019" s="92"/>
      <c r="I1019" s="92"/>
      <c r="J1019" s="92"/>
      <c r="K1019" s="92"/>
      <c r="L1019" s="92"/>
      <c r="M1019" s="92"/>
      <c r="N1019" s="92"/>
      <c r="AG1019" s="100"/>
      <c r="AH1019" s="101"/>
      <c r="AI1019" s="101"/>
      <c r="AJ1019" s="100"/>
      <c r="AK1019" s="100"/>
      <c r="AL1019" s="100"/>
      <c r="AM1019" s="100"/>
      <c r="AN1019" s="100"/>
      <c r="AO1019" s="100"/>
      <c r="AP1019" s="100"/>
      <c r="AQ1019" s="100"/>
      <c r="AR1019" s="100"/>
      <c r="AS1019" s="100"/>
      <c r="AT1019" s="102"/>
      <c r="AX1019" s="100"/>
      <c r="AY1019" s="101"/>
      <c r="AZ1019" s="101"/>
      <c r="BA1019" s="100"/>
      <c r="BB1019" s="100"/>
      <c r="BC1019" s="100"/>
      <c r="BD1019" s="100"/>
      <c r="BE1019" s="100"/>
      <c r="BF1019" s="100"/>
      <c r="BG1019" s="100"/>
      <c r="BH1019" s="100"/>
      <c r="BI1019" s="100"/>
      <c r="BJ1019" s="100"/>
      <c r="BK1019" s="102"/>
      <c r="BN1019" s="36"/>
    </row>
    <row r="1020" spans="1:66" x14ac:dyDescent="0.25">
      <c r="A1020" s="92"/>
      <c r="B1020" s="93"/>
      <c r="C1020" s="93"/>
      <c r="D1020" s="92"/>
      <c r="E1020" s="92"/>
      <c r="F1020" s="92"/>
      <c r="G1020" s="92"/>
      <c r="H1020" s="92"/>
      <c r="I1020" s="92"/>
      <c r="J1020" s="92"/>
      <c r="K1020" s="92"/>
      <c r="L1020" s="92"/>
      <c r="M1020" s="92"/>
      <c r="N1020" s="94"/>
      <c r="AG1020" s="100"/>
      <c r="AH1020" s="101"/>
      <c r="AI1020" s="101"/>
      <c r="AJ1020" s="100"/>
      <c r="AK1020" s="100"/>
      <c r="AL1020" s="100"/>
      <c r="AM1020" s="100"/>
      <c r="AN1020" s="100"/>
      <c r="AO1020" s="100"/>
      <c r="AP1020" s="100"/>
      <c r="AQ1020" s="100"/>
      <c r="AR1020" s="100"/>
      <c r="AS1020" s="100"/>
      <c r="AT1020" s="102"/>
      <c r="AX1020" s="100"/>
      <c r="AY1020" s="101"/>
      <c r="AZ1020" s="101"/>
      <c r="BA1020" s="100"/>
      <c r="BB1020" s="100"/>
      <c r="BC1020" s="100"/>
      <c r="BD1020" s="100"/>
      <c r="BE1020" s="100"/>
      <c r="BF1020" s="100"/>
      <c r="BG1020" s="100"/>
      <c r="BH1020" s="100"/>
      <c r="BI1020" s="100"/>
      <c r="BJ1020" s="100"/>
      <c r="BK1020" s="102"/>
      <c r="BN1020" s="36"/>
    </row>
    <row r="1021" spans="1:66" x14ac:dyDescent="0.25">
      <c r="A1021" s="92"/>
      <c r="B1021" s="93"/>
      <c r="C1021" s="93"/>
      <c r="D1021" s="92"/>
      <c r="E1021" s="92"/>
      <c r="F1021" s="92"/>
      <c r="G1021" s="92"/>
      <c r="H1021" s="92"/>
      <c r="I1021" s="92"/>
      <c r="J1021" s="92"/>
      <c r="K1021" s="92"/>
      <c r="L1021" s="92"/>
      <c r="M1021" s="92"/>
      <c r="N1021" s="94"/>
      <c r="AG1021" s="100"/>
      <c r="AH1021" s="101"/>
      <c r="AI1021" s="101"/>
      <c r="AJ1021" s="100"/>
      <c r="AK1021" s="100"/>
      <c r="AL1021" s="100"/>
      <c r="AM1021" s="100"/>
      <c r="AN1021" s="100"/>
      <c r="AO1021" s="100"/>
      <c r="AP1021" s="100"/>
      <c r="AQ1021" s="100"/>
      <c r="AR1021" s="100"/>
      <c r="AS1021" s="100"/>
      <c r="AT1021" s="102"/>
      <c r="AX1021" s="100"/>
      <c r="AY1021" s="101"/>
      <c r="AZ1021" s="101"/>
      <c r="BA1021" s="101"/>
      <c r="BB1021" s="100"/>
      <c r="BC1021" s="100"/>
      <c r="BD1021" s="100"/>
      <c r="BE1021" s="100"/>
      <c r="BF1021" s="100"/>
      <c r="BG1021" s="100"/>
      <c r="BH1021" s="100"/>
      <c r="BI1021" s="100"/>
      <c r="BJ1021" s="100"/>
      <c r="BK1021" s="102"/>
      <c r="BN1021" s="36"/>
    </row>
    <row r="1022" spans="1:66" x14ac:dyDescent="0.25">
      <c r="A1022" s="92"/>
      <c r="B1022" s="93"/>
      <c r="C1022" s="93"/>
      <c r="D1022" s="92"/>
      <c r="E1022" s="92"/>
      <c r="F1022" s="92"/>
      <c r="G1022" s="92"/>
      <c r="H1022" s="92"/>
      <c r="I1022" s="92"/>
      <c r="J1022" s="92"/>
      <c r="K1022" s="92"/>
      <c r="L1022" s="92"/>
      <c r="M1022" s="92"/>
      <c r="N1022" s="94"/>
      <c r="AG1022" s="100"/>
      <c r="AH1022" s="101"/>
      <c r="AI1022" s="101"/>
      <c r="AJ1022" s="100"/>
      <c r="AK1022" s="100"/>
      <c r="AL1022" s="100"/>
      <c r="AM1022" s="100"/>
      <c r="AN1022" s="100"/>
      <c r="AO1022" s="100"/>
      <c r="AP1022" s="100"/>
      <c r="AQ1022" s="100"/>
      <c r="AR1022" s="100"/>
      <c r="AS1022" s="100"/>
      <c r="AT1022" s="102"/>
      <c r="AX1022" s="100"/>
      <c r="AY1022" s="101"/>
      <c r="AZ1022" s="101"/>
      <c r="BA1022" s="101"/>
      <c r="BB1022" s="100"/>
      <c r="BC1022" s="100"/>
      <c r="BD1022" s="100"/>
      <c r="BE1022" s="100"/>
      <c r="BF1022" s="100"/>
      <c r="BG1022" s="100"/>
      <c r="BH1022" s="100"/>
      <c r="BI1022" s="100"/>
      <c r="BJ1022" s="100"/>
      <c r="BK1022" s="102"/>
      <c r="BN1022" s="36"/>
    </row>
    <row r="1023" spans="1:66" x14ac:dyDescent="0.25">
      <c r="A1023" s="92"/>
      <c r="B1023" s="92"/>
      <c r="C1023" s="92"/>
      <c r="D1023" s="92"/>
      <c r="E1023" s="92"/>
      <c r="F1023" s="92"/>
      <c r="G1023" s="92"/>
      <c r="H1023" s="92"/>
      <c r="I1023" s="92"/>
      <c r="J1023" s="92"/>
      <c r="K1023" s="92"/>
      <c r="L1023" s="92"/>
      <c r="M1023" s="92"/>
      <c r="N1023" s="92"/>
      <c r="AG1023" s="100"/>
      <c r="AH1023" s="101"/>
      <c r="AI1023" s="101"/>
      <c r="AJ1023" s="100"/>
      <c r="AK1023" s="100"/>
      <c r="AL1023" s="100"/>
      <c r="AM1023" s="100"/>
      <c r="AN1023" s="100"/>
      <c r="AO1023" s="100"/>
      <c r="AP1023" s="100"/>
      <c r="AQ1023" s="100"/>
      <c r="AR1023" s="100"/>
      <c r="AS1023" s="100"/>
      <c r="AT1023" s="102"/>
      <c r="AX1023" s="100"/>
      <c r="AY1023" s="101"/>
      <c r="AZ1023" s="101"/>
      <c r="BA1023" s="100"/>
      <c r="BB1023" s="100"/>
      <c r="BC1023" s="100"/>
      <c r="BD1023" s="100"/>
      <c r="BE1023" s="100"/>
      <c r="BF1023" s="100"/>
      <c r="BG1023" s="100"/>
      <c r="BH1023" s="100"/>
      <c r="BI1023" s="100"/>
      <c r="BJ1023" s="100"/>
      <c r="BK1023" s="102"/>
      <c r="BN1023" s="36"/>
    </row>
    <row r="1024" spans="1:66" x14ac:dyDescent="0.25">
      <c r="A1024" s="92"/>
      <c r="B1024" s="92"/>
      <c r="C1024" s="92"/>
      <c r="D1024" s="92"/>
      <c r="E1024" s="92"/>
      <c r="F1024" s="92"/>
      <c r="G1024" s="92"/>
      <c r="H1024" s="92"/>
      <c r="I1024" s="92"/>
      <c r="J1024" s="92"/>
      <c r="K1024" s="92"/>
      <c r="L1024" s="92"/>
      <c r="M1024" s="92"/>
      <c r="N1024" s="92"/>
      <c r="AG1024" s="100"/>
      <c r="AH1024" s="101"/>
      <c r="AI1024" s="101"/>
      <c r="AJ1024" s="101"/>
      <c r="AK1024" s="100"/>
      <c r="AL1024" s="100"/>
      <c r="AM1024" s="100"/>
      <c r="AN1024" s="100"/>
      <c r="AO1024" s="100"/>
      <c r="AP1024" s="100"/>
      <c r="AQ1024" s="100"/>
      <c r="AR1024" s="100"/>
      <c r="AS1024" s="100"/>
      <c r="AT1024" s="102"/>
      <c r="AX1024" s="100"/>
      <c r="AY1024" s="101"/>
      <c r="AZ1024" s="101"/>
      <c r="BA1024" s="100"/>
      <c r="BB1024" s="100"/>
      <c r="BC1024" s="100"/>
      <c r="BD1024" s="100"/>
      <c r="BE1024" s="100"/>
      <c r="BF1024" s="100"/>
      <c r="BG1024" s="100"/>
      <c r="BH1024" s="100"/>
      <c r="BI1024" s="100"/>
      <c r="BJ1024" s="100"/>
      <c r="BK1024" s="102"/>
      <c r="BN1024" s="36"/>
    </row>
    <row r="1025" spans="1:66" x14ac:dyDescent="0.25">
      <c r="A1025" s="92"/>
      <c r="B1025" s="92"/>
      <c r="C1025" s="92"/>
      <c r="D1025" s="92"/>
      <c r="E1025" s="92"/>
      <c r="F1025" s="92"/>
      <c r="G1025" s="92"/>
      <c r="H1025" s="92"/>
      <c r="I1025" s="92"/>
      <c r="J1025" s="92"/>
      <c r="K1025" s="92"/>
      <c r="L1025" s="92"/>
      <c r="M1025" s="92"/>
      <c r="N1025" s="92"/>
      <c r="AG1025" s="100"/>
      <c r="AH1025" s="101"/>
      <c r="AI1025" s="101"/>
      <c r="AJ1025" s="100"/>
      <c r="AK1025" s="100"/>
      <c r="AL1025" s="100"/>
      <c r="AM1025" s="100"/>
      <c r="AN1025" s="100"/>
      <c r="AO1025" s="100"/>
      <c r="AP1025" s="100"/>
      <c r="AQ1025" s="100"/>
      <c r="AR1025" s="100"/>
      <c r="AS1025" s="100"/>
      <c r="AT1025" s="102"/>
      <c r="AX1025" s="100"/>
      <c r="AY1025" s="101"/>
      <c r="AZ1025" s="101"/>
      <c r="BA1025" s="100"/>
      <c r="BB1025" s="100"/>
      <c r="BC1025" s="100"/>
      <c r="BD1025" s="100"/>
      <c r="BE1025" s="100"/>
      <c r="BF1025" s="100"/>
      <c r="BG1025" s="100"/>
      <c r="BH1025" s="100"/>
      <c r="BI1025" s="100"/>
      <c r="BJ1025" s="100"/>
      <c r="BK1025" s="102"/>
      <c r="BN1025" s="36"/>
    </row>
    <row r="1026" spans="1:66" x14ac:dyDescent="0.25">
      <c r="A1026" s="92"/>
      <c r="B1026" s="92"/>
      <c r="C1026" s="92"/>
      <c r="D1026" s="92"/>
      <c r="E1026" s="92"/>
      <c r="F1026" s="92"/>
      <c r="G1026" s="92"/>
      <c r="H1026" s="92"/>
      <c r="I1026" s="92"/>
      <c r="J1026" s="92"/>
      <c r="K1026" s="92"/>
      <c r="L1026" s="92"/>
      <c r="M1026" s="92"/>
      <c r="N1026" s="92"/>
      <c r="AG1026" s="100"/>
      <c r="AH1026" s="101"/>
      <c r="AI1026" s="101"/>
      <c r="AJ1026" s="100"/>
      <c r="AK1026" s="100"/>
      <c r="AL1026" s="100"/>
      <c r="AM1026" s="100"/>
      <c r="AN1026" s="100"/>
      <c r="AO1026" s="100"/>
      <c r="AP1026" s="100"/>
      <c r="AQ1026" s="100"/>
      <c r="AR1026" s="100"/>
      <c r="AS1026" s="100"/>
      <c r="AT1026" s="102"/>
      <c r="AX1026" s="100"/>
      <c r="AY1026" s="101"/>
      <c r="AZ1026" s="101"/>
      <c r="BA1026" s="100"/>
      <c r="BB1026" s="100"/>
      <c r="BC1026" s="100"/>
      <c r="BD1026" s="100"/>
      <c r="BE1026" s="100"/>
      <c r="BF1026" s="100"/>
      <c r="BG1026" s="100"/>
      <c r="BH1026" s="100"/>
      <c r="BI1026" s="100"/>
      <c r="BJ1026" s="100"/>
      <c r="BK1026" s="102"/>
      <c r="BN1026" s="36"/>
    </row>
    <row r="1027" spans="1:66" x14ac:dyDescent="0.25">
      <c r="A1027" s="92"/>
      <c r="B1027" s="92"/>
      <c r="C1027" s="92"/>
      <c r="D1027" s="92"/>
      <c r="E1027" s="92"/>
      <c r="F1027" s="92"/>
      <c r="G1027" s="92"/>
      <c r="H1027" s="92"/>
      <c r="I1027" s="92"/>
      <c r="J1027" s="92"/>
      <c r="K1027" s="92"/>
      <c r="L1027" s="92"/>
      <c r="M1027" s="92"/>
      <c r="N1027" s="92"/>
      <c r="AG1027" s="100"/>
      <c r="AH1027" s="101"/>
      <c r="AI1027" s="101"/>
      <c r="AJ1027" s="100"/>
      <c r="AK1027" s="100"/>
      <c r="AL1027" s="100"/>
      <c r="AM1027" s="100"/>
      <c r="AN1027" s="100"/>
      <c r="AO1027" s="100"/>
      <c r="AP1027" s="100"/>
      <c r="AQ1027" s="100"/>
      <c r="AR1027" s="100"/>
      <c r="AS1027" s="100"/>
      <c r="AT1027" s="102"/>
      <c r="AX1027" s="100"/>
      <c r="AY1027" s="101"/>
      <c r="AZ1027" s="101"/>
      <c r="BA1027" s="101"/>
      <c r="BB1027" s="100"/>
      <c r="BC1027" s="100"/>
      <c r="BD1027" s="100"/>
      <c r="BE1027" s="100"/>
      <c r="BF1027" s="100"/>
      <c r="BG1027" s="100"/>
      <c r="BH1027" s="100"/>
      <c r="BI1027" s="100"/>
      <c r="BJ1027" s="100"/>
      <c r="BK1027" s="102"/>
      <c r="BN1027" s="36"/>
    </row>
    <row r="1028" spans="1:66" x14ac:dyDescent="0.25">
      <c r="A1028" s="92"/>
      <c r="B1028" s="92"/>
      <c r="C1028" s="92"/>
      <c r="D1028" s="92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AG1028" s="100"/>
      <c r="AH1028" s="101"/>
      <c r="AI1028" s="101"/>
      <c r="AJ1028" s="101"/>
      <c r="AK1028" s="100"/>
      <c r="AL1028" s="100"/>
      <c r="AM1028" s="100"/>
      <c r="AN1028" s="100"/>
      <c r="AO1028" s="100"/>
      <c r="AP1028" s="100"/>
      <c r="AQ1028" s="100"/>
      <c r="AR1028" s="100"/>
      <c r="AS1028" s="100"/>
      <c r="AT1028" s="102"/>
      <c r="AX1028" s="100"/>
      <c r="AY1028" s="101"/>
      <c r="AZ1028" s="101"/>
      <c r="BA1028" s="100"/>
      <c r="BB1028" s="100"/>
      <c r="BC1028" s="100"/>
      <c r="BD1028" s="100"/>
      <c r="BE1028" s="100"/>
      <c r="BF1028" s="100"/>
      <c r="BG1028" s="100"/>
      <c r="BH1028" s="100"/>
      <c r="BI1028" s="100"/>
      <c r="BJ1028" s="100"/>
      <c r="BK1028" s="102"/>
      <c r="BN1028" s="36"/>
    </row>
    <row r="1029" spans="1:66" x14ac:dyDescent="0.25">
      <c r="A1029" s="92"/>
      <c r="B1029" s="92"/>
      <c r="C1029" s="92"/>
      <c r="D1029" s="92"/>
      <c r="E1029" s="92"/>
      <c r="F1029" s="92"/>
      <c r="G1029" s="92"/>
      <c r="H1029" s="92"/>
      <c r="I1029" s="92"/>
      <c r="J1029" s="92"/>
      <c r="K1029" s="92"/>
      <c r="L1029" s="92"/>
      <c r="M1029" s="92"/>
      <c r="N1029" s="92"/>
      <c r="AG1029" s="100"/>
      <c r="AH1029" s="101"/>
      <c r="AI1029" s="101"/>
      <c r="AJ1029" s="100"/>
      <c r="AK1029" s="100"/>
      <c r="AL1029" s="100"/>
      <c r="AM1029" s="100"/>
      <c r="AN1029" s="100"/>
      <c r="AO1029" s="100"/>
      <c r="AP1029" s="100"/>
      <c r="AQ1029" s="100"/>
      <c r="AR1029" s="100"/>
      <c r="AS1029" s="100"/>
      <c r="AT1029" s="102"/>
      <c r="AX1029" s="100"/>
      <c r="AY1029" s="101"/>
      <c r="AZ1029" s="101"/>
      <c r="BA1029" s="101"/>
      <c r="BB1029" s="100"/>
      <c r="BC1029" s="100"/>
      <c r="BD1029" s="100"/>
      <c r="BE1029" s="100"/>
      <c r="BF1029" s="100"/>
      <c r="BG1029" s="100"/>
      <c r="BH1029" s="100"/>
      <c r="BI1029" s="100"/>
      <c r="BJ1029" s="100"/>
      <c r="BK1029" s="102"/>
      <c r="BN1029" s="36"/>
    </row>
    <row r="1030" spans="1:66" x14ac:dyDescent="0.25">
      <c r="A1030" s="92"/>
      <c r="B1030" s="92"/>
      <c r="C1030" s="92"/>
      <c r="D1030" s="92"/>
      <c r="E1030" s="92"/>
      <c r="F1030" s="92"/>
      <c r="G1030" s="92"/>
      <c r="H1030" s="92"/>
      <c r="I1030" s="92"/>
      <c r="J1030" s="92"/>
      <c r="K1030" s="92"/>
      <c r="L1030" s="92"/>
      <c r="M1030" s="92"/>
      <c r="N1030" s="92"/>
      <c r="AG1030" s="100"/>
      <c r="AH1030" s="101"/>
      <c r="AI1030" s="101"/>
      <c r="AJ1030" s="100"/>
      <c r="AK1030" s="100"/>
      <c r="AL1030" s="100"/>
      <c r="AM1030" s="100"/>
      <c r="AN1030" s="100"/>
      <c r="AO1030" s="100"/>
      <c r="AP1030" s="100"/>
      <c r="AQ1030" s="100"/>
      <c r="AR1030" s="100"/>
      <c r="AS1030" s="100"/>
      <c r="AT1030" s="102"/>
      <c r="AX1030" s="100"/>
      <c r="AY1030" s="101"/>
      <c r="AZ1030" s="101"/>
      <c r="BA1030" s="100"/>
      <c r="BB1030" s="100"/>
      <c r="BC1030" s="100"/>
      <c r="BD1030" s="100"/>
      <c r="BE1030" s="100"/>
      <c r="BF1030" s="100"/>
      <c r="BG1030" s="100"/>
      <c r="BH1030" s="100"/>
      <c r="BI1030" s="100"/>
      <c r="BJ1030" s="100"/>
      <c r="BK1030" s="102"/>
      <c r="BN1030" s="36"/>
    </row>
    <row r="1031" spans="1:66" x14ac:dyDescent="0.25">
      <c r="A1031" s="92"/>
      <c r="B1031" s="92"/>
      <c r="C1031" s="92"/>
      <c r="D1031" s="92"/>
      <c r="E1031" s="92"/>
      <c r="F1031" s="92"/>
      <c r="G1031" s="92"/>
      <c r="H1031" s="92"/>
      <c r="I1031" s="92"/>
      <c r="J1031" s="92"/>
      <c r="K1031" s="92"/>
      <c r="L1031" s="92"/>
      <c r="M1031" s="92"/>
      <c r="N1031" s="92"/>
      <c r="AG1031" s="100"/>
      <c r="AH1031" s="101"/>
      <c r="AI1031" s="101"/>
      <c r="AJ1031" s="101"/>
      <c r="AK1031" s="100"/>
      <c r="AL1031" s="100"/>
      <c r="AM1031" s="100"/>
      <c r="AN1031" s="100"/>
      <c r="AO1031" s="100"/>
      <c r="AP1031" s="100"/>
      <c r="AQ1031" s="100"/>
      <c r="AR1031" s="100"/>
      <c r="AS1031" s="100"/>
      <c r="AT1031" s="102"/>
      <c r="AX1031" s="100"/>
      <c r="AY1031" s="101"/>
      <c r="AZ1031" s="101"/>
      <c r="BA1031" s="101"/>
      <c r="BB1031" s="100"/>
      <c r="BC1031" s="100"/>
      <c r="BD1031" s="100"/>
      <c r="BE1031" s="100"/>
      <c r="BF1031" s="100"/>
      <c r="BG1031" s="100"/>
      <c r="BH1031" s="100"/>
      <c r="BI1031" s="100"/>
      <c r="BJ1031" s="100"/>
      <c r="BK1031" s="102"/>
      <c r="BN1031" s="36"/>
    </row>
    <row r="1032" spans="1:66" x14ac:dyDescent="0.25">
      <c r="A1032" s="92"/>
      <c r="B1032" s="92"/>
      <c r="C1032" s="92"/>
      <c r="D1032" s="92"/>
      <c r="E1032" s="92"/>
      <c r="F1032" s="92"/>
      <c r="G1032" s="92"/>
      <c r="H1032" s="92"/>
      <c r="I1032" s="92"/>
      <c r="J1032" s="92"/>
      <c r="K1032" s="92"/>
      <c r="L1032" s="92"/>
      <c r="M1032" s="92"/>
      <c r="N1032" s="92"/>
      <c r="AG1032" s="100"/>
      <c r="AH1032" s="101"/>
      <c r="AI1032" s="101"/>
      <c r="AJ1032" s="101"/>
      <c r="AK1032" s="100"/>
      <c r="AL1032" s="100"/>
      <c r="AM1032" s="100"/>
      <c r="AN1032" s="100"/>
      <c r="AO1032" s="100"/>
      <c r="AP1032" s="100"/>
      <c r="AQ1032" s="100"/>
      <c r="AR1032" s="100"/>
      <c r="AS1032" s="100"/>
      <c r="AT1032" s="102"/>
      <c r="AX1032" s="100"/>
      <c r="AY1032" s="101"/>
      <c r="AZ1032" s="101"/>
      <c r="BA1032" s="100"/>
      <c r="BB1032" s="100"/>
      <c r="BC1032" s="100"/>
      <c r="BD1032" s="100"/>
      <c r="BE1032" s="100"/>
      <c r="BF1032" s="100"/>
      <c r="BG1032" s="100"/>
      <c r="BH1032" s="100"/>
      <c r="BI1032" s="100"/>
      <c r="BJ1032" s="100"/>
      <c r="BK1032" s="102"/>
      <c r="BN1032" s="36"/>
    </row>
    <row r="1033" spans="1:66" x14ac:dyDescent="0.25">
      <c r="A1033" s="92"/>
      <c r="B1033" s="92"/>
      <c r="C1033" s="92"/>
      <c r="D1033" s="92"/>
      <c r="E1033" s="92"/>
      <c r="F1033" s="92"/>
      <c r="G1033" s="92"/>
      <c r="H1033" s="92"/>
      <c r="I1033" s="92"/>
      <c r="J1033" s="92"/>
      <c r="K1033" s="92"/>
      <c r="L1033" s="92"/>
      <c r="M1033" s="92"/>
      <c r="N1033" s="92"/>
      <c r="AG1033" s="100"/>
      <c r="AH1033" s="101"/>
      <c r="AI1033" s="101"/>
      <c r="AJ1033" s="100"/>
      <c r="AK1033" s="100"/>
      <c r="AL1033" s="100"/>
      <c r="AM1033" s="100"/>
      <c r="AN1033" s="100"/>
      <c r="AO1033" s="100"/>
      <c r="AP1033" s="100"/>
      <c r="AQ1033" s="100"/>
      <c r="AR1033" s="100"/>
      <c r="AS1033" s="100"/>
      <c r="AT1033" s="102"/>
      <c r="AX1033" s="100"/>
      <c r="AY1033" s="101"/>
      <c r="AZ1033" s="101"/>
      <c r="BA1033" s="100"/>
      <c r="BB1033" s="100"/>
      <c r="BC1033" s="100"/>
      <c r="BD1033" s="100"/>
      <c r="BE1033" s="100"/>
      <c r="BF1033" s="100"/>
      <c r="BG1033" s="100"/>
      <c r="BH1033" s="100"/>
      <c r="BI1033" s="100"/>
      <c r="BJ1033" s="100"/>
      <c r="BK1033" s="102"/>
      <c r="BN1033" s="36"/>
    </row>
    <row r="1034" spans="1:66" x14ac:dyDescent="0.25">
      <c r="A1034" s="92"/>
      <c r="B1034" s="92"/>
      <c r="C1034" s="92"/>
      <c r="D1034" s="92"/>
      <c r="E1034" s="92"/>
      <c r="F1034" s="92"/>
      <c r="G1034" s="92"/>
      <c r="H1034" s="92"/>
      <c r="I1034" s="92"/>
      <c r="J1034" s="92"/>
      <c r="K1034" s="92"/>
      <c r="L1034" s="92"/>
      <c r="M1034" s="92"/>
      <c r="N1034" s="92"/>
      <c r="AG1034" s="100"/>
      <c r="AH1034" s="101"/>
      <c r="AI1034" s="101"/>
      <c r="AJ1034" s="101"/>
      <c r="AK1034" s="100"/>
      <c r="AL1034" s="100"/>
      <c r="AM1034" s="100"/>
      <c r="AN1034" s="100"/>
      <c r="AO1034" s="100"/>
      <c r="AP1034" s="100"/>
      <c r="AQ1034" s="100"/>
      <c r="AR1034" s="100"/>
      <c r="AS1034" s="100"/>
      <c r="AT1034" s="102"/>
      <c r="AX1034" s="100"/>
      <c r="AY1034" s="101"/>
      <c r="AZ1034" s="101"/>
      <c r="BA1034" s="100"/>
      <c r="BB1034" s="100"/>
      <c r="BC1034" s="100"/>
      <c r="BD1034" s="100"/>
      <c r="BE1034" s="100"/>
      <c r="BF1034" s="100"/>
      <c r="BG1034" s="100"/>
      <c r="BH1034" s="100"/>
      <c r="BI1034" s="100"/>
      <c r="BJ1034" s="100"/>
      <c r="BK1034" s="102"/>
      <c r="BN1034" s="36"/>
    </row>
    <row r="1035" spans="1:66" x14ac:dyDescent="0.25">
      <c r="A1035" s="92"/>
      <c r="B1035" s="92"/>
      <c r="C1035" s="92"/>
      <c r="D1035" s="92"/>
      <c r="E1035" s="92"/>
      <c r="F1035" s="92"/>
      <c r="G1035" s="92"/>
      <c r="H1035" s="92"/>
      <c r="I1035" s="92"/>
      <c r="J1035" s="92"/>
      <c r="K1035" s="92"/>
      <c r="L1035" s="92"/>
      <c r="M1035" s="92"/>
      <c r="N1035" s="92"/>
      <c r="AG1035" s="100"/>
      <c r="AH1035" s="101"/>
      <c r="AI1035" s="101"/>
      <c r="AJ1035" s="100"/>
      <c r="AK1035" s="100"/>
      <c r="AL1035" s="100"/>
      <c r="AM1035" s="100"/>
      <c r="AN1035" s="100"/>
      <c r="AO1035" s="100"/>
      <c r="AP1035" s="100"/>
      <c r="AQ1035" s="100"/>
      <c r="AR1035" s="100"/>
      <c r="AS1035" s="100"/>
      <c r="AT1035" s="102"/>
      <c r="AX1035" s="100"/>
      <c r="AY1035" s="101"/>
      <c r="AZ1035" s="101"/>
      <c r="BA1035" s="101"/>
      <c r="BB1035" s="100"/>
      <c r="BC1035" s="100"/>
      <c r="BD1035" s="100"/>
      <c r="BE1035" s="100"/>
      <c r="BF1035" s="100"/>
      <c r="BG1035" s="100"/>
      <c r="BH1035" s="100"/>
      <c r="BI1035" s="100"/>
      <c r="BJ1035" s="100"/>
      <c r="BK1035" s="102"/>
      <c r="BN1035" s="36"/>
    </row>
    <row r="1036" spans="1:66" x14ac:dyDescent="0.25">
      <c r="A1036" s="92"/>
      <c r="B1036" s="92"/>
      <c r="C1036" s="92"/>
      <c r="D1036" s="92"/>
      <c r="E1036" s="92"/>
      <c r="F1036" s="92"/>
      <c r="G1036" s="92"/>
      <c r="H1036" s="92"/>
      <c r="I1036" s="92"/>
      <c r="J1036" s="92"/>
      <c r="K1036" s="92"/>
      <c r="L1036" s="92"/>
      <c r="M1036" s="92"/>
      <c r="N1036" s="92"/>
      <c r="AG1036" s="100"/>
      <c r="AH1036" s="101"/>
      <c r="AI1036" s="101"/>
      <c r="AJ1036" s="100"/>
      <c r="AK1036" s="100"/>
      <c r="AL1036" s="100"/>
      <c r="AM1036" s="100"/>
      <c r="AN1036" s="100"/>
      <c r="AO1036" s="100"/>
      <c r="AP1036" s="100"/>
      <c r="AQ1036" s="100"/>
      <c r="AR1036" s="100"/>
      <c r="AS1036" s="100"/>
      <c r="AT1036" s="102"/>
      <c r="AX1036" s="100"/>
      <c r="AY1036" s="101"/>
      <c r="AZ1036" s="101"/>
      <c r="BA1036" s="100"/>
      <c r="BB1036" s="100"/>
      <c r="BC1036" s="100"/>
      <c r="BD1036" s="100"/>
      <c r="BE1036" s="100"/>
      <c r="BF1036" s="100"/>
      <c r="BG1036" s="100"/>
      <c r="BH1036" s="100"/>
      <c r="BI1036" s="100"/>
      <c r="BJ1036" s="100"/>
      <c r="BK1036" s="102"/>
      <c r="BN1036" s="36"/>
    </row>
    <row r="1037" spans="1:66" x14ac:dyDescent="0.25">
      <c r="A1037" s="92"/>
      <c r="B1037" s="92"/>
      <c r="C1037" s="92"/>
      <c r="D1037" s="92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AG1037" s="100"/>
      <c r="AH1037" s="101"/>
      <c r="AI1037" s="101"/>
      <c r="AJ1037" s="100"/>
      <c r="AK1037" s="100"/>
      <c r="AL1037" s="100"/>
      <c r="AM1037" s="100"/>
      <c r="AN1037" s="100"/>
      <c r="AO1037" s="100"/>
      <c r="AP1037" s="100"/>
      <c r="AQ1037" s="100"/>
      <c r="AR1037" s="100"/>
      <c r="AS1037" s="100"/>
      <c r="AT1037" s="102"/>
      <c r="AX1037" s="100"/>
      <c r="AY1037" s="101"/>
      <c r="AZ1037" s="101"/>
      <c r="BA1037" s="101"/>
      <c r="BB1037" s="100"/>
      <c r="BC1037" s="100"/>
      <c r="BD1037" s="100"/>
      <c r="BE1037" s="100"/>
      <c r="BF1037" s="100"/>
      <c r="BG1037" s="100"/>
      <c r="BH1037" s="100"/>
      <c r="BI1037" s="100"/>
      <c r="BJ1037" s="100"/>
      <c r="BK1037" s="102"/>
      <c r="BN1037" s="36"/>
    </row>
    <row r="1038" spans="1:66" x14ac:dyDescent="0.25">
      <c r="A1038" s="92"/>
      <c r="B1038" s="92"/>
      <c r="C1038" s="92"/>
      <c r="D1038" s="92"/>
      <c r="E1038" s="92"/>
      <c r="F1038" s="92"/>
      <c r="G1038" s="92"/>
      <c r="H1038" s="92"/>
      <c r="I1038" s="92"/>
      <c r="J1038" s="92"/>
      <c r="K1038" s="92"/>
      <c r="L1038" s="92"/>
      <c r="M1038" s="92"/>
      <c r="N1038" s="92"/>
      <c r="AG1038" s="100"/>
      <c r="AH1038" s="101"/>
      <c r="AI1038" s="101"/>
      <c r="AJ1038" s="101"/>
      <c r="AK1038" s="100"/>
      <c r="AL1038" s="100"/>
      <c r="AM1038" s="100"/>
      <c r="AN1038" s="100"/>
      <c r="AO1038" s="100"/>
      <c r="AP1038" s="100"/>
      <c r="AQ1038" s="100"/>
      <c r="AR1038" s="100"/>
      <c r="AS1038" s="100"/>
      <c r="AT1038" s="102"/>
      <c r="AX1038" s="100"/>
      <c r="AY1038" s="101"/>
      <c r="AZ1038" s="101"/>
      <c r="BA1038" s="100"/>
      <c r="BB1038" s="100"/>
      <c r="BC1038" s="100"/>
      <c r="BD1038" s="100"/>
      <c r="BE1038" s="100"/>
      <c r="BF1038" s="100"/>
      <c r="BG1038" s="100"/>
      <c r="BH1038" s="100"/>
      <c r="BI1038" s="100"/>
      <c r="BJ1038" s="100"/>
      <c r="BK1038" s="102"/>
      <c r="BN1038" s="36"/>
    </row>
    <row r="1039" spans="1:66" x14ac:dyDescent="0.25">
      <c r="A1039" s="92"/>
      <c r="B1039" s="93"/>
      <c r="C1039" s="93"/>
      <c r="D1039" s="92"/>
      <c r="E1039" s="92"/>
      <c r="F1039" s="92"/>
      <c r="G1039" s="92"/>
      <c r="H1039" s="92"/>
      <c r="I1039" s="92"/>
      <c r="J1039" s="92"/>
      <c r="K1039" s="92"/>
      <c r="L1039" s="92"/>
      <c r="M1039" s="92"/>
      <c r="N1039" s="94"/>
      <c r="AG1039" s="100"/>
      <c r="AH1039" s="101"/>
      <c r="AI1039" s="101"/>
      <c r="AJ1039" s="100"/>
      <c r="AK1039" s="100"/>
      <c r="AL1039" s="100"/>
      <c r="AM1039" s="100"/>
      <c r="AN1039" s="100"/>
      <c r="AO1039" s="100"/>
      <c r="AP1039" s="100"/>
      <c r="AQ1039" s="100"/>
      <c r="AR1039" s="100"/>
      <c r="AS1039" s="100"/>
      <c r="AT1039" s="102"/>
      <c r="AX1039" s="100"/>
      <c r="AY1039" s="101"/>
      <c r="AZ1039" s="101"/>
      <c r="BA1039" s="100"/>
      <c r="BB1039" s="100"/>
      <c r="BC1039" s="100"/>
      <c r="BD1039" s="100"/>
      <c r="BE1039" s="100"/>
      <c r="BF1039" s="100"/>
      <c r="BG1039" s="100"/>
      <c r="BH1039" s="100"/>
      <c r="BI1039" s="100"/>
      <c r="BJ1039" s="100"/>
      <c r="BK1039" s="102"/>
      <c r="BN1039" s="36"/>
    </row>
    <row r="1040" spans="1:66" x14ac:dyDescent="0.25">
      <c r="A1040" s="92"/>
      <c r="B1040" s="93"/>
      <c r="C1040" s="93"/>
      <c r="D1040" s="92"/>
      <c r="E1040" s="92"/>
      <c r="F1040" s="92"/>
      <c r="G1040" s="92"/>
      <c r="H1040" s="92"/>
      <c r="I1040" s="92"/>
      <c r="J1040" s="92"/>
      <c r="K1040" s="92"/>
      <c r="L1040" s="92"/>
      <c r="M1040" s="92"/>
      <c r="N1040" s="94"/>
      <c r="AG1040" s="100"/>
      <c r="AH1040" s="101"/>
      <c r="AI1040" s="101"/>
      <c r="AJ1040" s="100"/>
      <c r="AK1040" s="100"/>
      <c r="AL1040" s="100"/>
      <c r="AM1040" s="100"/>
      <c r="AN1040" s="100"/>
      <c r="AO1040" s="100"/>
      <c r="AP1040" s="100"/>
      <c r="AQ1040" s="100"/>
      <c r="AR1040" s="100"/>
      <c r="AS1040" s="100"/>
      <c r="AT1040" s="102"/>
      <c r="AX1040" s="100"/>
      <c r="AY1040" s="101"/>
      <c r="AZ1040" s="101"/>
      <c r="BA1040" s="100"/>
      <c r="BB1040" s="100"/>
      <c r="BC1040" s="100"/>
      <c r="BD1040" s="100"/>
      <c r="BE1040" s="100"/>
      <c r="BF1040" s="100"/>
      <c r="BG1040" s="100"/>
      <c r="BH1040" s="100"/>
      <c r="BI1040" s="100"/>
      <c r="BJ1040" s="100"/>
      <c r="BK1040" s="102"/>
      <c r="BN1040" s="36"/>
    </row>
    <row r="1041" spans="1:66" x14ac:dyDescent="0.25">
      <c r="A1041" s="92"/>
      <c r="B1041" s="93"/>
      <c r="C1041" s="93"/>
      <c r="D1041" s="92"/>
      <c r="E1041" s="92"/>
      <c r="F1041" s="92"/>
      <c r="G1041" s="92"/>
      <c r="H1041" s="92"/>
      <c r="I1041" s="92"/>
      <c r="J1041" s="92"/>
      <c r="K1041" s="92"/>
      <c r="L1041" s="92"/>
      <c r="M1041" s="92"/>
      <c r="N1041" s="94"/>
      <c r="AG1041" s="100"/>
      <c r="AH1041" s="101"/>
      <c r="AI1041" s="101"/>
      <c r="AJ1041" s="100"/>
      <c r="AK1041" s="100"/>
      <c r="AL1041" s="100"/>
      <c r="AM1041" s="100"/>
      <c r="AN1041" s="100"/>
      <c r="AO1041" s="100"/>
      <c r="AP1041" s="100"/>
      <c r="AQ1041" s="100"/>
      <c r="AR1041" s="100"/>
      <c r="AS1041" s="100"/>
      <c r="AT1041" s="102"/>
      <c r="AX1041" s="100"/>
      <c r="AY1041" s="101"/>
      <c r="AZ1041" s="101"/>
      <c r="BA1041" s="100"/>
      <c r="BB1041" s="100"/>
      <c r="BC1041" s="100"/>
      <c r="BD1041" s="100"/>
      <c r="BE1041" s="100"/>
      <c r="BF1041" s="100"/>
      <c r="BG1041" s="100"/>
      <c r="BH1041" s="100"/>
      <c r="BI1041" s="100"/>
      <c r="BJ1041" s="100"/>
      <c r="BK1041" s="102"/>
      <c r="BN1041" s="36"/>
    </row>
    <row r="1042" spans="1:66" x14ac:dyDescent="0.25">
      <c r="A1042" s="92"/>
      <c r="B1042" s="92"/>
      <c r="C1042" s="92"/>
      <c r="D1042" s="92"/>
      <c r="E1042" s="92"/>
      <c r="F1042" s="92"/>
      <c r="G1042" s="92"/>
      <c r="H1042" s="92"/>
      <c r="I1042" s="92"/>
      <c r="J1042" s="92"/>
      <c r="K1042" s="92"/>
      <c r="L1042" s="92"/>
      <c r="M1042" s="92"/>
      <c r="N1042" s="92"/>
      <c r="AG1042" s="100"/>
      <c r="AH1042" s="101"/>
      <c r="AI1042" s="101"/>
      <c r="AJ1042" s="100"/>
      <c r="AK1042" s="100"/>
      <c r="AL1042" s="100"/>
      <c r="AM1042" s="100"/>
      <c r="AN1042" s="100"/>
      <c r="AO1042" s="100"/>
      <c r="AP1042" s="100"/>
      <c r="AQ1042" s="100"/>
      <c r="AR1042" s="100"/>
      <c r="AS1042" s="100"/>
      <c r="AT1042" s="102"/>
      <c r="AX1042" s="100"/>
      <c r="AY1042" s="101"/>
      <c r="AZ1042" s="101"/>
      <c r="BA1042" s="100"/>
      <c r="BB1042" s="100"/>
      <c r="BC1042" s="100"/>
      <c r="BD1042" s="100"/>
      <c r="BE1042" s="100"/>
      <c r="BF1042" s="100"/>
      <c r="BG1042" s="100"/>
      <c r="BH1042" s="100"/>
      <c r="BI1042" s="100"/>
      <c r="BJ1042" s="100"/>
      <c r="BK1042" s="102"/>
      <c r="BN1042" s="36"/>
    </row>
    <row r="1043" spans="1:66" x14ac:dyDescent="0.25">
      <c r="A1043" s="92"/>
      <c r="B1043" s="93"/>
      <c r="C1043" s="93"/>
      <c r="D1043" s="92"/>
      <c r="E1043" s="92"/>
      <c r="F1043" s="92"/>
      <c r="G1043" s="92"/>
      <c r="H1043" s="92"/>
      <c r="I1043" s="92"/>
      <c r="J1043" s="92"/>
      <c r="K1043" s="92"/>
      <c r="L1043" s="92"/>
      <c r="M1043" s="92"/>
      <c r="N1043" s="94"/>
      <c r="AG1043" s="100"/>
      <c r="AH1043" s="101"/>
      <c r="AI1043" s="101"/>
      <c r="AJ1043" s="100"/>
      <c r="AK1043" s="100"/>
      <c r="AL1043" s="100"/>
      <c r="AM1043" s="100"/>
      <c r="AN1043" s="100"/>
      <c r="AO1043" s="100"/>
      <c r="AP1043" s="100"/>
      <c r="AQ1043" s="100"/>
      <c r="AR1043" s="100"/>
      <c r="AS1043" s="100"/>
      <c r="AT1043" s="102"/>
      <c r="AX1043" s="100"/>
      <c r="AY1043" s="101"/>
      <c r="AZ1043" s="101"/>
      <c r="BA1043" s="100"/>
      <c r="BB1043" s="100"/>
      <c r="BC1043" s="100"/>
      <c r="BD1043" s="100"/>
      <c r="BE1043" s="100"/>
      <c r="BF1043" s="100"/>
      <c r="BG1043" s="100"/>
      <c r="BH1043" s="100"/>
      <c r="BI1043" s="100"/>
      <c r="BJ1043" s="100"/>
      <c r="BK1043" s="102"/>
      <c r="BN1043" s="36"/>
    </row>
    <row r="1044" spans="1:66" x14ac:dyDescent="0.25">
      <c r="A1044" s="92"/>
      <c r="B1044" s="93"/>
      <c r="C1044" s="93"/>
      <c r="D1044" s="93"/>
      <c r="E1044" s="92"/>
      <c r="F1044" s="92"/>
      <c r="G1044" s="92"/>
      <c r="H1044" s="92"/>
      <c r="I1044" s="92"/>
      <c r="J1044" s="92"/>
      <c r="K1044" s="92"/>
      <c r="L1044" s="92"/>
      <c r="M1044" s="92"/>
      <c r="N1044" s="94"/>
      <c r="AG1044" s="100"/>
      <c r="AH1044" s="101"/>
      <c r="AI1044" s="101"/>
      <c r="AJ1044" s="100"/>
      <c r="AK1044" s="100"/>
      <c r="AL1044" s="100"/>
      <c r="AM1044" s="100"/>
      <c r="AN1044" s="100"/>
      <c r="AO1044" s="100"/>
      <c r="AP1044" s="100"/>
      <c r="AQ1044" s="100"/>
      <c r="AR1044" s="100"/>
      <c r="AS1044" s="100"/>
      <c r="AT1044" s="102"/>
      <c r="AX1044" s="100"/>
      <c r="AY1044" s="101"/>
      <c r="AZ1044" s="101"/>
      <c r="BA1044" s="101"/>
      <c r="BB1044" s="100"/>
      <c r="BC1044" s="100"/>
      <c r="BD1044" s="100"/>
      <c r="BE1044" s="100"/>
      <c r="BF1044" s="100"/>
      <c r="BG1044" s="100"/>
      <c r="BH1044" s="100"/>
      <c r="BI1044" s="100"/>
      <c r="BJ1044" s="100"/>
      <c r="BK1044" s="102"/>
      <c r="BN1044" s="36"/>
    </row>
    <row r="1045" spans="1:66" x14ac:dyDescent="0.25">
      <c r="A1045" s="92"/>
      <c r="B1045" s="92"/>
      <c r="C1045" s="92"/>
      <c r="D1045" s="92"/>
      <c r="E1045" s="92"/>
      <c r="F1045" s="92"/>
      <c r="G1045" s="92"/>
      <c r="H1045" s="92"/>
      <c r="I1045" s="92"/>
      <c r="J1045" s="92"/>
      <c r="K1045" s="92"/>
      <c r="L1045" s="92"/>
      <c r="M1045" s="92"/>
      <c r="N1045" s="92"/>
      <c r="AG1045" s="100"/>
      <c r="AH1045" s="101"/>
      <c r="AI1045" s="101"/>
      <c r="AJ1045" s="100"/>
      <c r="AK1045" s="100"/>
      <c r="AL1045" s="100"/>
      <c r="AM1045" s="100"/>
      <c r="AN1045" s="100"/>
      <c r="AO1045" s="100"/>
      <c r="AP1045" s="100"/>
      <c r="AQ1045" s="100"/>
      <c r="AR1045" s="100"/>
      <c r="AS1045" s="100"/>
      <c r="AT1045" s="102"/>
      <c r="AX1045" s="100"/>
      <c r="AY1045" s="101"/>
      <c r="AZ1045" s="101"/>
      <c r="BA1045" s="100"/>
      <c r="BB1045" s="100"/>
      <c r="BC1045" s="100"/>
      <c r="BD1045" s="100"/>
      <c r="BE1045" s="100"/>
      <c r="BF1045" s="100"/>
      <c r="BG1045" s="100"/>
      <c r="BH1045" s="100"/>
      <c r="BI1045" s="100"/>
      <c r="BJ1045" s="100"/>
      <c r="BK1045" s="102"/>
      <c r="BN1045" s="36"/>
    </row>
    <row r="1046" spans="1:66" x14ac:dyDescent="0.25">
      <c r="A1046" s="92"/>
      <c r="B1046" s="92"/>
      <c r="C1046" s="92"/>
      <c r="D1046" s="92"/>
      <c r="E1046" s="92"/>
      <c r="F1046" s="92"/>
      <c r="G1046" s="92"/>
      <c r="H1046" s="92"/>
      <c r="I1046" s="92"/>
      <c r="J1046" s="92"/>
      <c r="K1046" s="92"/>
      <c r="L1046" s="92"/>
      <c r="M1046" s="92"/>
      <c r="N1046" s="92"/>
      <c r="AG1046" s="100"/>
      <c r="AH1046" s="101"/>
      <c r="AI1046" s="101"/>
      <c r="AJ1046" s="100"/>
      <c r="AK1046" s="100"/>
      <c r="AL1046" s="100"/>
      <c r="AM1046" s="100"/>
      <c r="AN1046" s="100"/>
      <c r="AO1046" s="100"/>
      <c r="AP1046" s="100"/>
      <c r="AQ1046" s="100"/>
      <c r="AR1046" s="100"/>
      <c r="AS1046" s="100"/>
      <c r="AT1046" s="102"/>
      <c r="AX1046" s="100"/>
      <c r="AY1046" s="101"/>
      <c r="AZ1046" s="101"/>
      <c r="BA1046" s="100"/>
      <c r="BB1046" s="100"/>
      <c r="BC1046" s="100"/>
      <c r="BD1046" s="100"/>
      <c r="BE1046" s="100"/>
      <c r="BF1046" s="100"/>
      <c r="BG1046" s="100"/>
      <c r="BH1046" s="100"/>
      <c r="BI1046" s="100"/>
      <c r="BJ1046" s="100"/>
      <c r="BK1046" s="102"/>
      <c r="BN1046" s="36"/>
    </row>
    <row r="1047" spans="1:66" x14ac:dyDescent="0.25">
      <c r="A1047" s="92"/>
      <c r="B1047" s="92"/>
      <c r="C1047" s="92"/>
      <c r="D1047" s="92"/>
      <c r="E1047" s="92"/>
      <c r="F1047" s="92"/>
      <c r="G1047" s="92"/>
      <c r="H1047" s="92"/>
      <c r="I1047" s="92"/>
      <c r="J1047" s="92"/>
      <c r="K1047" s="92"/>
      <c r="L1047" s="92"/>
      <c r="M1047" s="92"/>
      <c r="N1047" s="92"/>
      <c r="AG1047" s="100"/>
      <c r="AH1047" s="101"/>
      <c r="AI1047" s="101"/>
      <c r="AJ1047" s="100"/>
      <c r="AK1047" s="100"/>
      <c r="AL1047" s="100"/>
      <c r="AM1047" s="100"/>
      <c r="AN1047" s="100"/>
      <c r="AO1047" s="100"/>
      <c r="AP1047" s="100"/>
      <c r="AQ1047" s="100"/>
      <c r="AR1047" s="100"/>
      <c r="AS1047" s="100"/>
      <c r="AT1047" s="102"/>
      <c r="AX1047" s="100"/>
      <c r="AY1047" s="101"/>
      <c r="AZ1047" s="101"/>
      <c r="BA1047" s="100"/>
      <c r="BB1047" s="100"/>
      <c r="BC1047" s="100"/>
      <c r="BD1047" s="100"/>
      <c r="BE1047" s="100"/>
      <c r="BF1047" s="100"/>
      <c r="BG1047" s="100"/>
      <c r="BH1047" s="100"/>
      <c r="BI1047" s="100"/>
      <c r="BJ1047" s="100"/>
      <c r="BK1047" s="102"/>
      <c r="BN1047" s="36"/>
    </row>
    <row r="1048" spans="1:66" x14ac:dyDescent="0.25">
      <c r="A1048" s="92"/>
      <c r="B1048" s="92"/>
      <c r="C1048" s="92"/>
      <c r="D1048" s="92"/>
      <c r="E1048" s="92"/>
      <c r="F1048" s="92"/>
      <c r="G1048" s="92"/>
      <c r="H1048" s="92"/>
      <c r="I1048" s="92"/>
      <c r="J1048" s="92"/>
      <c r="K1048" s="92"/>
      <c r="L1048" s="92"/>
      <c r="M1048" s="92"/>
      <c r="N1048" s="92"/>
      <c r="AG1048" s="100"/>
      <c r="AH1048" s="101"/>
      <c r="AI1048" s="101"/>
      <c r="AJ1048" s="100"/>
      <c r="AK1048" s="100"/>
      <c r="AL1048" s="100"/>
      <c r="AM1048" s="100"/>
      <c r="AN1048" s="100"/>
      <c r="AO1048" s="100"/>
      <c r="AP1048" s="100"/>
      <c r="AQ1048" s="100"/>
      <c r="AR1048" s="100"/>
      <c r="AS1048" s="100"/>
      <c r="AT1048" s="102"/>
      <c r="AX1048" s="100"/>
      <c r="AY1048" s="101"/>
      <c r="AZ1048" s="101"/>
      <c r="BA1048" s="101"/>
      <c r="BB1048" s="100"/>
      <c r="BC1048" s="100"/>
      <c r="BD1048" s="100"/>
      <c r="BE1048" s="100"/>
      <c r="BF1048" s="100"/>
      <c r="BG1048" s="100"/>
      <c r="BH1048" s="100"/>
      <c r="BI1048" s="100"/>
      <c r="BJ1048" s="100"/>
      <c r="BK1048" s="102"/>
      <c r="BN1048" s="36"/>
    </row>
    <row r="1049" spans="1:66" x14ac:dyDescent="0.25">
      <c r="A1049" s="92"/>
      <c r="B1049" s="92"/>
      <c r="C1049" s="92"/>
      <c r="D1049" s="92"/>
      <c r="E1049" s="92"/>
      <c r="F1049" s="92"/>
      <c r="G1049" s="92"/>
      <c r="H1049" s="92"/>
      <c r="I1049" s="92"/>
      <c r="J1049" s="92"/>
      <c r="K1049" s="92"/>
      <c r="L1049" s="92"/>
      <c r="M1049" s="92"/>
      <c r="N1049" s="92"/>
      <c r="AG1049" s="100"/>
      <c r="AH1049" s="101"/>
      <c r="AI1049" s="101"/>
      <c r="AJ1049" s="100"/>
      <c r="AK1049" s="100"/>
      <c r="AL1049" s="100"/>
      <c r="AM1049" s="100"/>
      <c r="AN1049" s="100"/>
      <c r="AO1049" s="100"/>
      <c r="AP1049" s="100"/>
      <c r="AQ1049" s="100"/>
      <c r="AR1049" s="100"/>
      <c r="AS1049" s="100"/>
      <c r="AT1049" s="102"/>
      <c r="AX1049" s="100"/>
      <c r="AY1049" s="101"/>
      <c r="AZ1049" s="101"/>
      <c r="BA1049" s="100"/>
      <c r="BB1049" s="100"/>
      <c r="BC1049" s="100"/>
      <c r="BD1049" s="100"/>
      <c r="BE1049" s="100"/>
      <c r="BF1049" s="100"/>
      <c r="BG1049" s="100"/>
      <c r="BH1049" s="100"/>
      <c r="BI1049" s="100"/>
      <c r="BJ1049" s="100"/>
      <c r="BK1049" s="102"/>
      <c r="BN1049" s="36"/>
    </row>
    <row r="1050" spans="1:66" x14ac:dyDescent="0.25">
      <c r="A1050" s="92"/>
      <c r="B1050" s="92"/>
      <c r="C1050" s="92"/>
      <c r="D1050" s="92"/>
      <c r="E1050" s="92"/>
      <c r="F1050" s="92"/>
      <c r="G1050" s="92"/>
      <c r="H1050" s="92"/>
      <c r="I1050" s="92"/>
      <c r="J1050" s="92"/>
      <c r="K1050" s="92"/>
      <c r="L1050" s="92"/>
      <c r="M1050" s="92"/>
      <c r="N1050" s="92"/>
      <c r="AG1050" s="100"/>
      <c r="AH1050" s="101"/>
      <c r="AI1050" s="101"/>
      <c r="AJ1050" s="100"/>
      <c r="AK1050" s="100"/>
      <c r="AL1050" s="100"/>
      <c r="AM1050" s="100"/>
      <c r="AN1050" s="100"/>
      <c r="AO1050" s="100"/>
      <c r="AP1050" s="100"/>
      <c r="AQ1050" s="100"/>
      <c r="AR1050" s="100"/>
      <c r="AS1050" s="100"/>
      <c r="AT1050" s="102"/>
      <c r="AX1050" s="100"/>
      <c r="AY1050" s="101"/>
      <c r="AZ1050" s="101"/>
      <c r="BA1050" s="100"/>
      <c r="BB1050" s="100"/>
      <c r="BC1050" s="100"/>
      <c r="BD1050" s="100"/>
      <c r="BE1050" s="100"/>
      <c r="BF1050" s="100"/>
      <c r="BG1050" s="100"/>
      <c r="BH1050" s="100"/>
      <c r="BI1050" s="100"/>
      <c r="BJ1050" s="100"/>
      <c r="BK1050" s="102"/>
      <c r="BN1050" s="36"/>
    </row>
    <row r="1051" spans="1:66" x14ac:dyDescent="0.25">
      <c r="A1051" s="92"/>
      <c r="B1051" s="93"/>
      <c r="C1051" s="93"/>
      <c r="D1051" s="93"/>
      <c r="E1051" s="92"/>
      <c r="F1051" s="92"/>
      <c r="G1051" s="92"/>
      <c r="H1051" s="92"/>
      <c r="I1051" s="92"/>
      <c r="J1051" s="92"/>
      <c r="K1051" s="92"/>
      <c r="L1051" s="92"/>
      <c r="M1051" s="92"/>
      <c r="N1051" s="94"/>
      <c r="AG1051" s="100"/>
      <c r="AH1051" s="101"/>
      <c r="AI1051" s="101"/>
      <c r="AJ1051" s="100"/>
      <c r="AK1051" s="100"/>
      <c r="AL1051" s="100"/>
      <c r="AM1051" s="100"/>
      <c r="AN1051" s="100"/>
      <c r="AO1051" s="100"/>
      <c r="AP1051" s="100"/>
      <c r="AQ1051" s="100"/>
      <c r="AR1051" s="100"/>
      <c r="AS1051" s="100"/>
      <c r="AT1051" s="102"/>
      <c r="AX1051" s="100"/>
      <c r="AY1051" s="101"/>
      <c r="AZ1051" s="101"/>
      <c r="BA1051" s="101"/>
      <c r="BB1051" s="100"/>
      <c r="BC1051" s="100"/>
      <c r="BD1051" s="100"/>
      <c r="BE1051" s="100"/>
      <c r="BF1051" s="100"/>
      <c r="BG1051" s="100"/>
      <c r="BH1051" s="100"/>
      <c r="BI1051" s="100"/>
      <c r="BJ1051" s="100"/>
      <c r="BK1051" s="102"/>
      <c r="BN1051" s="36"/>
    </row>
    <row r="1052" spans="1:66" x14ac:dyDescent="0.25">
      <c r="A1052" s="92"/>
      <c r="B1052" s="92"/>
      <c r="C1052" s="92"/>
      <c r="D1052" s="92"/>
      <c r="E1052" s="92"/>
      <c r="F1052" s="92"/>
      <c r="G1052" s="92"/>
      <c r="H1052" s="92"/>
      <c r="I1052" s="92"/>
      <c r="J1052" s="92"/>
      <c r="K1052" s="92"/>
      <c r="L1052" s="92"/>
      <c r="M1052" s="92"/>
      <c r="N1052" s="92"/>
      <c r="AG1052" s="100"/>
      <c r="AH1052" s="101"/>
      <c r="AI1052" s="101"/>
      <c r="AJ1052" s="100"/>
      <c r="AK1052" s="100"/>
      <c r="AL1052" s="100"/>
      <c r="AM1052" s="100"/>
      <c r="AN1052" s="100"/>
      <c r="AO1052" s="100"/>
      <c r="AP1052" s="100"/>
      <c r="AQ1052" s="100"/>
      <c r="AR1052" s="100"/>
      <c r="AS1052" s="100"/>
      <c r="AT1052" s="102"/>
      <c r="AX1052" s="100"/>
      <c r="AY1052" s="101"/>
      <c r="AZ1052" s="101"/>
      <c r="BA1052" s="101"/>
      <c r="BB1052" s="100"/>
      <c r="BC1052" s="100"/>
      <c r="BD1052" s="100"/>
      <c r="BE1052" s="100"/>
      <c r="BF1052" s="100"/>
      <c r="BG1052" s="100"/>
      <c r="BH1052" s="100"/>
      <c r="BI1052" s="100"/>
      <c r="BJ1052" s="100"/>
      <c r="BK1052" s="102"/>
      <c r="BN1052" s="36"/>
    </row>
    <row r="1053" spans="1:66" x14ac:dyDescent="0.25">
      <c r="A1053" s="92"/>
      <c r="B1053" s="92"/>
      <c r="C1053" s="92"/>
      <c r="D1053" s="92"/>
      <c r="E1053" s="92"/>
      <c r="F1053" s="92"/>
      <c r="G1053" s="92"/>
      <c r="H1053" s="92"/>
      <c r="I1053" s="92"/>
      <c r="J1053" s="92"/>
      <c r="K1053" s="92"/>
      <c r="L1053" s="92"/>
      <c r="M1053" s="92"/>
      <c r="N1053" s="92"/>
      <c r="AG1053" s="100"/>
      <c r="AH1053" s="101"/>
      <c r="AI1053" s="101"/>
      <c r="AJ1053" s="100"/>
      <c r="AK1053" s="100"/>
      <c r="AL1053" s="100"/>
      <c r="AM1053" s="100"/>
      <c r="AN1053" s="100"/>
      <c r="AO1053" s="100"/>
      <c r="AP1053" s="100"/>
      <c r="AQ1053" s="100"/>
      <c r="AR1053" s="100"/>
      <c r="AS1053" s="100"/>
      <c r="AT1053" s="102"/>
      <c r="AX1053" s="100"/>
      <c r="AY1053" s="101"/>
      <c r="AZ1053" s="101"/>
      <c r="BA1053" s="100"/>
      <c r="BB1053" s="100"/>
      <c r="BC1053" s="100"/>
      <c r="BD1053" s="100"/>
      <c r="BE1053" s="100"/>
      <c r="BF1053" s="100"/>
      <c r="BG1053" s="100"/>
      <c r="BH1053" s="100"/>
      <c r="BI1053" s="100"/>
      <c r="BJ1053" s="100"/>
      <c r="BK1053" s="102"/>
      <c r="BN1053" s="36"/>
    </row>
    <row r="1054" spans="1:66" x14ac:dyDescent="0.25">
      <c r="A1054" s="92"/>
      <c r="B1054" s="92"/>
      <c r="C1054" s="92"/>
      <c r="D1054" s="92"/>
      <c r="E1054" s="92"/>
      <c r="F1054" s="92"/>
      <c r="G1054" s="92"/>
      <c r="H1054" s="92"/>
      <c r="I1054" s="92"/>
      <c r="J1054" s="92"/>
      <c r="K1054" s="92"/>
      <c r="L1054" s="92"/>
      <c r="M1054" s="92"/>
      <c r="N1054" s="92"/>
      <c r="AG1054" s="100"/>
      <c r="AH1054" s="101"/>
      <c r="AI1054" s="101"/>
      <c r="AJ1054" s="100"/>
      <c r="AK1054" s="100"/>
      <c r="AL1054" s="100"/>
      <c r="AM1054" s="100"/>
      <c r="AN1054" s="100"/>
      <c r="AO1054" s="100"/>
      <c r="AP1054" s="100"/>
      <c r="AQ1054" s="100"/>
      <c r="AR1054" s="100"/>
      <c r="AS1054" s="100"/>
      <c r="AT1054" s="102"/>
      <c r="AX1054" s="100"/>
      <c r="AY1054" s="101"/>
      <c r="AZ1054" s="101"/>
      <c r="BA1054" s="101"/>
      <c r="BB1054" s="100"/>
      <c r="BC1054" s="100"/>
      <c r="BD1054" s="100"/>
      <c r="BE1054" s="100"/>
      <c r="BF1054" s="100"/>
      <c r="BG1054" s="100"/>
      <c r="BH1054" s="100"/>
      <c r="BI1054" s="100"/>
      <c r="BJ1054" s="100"/>
      <c r="BK1054" s="102"/>
      <c r="BN1054" s="36"/>
    </row>
    <row r="1055" spans="1:66" x14ac:dyDescent="0.25">
      <c r="A1055" s="92"/>
      <c r="B1055" s="93"/>
      <c r="C1055" s="93"/>
      <c r="D1055" s="93"/>
      <c r="E1055" s="92"/>
      <c r="F1055" s="92"/>
      <c r="G1055" s="92"/>
      <c r="H1055" s="92"/>
      <c r="I1055" s="92"/>
      <c r="J1055" s="92"/>
      <c r="K1055" s="92"/>
      <c r="L1055" s="92"/>
      <c r="M1055" s="92"/>
      <c r="N1055" s="94"/>
      <c r="AG1055" s="100"/>
      <c r="AH1055" s="101"/>
      <c r="AI1055" s="101"/>
      <c r="AJ1055" s="100"/>
      <c r="AK1055" s="100"/>
      <c r="AL1055" s="100"/>
      <c r="AM1055" s="100"/>
      <c r="AN1055" s="100"/>
      <c r="AO1055" s="100"/>
      <c r="AP1055" s="100"/>
      <c r="AQ1055" s="100"/>
      <c r="AR1055" s="100"/>
      <c r="AS1055" s="100"/>
      <c r="AT1055" s="102"/>
      <c r="AX1055" s="100"/>
      <c r="AY1055" s="101"/>
      <c r="AZ1055" s="101"/>
      <c r="BA1055" s="100"/>
      <c r="BB1055" s="100"/>
      <c r="BC1055" s="100"/>
      <c r="BD1055" s="100"/>
      <c r="BE1055" s="100"/>
      <c r="BF1055" s="100"/>
      <c r="BG1055" s="100"/>
      <c r="BH1055" s="100"/>
      <c r="BI1055" s="100"/>
      <c r="BJ1055" s="100"/>
      <c r="BK1055" s="102"/>
      <c r="BN1055" s="36"/>
    </row>
    <row r="1056" spans="1:66" x14ac:dyDescent="0.25">
      <c r="A1056" s="92"/>
      <c r="B1056" s="92"/>
      <c r="C1056" s="92"/>
      <c r="D1056" s="92"/>
      <c r="E1056" s="92"/>
      <c r="F1056" s="92"/>
      <c r="G1056" s="92"/>
      <c r="H1056" s="92"/>
      <c r="I1056" s="92"/>
      <c r="J1056" s="92"/>
      <c r="K1056" s="92"/>
      <c r="L1056" s="92"/>
      <c r="M1056" s="92"/>
      <c r="N1056" s="92"/>
      <c r="AG1056" s="100"/>
      <c r="AH1056" s="101"/>
      <c r="AI1056" s="101"/>
      <c r="AJ1056" s="101"/>
      <c r="AK1056" s="100"/>
      <c r="AL1056" s="100"/>
      <c r="AM1056" s="100"/>
      <c r="AN1056" s="100"/>
      <c r="AO1056" s="100"/>
      <c r="AP1056" s="100"/>
      <c r="AQ1056" s="100"/>
      <c r="AR1056" s="100"/>
      <c r="AS1056" s="100"/>
      <c r="AT1056" s="102"/>
      <c r="AX1056" s="100"/>
      <c r="AY1056" s="101"/>
      <c r="AZ1056" s="101"/>
      <c r="BA1056" s="100"/>
      <c r="BB1056" s="100"/>
      <c r="BC1056" s="100"/>
      <c r="BD1056" s="100"/>
      <c r="BE1056" s="100"/>
      <c r="BF1056" s="100"/>
      <c r="BG1056" s="100"/>
      <c r="BH1056" s="100"/>
      <c r="BI1056" s="100"/>
      <c r="BJ1056" s="100"/>
      <c r="BK1056" s="102"/>
      <c r="BN1056" s="36"/>
    </row>
    <row r="1057" spans="1:66" x14ac:dyDescent="0.25">
      <c r="A1057" s="92"/>
      <c r="B1057" s="92"/>
      <c r="C1057" s="92"/>
      <c r="D1057" s="92"/>
      <c r="E1057" s="92"/>
      <c r="F1057" s="92"/>
      <c r="G1057" s="92"/>
      <c r="H1057" s="92"/>
      <c r="I1057" s="92"/>
      <c r="J1057" s="92"/>
      <c r="K1057" s="92"/>
      <c r="L1057" s="92"/>
      <c r="M1057" s="92"/>
      <c r="N1057" s="92"/>
      <c r="AG1057" s="100"/>
      <c r="AH1057" s="101"/>
      <c r="AI1057" s="101"/>
      <c r="AJ1057" s="101"/>
      <c r="AK1057" s="100"/>
      <c r="AL1057" s="100"/>
      <c r="AM1057" s="100"/>
      <c r="AN1057" s="100"/>
      <c r="AO1057" s="100"/>
      <c r="AP1057" s="100"/>
      <c r="AQ1057" s="100"/>
      <c r="AR1057" s="100"/>
      <c r="AS1057" s="100"/>
      <c r="AT1057" s="102"/>
      <c r="AX1057" s="100"/>
      <c r="AY1057" s="101"/>
      <c r="AZ1057" s="101"/>
      <c r="BA1057" s="100"/>
      <c r="BB1057" s="100"/>
      <c r="BC1057" s="100"/>
      <c r="BD1057" s="100"/>
      <c r="BE1057" s="100"/>
      <c r="BF1057" s="100"/>
      <c r="BG1057" s="100"/>
      <c r="BH1057" s="100"/>
      <c r="BI1057" s="100"/>
      <c r="BJ1057" s="100"/>
      <c r="BK1057" s="102"/>
      <c r="BN1057" s="36"/>
    </row>
    <row r="1058" spans="1:66" x14ac:dyDescent="0.25">
      <c r="A1058" s="92"/>
      <c r="B1058" s="92"/>
      <c r="C1058" s="92"/>
      <c r="D1058" s="92"/>
      <c r="E1058" s="92"/>
      <c r="F1058" s="92"/>
      <c r="G1058" s="92"/>
      <c r="H1058" s="92"/>
      <c r="I1058" s="92"/>
      <c r="J1058" s="92"/>
      <c r="K1058" s="92"/>
      <c r="L1058" s="92"/>
      <c r="M1058" s="92"/>
      <c r="N1058" s="92"/>
      <c r="AG1058" s="100"/>
      <c r="AH1058" s="101"/>
      <c r="AI1058" s="101"/>
      <c r="AJ1058" s="101"/>
      <c r="AK1058" s="100"/>
      <c r="AL1058" s="100"/>
      <c r="AM1058" s="100"/>
      <c r="AN1058" s="100"/>
      <c r="AO1058" s="100"/>
      <c r="AP1058" s="100"/>
      <c r="AQ1058" s="100"/>
      <c r="AR1058" s="100"/>
      <c r="AS1058" s="100"/>
      <c r="AT1058" s="102"/>
      <c r="AX1058" s="100"/>
      <c r="AY1058" s="101"/>
      <c r="AZ1058" s="101"/>
      <c r="BA1058" s="101"/>
      <c r="BB1058" s="100"/>
      <c r="BC1058" s="100"/>
      <c r="BD1058" s="100"/>
      <c r="BE1058" s="100"/>
      <c r="BF1058" s="100"/>
      <c r="BG1058" s="100"/>
      <c r="BH1058" s="100"/>
      <c r="BI1058" s="100"/>
      <c r="BJ1058" s="100"/>
      <c r="BK1058" s="102"/>
      <c r="BN1058" s="36"/>
    </row>
    <row r="1059" spans="1:66" x14ac:dyDescent="0.25">
      <c r="A1059" s="92"/>
      <c r="B1059" s="92"/>
      <c r="C1059" s="92"/>
      <c r="D1059" s="92"/>
      <c r="E1059" s="92"/>
      <c r="F1059" s="92"/>
      <c r="G1059" s="92"/>
      <c r="H1059" s="92"/>
      <c r="I1059" s="92"/>
      <c r="J1059" s="92"/>
      <c r="K1059" s="92"/>
      <c r="L1059" s="92"/>
      <c r="M1059" s="92"/>
      <c r="N1059" s="92"/>
      <c r="AG1059" s="100"/>
      <c r="AH1059" s="101"/>
      <c r="AI1059" s="101"/>
      <c r="AJ1059" s="100"/>
      <c r="AK1059" s="100"/>
      <c r="AL1059" s="100"/>
      <c r="AM1059" s="100"/>
      <c r="AN1059" s="100"/>
      <c r="AO1059" s="100"/>
      <c r="AP1059" s="100"/>
      <c r="AQ1059" s="100"/>
      <c r="AR1059" s="100"/>
      <c r="AS1059" s="100"/>
      <c r="AT1059" s="102"/>
      <c r="AX1059" s="100"/>
      <c r="AY1059" s="101"/>
      <c r="AZ1059" s="101"/>
      <c r="BA1059" s="100"/>
      <c r="BB1059" s="100"/>
      <c r="BC1059" s="100"/>
      <c r="BD1059" s="100"/>
      <c r="BE1059" s="100"/>
      <c r="BF1059" s="100"/>
      <c r="BG1059" s="100"/>
      <c r="BH1059" s="100"/>
      <c r="BI1059" s="100"/>
      <c r="BJ1059" s="100"/>
      <c r="BK1059" s="102"/>
      <c r="BN1059" s="36"/>
    </row>
    <row r="1060" spans="1:66" x14ac:dyDescent="0.25">
      <c r="A1060" s="92"/>
      <c r="B1060" s="92"/>
      <c r="C1060" s="92"/>
      <c r="D1060" s="92"/>
      <c r="E1060" s="92"/>
      <c r="F1060" s="92"/>
      <c r="G1060" s="92"/>
      <c r="H1060" s="92"/>
      <c r="I1060" s="92"/>
      <c r="J1060" s="92"/>
      <c r="K1060" s="92"/>
      <c r="L1060" s="92"/>
      <c r="M1060" s="92"/>
      <c r="N1060" s="92"/>
      <c r="AG1060" s="100"/>
      <c r="AH1060" s="101"/>
      <c r="AI1060" s="101"/>
      <c r="AJ1060" s="100"/>
      <c r="AK1060" s="100"/>
      <c r="AL1060" s="100"/>
      <c r="AM1060" s="100"/>
      <c r="AN1060" s="100"/>
      <c r="AO1060" s="100"/>
      <c r="AP1060" s="100"/>
      <c r="AQ1060" s="100"/>
      <c r="AR1060" s="100"/>
      <c r="AS1060" s="100"/>
      <c r="AT1060" s="102"/>
      <c r="AX1060" s="100"/>
      <c r="AY1060" s="101"/>
      <c r="AZ1060" s="101"/>
      <c r="BA1060" s="100"/>
      <c r="BB1060" s="100"/>
      <c r="BC1060" s="100"/>
      <c r="BD1060" s="100"/>
      <c r="BE1060" s="100"/>
      <c r="BF1060" s="100"/>
      <c r="BG1060" s="100"/>
      <c r="BH1060" s="100"/>
      <c r="BI1060" s="100"/>
      <c r="BJ1060" s="100"/>
      <c r="BK1060" s="102"/>
      <c r="BN1060" s="36"/>
    </row>
    <row r="1061" spans="1:66" x14ac:dyDescent="0.25">
      <c r="A1061" s="92"/>
      <c r="B1061" s="92"/>
      <c r="C1061" s="92"/>
      <c r="D1061" s="92"/>
      <c r="E1061" s="92"/>
      <c r="F1061" s="92"/>
      <c r="G1061" s="92"/>
      <c r="H1061" s="92"/>
      <c r="I1061" s="92"/>
      <c r="J1061" s="92"/>
      <c r="K1061" s="92"/>
      <c r="L1061" s="92"/>
      <c r="M1061" s="92"/>
      <c r="N1061" s="92"/>
      <c r="AG1061" s="100"/>
      <c r="AH1061" s="101"/>
      <c r="AI1061" s="101"/>
      <c r="AJ1061" s="101"/>
      <c r="AK1061" s="100"/>
      <c r="AL1061" s="100"/>
      <c r="AM1061" s="100"/>
      <c r="AN1061" s="100"/>
      <c r="AO1061" s="100"/>
      <c r="AP1061" s="100"/>
      <c r="AQ1061" s="100"/>
      <c r="AR1061" s="100"/>
      <c r="AS1061" s="100"/>
      <c r="AT1061" s="102"/>
      <c r="AX1061" s="100"/>
      <c r="AY1061" s="101"/>
      <c r="AZ1061" s="101"/>
      <c r="BA1061" s="100"/>
      <c r="BB1061" s="100"/>
      <c r="BC1061" s="100"/>
      <c r="BD1061" s="100"/>
      <c r="BE1061" s="100"/>
      <c r="BF1061" s="100"/>
      <c r="BG1061" s="100"/>
      <c r="BH1061" s="100"/>
      <c r="BI1061" s="100"/>
      <c r="BJ1061" s="100"/>
      <c r="BK1061" s="102"/>
      <c r="BN1061" s="36"/>
    </row>
    <row r="1062" spans="1:66" x14ac:dyDescent="0.25">
      <c r="A1062" s="92"/>
      <c r="B1062" s="93"/>
      <c r="C1062" s="93"/>
      <c r="D1062" s="92"/>
      <c r="E1062" s="92"/>
      <c r="F1062" s="92"/>
      <c r="G1062" s="92"/>
      <c r="H1062" s="92"/>
      <c r="I1062" s="92"/>
      <c r="J1062" s="92"/>
      <c r="K1062" s="92"/>
      <c r="L1062" s="92"/>
      <c r="M1062" s="92"/>
      <c r="N1062" s="94"/>
      <c r="AG1062" s="100"/>
      <c r="AH1062" s="101"/>
      <c r="AI1062" s="101"/>
      <c r="AJ1062" s="100"/>
      <c r="AK1062" s="100"/>
      <c r="AL1062" s="100"/>
      <c r="AM1062" s="100"/>
      <c r="AN1062" s="100"/>
      <c r="AO1062" s="100"/>
      <c r="AP1062" s="100"/>
      <c r="AQ1062" s="100"/>
      <c r="AR1062" s="100"/>
      <c r="AS1062" s="100"/>
      <c r="AT1062" s="102"/>
      <c r="AX1062" s="100"/>
      <c r="AY1062" s="101"/>
      <c r="AZ1062" s="101"/>
      <c r="BA1062" s="100"/>
      <c r="BB1062" s="100"/>
      <c r="BC1062" s="100"/>
      <c r="BD1062" s="100"/>
      <c r="BE1062" s="100"/>
      <c r="BF1062" s="100"/>
      <c r="BG1062" s="100"/>
      <c r="BH1062" s="100"/>
      <c r="BI1062" s="100"/>
      <c r="BJ1062" s="100"/>
      <c r="BK1062" s="102"/>
      <c r="BN1062" s="36"/>
    </row>
    <row r="1063" spans="1:66" x14ac:dyDescent="0.25">
      <c r="A1063" s="92"/>
      <c r="B1063" s="93"/>
      <c r="C1063" s="93"/>
      <c r="D1063" s="92"/>
      <c r="E1063" s="92"/>
      <c r="F1063" s="92"/>
      <c r="G1063" s="92"/>
      <c r="H1063" s="92"/>
      <c r="I1063" s="92"/>
      <c r="J1063" s="92"/>
      <c r="K1063" s="92"/>
      <c r="L1063" s="92"/>
      <c r="M1063" s="92"/>
      <c r="N1063" s="94"/>
      <c r="AG1063" s="100"/>
      <c r="AH1063" s="101"/>
      <c r="AI1063" s="101"/>
      <c r="AJ1063" s="100"/>
      <c r="AK1063" s="100"/>
      <c r="AL1063" s="100"/>
      <c r="AM1063" s="100"/>
      <c r="AN1063" s="100"/>
      <c r="AO1063" s="100"/>
      <c r="AP1063" s="100"/>
      <c r="AQ1063" s="100"/>
      <c r="AR1063" s="100"/>
      <c r="AS1063" s="100"/>
      <c r="AT1063" s="102"/>
      <c r="AX1063" s="100"/>
      <c r="AY1063" s="101"/>
      <c r="AZ1063" s="101"/>
      <c r="BA1063" s="100"/>
      <c r="BB1063" s="100"/>
      <c r="BC1063" s="100"/>
      <c r="BD1063" s="100"/>
      <c r="BE1063" s="100"/>
      <c r="BF1063" s="100"/>
      <c r="BG1063" s="100"/>
      <c r="BH1063" s="100"/>
      <c r="BI1063" s="100"/>
      <c r="BJ1063" s="100"/>
      <c r="BK1063" s="102"/>
      <c r="BN1063" s="36"/>
    </row>
    <row r="1064" spans="1:66" x14ac:dyDescent="0.25">
      <c r="A1064" s="92"/>
      <c r="B1064" s="93"/>
      <c r="C1064" s="93"/>
      <c r="D1064" s="92"/>
      <c r="E1064" s="92"/>
      <c r="F1064" s="92"/>
      <c r="G1064" s="92"/>
      <c r="H1064" s="92"/>
      <c r="I1064" s="92"/>
      <c r="J1064" s="92"/>
      <c r="K1064" s="92"/>
      <c r="L1064" s="92"/>
      <c r="M1064" s="92"/>
      <c r="N1064" s="94"/>
      <c r="AG1064" s="100"/>
      <c r="AH1064" s="101"/>
      <c r="AI1064" s="101"/>
      <c r="AJ1064" s="101"/>
      <c r="AK1064" s="100"/>
      <c r="AL1064" s="100"/>
      <c r="AM1064" s="100"/>
      <c r="AN1064" s="100"/>
      <c r="AO1064" s="100"/>
      <c r="AP1064" s="100"/>
      <c r="AQ1064" s="100"/>
      <c r="AR1064" s="100"/>
      <c r="AS1064" s="100"/>
      <c r="AT1064" s="102"/>
      <c r="AX1064" s="100"/>
      <c r="AY1064" s="101"/>
      <c r="AZ1064" s="101"/>
      <c r="BA1064" s="100"/>
      <c r="BB1064" s="100"/>
      <c r="BC1064" s="100"/>
      <c r="BD1064" s="100"/>
      <c r="BE1064" s="100"/>
      <c r="BF1064" s="100"/>
      <c r="BG1064" s="100"/>
      <c r="BH1064" s="100"/>
      <c r="BI1064" s="100"/>
      <c r="BJ1064" s="100"/>
      <c r="BK1064" s="102"/>
      <c r="BN1064" s="36"/>
    </row>
    <row r="1065" spans="1:66" x14ac:dyDescent="0.25">
      <c r="A1065" s="92"/>
      <c r="B1065" s="93"/>
      <c r="C1065" s="93"/>
      <c r="D1065" s="92"/>
      <c r="E1065" s="92"/>
      <c r="F1065" s="92"/>
      <c r="G1065" s="92"/>
      <c r="H1065" s="92"/>
      <c r="I1065" s="92"/>
      <c r="J1065" s="92"/>
      <c r="K1065" s="92"/>
      <c r="L1065" s="92"/>
      <c r="M1065" s="92"/>
      <c r="N1065" s="94"/>
      <c r="AG1065" s="100"/>
      <c r="AH1065" s="101"/>
      <c r="AI1065" s="101"/>
      <c r="AJ1065" s="100"/>
      <c r="AK1065" s="100"/>
      <c r="AL1065" s="100"/>
      <c r="AM1065" s="100"/>
      <c r="AN1065" s="100"/>
      <c r="AO1065" s="100"/>
      <c r="AP1065" s="100"/>
      <c r="AQ1065" s="100"/>
      <c r="AR1065" s="100"/>
      <c r="AS1065" s="100"/>
      <c r="AT1065" s="102"/>
      <c r="AX1065" s="100"/>
      <c r="AY1065" s="101"/>
      <c r="AZ1065" s="101"/>
      <c r="BA1065" s="100"/>
      <c r="BB1065" s="100"/>
      <c r="BC1065" s="100"/>
      <c r="BD1065" s="100"/>
      <c r="BE1065" s="100"/>
      <c r="BF1065" s="100"/>
      <c r="BG1065" s="100"/>
      <c r="BH1065" s="100"/>
      <c r="BI1065" s="100"/>
      <c r="BJ1065" s="100"/>
      <c r="BK1065" s="102"/>
      <c r="BN1065" s="36"/>
    </row>
    <row r="1066" spans="1:66" x14ac:dyDescent="0.25">
      <c r="A1066" s="92"/>
      <c r="B1066" s="93"/>
      <c r="C1066" s="93"/>
      <c r="D1066" s="92"/>
      <c r="E1066" s="92"/>
      <c r="F1066" s="92"/>
      <c r="G1066" s="92"/>
      <c r="H1066" s="92"/>
      <c r="I1066" s="92"/>
      <c r="J1066" s="92"/>
      <c r="K1066" s="92"/>
      <c r="L1066" s="92"/>
      <c r="M1066" s="92"/>
      <c r="N1066" s="94"/>
      <c r="AG1066" s="100"/>
      <c r="AH1066" s="101"/>
      <c r="AI1066" s="101"/>
      <c r="AJ1066" s="100"/>
      <c r="AK1066" s="100"/>
      <c r="AL1066" s="100"/>
      <c r="AM1066" s="100"/>
      <c r="AN1066" s="100"/>
      <c r="AO1066" s="100"/>
      <c r="AP1066" s="100"/>
      <c r="AQ1066" s="100"/>
      <c r="AR1066" s="100"/>
      <c r="AS1066" s="100"/>
      <c r="AT1066" s="102"/>
      <c r="AX1066" s="100"/>
      <c r="AY1066" s="101"/>
      <c r="AZ1066" s="101"/>
      <c r="BA1066" s="100"/>
      <c r="BB1066" s="100"/>
      <c r="BC1066" s="100"/>
      <c r="BD1066" s="100"/>
      <c r="BE1066" s="100"/>
      <c r="BF1066" s="100"/>
      <c r="BG1066" s="100"/>
      <c r="BH1066" s="100"/>
      <c r="BI1066" s="100"/>
      <c r="BJ1066" s="100"/>
      <c r="BK1066" s="102"/>
      <c r="BN1066" s="36"/>
    </row>
    <row r="1067" spans="1:66" x14ac:dyDescent="0.25">
      <c r="A1067" s="92"/>
      <c r="B1067" s="92"/>
      <c r="C1067" s="92"/>
      <c r="D1067" s="92"/>
      <c r="E1067" s="92"/>
      <c r="F1067" s="92"/>
      <c r="G1067" s="92"/>
      <c r="H1067" s="92"/>
      <c r="I1067" s="92"/>
      <c r="J1067" s="92"/>
      <c r="K1067" s="92"/>
      <c r="L1067" s="92"/>
      <c r="M1067" s="92"/>
      <c r="N1067" s="92"/>
      <c r="AG1067" s="100"/>
      <c r="AH1067" s="101"/>
      <c r="AI1067" s="101"/>
      <c r="AJ1067" s="100"/>
      <c r="AK1067" s="100"/>
      <c r="AL1067" s="100"/>
      <c r="AM1067" s="100"/>
      <c r="AN1067" s="100"/>
      <c r="AO1067" s="100"/>
      <c r="AP1067" s="100"/>
      <c r="AQ1067" s="100"/>
      <c r="AR1067" s="100"/>
      <c r="AS1067" s="100"/>
      <c r="AT1067" s="102"/>
      <c r="AX1067" s="100"/>
      <c r="AY1067" s="101"/>
      <c r="AZ1067" s="101"/>
      <c r="BA1067" s="100"/>
      <c r="BB1067" s="100"/>
      <c r="BC1067" s="100"/>
      <c r="BD1067" s="100"/>
      <c r="BE1067" s="100"/>
      <c r="BF1067" s="100"/>
      <c r="BG1067" s="100"/>
      <c r="BH1067" s="100"/>
      <c r="BI1067" s="100"/>
      <c r="BJ1067" s="100"/>
      <c r="BK1067" s="102"/>
      <c r="BN1067" s="36"/>
    </row>
    <row r="1068" spans="1:66" x14ac:dyDescent="0.25">
      <c r="A1068" s="92"/>
      <c r="B1068" s="93"/>
      <c r="C1068" s="93"/>
      <c r="D1068" s="93"/>
      <c r="E1068" s="92"/>
      <c r="F1068" s="92"/>
      <c r="G1068" s="92"/>
      <c r="H1068" s="92"/>
      <c r="I1068" s="92"/>
      <c r="J1068" s="92"/>
      <c r="K1068" s="92"/>
      <c r="L1068" s="92"/>
      <c r="M1068" s="92"/>
      <c r="N1068" s="94"/>
      <c r="AG1068" s="100"/>
      <c r="AH1068" s="101"/>
      <c r="AI1068" s="101"/>
      <c r="AJ1068" s="101"/>
      <c r="AK1068" s="100"/>
      <c r="AL1068" s="100"/>
      <c r="AM1068" s="100"/>
      <c r="AN1068" s="100"/>
      <c r="AO1068" s="100"/>
      <c r="AP1068" s="100"/>
      <c r="AQ1068" s="100"/>
      <c r="AR1068" s="100"/>
      <c r="AS1068" s="100"/>
      <c r="AT1068" s="102"/>
      <c r="AX1068" s="100"/>
      <c r="AY1068" s="101"/>
      <c r="AZ1068" s="101"/>
      <c r="BA1068" s="100"/>
      <c r="BB1068" s="100"/>
      <c r="BC1068" s="100"/>
      <c r="BD1068" s="100"/>
      <c r="BE1068" s="100"/>
      <c r="BF1068" s="100"/>
      <c r="BG1068" s="100"/>
      <c r="BH1068" s="100"/>
      <c r="BI1068" s="100"/>
      <c r="BJ1068" s="100"/>
      <c r="BK1068" s="102"/>
      <c r="BN1068" s="36"/>
    </row>
    <row r="1069" spans="1:66" x14ac:dyDescent="0.25">
      <c r="A1069" s="92"/>
      <c r="B1069" s="92"/>
      <c r="C1069" s="92"/>
      <c r="D1069" s="92"/>
      <c r="E1069" s="92"/>
      <c r="F1069" s="92"/>
      <c r="G1069" s="92"/>
      <c r="H1069" s="92"/>
      <c r="I1069" s="92"/>
      <c r="J1069" s="92"/>
      <c r="K1069" s="92"/>
      <c r="L1069" s="92"/>
      <c r="M1069" s="92"/>
      <c r="N1069" s="92"/>
      <c r="AG1069" s="100"/>
      <c r="AH1069" s="101"/>
      <c r="AI1069" s="101"/>
      <c r="AJ1069" s="100"/>
      <c r="AK1069" s="100"/>
      <c r="AL1069" s="100"/>
      <c r="AM1069" s="100"/>
      <c r="AN1069" s="100"/>
      <c r="AO1069" s="100"/>
      <c r="AP1069" s="100"/>
      <c r="AQ1069" s="100"/>
      <c r="AR1069" s="100"/>
      <c r="AS1069" s="100"/>
      <c r="AT1069" s="102"/>
      <c r="AX1069" s="100"/>
      <c r="AY1069" s="101"/>
      <c r="AZ1069" s="101"/>
      <c r="BA1069" s="100"/>
      <c r="BB1069" s="100"/>
      <c r="BC1069" s="100"/>
      <c r="BD1069" s="100"/>
      <c r="BE1069" s="100"/>
      <c r="BF1069" s="100"/>
      <c r="BG1069" s="100"/>
      <c r="BH1069" s="100"/>
      <c r="BI1069" s="100"/>
      <c r="BJ1069" s="100"/>
      <c r="BK1069" s="102"/>
      <c r="BN1069" s="36"/>
    </row>
    <row r="1070" spans="1:66" x14ac:dyDescent="0.25">
      <c r="A1070" s="92"/>
      <c r="B1070" s="92"/>
      <c r="C1070" s="92"/>
      <c r="D1070" s="92"/>
      <c r="E1070" s="92"/>
      <c r="F1070" s="92"/>
      <c r="G1070" s="92"/>
      <c r="H1070" s="92"/>
      <c r="I1070" s="92"/>
      <c r="J1070" s="92"/>
      <c r="K1070" s="92"/>
      <c r="L1070" s="92"/>
      <c r="M1070" s="92"/>
      <c r="N1070" s="92"/>
      <c r="AG1070" s="100"/>
      <c r="AH1070" s="101"/>
      <c r="AI1070" s="101"/>
      <c r="AJ1070" s="101"/>
      <c r="AK1070" s="100"/>
      <c r="AL1070" s="100"/>
      <c r="AM1070" s="100"/>
      <c r="AN1070" s="100"/>
      <c r="AO1070" s="100"/>
      <c r="AP1070" s="100"/>
      <c r="AQ1070" s="100"/>
      <c r="AR1070" s="100"/>
      <c r="AS1070" s="100"/>
      <c r="AT1070" s="102"/>
      <c r="AX1070" s="100"/>
      <c r="AY1070" s="101"/>
      <c r="AZ1070" s="101"/>
      <c r="BA1070" s="100"/>
      <c r="BB1070" s="100"/>
      <c r="BC1070" s="100"/>
      <c r="BD1070" s="100"/>
      <c r="BE1070" s="100"/>
      <c r="BF1070" s="100"/>
      <c r="BG1070" s="100"/>
      <c r="BH1070" s="100"/>
      <c r="BI1070" s="100"/>
      <c r="BJ1070" s="100"/>
      <c r="BK1070" s="102"/>
      <c r="BN1070" s="36"/>
    </row>
    <row r="1071" spans="1:66" x14ac:dyDescent="0.25">
      <c r="A1071" s="92"/>
      <c r="B1071" s="92"/>
      <c r="C1071" s="92"/>
      <c r="D1071" s="92"/>
      <c r="E1071" s="92"/>
      <c r="F1071" s="92"/>
      <c r="G1071" s="92"/>
      <c r="H1071" s="92"/>
      <c r="I1071" s="92"/>
      <c r="J1071" s="92"/>
      <c r="K1071" s="92"/>
      <c r="L1071" s="92"/>
      <c r="M1071" s="92"/>
      <c r="N1071" s="92"/>
      <c r="AG1071" s="100"/>
      <c r="AH1071" s="101"/>
      <c r="AI1071" s="101"/>
      <c r="AJ1071" s="100"/>
      <c r="AK1071" s="100"/>
      <c r="AL1071" s="100"/>
      <c r="AM1071" s="100"/>
      <c r="AN1071" s="100"/>
      <c r="AO1071" s="100"/>
      <c r="AP1071" s="100"/>
      <c r="AQ1071" s="100"/>
      <c r="AR1071" s="100"/>
      <c r="AS1071" s="100"/>
      <c r="AT1071" s="102"/>
      <c r="AX1071" s="100"/>
      <c r="AY1071" s="101"/>
      <c r="AZ1071" s="101"/>
      <c r="BA1071" s="100"/>
      <c r="BB1071" s="100"/>
      <c r="BC1071" s="100"/>
      <c r="BD1071" s="100"/>
      <c r="BE1071" s="100"/>
      <c r="BF1071" s="100"/>
      <c r="BG1071" s="100"/>
      <c r="BH1071" s="100"/>
      <c r="BI1071" s="100"/>
      <c r="BJ1071" s="100"/>
      <c r="BK1071" s="102"/>
      <c r="BN1071" s="36"/>
    </row>
    <row r="1072" spans="1:66" x14ac:dyDescent="0.25">
      <c r="A1072" s="92"/>
      <c r="B1072" s="92"/>
      <c r="C1072" s="92"/>
      <c r="D1072" s="92"/>
      <c r="E1072" s="92"/>
      <c r="F1072" s="92"/>
      <c r="G1072" s="92"/>
      <c r="H1072" s="92"/>
      <c r="I1072" s="92"/>
      <c r="J1072" s="92"/>
      <c r="K1072" s="92"/>
      <c r="L1072" s="92"/>
      <c r="M1072" s="92"/>
      <c r="N1072" s="92"/>
      <c r="AG1072" s="100"/>
      <c r="AH1072" s="101"/>
      <c r="AI1072" s="101"/>
      <c r="AJ1072" s="100"/>
      <c r="AK1072" s="100"/>
      <c r="AL1072" s="100"/>
      <c r="AM1072" s="100"/>
      <c r="AN1072" s="100"/>
      <c r="AO1072" s="100"/>
      <c r="AP1072" s="100"/>
      <c r="AQ1072" s="100"/>
      <c r="AR1072" s="100"/>
      <c r="AS1072" s="100"/>
      <c r="AT1072" s="102"/>
      <c r="AX1072" s="100"/>
      <c r="AY1072" s="101"/>
      <c r="AZ1072" s="101"/>
      <c r="BA1072" s="100"/>
      <c r="BB1072" s="100"/>
      <c r="BC1072" s="100"/>
      <c r="BD1072" s="100"/>
      <c r="BE1072" s="100"/>
      <c r="BF1072" s="100"/>
      <c r="BG1072" s="100"/>
      <c r="BH1072" s="100"/>
      <c r="BI1072" s="100"/>
      <c r="BJ1072" s="100"/>
      <c r="BK1072" s="102"/>
      <c r="BN1072" s="36"/>
    </row>
    <row r="1073" spans="1:66" x14ac:dyDescent="0.25">
      <c r="A1073" s="92"/>
      <c r="B1073" s="92"/>
      <c r="C1073" s="92"/>
      <c r="D1073" s="92"/>
      <c r="E1073" s="92"/>
      <c r="F1073" s="92"/>
      <c r="G1073" s="92"/>
      <c r="H1073" s="92"/>
      <c r="I1073" s="92"/>
      <c r="J1073" s="92"/>
      <c r="K1073" s="92"/>
      <c r="L1073" s="92"/>
      <c r="M1073" s="92"/>
      <c r="N1073" s="92"/>
      <c r="AG1073" s="100"/>
      <c r="AH1073" s="101"/>
      <c r="AI1073" s="101"/>
      <c r="AJ1073" s="100"/>
      <c r="AK1073" s="100"/>
      <c r="AL1073" s="100"/>
      <c r="AM1073" s="100"/>
      <c r="AN1073" s="100"/>
      <c r="AO1073" s="100"/>
      <c r="AP1073" s="100"/>
      <c r="AQ1073" s="100"/>
      <c r="AR1073" s="100"/>
      <c r="AS1073" s="100"/>
      <c r="AT1073" s="102"/>
      <c r="AX1073" s="100"/>
      <c r="AY1073" s="101"/>
      <c r="AZ1073" s="101"/>
      <c r="BA1073" s="100"/>
      <c r="BB1073" s="100"/>
      <c r="BC1073" s="100"/>
      <c r="BD1073" s="100"/>
      <c r="BE1073" s="100"/>
      <c r="BF1073" s="100"/>
      <c r="BG1073" s="100"/>
      <c r="BH1073" s="100"/>
      <c r="BI1073" s="100"/>
      <c r="BJ1073" s="100"/>
      <c r="BK1073" s="102"/>
      <c r="BN1073" s="36"/>
    </row>
    <row r="1074" spans="1:66" x14ac:dyDescent="0.25">
      <c r="A1074" s="92"/>
      <c r="B1074" s="92"/>
      <c r="C1074" s="92"/>
      <c r="D1074" s="92"/>
      <c r="E1074" s="92"/>
      <c r="F1074" s="92"/>
      <c r="G1074" s="92"/>
      <c r="H1074" s="92"/>
      <c r="I1074" s="92"/>
      <c r="J1074" s="92"/>
      <c r="K1074" s="92"/>
      <c r="L1074" s="92"/>
      <c r="M1074" s="92"/>
      <c r="N1074" s="92"/>
      <c r="AG1074" s="100"/>
      <c r="AH1074" s="101"/>
      <c r="AI1074" s="101"/>
      <c r="AJ1074" s="100"/>
      <c r="AK1074" s="100"/>
      <c r="AL1074" s="100"/>
      <c r="AM1074" s="100"/>
      <c r="AN1074" s="100"/>
      <c r="AO1074" s="100"/>
      <c r="AP1074" s="100"/>
      <c r="AQ1074" s="100"/>
      <c r="AR1074" s="100"/>
      <c r="AS1074" s="100"/>
      <c r="AT1074" s="102"/>
      <c r="AX1074" s="100"/>
      <c r="AY1074" s="101"/>
      <c r="AZ1074" s="101"/>
      <c r="BA1074" s="100"/>
      <c r="BB1074" s="100"/>
      <c r="BC1074" s="100"/>
      <c r="BD1074" s="100"/>
      <c r="BE1074" s="100"/>
      <c r="BF1074" s="100"/>
      <c r="BG1074" s="100"/>
      <c r="BH1074" s="100"/>
      <c r="BI1074" s="100"/>
      <c r="BJ1074" s="100"/>
      <c r="BK1074" s="102"/>
      <c r="BN1074" s="36"/>
    </row>
    <row r="1075" spans="1:66" x14ac:dyDescent="0.25">
      <c r="A1075" s="92"/>
      <c r="B1075" s="92"/>
      <c r="C1075" s="92"/>
      <c r="D1075" s="92"/>
      <c r="E1075" s="92"/>
      <c r="F1075" s="92"/>
      <c r="G1075" s="92"/>
      <c r="H1075" s="92"/>
      <c r="I1075" s="92"/>
      <c r="J1075" s="92"/>
      <c r="K1075" s="92"/>
      <c r="L1075" s="92"/>
      <c r="M1075" s="92"/>
      <c r="N1075" s="92"/>
      <c r="AG1075" s="100"/>
      <c r="AH1075" s="101"/>
      <c r="AI1075" s="101"/>
      <c r="AJ1075" s="100"/>
      <c r="AK1075" s="100"/>
      <c r="AL1075" s="100"/>
      <c r="AM1075" s="100"/>
      <c r="AN1075" s="100"/>
      <c r="AO1075" s="100"/>
      <c r="AP1075" s="100"/>
      <c r="AQ1075" s="100"/>
      <c r="AR1075" s="100"/>
      <c r="AS1075" s="100"/>
      <c r="AT1075" s="102"/>
      <c r="AX1075" s="100"/>
      <c r="AY1075" s="101"/>
      <c r="AZ1075" s="101"/>
      <c r="BA1075" s="100"/>
      <c r="BB1075" s="100"/>
      <c r="BC1075" s="100"/>
      <c r="BD1075" s="100"/>
      <c r="BE1075" s="100"/>
      <c r="BF1075" s="100"/>
      <c r="BG1075" s="100"/>
      <c r="BH1075" s="100"/>
      <c r="BI1075" s="100"/>
      <c r="BJ1075" s="100"/>
      <c r="BK1075" s="102"/>
      <c r="BN1075" s="36"/>
    </row>
    <row r="1076" spans="1:66" x14ac:dyDescent="0.25">
      <c r="A1076" s="92"/>
      <c r="B1076" s="93"/>
      <c r="C1076" s="93"/>
      <c r="D1076" s="92"/>
      <c r="E1076" s="92"/>
      <c r="F1076" s="92"/>
      <c r="G1076" s="92"/>
      <c r="H1076" s="92"/>
      <c r="I1076" s="92"/>
      <c r="J1076" s="92"/>
      <c r="K1076" s="92"/>
      <c r="L1076" s="92"/>
      <c r="M1076" s="92"/>
      <c r="N1076" s="94"/>
      <c r="AG1076" s="100"/>
      <c r="AH1076" s="101"/>
      <c r="AI1076" s="101"/>
      <c r="AJ1076" s="100"/>
      <c r="AK1076" s="100"/>
      <c r="AL1076" s="100"/>
      <c r="AM1076" s="100"/>
      <c r="AN1076" s="100"/>
      <c r="AO1076" s="100"/>
      <c r="AP1076" s="100"/>
      <c r="AQ1076" s="100"/>
      <c r="AR1076" s="100"/>
      <c r="AS1076" s="100"/>
      <c r="AT1076" s="102"/>
      <c r="AX1076" s="100"/>
      <c r="AY1076" s="101"/>
      <c r="AZ1076" s="101"/>
      <c r="BA1076" s="101"/>
      <c r="BB1076" s="100"/>
      <c r="BC1076" s="100"/>
      <c r="BD1076" s="100"/>
      <c r="BE1076" s="100"/>
      <c r="BF1076" s="100"/>
      <c r="BG1076" s="100"/>
      <c r="BH1076" s="100"/>
      <c r="BI1076" s="100"/>
      <c r="BJ1076" s="100"/>
      <c r="BK1076" s="102"/>
      <c r="BN1076" s="36"/>
    </row>
    <row r="1077" spans="1:66" x14ac:dyDescent="0.25">
      <c r="A1077" s="92"/>
      <c r="B1077" s="93"/>
      <c r="C1077" s="93"/>
      <c r="D1077" s="92"/>
      <c r="E1077" s="92"/>
      <c r="F1077" s="92"/>
      <c r="G1077" s="92"/>
      <c r="H1077" s="92"/>
      <c r="I1077" s="92"/>
      <c r="J1077" s="92"/>
      <c r="K1077" s="92"/>
      <c r="L1077" s="92"/>
      <c r="M1077" s="92"/>
      <c r="N1077" s="94"/>
      <c r="AG1077" s="100"/>
      <c r="AH1077" s="101"/>
      <c r="AI1077" s="101"/>
      <c r="AJ1077" s="101"/>
      <c r="AK1077" s="100"/>
      <c r="AL1077" s="100"/>
      <c r="AM1077" s="100"/>
      <c r="AN1077" s="100"/>
      <c r="AO1077" s="100"/>
      <c r="AP1077" s="100"/>
      <c r="AQ1077" s="100"/>
      <c r="AR1077" s="100"/>
      <c r="AS1077" s="100"/>
      <c r="AT1077" s="102"/>
      <c r="AX1077" s="100"/>
      <c r="AY1077" s="101"/>
      <c r="AZ1077" s="101"/>
      <c r="BA1077" s="101"/>
      <c r="BB1077" s="100"/>
      <c r="BC1077" s="100"/>
      <c r="BD1077" s="100"/>
      <c r="BE1077" s="100"/>
      <c r="BF1077" s="100"/>
      <c r="BG1077" s="100"/>
      <c r="BH1077" s="100"/>
      <c r="BI1077" s="100"/>
      <c r="BJ1077" s="100"/>
      <c r="BK1077" s="102"/>
      <c r="BN1077" s="36"/>
    </row>
    <row r="1078" spans="1:66" x14ac:dyDescent="0.25">
      <c r="A1078" s="92"/>
      <c r="B1078" s="93"/>
      <c r="C1078" s="93"/>
      <c r="D1078" s="92"/>
      <c r="E1078" s="92"/>
      <c r="F1078" s="92"/>
      <c r="G1078" s="92"/>
      <c r="H1078" s="92"/>
      <c r="I1078" s="92"/>
      <c r="J1078" s="92"/>
      <c r="K1078" s="92"/>
      <c r="L1078" s="92"/>
      <c r="M1078" s="92"/>
      <c r="N1078" s="94"/>
      <c r="AG1078" s="100"/>
      <c r="AH1078" s="101"/>
      <c r="AI1078" s="101"/>
      <c r="AJ1078" s="100"/>
      <c r="AK1078" s="100"/>
      <c r="AL1078" s="100"/>
      <c r="AM1078" s="100"/>
      <c r="AN1078" s="100"/>
      <c r="AO1078" s="100"/>
      <c r="AP1078" s="100"/>
      <c r="AQ1078" s="100"/>
      <c r="AR1078" s="100"/>
      <c r="AS1078" s="100"/>
      <c r="AT1078" s="102"/>
      <c r="AX1078" s="100"/>
      <c r="AY1078" s="101"/>
      <c r="AZ1078" s="101"/>
      <c r="BA1078" s="101"/>
      <c r="BB1078" s="100"/>
      <c r="BC1078" s="100"/>
      <c r="BD1078" s="100"/>
      <c r="BE1078" s="100"/>
      <c r="BF1078" s="100"/>
      <c r="BG1078" s="100"/>
      <c r="BH1078" s="100"/>
      <c r="BI1078" s="100"/>
      <c r="BJ1078" s="100"/>
      <c r="BK1078" s="102"/>
      <c r="BN1078" s="36"/>
    </row>
    <row r="1079" spans="1:66" x14ac:dyDescent="0.25">
      <c r="A1079" s="92"/>
      <c r="B1079" s="93"/>
      <c r="C1079" s="93"/>
      <c r="D1079" s="92"/>
      <c r="E1079" s="92"/>
      <c r="F1079" s="92"/>
      <c r="G1079" s="92"/>
      <c r="H1079" s="92"/>
      <c r="I1079" s="92"/>
      <c r="J1079" s="92"/>
      <c r="K1079" s="92"/>
      <c r="L1079" s="92"/>
      <c r="M1079" s="92"/>
      <c r="N1079" s="94"/>
      <c r="AG1079" s="100"/>
      <c r="AH1079" s="101"/>
      <c r="AI1079" s="101"/>
      <c r="AJ1079" s="100"/>
      <c r="AK1079" s="100"/>
      <c r="AL1079" s="100"/>
      <c r="AM1079" s="100"/>
      <c r="AN1079" s="100"/>
      <c r="AO1079" s="100"/>
      <c r="AP1079" s="100"/>
      <c r="AQ1079" s="100"/>
      <c r="AR1079" s="100"/>
      <c r="AS1079" s="100"/>
      <c r="AT1079" s="102"/>
      <c r="AX1079" s="100"/>
      <c r="AY1079" s="101"/>
      <c r="AZ1079" s="101"/>
      <c r="BA1079" s="100"/>
      <c r="BB1079" s="100"/>
      <c r="BC1079" s="100"/>
      <c r="BD1079" s="100"/>
      <c r="BE1079" s="100"/>
      <c r="BF1079" s="100"/>
      <c r="BG1079" s="100"/>
      <c r="BH1079" s="100"/>
      <c r="BI1079" s="100"/>
      <c r="BJ1079" s="100"/>
      <c r="BK1079" s="102"/>
      <c r="BN1079" s="36"/>
    </row>
    <row r="1080" spans="1:66" x14ac:dyDescent="0.25">
      <c r="A1080" s="92"/>
      <c r="B1080" s="92"/>
      <c r="C1080" s="92"/>
      <c r="D1080" s="92"/>
      <c r="E1080" s="92"/>
      <c r="F1080" s="92"/>
      <c r="G1080" s="92"/>
      <c r="H1080" s="92"/>
      <c r="I1080" s="92"/>
      <c r="J1080" s="92"/>
      <c r="K1080" s="92"/>
      <c r="L1080" s="92"/>
      <c r="M1080" s="92"/>
      <c r="N1080" s="92"/>
      <c r="AG1080" s="100"/>
      <c r="AH1080" s="101"/>
      <c r="AI1080" s="101"/>
      <c r="AJ1080" s="100"/>
      <c r="AK1080" s="100"/>
      <c r="AL1080" s="100"/>
      <c r="AM1080" s="100"/>
      <c r="AN1080" s="100"/>
      <c r="AO1080" s="100"/>
      <c r="AP1080" s="100"/>
      <c r="AQ1080" s="100"/>
      <c r="AR1080" s="100"/>
      <c r="AS1080" s="100"/>
      <c r="AT1080" s="102"/>
      <c r="AX1080" s="100"/>
      <c r="AY1080" s="101"/>
      <c r="AZ1080" s="101"/>
      <c r="BA1080" s="100"/>
      <c r="BB1080" s="100"/>
      <c r="BC1080" s="100"/>
      <c r="BD1080" s="100"/>
      <c r="BE1080" s="100"/>
      <c r="BF1080" s="100"/>
      <c r="BG1080" s="100"/>
      <c r="BH1080" s="100"/>
      <c r="BI1080" s="100"/>
      <c r="BJ1080" s="100"/>
      <c r="BK1080" s="102"/>
      <c r="BN1080" s="36"/>
    </row>
    <row r="1081" spans="1:66" x14ac:dyDescent="0.25">
      <c r="A1081" s="92"/>
      <c r="B1081" s="92"/>
      <c r="C1081" s="92"/>
      <c r="D1081" s="92"/>
      <c r="E1081" s="92"/>
      <c r="F1081" s="92"/>
      <c r="G1081" s="92"/>
      <c r="H1081" s="92"/>
      <c r="I1081" s="92"/>
      <c r="J1081" s="92"/>
      <c r="K1081" s="92"/>
      <c r="L1081" s="92"/>
      <c r="M1081" s="92"/>
      <c r="N1081" s="92"/>
      <c r="AG1081" s="100"/>
      <c r="AH1081" s="101"/>
      <c r="AI1081" s="101"/>
      <c r="AJ1081" s="100"/>
      <c r="AK1081" s="100"/>
      <c r="AL1081" s="100"/>
      <c r="AM1081" s="100"/>
      <c r="AN1081" s="100"/>
      <c r="AO1081" s="100"/>
      <c r="AP1081" s="100"/>
      <c r="AQ1081" s="100"/>
      <c r="AR1081" s="100"/>
      <c r="AS1081" s="100"/>
      <c r="AT1081" s="102"/>
      <c r="AX1081" s="100"/>
      <c r="AY1081" s="101"/>
      <c r="AZ1081" s="101"/>
      <c r="BA1081" s="101"/>
      <c r="BB1081" s="100"/>
      <c r="BC1081" s="100"/>
      <c r="BD1081" s="100"/>
      <c r="BE1081" s="100"/>
      <c r="BF1081" s="100"/>
      <c r="BG1081" s="100"/>
      <c r="BH1081" s="100"/>
      <c r="BI1081" s="100"/>
      <c r="BJ1081" s="100"/>
      <c r="BK1081" s="102"/>
      <c r="BN1081" s="36"/>
    </row>
    <row r="1082" spans="1:66" x14ac:dyDescent="0.25">
      <c r="A1082" s="92"/>
      <c r="B1082" s="92"/>
      <c r="C1082" s="92"/>
      <c r="D1082" s="92"/>
      <c r="E1082" s="92"/>
      <c r="F1082" s="92"/>
      <c r="G1082" s="92"/>
      <c r="H1082" s="92"/>
      <c r="I1082" s="92"/>
      <c r="J1082" s="92"/>
      <c r="K1082" s="92"/>
      <c r="L1082" s="92"/>
      <c r="M1082" s="92"/>
      <c r="N1082" s="92"/>
      <c r="AG1082" s="100"/>
      <c r="AH1082" s="101"/>
      <c r="AI1082" s="101"/>
      <c r="AJ1082" s="101"/>
      <c r="AK1082" s="100"/>
      <c r="AL1082" s="100"/>
      <c r="AM1082" s="100"/>
      <c r="AN1082" s="100"/>
      <c r="AO1082" s="100"/>
      <c r="AP1082" s="100"/>
      <c r="AQ1082" s="100"/>
      <c r="AR1082" s="100"/>
      <c r="AS1082" s="100"/>
      <c r="AT1082" s="102"/>
      <c r="AX1082" s="100"/>
      <c r="AY1082" s="101"/>
      <c r="AZ1082" s="101"/>
      <c r="BA1082" s="100"/>
      <c r="BB1082" s="100"/>
      <c r="BC1082" s="100"/>
      <c r="BD1082" s="100"/>
      <c r="BE1082" s="100"/>
      <c r="BF1082" s="100"/>
      <c r="BG1082" s="100"/>
      <c r="BH1082" s="100"/>
      <c r="BI1082" s="100"/>
      <c r="BJ1082" s="100"/>
      <c r="BK1082" s="102"/>
      <c r="BN1082" s="36"/>
    </row>
    <row r="1083" spans="1:66" x14ac:dyDescent="0.25">
      <c r="A1083" s="92"/>
      <c r="B1083" s="92"/>
      <c r="C1083" s="92"/>
      <c r="D1083" s="92"/>
      <c r="E1083" s="92"/>
      <c r="F1083" s="92"/>
      <c r="G1083" s="92"/>
      <c r="H1083" s="92"/>
      <c r="I1083" s="92"/>
      <c r="J1083" s="92"/>
      <c r="K1083" s="92"/>
      <c r="L1083" s="92"/>
      <c r="M1083" s="92"/>
      <c r="N1083" s="92"/>
      <c r="AG1083" s="100"/>
      <c r="AH1083" s="101"/>
      <c r="AI1083" s="101"/>
      <c r="AJ1083" s="101"/>
      <c r="AK1083" s="100"/>
      <c r="AL1083" s="100"/>
      <c r="AM1083" s="100"/>
      <c r="AN1083" s="100"/>
      <c r="AO1083" s="100"/>
      <c r="AP1083" s="100"/>
      <c r="AQ1083" s="100"/>
      <c r="AR1083" s="100"/>
      <c r="AS1083" s="100"/>
      <c r="AT1083" s="102"/>
      <c r="AX1083" s="100"/>
      <c r="AY1083" s="101"/>
      <c r="AZ1083" s="101"/>
      <c r="BA1083" s="100"/>
      <c r="BB1083" s="100"/>
      <c r="BC1083" s="100"/>
      <c r="BD1083" s="100"/>
      <c r="BE1083" s="100"/>
      <c r="BF1083" s="100"/>
      <c r="BG1083" s="100"/>
      <c r="BH1083" s="100"/>
      <c r="BI1083" s="100"/>
      <c r="BJ1083" s="100"/>
      <c r="BK1083" s="102"/>
      <c r="BN1083" s="36"/>
    </row>
    <row r="1084" spans="1:66" x14ac:dyDescent="0.25">
      <c r="A1084" s="92"/>
      <c r="B1084" s="92"/>
      <c r="C1084" s="92"/>
      <c r="D1084" s="92"/>
      <c r="E1084" s="92"/>
      <c r="F1084" s="92"/>
      <c r="G1084" s="92"/>
      <c r="H1084" s="92"/>
      <c r="I1084" s="92"/>
      <c r="J1084" s="92"/>
      <c r="K1084" s="92"/>
      <c r="L1084" s="92"/>
      <c r="M1084" s="92"/>
      <c r="N1084" s="92"/>
      <c r="AG1084" s="100"/>
      <c r="AH1084" s="101"/>
      <c r="AI1084" s="101"/>
      <c r="AJ1084" s="100"/>
      <c r="AK1084" s="100"/>
      <c r="AL1084" s="100"/>
      <c r="AM1084" s="100"/>
      <c r="AN1084" s="100"/>
      <c r="AO1084" s="100"/>
      <c r="AP1084" s="100"/>
      <c r="AQ1084" s="100"/>
      <c r="AR1084" s="100"/>
      <c r="AS1084" s="100"/>
      <c r="AT1084" s="102"/>
      <c r="AX1084" s="100"/>
      <c r="AY1084" s="101"/>
      <c r="AZ1084" s="101"/>
      <c r="BA1084" s="101"/>
      <c r="BB1084" s="100"/>
      <c r="BC1084" s="100"/>
      <c r="BD1084" s="100"/>
      <c r="BE1084" s="100"/>
      <c r="BF1084" s="100"/>
      <c r="BG1084" s="100"/>
      <c r="BH1084" s="100"/>
      <c r="BI1084" s="100"/>
      <c r="BJ1084" s="100"/>
      <c r="BK1084" s="102"/>
      <c r="BN1084" s="36"/>
    </row>
    <row r="1085" spans="1:66" x14ac:dyDescent="0.25">
      <c r="A1085" s="92"/>
      <c r="B1085" s="92"/>
      <c r="C1085" s="92"/>
      <c r="D1085" s="92"/>
      <c r="E1085" s="92"/>
      <c r="F1085" s="92"/>
      <c r="G1085" s="92"/>
      <c r="H1085" s="92"/>
      <c r="I1085" s="92"/>
      <c r="J1085" s="92"/>
      <c r="K1085" s="92"/>
      <c r="L1085" s="92"/>
      <c r="M1085" s="92"/>
      <c r="N1085" s="92"/>
      <c r="AG1085" s="100"/>
      <c r="AH1085" s="101"/>
      <c r="AI1085" s="101"/>
      <c r="AJ1085" s="100"/>
      <c r="AK1085" s="100"/>
      <c r="AL1085" s="100"/>
      <c r="AM1085" s="100"/>
      <c r="AN1085" s="100"/>
      <c r="AO1085" s="100"/>
      <c r="AP1085" s="100"/>
      <c r="AQ1085" s="100"/>
      <c r="AR1085" s="100"/>
      <c r="AS1085" s="100"/>
      <c r="AT1085" s="102"/>
      <c r="AX1085" s="100"/>
      <c r="AY1085" s="101"/>
      <c r="AZ1085" s="101"/>
      <c r="BA1085" s="100"/>
      <c r="BB1085" s="100"/>
      <c r="BC1085" s="100"/>
      <c r="BD1085" s="100"/>
      <c r="BE1085" s="100"/>
      <c r="BF1085" s="100"/>
      <c r="BG1085" s="100"/>
      <c r="BH1085" s="100"/>
      <c r="BI1085" s="100"/>
      <c r="BJ1085" s="100"/>
      <c r="BK1085" s="102"/>
      <c r="BN1085" s="36"/>
    </row>
    <row r="1086" spans="1:66" x14ac:dyDescent="0.25">
      <c r="A1086" s="92"/>
      <c r="B1086" s="92"/>
      <c r="C1086" s="92"/>
      <c r="D1086" s="92"/>
      <c r="E1086" s="92"/>
      <c r="F1086" s="92"/>
      <c r="G1086" s="92"/>
      <c r="H1086" s="92"/>
      <c r="I1086" s="92"/>
      <c r="J1086" s="92"/>
      <c r="K1086" s="92"/>
      <c r="L1086" s="92"/>
      <c r="M1086" s="92"/>
      <c r="N1086" s="92"/>
      <c r="AG1086" s="100"/>
      <c r="AH1086" s="101"/>
      <c r="AI1086" s="101"/>
      <c r="AJ1086" s="100"/>
      <c r="AK1086" s="100"/>
      <c r="AL1086" s="100"/>
      <c r="AM1086" s="100"/>
      <c r="AN1086" s="100"/>
      <c r="AO1086" s="100"/>
      <c r="AP1086" s="100"/>
      <c r="AQ1086" s="100"/>
      <c r="AR1086" s="100"/>
      <c r="AS1086" s="100"/>
      <c r="AT1086" s="102"/>
      <c r="AX1086" s="100"/>
      <c r="AY1086" s="101"/>
      <c r="AZ1086" s="101"/>
      <c r="BA1086" s="100"/>
      <c r="BB1086" s="100"/>
      <c r="BC1086" s="100"/>
      <c r="BD1086" s="100"/>
      <c r="BE1086" s="100"/>
      <c r="BF1086" s="100"/>
      <c r="BG1086" s="100"/>
      <c r="BH1086" s="100"/>
      <c r="BI1086" s="100"/>
      <c r="BJ1086" s="100"/>
      <c r="BK1086" s="102"/>
      <c r="BN1086" s="36"/>
    </row>
    <row r="1087" spans="1:66" x14ac:dyDescent="0.25">
      <c r="A1087" s="92"/>
      <c r="B1087" s="93"/>
      <c r="C1087" s="93"/>
      <c r="D1087" s="92"/>
      <c r="E1087" s="92"/>
      <c r="F1087" s="92"/>
      <c r="G1087" s="92"/>
      <c r="H1087" s="92"/>
      <c r="I1087" s="92"/>
      <c r="J1087" s="92"/>
      <c r="K1087" s="92"/>
      <c r="L1087" s="92"/>
      <c r="M1087" s="92"/>
      <c r="N1087" s="94"/>
      <c r="AG1087" s="100"/>
      <c r="AH1087" s="101"/>
      <c r="AI1087" s="101"/>
      <c r="AJ1087" s="100"/>
      <c r="AK1087" s="100"/>
      <c r="AL1087" s="100"/>
      <c r="AM1087" s="100"/>
      <c r="AN1087" s="100"/>
      <c r="AO1087" s="100"/>
      <c r="AP1087" s="100"/>
      <c r="AQ1087" s="100"/>
      <c r="AR1087" s="100"/>
      <c r="AS1087" s="100"/>
      <c r="AT1087" s="102"/>
      <c r="AX1087" s="100"/>
      <c r="AY1087" s="101"/>
      <c r="AZ1087" s="101"/>
      <c r="BA1087" s="100"/>
      <c r="BB1087" s="100"/>
      <c r="BC1087" s="100"/>
      <c r="BD1087" s="100"/>
      <c r="BE1087" s="100"/>
      <c r="BF1087" s="100"/>
      <c r="BG1087" s="100"/>
      <c r="BH1087" s="100"/>
      <c r="BI1087" s="100"/>
      <c r="BJ1087" s="100"/>
      <c r="BK1087" s="102"/>
      <c r="BN1087" s="36"/>
    </row>
    <row r="1088" spans="1:66" x14ac:dyDescent="0.25">
      <c r="A1088" s="92"/>
      <c r="B1088" s="92"/>
      <c r="C1088" s="92"/>
      <c r="D1088" s="92"/>
      <c r="E1088" s="92"/>
      <c r="F1088" s="92"/>
      <c r="G1088" s="92"/>
      <c r="H1088" s="92"/>
      <c r="I1088" s="92"/>
      <c r="J1088" s="92"/>
      <c r="K1088" s="92"/>
      <c r="L1088" s="92"/>
      <c r="M1088" s="92"/>
      <c r="N1088" s="92"/>
      <c r="AG1088" s="100"/>
      <c r="AH1088" s="101"/>
      <c r="AI1088" s="101"/>
      <c r="AJ1088" s="100"/>
      <c r="AK1088" s="100"/>
      <c r="AL1088" s="100"/>
      <c r="AM1088" s="100"/>
      <c r="AN1088" s="100"/>
      <c r="AO1088" s="100"/>
      <c r="AP1088" s="100"/>
      <c r="AQ1088" s="100"/>
      <c r="AR1088" s="100"/>
      <c r="AS1088" s="100"/>
      <c r="AT1088" s="102"/>
      <c r="AX1088" s="100"/>
      <c r="AY1088" s="101"/>
      <c r="AZ1088" s="101"/>
      <c r="BA1088" s="101"/>
      <c r="BB1088" s="100"/>
      <c r="BC1088" s="100"/>
      <c r="BD1088" s="100"/>
      <c r="BE1088" s="100"/>
      <c r="BF1088" s="100"/>
      <c r="BG1088" s="100"/>
      <c r="BH1088" s="100"/>
      <c r="BI1088" s="100"/>
      <c r="BJ1088" s="100"/>
      <c r="BK1088" s="102"/>
      <c r="BN1088" s="36"/>
    </row>
    <row r="1089" spans="1:66" x14ac:dyDescent="0.25">
      <c r="A1089" s="92"/>
      <c r="B1089" s="93"/>
      <c r="C1089" s="93"/>
      <c r="D1089" s="92"/>
      <c r="E1089" s="92"/>
      <c r="F1089" s="92"/>
      <c r="G1089" s="92"/>
      <c r="H1089" s="92"/>
      <c r="I1089" s="92"/>
      <c r="J1089" s="92"/>
      <c r="K1089" s="92"/>
      <c r="L1089" s="92"/>
      <c r="M1089" s="92"/>
      <c r="N1089" s="94"/>
      <c r="AG1089" s="100"/>
      <c r="AH1089" s="101"/>
      <c r="AI1089" s="101"/>
      <c r="AJ1089" s="100"/>
      <c r="AK1089" s="100"/>
      <c r="AL1089" s="100"/>
      <c r="AM1089" s="100"/>
      <c r="AN1089" s="100"/>
      <c r="AO1089" s="100"/>
      <c r="AP1089" s="100"/>
      <c r="AQ1089" s="100"/>
      <c r="AR1089" s="100"/>
      <c r="AS1089" s="100"/>
      <c r="AT1089" s="102"/>
      <c r="AX1089" s="100"/>
      <c r="AY1089" s="101"/>
      <c r="AZ1089" s="101"/>
      <c r="BA1089" s="100"/>
      <c r="BB1089" s="100"/>
      <c r="BC1089" s="100"/>
      <c r="BD1089" s="100"/>
      <c r="BE1089" s="100"/>
      <c r="BF1089" s="100"/>
      <c r="BG1089" s="100"/>
      <c r="BH1089" s="100"/>
      <c r="BI1089" s="100"/>
      <c r="BJ1089" s="100"/>
      <c r="BK1089" s="102"/>
      <c r="BN1089" s="36"/>
    </row>
    <row r="1090" spans="1:66" x14ac:dyDescent="0.25">
      <c r="A1090" s="92"/>
      <c r="B1090" s="93"/>
      <c r="C1090" s="93"/>
      <c r="D1090" s="92"/>
      <c r="E1090" s="92"/>
      <c r="F1090" s="92"/>
      <c r="G1090" s="92"/>
      <c r="H1090" s="92"/>
      <c r="I1090" s="92"/>
      <c r="J1090" s="92"/>
      <c r="K1090" s="92"/>
      <c r="L1090" s="92"/>
      <c r="M1090" s="92"/>
      <c r="N1090" s="94"/>
      <c r="AG1090" s="100"/>
      <c r="AH1090" s="101"/>
      <c r="AI1090" s="101"/>
      <c r="AJ1090" s="100"/>
      <c r="AK1090" s="100"/>
      <c r="AL1090" s="100"/>
      <c r="AM1090" s="100"/>
      <c r="AN1090" s="100"/>
      <c r="AO1090" s="100"/>
      <c r="AP1090" s="100"/>
      <c r="AQ1090" s="100"/>
      <c r="AR1090" s="100"/>
      <c r="AS1090" s="100"/>
      <c r="AT1090" s="102"/>
      <c r="AX1090" s="100"/>
      <c r="AY1090" s="101"/>
      <c r="AZ1090" s="101"/>
      <c r="BA1090" s="101"/>
      <c r="BB1090" s="100"/>
      <c r="BC1090" s="100"/>
      <c r="BD1090" s="100"/>
      <c r="BE1090" s="100"/>
      <c r="BF1090" s="100"/>
      <c r="BG1090" s="100"/>
      <c r="BH1090" s="100"/>
      <c r="BI1090" s="100"/>
      <c r="BJ1090" s="100"/>
      <c r="BK1090" s="102"/>
      <c r="BN1090" s="36"/>
    </row>
    <row r="1091" spans="1:66" x14ac:dyDescent="0.25">
      <c r="A1091" s="92"/>
      <c r="B1091" s="92"/>
      <c r="C1091" s="92"/>
      <c r="D1091" s="92"/>
      <c r="E1091" s="92"/>
      <c r="F1091" s="92"/>
      <c r="G1091" s="92"/>
      <c r="H1091" s="92"/>
      <c r="I1091" s="92"/>
      <c r="J1091" s="92"/>
      <c r="K1091" s="92"/>
      <c r="L1091" s="92"/>
      <c r="M1091" s="92"/>
      <c r="N1091" s="92"/>
      <c r="AG1091" s="100"/>
      <c r="AH1091" s="101"/>
      <c r="AI1091" s="101"/>
      <c r="AJ1091" s="100"/>
      <c r="AK1091" s="100"/>
      <c r="AL1091" s="100"/>
      <c r="AM1091" s="100"/>
      <c r="AN1091" s="100"/>
      <c r="AO1091" s="100"/>
      <c r="AP1091" s="100"/>
      <c r="AQ1091" s="100"/>
      <c r="AR1091" s="100"/>
      <c r="AS1091" s="100"/>
      <c r="AT1091" s="102"/>
      <c r="AX1091" s="100"/>
      <c r="AY1091" s="101"/>
      <c r="AZ1091" s="101"/>
      <c r="BA1091" s="100"/>
      <c r="BB1091" s="100"/>
      <c r="BC1091" s="100"/>
      <c r="BD1091" s="100"/>
      <c r="BE1091" s="100"/>
      <c r="BF1091" s="100"/>
      <c r="BG1091" s="100"/>
      <c r="BH1091" s="100"/>
      <c r="BI1091" s="100"/>
      <c r="BJ1091" s="100"/>
      <c r="BK1091" s="102"/>
      <c r="BN1091" s="36"/>
    </row>
    <row r="1092" spans="1:66" x14ac:dyDescent="0.25">
      <c r="A1092" s="92"/>
      <c r="B1092" s="93"/>
      <c r="C1092" s="93"/>
      <c r="D1092" s="92"/>
      <c r="E1092" s="92"/>
      <c r="F1092" s="92"/>
      <c r="G1092" s="92"/>
      <c r="H1092" s="92"/>
      <c r="I1092" s="92"/>
      <c r="J1092" s="92"/>
      <c r="K1092" s="92"/>
      <c r="L1092" s="92"/>
      <c r="M1092" s="92"/>
      <c r="N1092" s="94"/>
      <c r="AG1092" s="100"/>
      <c r="AH1092" s="101"/>
      <c r="AI1092" s="101"/>
      <c r="AJ1092" s="100"/>
      <c r="AK1092" s="100"/>
      <c r="AL1092" s="100"/>
      <c r="AM1092" s="100"/>
      <c r="AN1092" s="100"/>
      <c r="AO1092" s="100"/>
      <c r="AP1092" s="100"/>
      <c r="AQ1092" s="100"/>
      <c r="AR1092" s="100"/>
      <c r="AS1092" s="100"/>
      <c r="AT1092" s="102"/>
      <c r="AX1092" s="100"/>
      <c r="AY1092" s="101"/>
      <c r="AZ1092" s="101"/>
      <c r="BA1092" s="100"/>
      <c r="BB1092" s="100"/>
      <c r="BC1092" s="100"/>
      <c r="BD1092" s="100"/>
      <c r="BE1092" s="100"/>
      <c r="BF1092" s="100"/>
      <c r="BG1092" s="100"/>
      <c r="BH1092" s="100"/>
      <c r="BI1092" s="100"/>
      <c r="BJ1092" s="100"/>
      <c r="BK1092" s="102"/>
      <c r="BN1092" s="36"/>
    </row>
    <row r="1093" spans="1:66" x14ac:dyDescent="0.25">
      <c r="A1093" s="92"/>
      <c r="B1093" s="93"/>
      <c r="C1093" s="93"/>
      <c r="D1093" s="93"/>
      <c r="E1093" s="92"/>
      <c r="F1093" s="92"/>
      <c r="G1093" s="92"/>
      <c r="H1093" s="92"/>
      <c r="I1093" s="92"/>
      <c r="J1093" s="92"/>
      <c r="K1093" s="92"/>
      <c r="L1093" s="92"/>
      <c r="M1093" s="92"/>
      <c r="N1093" s="94"/>
      <c r="AG1093" s="100"/>
      <c r="AH1093" s="101"/>
      <c r="AI1093" s="101"/>
      <c r="AJ1093" s="100"/>
      <c r="AK1093" s="100"/>
      <c r="AL1093" s="100"/>
      <c r="AM1093" s="100"/>
      <c r="AN1093" s="100"/>
      <c r="AO1093" s="100"/>
      <c r="AP1093" s="100"/>
      <c r="AQ1093" s="100"/>
      <c r="AR1093" s="100"/>
      <c r="AS1093" s="100"/>
      <c r="AT1093" s="102"/>
      <c r="AX1093" s="100"/>
      <c r="AY1093" s="101"/>
      <c r="AZ1093" s="101"/>
      <c r="BA1093" s="100"/>
      <c r="BB1093" s="100"/>
      <c r="BC1093" s="100"/>
      <c r="BD1093" s="100"/>
      <c r="BE1093" s="100"/>
      <c r="BF1093" s="100"/>
      <c r="BG1093" s="100"/>
      <c r="BH1093" s="100"/>
      <c r="BI1093" s="100"/>
      <c r="BJ1093" s="100"/>
      <c r="BK1093" s="102"/>
      <c r="BN1093" s="36"/>
    </row>
    <row r="1094" spans="1:66" x14ac:dyDescent="0.25">
      <c r="A1094" s="92"/>
      <c r="B1094" s="92"/>
      <c r="C1094" s="92"/>
      <c r="D1094" s="93"/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AG1094" s="100"/>
      <c r="AH1094" s="101"/>
      <c r="AI1094" s="101"/>
      <c r="AJ1094" s="100"/>
      <c r="AK1094" s="100"/>
      <c r="AL1094" s="100"/>
      <c r="AM1094" s="100"/>
      <c r="AN1094" s="100"/>
      <c r="AO1094" s="100"/>
      <c r="AP1094" s="100"/>
      <c r="AQ1094" s="100"/>
      <c r="AR1094" s="100"/>
      <c r="AS1094" s="100"/>
      <c r="AT1094" s="102"/>
      <c r="AX1094" s="100"/>
      <c r="AY1094" s="101"/>
      <c r="AZ1094" s="101"/>
      <c r="BA1094" s="100"/>
      <c r="BB1094" s="100"/>
      <c r="BC1094" s="100"/>
      <c r="BD1094" s="100"/>
      <c r="BE1094" s="100"/>
      <c r="BF1094" s="100"/>
      <c r="BG1094" s="100"/>
      <c r="BH1094" s="100"/>
      <c r="BI1094" s="100"/>
      <c r="BJ1094" s="100"/>
      <c r="BK1094" s="102"/>
      <c r="BN1094" s="36"/>
    </row>
    <row r="1095" spans="1:66" x14ac:dyDescent="0.25">
      <c r="A1095" s="92"/>
      <c r="B1095" s="92"/>
      <c r="C1095" s="92"/>
      <c r="D1095" s="93"/>
      <c r="E1095" s="92"/>
      <c r="F1095" s="92"/>
      <c r="G1095" s="92"/>
      <c r="H1095" s="92"/>
      <c r="I1095" s="92"/>
      <c r="J1095" s="92"/>
      <c r="K1095" s="92"/>
      <c r="L1095" s="92"/>
      <c r="M1095" s="92"/>
      <c r="N1095" s="92"/>
      <c r="AG1095" s="100"/>
      <c r="AH1095" s="101"/>
      <c r="AI1095" s="101"/>
      <c r="AJ1095" s="100"/>
      <c r="AK1095" s="100"/>
      <c r="AL1095" s="100"/>
      <c r="AM1095" s="100"/>
      <c r="AN1095" s="100"/>
      <c r="AO1095" s="100"/>
      <c r="AP1095" s="100"/>
      <c r="AQ1095" s="100"/>
      <c r="AR1095" s="100"/>
      <c r="AS1095" s="100"/>
      <c r="AT1095" s="102"/>
      <c r="AX1095" s="100"/>
      <c r="AY1095" s="101"/>
      <c r="AZ1095" s="101"/>
      <c r="BA1095" s="100"/>
      <c r="BB1095" s="100"/>
      <c r="BC1095" s="100"/>
      <c r="BD1095" s="100"/>
      <c r="BE1095" s="100"/>
      <c r="BF1095" s="100"/>
      <c r="BG1095" s="100"/>
      <c r="BH1095" s="100"/>
      <c r="BI1095" s="100"/>
      <c r="BJ1095" s="100"/>
      <c r="BK1095" s="102"/>
      <c r="BN1095" s="36"/>
    </row>
    <row r="1096" spans="1:66" x14ac:dyDescent="0.25">
      <c r="A1096" s="92"/>
      <c r="B1096" s="92"/>
      <c r="C1096" s="92"/>
      <c r="D1096" s="93"/>
      <c r="E1096" s="92"/>
      <c r="F1096" s="92"/>
      <c r="G1096" s="92"/>
      <c r="H1096" s="92"/>
      <c r="I1096" s="92"/>
      <c r="J1096" s="92"/>
      <c r="K1096" s="92"/>
      <c r="L1096" s="92"/>
      <c r="M1096" s="92"/>
      <c r="N1096" s="92"/>
      <c r="AG1096" s="100"/>
      <c r="AH1096" s="101"/>
      <c r="AI1096" s="101"/>
      <c r="AJ1096" s="100"/>
      <c r="AK1096" s="100"/>
      <c r="AL1096" s="100"/>
      <c r="AM1096" s="100"/>
      <c r="AN1096" s="100"/>
      <c r="AO1096" s="100"/>
      <c r="AP1096" s="100"/>
      <c r="AQ1096" s="100"/>
      <c r="AR1096" s="100"/>
      <c r="AS1096" s="100"/>
      <c r="AT1096" s="102"/>
      <c r="AX1096" s="100"/>
      <c r="AY1096" s="101"/>
      <c r="AZ1096" s="101"/>
      <c r="BA1096" s="100"/>
      <c r="BB1096" s="100"/>
      <c r="BC1096" s="100"/>
      <c r="BD1096" s="100"/>
      <c r="BE1096" s="100"/>
      <c r="BF1096" s="100"/>
      <c r="BG1096" s="100"/>
      <c r="BH1096" s="100"/>
      <c r="BI1096" s="100"/>
      <c r="BJ1096" s="100"/>
      <c r="BK1096" s="102"/>
      <c r="BN1096" s="36"/>
    </row>
    <row r="1097" spans="1:66" x14ac:dyDescent="0.25">
      <c r="A1097" s="92"/>
      <c r="B1097" s="92"/>
      <c r="C1097" s="92"/>
      <c r="D1097" s="93"/>
      <c r="E1097" s="92"/>
      <c r="F1097" s="92"/>
      <c r="G1097" s="92"/>
      <c r="H1097" s="92"/>
      <c r="I1097" s="92"/>
      <c r="J1097" s="92"/>
      <c r="K1097" s="92"/>
      <c r="L1097" s="92"/>
      <c r="M1097" s="92"/>
      <c r="N1097" s="92"/>
      <c r="AG1097" s="100"/>
      <c r="AH1097" s="101"/>
      <c r="AI1097" s="101"/>
      <c r="AJ1097" s="100"/>
      <c r="AK1097" s="100"/>
      <c r="AL1097" s="100"/>
      <c r="AM1097" s="100"/>
      <c r="AN1097" s="100"/>
      <c r="AO1097" s="100"/>
      <c r="AP1097" s="100"/>
      <c r="AQ1097" s="100"/>
      <c r="AR1097" s="100"/>
      <c r="AS1097" s="100"/>
      <c r="AT1097" s="102"/>
      <c r="AX1097" s="100"/>
      <c r="AY1097" s="101"/>
      <c r="AZ1097" s="101"/>
      <c r="BA1097" s="101"/>
      <c r="BB1097" s="100"/>
      <c r="BC1097" s="100"/>
      <c r="BD1097" s="100"/>
      <c r="BE1097" s="100"/>
      <c r="BF1097" s="100"/>
      <c r="BG1097" s="100"/>
      <c r="BH1097" s="100"/>
      <c r="BI1097" s="100"/>
      <c r="BJ1097" s="100"/>
      <c r="BK1097" s="102"/>
      <c r="BN1097" s="36"/>
    </row>
    <row r="1098" spans="1:66" x14ac:dyDescent="0.25">
      <c r="A1098" s="92"/>
      <c r="B1098" s="92"/>
      <c r="C1098" s="92"/>
      <c r="D1098" s="92"/>
      <c r="E1098" s="92"/>
      <c r="F1098" s="92"/>
      <c r="G1098" s="92"/>
      <c r="H1098" s="92"/>
      <c r="I1098" s="92"/>
      <c r="J1098" s="92"/>
      <c r="K1098" s="92"/>
      <c r="L1098" s="92"/>
      <c r="M1098" s="92"/>
      <c r="N1098" s="92"/>
      <c r="AG1098" s="100"/>
      <c r="AH1098" s="101"/>
      <c r="AI1098" s="101"/>
      <c r="AJ1098" s="100"/>
      <c r="AK1098" s="100"/>
      <c r="AL1098" s="100"/>
      <c r="AM1098" s="100"/>
      <c r="AN1098" s="100"/>
      <c r="AO1098" s="100"/>
      <c r="AP1098" s="100"/>
      <c r="AQ1098" s="100"/>
      <c r="AR1098" s="100"/>
      <c r="AS1098" s="100"/>
      <c r="AT1098" s="102"/>
      <c r="AX1098" s="100"/>
      <c r="AY1098" s="101"/>
      <c r="AZ1098" s="101"/>
      <c r="BA1098" s="100"/>
      <c r="BB1098" s="100"/>
      <c r="BC1098" s="100"/>
      <c r="BD1098" s="100"/>
      <c r="BE1098" s="100"/>
      <c r="BF1098" s="100"/>
      <c r="BG1098" s="100"/>
      <c r="BH1098" s="100"/>
      <c r="BI1098" s="100"/>
      <c r="BJ1098" s="100"/>
      <c r="BK1098" s="102"/>
      <c r="BN1098" s="36"/>
    </row>
    <row r="1099" spans="1:66" x14ac:dyDescent="0.25">
      <c r="A1099" s="92"/>
      <c r="B1099" s="93"/>
      <c r="C1099" s="93"/>
      <c r="D1099" s="92"/>
      <c r="E1099" s="92"/>
      <c r="F1099" s="92"/>
      <c r="G1099" s="92"/>
      <c r="H1099" s="92"/>
      <c r="I1099" s="92"/>
      <c r="J1099" s="92"/>
      <c r="K1099" s="92"/>
      <c r="L1099" s="92"/>
      <c r="M1099" s="92"/>
      <c r="N1099" s="94"/>
      <c r="AG1099" s="100"/>
      <c r="AH1099" s="101"/>
      <c r="AI1099" s="101"/>
      <c r="AJ1099" s="100"/>
      <c r="AK1099" s="100"/>
      <c r="AL1099" s="100"/>
      <c r="AM1099" s="100"/>
      <c r="AN1099" s="100"/>
      <c r="AO1099" s="100"/>
      <c r="AP1099" s="100"/>
      <c r="AQ1099" s="100"/>
      <c r="AR1099" s="100"/>
      <c r="AS1099" s="100"/>
      <c r="AT1099" s="102"/>
      <c r="AX1099" s="100"/>
      <c r="AY1099" s="101"/>
      <c r="AZ1099" s="101"/>
      <c r="BA1099" s="100"/>
      <c r="BB1099" s="100"/>
      <c r="BC1099" s="100"/>
      <c r="BD1099" s="100"/>
      <c r="BE1099" s="100"/>
      <c r="BF1099" s="100"/>
      <c r="BG1099" s="100"/>
      <c r="BH1099" s="100"/>
      <c r="BI1099" s="100"/>
      <c r="BJ1099" s="100"/>
      <c r="BK1099" s="102"/>
      <c r="BN1099" s="36"/>
    </row>
    <row r="1100" spans="1:66" x14ac:dyDescent="0.25">
      <c r="A1100" s="92"/>
      <c r="B1100" s="92"/>
      <c r="C1100" s="92"/>
      <c r="D1100" s="92"/>
      <c r="E1100" s="92"/>
      <c r="F1100" s="92"/>
      <c r="G1100" s="92"/>
      <c r="H1100" s="92"/>
      <c r="I1100" s="92"/>
      <c r="J1100" s="92"/>
      <c r="K1100" s="92"/>
      <c r="L1100" s="92"/>
      <c r="M1100" s="92"/>
      <c r="N1100" s="92"/>
      <c r="AG1100" s="100"/>
      <c r="AH1100" s="101"/>
      <c r="AI1100" s="101"/>
      <c r="AJ1100" s="101"/>
      <c r="AK1100" s="100"/>
      <c r="AL1100" s="100"/>
      <c r="AM1100" s="100"/>
      <c r="AN1100" s="100"/>
      <c r="AO1100" s="100"/>
      <c r="AP1100" s="100"/>
      <c r="AQ1100" s="100"/>
      <c r="AR1100" s="100"/>
      <c r="AS1100" s="100"/>
      <c r="AT1100" s="102"/>
      <c r="AX1100" s="100"/>
      <c r="AY1100" s="101"/>
      <c r="AZ1100" s="101"/>
      <c r="BA1100" s="100"/>
      <c r="BB1100" s="100"/>
      <c r="BC1100" s="100"/>
      <c r="BD1100" s="100"/>
      <c r="BE1100" s="100"/>
      <c r="BF1100" s="100"/>
      <c r="BG1100" s="100"/>
      <c r="BH1100" s="100"/>
      <c r="BI1100" s="100"/>
      <c r="BJ1100" s="100"/>
      <c r="BK1100" s="102"/>
      <c r="BN1100" s="36"/>
    </row>
    <row r="1101" spans="1:66" x14ac:dyDescent="0.25">
      <c r="A1101" s="92"/>
      <c r="B1101" s="92"/>
      <c r="C1101" s="92"/>
      <c r="D1101" s="92"/>
      <c r="E1101" s="92"/>
      <c r="F1101" s="92"/>
      <c r="G1101" s="92"/>
      <c r="H1101" s="92"/>
      <c r="I1101" s="92"/>
      <c r="J1101" s="92"/>
      <c r="K1101" s="92"/>
      <c r="L1101" s="92"/>
      <c r="M1101" s="92"/>
      <c r="N1101" s="92"/>
      <c r="AG1101" s="100"/>
      <c r="AH1101" s="101"/>
      <c r="AI1101" s="101"/>
      <c r="AJ1101" s="100"/>
      <c r="AK1101" s="100"/>
      <c r="AL1101" s="100"/>
      <c r="AM1101" s="100"/>
      <c r="AN1101" s="100"/>
      <c r="AO1101" s="100"/>
      <c r="AP1101" s="100"/>
      <c r="AQ1101" s="100"/>
      <c r="AR1101" s="100"/>
      <c r="AS1101" s="100"/>
      <c r="AT1101" s="102"/>
      <c r="AX1101" s="100"/>
      <c r="AY1101" s="101"/>
      <c r="AZ1101" s="101"/>
      <c r="BA1101" s="100"/>
      <c r="BB1101" s="100"/>
      <c r="BC1101" s="100"/>
      <c r="BD1101" s="100"/>
      <c r="BE1101" s="100"/>
      <c r="BF1101" s="100"/>
      <c r="BG1101" s="100"/>
      <c r="BH1101" s="100"/>
      <c r="BI1101" s="100"/>
      <c r="BJ1101" s="100"/>
      <c r="BK1101" s="102"/>
      <c r="BN1101" s="36"/>
    </row>
    <row r="1102" spans="1:66" x14ac:dyDescent="0.25">
      <c r="A1102" s="92"/>
      <c r="B1102" s="92"/>
      <c r="C1102" s="92"/>
      <c r="D1102" s="92"/>
      <c r="E1102" s="92"/>
      <c r="F1102" s="92"/>
      <c r="G1102" s="92"/>
      <c r="H1102" s="92"/>
      <c r="I1102" s="92"/>
      <c r="J1102" s="92"/>
      <c r="K1102" s="92"/>
      <c r="L1102" s="92"/>
      <c r="M1102" s="92"/>
      <c r="N1102" s="92"/>
      <c r="AG1102" s="100"/>
      <c r="AH1102" s="101"/>
      <c r="AI1102" s="101"/>
      <c r="AJ1102" s="100"/>
      <c r="AK1102" s="100"/>
      <c r="AL1102" s="100"/>
      <c r="AM1102" s="100"/>
      <c r="AN1102" s="100"/>
      <c r="AO1102" s="100"/>
      <c r="AP1102" s="100"/>
      <c r="AQ1102" s="100"/>
      <c r="AR1102" s="100"/>
      <c r="AS1102" s="100"/>
      <c r="AT1102" s="102"/>
      <c r="AX1102" s="100"/>
      <c r="AY1102" s="101"/>
      <c r="AZ1102" s="101"/>
      <c r="BA1102" s="101"/>
      <c r="BB1102" s="100"/>
      <c r="BC1102" s="100"/>
      <c r="BD1102" s="100"/>
      <c r="BE1102" s="100"/>
      <c r="BF1102" s="100"/>
      <c r="BG1102" s="100"/>
      <c r="BH1102" s="100"/>
      <c r="BI1102" s="100"/>
      <c r="BJ1102" s="100"/>
      <c r="BK1102" s="102"/>
      <c r="BN1102" s="36"/>
    </row>
    <row r="1103" spans="1:66" x14ac:dyDescent="0.25">
      <c r="A1103" s="92"/>
      <c r="B1103" s="92"/>
      <c r="C1103" s="92"/>
      <c r="D1103" s="92"/>
      <c r="E1103" s="92"/>
      <c r="F1103" s="92"/>
      <c r="G1103" s="92"/>
      <c r="H1103" s="92"/>
      <c r="I1103" s="92"/>
      <c r="J1103" s="92"/>
      <c r="K1103" s="92"/>
      <c r="L1103" s="92"/>
      <c r="M1103" s="92"/>
      <c r="N1103" s="92"/>
      <c r="AG1103" s="100"/>
      <c r="AH1103" s="101"/>
      <c r="AI1103" s="101"/>
      <c r="AJ1103" s="100"/>
      <c r="AK1103" s="100"/>
      <c r="AL1103" s="100"/>
      <c r="AM1103" s="100"/>
      <c r="AN1103" s="100"/>
      <c r="AO1103" s="100"/>
      <c r="AP1103" s="100"/>
      <c r="AQ1103" s="100"/>
      <c r="AR1103" s="100"/>
      <c r="AS1103" s="100"/>
      <c r="AT1103" s="102"/>
      <c r="AX1103" s="100"/>
      <c r="AY1103" s="101"/>
      <c r="AZ1103" s="101"/>
      <c r="BA1103" s="101"/>
      <c r="BB1103" s="100"/>
      <c r="BC1103" s="100"/>
      <c r="BD1103" s="100"/>
      <c r="BE1103" s="100"/>
      <c r="BF1103" s="100"/>
      <c r="BG1103" s="100"/>
      <c r="BH1103" s="100"/>
      <c r="BI1103" s="100"/>
      <c r="BJ1103" s="100"/>
      <c r="BK1103" s="102"/>
      <c r="BN1103" s="36"/>
    </row>
    <row r="1104" spans="1:66" x14ac:dyDescent="0.25">
      <c r="A1104" s="92"/>
      <c r="B1104" s="92"/>
      <c r="C1104" s="92"/>
      <c r="D1104" s="92"/>
      <c r="E1104" s="92"/>
      <c r="F1104" s="92"/>
      <c r="G1104" s="92"/>
      <c r="H1104" s="92"/>
      <c r="I1104" s="92"/>
      <c r="J1104" s="92"/>
      <c r="K1104" s="92"/>
      <c r="L1104" s="92"/>
      <c r="M1104" s="92"/>
      <c r="N1104" s="92"/>
      <c r="AG1104" s="100"/>
      <c r="AH1104" s="101"/>
      <c r="AI1104" s="101"/>
      <c r="AJ1104" s="100"/>
      <c r="AK1104" s="100"/>
      <c r="AL1104" s="100"/>
      <c r="AM1104" s="100"/>
      <c r="AN1104" s="100"/>
      <c r="AO1104" s="100"/>
      <c r="AP1104" s="100"/>
      <c r="AQ1104" s="100"/>
      <c r="AR1104" s="100"/>
      <c r="AS1104" s="100"/>
      <c r="AT1104" s="102"/>
      <c r="AX1104" s="100"/>
      <c r="AY1104" s="101"/>
      <c r="AZ1104" s="101"/>
      <c r="BA1104" s="100"/>
      <c r="BB1104" s="100"/>
      <c r="BC1104" s="100"/>
      <c r="BD1104" s="100"/>
      <c r="BE1104" s="100"/>
      <c r="BF1104" s="100"/>
      <c r="BG1104" s="100"/>
      <c r="BH1104" s="100"/>
      <c r="BI1104" s="100"/>
      <c r="BJ1104" s="100"/>
      <c r="BK1104" s="102"/>
      <c r="BN1104" s="36"/>
    </row>
    <row r="1105" spans="1:66" x14ac:dyDescent="0.25">
      <c r="A1105" s="92"/>
      <c r="B1105" s="92"/>
      <c r="C1105" s="92"/>
      <c r="D1105" s="92"/>
      <c r="E1105" s="92"/>
      <c r="F1105" s="92"/>
      <c r="G1105" s="92"/>
      <c r="H1105" s="92"/>
      <c r="I1105" s="92"/>
      <c r="J1105" s="92"/>
      <c r="K1105" s="92"/>
      <c r="L1105" s="92"/>
      <c r="M1105" s="92"/>
      <c r="N1105" s="92"/>
      <c r="AG1105" s="100"/>
      <c r="AH1105" s="101"/>
      <c r="AI1105" s="101"/>
      <c r="AJ1105" s="100"/>
      <c r="AK1105" s="100"/>
      <c r="AL1105" s="100"/>
      <c r="AM1105" s="100"/>
      <c r="AN1105" s="100"/>
      <c r="AO1105" s="100"/>
      <c r="AP1105" s="100"/>
      <c r="AQ1105" s="100"/>
      <c r="AR1105" s="100"/>
      <c r="AS1105" s="100"/>
      <c r="AT1105" s="102"/>
      <c r="AX1105" s="100"/>
      <c r="AY1105" s="101"/>
      <c r="AZ1105" s="101"/>
      <c r="BA1105" s="100"/>
      <c r="BB1105" s="100"/>
      <c r="BC1105" s="100"/>
      <c r="BD1105" s="100"/>
      <c r="BE1105" s="100"/>
      <c r="BF1105" s="100"/>
      <c r="BG1105" s="100"/>
      <c r="BH1105" s="100"/>
      <c r="BI1105" s="100"/>
      <c r="BJ1105" s="100"/>
      <c r="BK1105" s="102"/>
      <c r="BN1105" s="36"/>
    </row>
    <row r="1106" spans="1:66" x14ac:dyDescent="0.25">
      <c r="A1106" s="92"/>
      <c r="B1106" s="92"/>
      <c r="C1106" s="92"/>
      <c r="D1106" s="92"/>
      <c r="E1106" s="92"/>
      <c r="F1106" s="92"/>
      <c r="G1106" s="92"/>
      <c r="H1106" s="92"/>
      <c r="I1106" s="92"/>
      <c r="J1106" s="92"/>
      <c r="K1106" s="92"/>
      <c r="L1106" s="92"/>
      <c r="M1106" s="92"/>
      <c r="N1106" s="92"/>
      <c r="AG1106" s="100"/>
      <c r="AH1106" s="101"/>
      <c r="AI1106" s="101"/>
      <c r="AJ1106" s="101"/>
      <c r="AK1106" s="100"/>
      <c r="AL1106" s="100"/>
      <c r="AM1106" s="100"/>
      <c r="AN1106" s="100"/>
      <c r="AO1106" s="100"/>
      <c r="AP1106" s="100"/>
      <c r="AQ1106" s="100"/>
      <c r="AR1106" s="100"/>
      <c r="AS1106" s="100"/>
      <c r="AT1106" s="102"/>
      <c r="AX1106" s="100"/>
      <c r="AY1106" s="101"/>
      <c r="AZ1106" s="101"/>
      <c r="BA1106" s="100"/>
      <c r="BB1106" s="100"/>
      <c r="BC1106" s="100"/>
      <c r="BD1106" s="100"/>
      <c r="BE1106" s="100"/>
      <c r="BF1106" s="100"/>
      <c r="BG1106" s="100"/>
      <c r="BH1106" s="100"/>
      <c r="BI1106" s="100"/>
      <c r="BJ1106" s="100"/>
      <c r="BK1106" s="102"/>
      <c r="BN1106" s="36"/>
    </row>
    <row r="1107" spans="1:66" x14ac:dyDescent="0.25">
      <c r="A1107" s="92"/>
      <c r="B1107" s="92"/>
      <c r="C1107" s="92"/>
      <c r="D1107" s="92"/>
      <c r="E1107" s="92"/>
      <c r="F1107" s="92"/>
      <c r="G1107" s="92"/>
      <c r="H1107" s="92"/>
      <c r="I1107" s="92"/>
      <c r="J1107" s="92"/>
      <c r="K1107" s="92"/>
      <c r="L1107" s="92"/>
      <c r="M1107" s="92"/>
      <c r="N1107" s="92"/>
      <c r="AG1107" s="100"/>
      <c r="AH1107" s="101"/>
      <c r="AI1107" s="101"/>
      <c r="AJ1107" s="100"/>
      <c r="AK1107" s="100"/>
      <c r="AL1107" s="100"/>
      <c r="AM1107" s="100"/>
      <c r="AN1107" s="100"/>
      <c r="AO1107" s="100"/>
      <c r="AP1107" s="100"/>
      <c r="AQ1107" s="100"/>
      <c r="AR1107" s="100"/>
      <c r="AS1107" s="100"/>
      <c r="AT1107" s="102"/>
      <c r="AX1107" s="100"/>
      <c r="AY1107" s="101"/>
      <c r="AZ1107" s="101"/>
      <c r="BA1107" s="100"/>
      <c r="BB1107" s="100"/>
      <c r="BC1107" s="100"/>
      <c r="BD1107" s="100"/>
      <c r="BE1107" s="100"/>
      <c r="BF1107" s="100"/>
      <c r="BG1107" s="100"/>
      <c r="BH1107" s="100"/>
      <c r="BI1107" s="100"/>
      <c r="BJ1107" s="100"/>
      <c r="BK1107" s="102"/>
      <c r="BN1107" s="36"/>
    </row>
    <row r="1108" spans="1:66" x14ac:dyDescent="0.25">
      <c r="A1108" s="92"/>
      <c r="B1108" s="92"/>
      <c r="C1108" s="92"/>
      <c r="D1108" s="92"/>
      <c r="E1108" s="92"/>
      <c r="F1108" s="92"/>
      <c r="G1108" s="92"/>
      <c r="H1108" s="92"/>
      <c r="I1108" s="92"/>
      <c r="J1108" s="92"/>
      <c r="K1108" s="92"/>
      <c r="L1108" s="92"/>
      <c r="M1108" s="92"/>
      <c r="N1108" s="92"/>
      <c r="AG1108" s="100"/>
      <c r="AH1108" s="101"/>
      <c r="AI1108" s="101"/>
      <c r="AJ1108" s="100"/>
      <c r="AK1108" s="100"/>
      <c r="AL1108" s="100"/>
      <c r="AM1108" s="100"/>
      <c r="AN1108" s="100"/>
      <c r="AO1108" s="100"/>
      <c r="AP1108" s="100"/>
      <c r="AQ1108" s="100"/>
      <c r="AR1108" s="100"/>
      <c r="AS1108" s="100"/>
      <c r="AT1108" s="102"/>
      <c r="AX1108" s="100"/>
      <c r="AY1108" s="101"/>
      <c r="AZ1108" s="101"/>
      <c r="BA1108" s="100"/>
      <c r="BB1108" s="100"/>
      <c r="BC1108" s="100"/>
      <c r="BD1108" s="100"/>
      <c r="BE1108" s="100"/>
      <c r="BF1108" s="100"/>
      <c r="BG1108" s="100"/>
      <c r="BH1108" s="100"/>
      <c r="BI1108" s="100"/>
      <c r="BJ1108" s="100"/>
      <c r="BK1108" s="102"/>
      <c r="BN1108" s="36"/>
    </row>
    <row r="1109" spans="1:66" x14ac:dyDescent="0.25">
      <c r="A1109" s="92"/>
      <c r="B1109" s="92"/>
      <c r="C1109" s="92"/>
      <c r="D1109" s="92"/>
      <c r="E1109" s="92"/>
      <c r="F1109" s="92"/>
      <c r="G1109" s="92"/>
      <c r="H1109" s="92"/>
      <c r="I1109" s="92"/>
      <c r="J1109" s="92"/>
      <c r="K1109" s="92"/>
      <c r="L1109" s="92"/>
      <c r="M1109" s="92"/>
      <c r="N1109" s="92"/>
      <c r="AG1109" s="100"/>
      <c r="AH1109" s="101"/>
      <c r="AI1109" s="101"/>
      <c r="AJ1109" s="100"/>
      <c r="AK1109" s="100"/>
      <c r="AL1109" s="100"/>
      <c r="AM1109" s="100"/>
      <c r="AN1109" s="100"/>
      <c r="AO1109" s="100"/>
      <c r="AP1109" s="100"/>
      <c r="AQ1109" s="100"/>
      <c r="AR1109" s="100"/>
      <c r="AS1109" s="100"/>
      <c r="AT1109" s="102"/>
      <c r="AX1109" s="100"/>
      <c r="AY1109" s="101"/>
      <c r="AZ1109" s="101"/>
      <c r="BA1109" s="100"/>
      <c r="BB1109" s="100"/>
      <c r="BC1109" s="100"/>
      <c r="BD1109" s="100"/>
      <c r="BE1109" s="100"/>
      <c r="BF1109" s="100"/>
      <c r="BG1109" s="100"/>
      <c r="BH1109" s="100"/>
      <c r="BI1109" s="100"/>
      <c r="BJ1109" s="100"/>
      <c r="BK1109" s="102"/>
      <c r="BN1109" s="36"/>
    </row>
    <row r="1110" spans="1:66" x14ac:dyDescent="0.25">
      <c r="A1110" s="92"/>
      <c r="B1110" s="92"/>
      <c r="C1110" s="92"/>
      <c r="D1110" s="92"/>
      <c r="E1110" s="92"/>
      <c r="F1110" s="92"/>
      <c r="G1110" s="92"/>
      <c r="H1110" s="92"/>
      <c r="I1110" s="92"/>
      <c r="J1110" s="92"/>
      <c r="K1110" s="92"/>
      <c r="L1110" s="92"/>
      <c r="M1110" s="92"/>
      <c r="N1110" s="92"/>
      <c r="AG1110" s="100"/>
      <c r="AH1110" s="101"/>
      <c r="AI1110" s="101"/>
      <c r="AJ1110" s="101"/>
      <c r="AK1110" s="100"/>
      <c r="AL1110" s="100"/>
      <c r="AM1110" s="100"/>
      <c r="AN1110" s="100"/>
      <c r="AO1110" s="100"/>
      <c r="AP1110" s="100"/>
      <c r="AQ1110" s="100"/>
      <c r="AR1110" s="100"/>
      <c r="AS1110" s="100"/>
      <c r="AT1110" s="102"/>
      <c r="AX1110" s="100"/>
      <c r="AY1110" s="101"/>
      <c r="AZ1110" s="101"/>
      <c r="BA1110" s="100"/>
      <c r="BB1110" s="100"/>
      <c r="BC1110" s="100"/>
      <c r="BD1110" s="100"/>
      <c r="BE1110" s="100"/>
      <c r="BF1110" s="100"/>
      <c r="BG1110" s="100"/>
      <c r="BH1110" s="100"/>
      <c r="BI1110" s="100"/>
      <c r="BJ1110" s="100"/>
      <c r="BK1110" s="102"/>
      <c r="BN1110" s="36"/>
    </row>
    <row r="1111" spans="1:66" x14ac:dyDescent="0.25">
      <c r="A1111" s="92"/>
      <c r="B1111" s="92"/>
      <c r="C1111" s="92"/>
      <c r="D1111" s="92"/>
      <c r="E1111" s="92"/>
      <c r="F1111" s="92"/>
      <c r="G1111" s="92"/>
      <c r="H1111" s="92"/>
      <c r="I1111" s="92"/>
      <c r="J1111" s="92"/>
      <c r="K1111" s="92"/>
      <c r="L1111" s="92"/>
      <c r="M1111" s="92"/>
      <c r="N1111" s="92"/>
      <c r="AG1111" s="100"/>
      <c r="AH1111" s="101"/>
      <c r="AI1111" s="101"/>
      <c r="AJ1111" s="100"/>
      <c r="AK1111" s="100"/>
      <c r="AL1111" s="100"/>
      <c r="AM1111" s="100"/>
      <c r="AN1111" s="100"/>
      <c r="AO1111" s="100"/>
      <c r="AP1111" s="100"/>
      <c r="AQ1111" s="100"/>
      <c r="AR1111" s="100"/>
      <c r="AS1111" s="100"/>
      <c r="AT1111" s="102"/>
      <c r="AX1111" s="100"/>
      <c r="AY1111" s="101"/>
      <c r="AZ1111" s="101"/>
      <c r="BA1111" s="100"/>
      <c r="BB1111" s="100"/>
      <c r="BC1111" s="100"/>
      <c r="BD1111" s="100"/>
      <c r="BE1111" s="100"/>
      <c r="BF1111" s="100"/>
      <c r="BG1111" s="100"/>
      <c r="BH1111" s="100"/>
      <c r="BI1111" s="100"/>
      <c r="BJ1111" s="100"/>
      <c r="BK1111" s="102"/>
      <c r="BN1111" s="36"/>
    </row>
    <row r="1112" spans="1:66" x14ac:dyDescent="0.25">
      <c r="A1112" s="92"/>
      <c r="B1112" s="92"/>
      <c r="C1112" s="92"/>
      <c r="D1112" s="92"/>
      <c r="E1112" s="92"/>
      <c r="F1112" s="92"/>
      <c r="G1112" s="92"/>
      <c r="H1112" s="92"/>
      <c r="I1112" s="92"/>
      <c r="J1112" s="92"/>
      <c r="K1112" s="92"/>
      <c r="L1112" s="92"/>
      <c r="M1112" s="92"/>
      <c r="N1112" s="92"/>
      <c r="AG1112" s="100"/>
      <c r="AH1112" s="101"/>
      <c r="AI1112" s="101"/>
      <c r="AJ1112" s="100"/>
      <c r="AK1112" s="100"/>
      <c r="AL1112" s="100"/>
      <c r="AM1112" s="100"/>
      <c r="AN1112" s="100"/>
      <c r="AO1112" s="100"/>
      <c r="AP1112" s="100"/>
      <c r="AQ1112" s="100"/>
      <c r="AR1112" s="100"/>
      <c r="AS1112" s="100"/>
      <c r="AT1112" s="102"/>
      <c r="AX1112" s="100"/>
      <c r="AY1112" s="101"/>
      <c r="AZ1112" s="101"/>
      <c r="BA1112" s="100"/>
      <c r="BB1112" s="100"/>
      <c r="BC1112" s="100"/>
      <c r="BD1112" s="100"/>
      <c r="BE1112" s="100"/>
      <c r="BF1112" s="100"/>
      <c r="BG1112" s="100"/>
      <c r="BH1112" s="100"/>
      <c r="BI1112" s="100"/>
      <c r="BJ1112" s="100"/>
      <c r="BK1112" s="102"/>
      <c r="BN1112" s="36"/>
    </row>
    <row r="1113" spans="1:66" x14ac:dyDescent="0.25">
      <c r="A1113" s="92"/>
      <c r="B1113" s="92"/>
      <c r="C1113" s="92"/>
      <c r="D1113" s="92"/>
      <c r="E1113" s="92"/>
      <c r="F1113" s="92"/>
      <c r="G1113" s="92"/>
      <c r="H1113" s="92"/>
      <c r="I1113" s="92"/>
      <c r="J1113" s="92"/>
      <c r="K1113" s="92"/>
      <c r="L1113" s="92"/>
      <c r="M1113" s="92"/>
      <c r="N1113" s="92"/>
      <c r="AG1113" s="100"/>
      <c r="AH1113" s="101"/>
      <c r="AI1113" s="101"/>
      <c r="AJ1113" s="100"/>
      <c r="AK1113" s="100"/>
      <c r="AL1113" s="100"/>
      <c r="AM1113" s="100"/>
      <c r="AN1113" s="100"/>
      <c r="AO1113" s="100"/>
      <c r="AP1113" s="100"/>
      <c r="AQ1113" s="100"/>
      <c r="AR1113" s="100"/>
      <c r="AS1113" s="100"/>
      <c r="AT1113" s="102"/>
      <c r="AX1113" s="100"/>
      <c r="AY1113" s="101"/>
      <c r="AZ1113" s="101"/>
      <c r="BA1113" s="100"/>
      <c r="BB1113" s="100"/>
      <c r="BC1113" s="100"/>
      <c r="BD1113" s="100"/>
      <c r="BE1113" s="100"/>
      <c r="BF1113" s="100"/>
      <c r="BG1113" s="100"/>
      <c r="BH1113" s="100"/>
      <c r="BI1113" s="100"/>
      <c r="BJ1113" s="100"/>
      <c r="BK1113" s="102"/>
      <c r="BN1113" s="36"/>
    </row>
    <row r="1114" spans="1:66" x14ac:dyDescent="0.25">
      <c r="A1114" s="92"/>
      <c r="B1114" s="92"/>
      <c r="C1114" s="92"/>
      <c r="D1114" s="92"/>
      <c r="E1114" s="92"/>
      <c r="F1114" s="92"/>
      <c r="G1114" s="92"/>
      <c r="H1114" s="92"/>
      <c r="I1114" s="92"/>
      <c r="J1114" s="92"/>
      <c r="K1114" s="92"/>
      <c r="L1114" s="92"/>
      <c r="M1114" s="92"/>
      <c r="N1114" s="92"/>
      <c r="AG1114" s="100"/>
      <c r="AH1114" s="101"/>
      <c r="AI1114" s="101"/>
      <c r="AJ1114" s="101"/>
      <c r="AK1114" s="100"/>
      <c r="AL1114" s="100"/>
      <c r="AM1114" s="100"/>
      <c r="AN1114" s="100"/>
      <c r="AO1114" s="100"/>
      <c r="AP1114" s="100"/>
      <c r="AQ1114" s="100"/>
      <c r="AR1114" s="100"/>
      <c r="AS1114" s="100"/>
      <c r="AT1114" s="102"/>
      <c r="AX1114" s="100"/>
      <c r="AY1114" s="101"/>
      <c r="AZ1114" s="101"/>
      <c r="BA1114" s="100"/>
      <c r="BB1114" s="100"/>
      <c r="BC1114" s="100"/>
      <c r="BD1114" s="100"/>
      <c r="BE1114" s="100"/>
      <c r="BF1114" s="100"/>
      <c r="BG1114" s="100"/>
      <c r="BH1114" s="100"/>
      <c r="BI1114" s="100"/>
      <c r="BJ1114" s="100"/>
      <c r="BK1114" s="102"/>
      <c r="BN1114" s="36"/>
    </row>
    <row r="1115" spans="1:66" x14ac:dyDescent="0.25">
      <c r="A1115" s="92"/>
      <c r="B1115" s="92"/>
      <c r="C1115" s="92"/>
      <c r="D1115" s="92"/>
      <c r="E1115" s="92"/>
      <c r="F1115" s="92"/>
      <c r="G1115" s="92"/>
      <c r="H1115" s="92"/>
      <c r="I1115" s="92"/>
      <c r="J1115" s="92"/>
      <c r="K1115" s="92"/>
      <c r="L1115" s="92"/>
      <c r="M1115" s="92"/>
      <c r="N1115" s="92"/>
      <c r="AG1115" s="100"/>
      <c r="AH1115" s="101"/>
      <c r="AI1115" s="101"/>
      <c r="AJ1115" s="100"/>
      <c r="AK1115" s="100"/>
      <c r="AL1115" s="100"/>
      <c r="AM1115" s="100"/>
      <c r="AN1115" s="100"/>
      <c r="AO1115" s="100"/>
      <c r="AP1115" s="100"/>
      <c r="AQ1115" s="100"/>
      <c r="AR1115" s="100"/>
      <c r="AS1115" s="100"/>
      <c r="AT1115" s="102"/>
      <c r="AX1115" s="100"/>
      <c r="AY1115" s="101"/>
      <c r="AZ1115" s="101"/>
      <c r="BA1115" s="100"/>
      <c r="BB1115" s="100"/>
      <c r="BC1115" s="100"/>
      <c r="BD1115" s="100"/>
      <c r="BE1115" s="100"/>
      <c r="BF1115" s="100"/>
      <c r="BG1115" s="100"/>
      <c r="BH1115" s="100"/>
      <c r="BI1115" s="100"/>
      <c r="BJ1115" s="100"/>
      <c r="BK1115" s="102"/>
      <c r="BN1115" s="36"/>
    </row>
    <row r="1116" spans="1:66" x14ac:dyDescent="0.25">
      <c r="A1116" s="92"/>
      <c r="B1116" s="92"/>
      <c r="C1116" s="92"/>
      <c r="D1116" s="92"/>
      <c r="E1116" s="92"/>
      <c r="F1116" s="92"/>
      <c r="G1116" s="92"/>
      <c r="H1116" s="92"/>
      <c r="I1116" s="92"/>
      <c r="J1116" s="92"/>
      <c r="K1116" s="92"/>
      <c r="L1116" s="92"/>
      <c r="M1116" s="92"/>
      <c r="N1116" s="92"/>
      <c r="AG1116" s="100"/>
      <c r="AH1116" s="101"/>
      <c r="AI1116" s="101"/>
      <c r="AJ1116" s="100"/>
      <c r="AK1116" s="100"/>
      <c r="AL1116" s="100"/>
      <c r="AM1116" s="100"/>
      <c r="AN1116" s="100"/>
      <c r="AO1116" s="100"/>
      <c r="AP1116" s="100"/>
      <c r="AQ1116" s="100"/>
      <c r="AR1116" s="100"/>
      <c r="AS1116" s="100"/>
      <c r="AT1116" s="102"/>
      <c r="AX1116" s="100"/>
      <c r="AY1116" s="101"/>
      <c r="AZ1116" s="101"/>
      <c r="BA1116" s="100"/>
      <c r="BB1116" s="100"/>
      <c r="BC1116" s="100"/>
      <c r="BD1116" s="100"/>
      <c r="BE1116" s="100"/>
      <c r="BF1116" s="100"/>
      <c r="BG1116" s="100"/>
      <c r="BH1116" s="100"/>
      <c r="BI1116" s="100"/>
      <c r="BJ1116" s="100"/>
      <c r="BK1116" s="102"/>
      <c r="BN1116" s="36"/>
    </row>
    <row r="1117" spans="1:66" x14ac:dyDescent="0.25">
      <c r="A1117" s="92"/>
      <c r="B1117" s="92"/>
      <c r="C1117" s="92"/>
      <c r="D1117" s="92"/>
      <c r="E1117" s="92"/>
      <c r="F1117" s="92"/>
      <c r="G1117" s="92"/>
      <c r="H1117" s="92"/>
      <c r="I1117" s="92"/>
      <c r="J1117" s="92"/>
      <c r="K1117" s="92"/>
      <c r="L1117" s="92"/>
      <c r="M1117" s="92"/>
      <c r="N1117" s="92"/>
      <c r="AG1117" s="100"/>
      <c r="AH1117" s="101"/>
      <c r="AI1117" s="101"/>
      <c r="AJ1117" s="100"/>
      <c r="AK1117" s="100"/>
      <c r="AL1117" s="100"/>
      <c r="AM1117" s="100"/>
      <c r="AN1117" s="100"/>
      <c r="AO1117" s="100"/>
      <c r="AP1117" s="100"/>
      <c r="AQ1117" s="100"/>
      <c r="AR1117" s="100"/>
      <c r="AS1117" s="100"/>
      <c r="AT1117" s="102"/>
      <c r="AX1117" s="100"/>
      <c r="AY1117" s="101"/>
      <c r="AZ1117" s="101"/>
      <c r="BA1117" s="100"/>
      <c r="BB1117" s="100"/>
      <c r="BC1117" s="100"/>
      <c r="BD1117" s="100"/>
      <c r="BE1117" s="100"/>
      <c r="BF1117" s="100"/>
      <c r="BG1117" s="100"/>
      <c r="BH1117" s="100"/>
      <c r="BI1117" s="100"/>
      <c r="BJ1117" s="100"/>
      <c r="BK1117" s="102"/>
      <c r="BN1117" s="36"/>
    </row>
    <row r="1118" spans="1:66" x14ac:dyDescent="0.25">
      <c r="A1118" s="92"/>
      <c r="B1118" s="92"/>
      <c r="C1118" s="92"/>
      <c r="D1118" s="92"/>
      <c r="E1118" s="92"/>
      <c r="F1118" s="92"/>
      <c r="G1118" s="92"/>
      <c r="H1118" s="92"/>
      <c r="I1118" s="92"/>
      <c r="J1118" s="92"/>
      <c r="K1118" s="92"/>
      <c r="L1118" s="92"/>
      <c r="M1118" s="92"/>
      <c r="N1118" s="92"/>
      <c r="AG1118" s="100"/>
      <c r="AH1118" s="101"/>
      <c r="AI1118" s="101"/>
      <c r="AJ1118" s="100"/>
      <c r="AK1118" s="100"/>
      <c r="AL1118" s="100"/>
      <c r="AM1118" s="100"/>
      <c r="AN1118" s="100"/>
      <c r="AO1118" s="100"/>
      <c r="AP1118" s="100"/>
      <c r="AQ1118" s="100"/>
      <c r="AR1118" s="100"/>
      <c r="AS1118" s="100"/>
      <c r="AT1118" s="102"/>
      <c r="AX1118" s="100"/>
      <c r="AY1118" s="101"/>
      <c r="AZ1118" s="101"/>
      <c r="BA1118" s="100"/>
      <c r="BB1118" s="100"/>
      <c r="BC1118" s="100"/>
      <c r="BD1118" s="100"/>
      <c r="BE1118" s="100"/>
      <c r="BF1118" s="100"/>
      <c r="BG1118" s="100"/>
      <c r="BH1118" s="100"/>
      <c r="BI1118" s="100"/>
      <c r="BJ1118" s="100"/>
      <c r="BK1118" s="102"/>
      <c r="BN1118" s="36"/>
    </row>
    <row r="1119" spans="1:66" x14ac:dyDescent="0.25">
      <c r="A1119" s="92"/>
      <c r="B1119" s="92"/>
      <c r="C1119" s="92"/>
      <c r="D1119" s="92"/>
      <c r="E1119" s="92"/>
      <c r="F1119" s="92"/>
      <c r="G1119" s="92"/>
      <c r="H1119" s="92"/>
      <c r="I1119" s="92"/>
      <c r="J1119" s="92"/>
      <c r="K1119" s="92"/>
      <c r="L1119" s="92"/>
      <c r="M1119" s="92"/>
      <c r="N1119" s="92"/>
      <c r="AG1119" s="100"/>
      <c r="AH1119" s="101"/>
      <c r="AI1119" s="101"/>
      <c r="AJ1119" s="100"/>
      <c r="AK1119" s="100"/>
      <c r="AL1119" s="100"/>
      <c r="AM1119" s="100"/>
      <c r="AN1119" s="100"/>
      <c r="AO1119" s="100"/>
      <c r="AP1119" s="100"/>
      <c r="AQ1119" s="100"/>
      <c r="AR1119" s="100"/>
      <c r="AS1119" s="100"/>
      <c r="AT1119" s="102"/>
      <c r="AX1119" s="100"/>
      <c r="AY1119" s="101"/>
      <c r="AZ1119" s="101"/>
      <c r="BA1119" s="100"/>
      <c r="BB1119" s="100"/>
      <c r="BC1119" s="100"/>
      <c r="BD1119" s="100"/>
      <c r="BE1119" s="100"/>
      <c r="BF1119" s="100"/>
      <c r="BG1119" s="100"/>
      <c r="BH1119" s="100"/>
      <c r="BI1119" s="100"/>
      <c r="BJ1119" s="100"/>
      <c r="BK1119" s="102"/>
      <c r="BN1119" s="36"/>
    </row>
    <row r="1120" spans="1:66" x14ac:dyDescent="0.25">
      <c r="A1120" s="92"/>
      <c r="B1120" s="92"/>
      <c r="C1120" s="92"/>
      <c r="D1120" s="92"/>
      <c r="E1120" s="92"/>
      <c r="F1120" s="92"/>
      <c r="G1120" s="92"/>
      <c r="H1120" s="92"/>
      <c r="I1120" s="92"/>
      <c r="J1120" s="92"/>
      <c r="K1120" s="92"/>
      <c r="L1120" s="92"/>
      <c r="M1120" s="92"/>
      <c r="N1120" s="92"/>
      <c r="AG1120" s="100"/>
      <c r="AH1120" s="101"/>
      <c r="AI1120" s="101"/>
      <c r="AJ1120" s="101"/>
      <c r="AK1120" s="100"/>
      <c r="AL1120" s="100"/>
      <c r="AM1120" s="100"/>
      <c r="AN1120" s="100"/>
      <c r="AO1120" s="100"/>
      <c r="AP1120" s="100"/>
      <c r="AQ1120" s="100"/>
      <c r="AR1120" s="100"/>
      <c r="AS1120" s="100"/>
      <c r="AT1120" s="102"/>
      <c r="AX1120" s="100"/>
      <c r="AY1120" s="101"/>
      <c r="AZ1120" s="101"/>
      <c r="BA1120" s="101"/>
      <c r="BB1120" s="100"/>
      <c r="BC1120" s="100"/>
      <c r="BD1120" s="100"/>
      <c r="BE1120" s="100"/>
      <c r="BF1120" s="100"/>
      <c r="BG1120" s="100"/>
      <c r="BH1120" s="100"/>
      <c r="BI1120" s="100"/>
      <c r="BJ1120" s="100"/>
      <c r="BK1120" s="102"/>
      <c r="BN1120" s="36"/>
    </row>
    <row r="1121" spans="1:66" x14ac:dyDescent="0.25">
      <c r="A1121" s="92"/>
      <c r="B1121" s="92"/>
      <c r="C1121" s="92"/>
      <c r="D1121" s="92"/>
      <c r="E1121" s="92"/>
      <c r="F1121" s="92"/>
      <c r="G1121" s="92"/>
      <c r="H1121" s="92"/>
      <c r="I1121" s="92"/>
      <c r="J1121" s="92"/>
      <c r="K1121" s="92"/>
      <c r="L1121" s="92"/>
      <c r="M1121" s="92"/>
      <c r="N1121" s="92"/>
      <c r="AG1121" s="100"/>
      <c r="AH1121" s="101"/>
      <c r="AI1121" s="101"/>
      <c r="AJ1121" s="100"/>
      <c r="AK1121" s="100"/>
      <c r="AL1121" s="100"/>
      <c r="AM1121" s="100"/>
      <c r="AN1121" s="100"/>
      <c r="AO1121" s="100"/>
      <c r="AP1121" s="100"/>
      <c r="AQ1121" s="100"/>
      <c r="AR1121" s="100"/>
      <c r="AS1121" s="100"/>
      <c r="AT1121" s="102"/>
      <c r="AX1121" s="100"/>
      <c r="AY1121" s="101"/>
      <c r="AZ1121" s="101"/>
      <c r="BA1121" s="100"/>
      <c r="BB1121" s="100"/>
      <c r="BC1121" s="100"/>
      <c r="BD1121" s="100"/>
      <c r="BE1121" s="100"/>
      <c r="BF1121" s="100"/>
      <c r="BG1121" s="100"/>
      <c r="BH1121" s="100"/>
      <c r="BI1121" s="100"/>
      <c r="BJ1121" s="100"/>
      <c r="BK1121" s="102"/>
      <c r="BN1121" s="36"/>
    </row>
    <row r="1122" spans="1:66" x14ac:dyDescent="0.25">
      <c r="A1122" s="92"/>
      <c r="B1122" s="92"/>
      <c r="C1122" s="92"/>
      <c r="D1122" s="92"/>
      <c r="E1122" s="92"/>
      <c r="F1122" s="92"/>
      <c r="G1122" s="92"/>
      <c r="H1122" s="92"/>
      <c r="I1122" s="92"/>
      <c r="J1122" s="92"/>
      <c r="K1122" s="92"/>
      <c r="L1122" s="92"/>
      <c r="M1122" s="92"/>
      <c r="N1122" s="92"/>
      <c r="AG1122" s="100"/>
      <c r="AH1122" s="101"/>
      <c r="AI1122" s="101"/>
      <c r="AJ1122" s="100"/>
      <c r="AK1122" s="100"/>
      <c r="AL1122" s="100"/>
      <c r="AM1122" s="100"/>
      <c r="AN1122" s="100"/>
      <c r="AO1122" s="100"/>
      <c r="AP1122" s="100"/>
      <c r="AQ1122" s="100"/>
      <c r="AR1122" s="100"/>
      <c r="AS1122" s="100"/>
      <c r="AT1122" s="102"/>
      <c r="AX1122" s="100"/>
      <c r="AY1122" s="101"/>
      <c r="AZ1122" s="101"/>
      <c r="BA1122" s="100"/>
      <c r="BB1122" s="100"/>
      <c r="BC1122" s="100"/>
      <c r="BD1122" s="100"/>
      <c r="BE1122" s="100"/>
      <c r="BF1122" s="100"/>
      <c r="BG1122" s="100"/>
      <c r="BH1122" s="100"/>
      <c r="BI1122" s="100"/>
      <c r="BJ1122" s="100"/>
      <c r="BK1122" s="102"/>
      <c r="BN1122" s="36"/>
    </row>
    <row r="1123" spans="1:66" x14ac:dyDescent="0.25">
      <c r="A1123" s="92"/>
      <c r="B1123" s="92"/>
      <c r="C1123" s="92"/>
      <c r="D1123" s="92"/>
      <c r="E1123" s="92"/>
      <c r="F1123" s="92"/>
      <c r="G1123" s="92"/>
      <c r="H1123" s="92"/>
      <c r="I1123" s="92"/>
      <c r="J1123" s="92"/>
      <c r="K1123" s="92"/>
      <c r="L1123" s="92"/>
      <c r="M1123" s="92"/>
      <c r="N1123" s="92"/>
      <c r="AG1123" s="100"/>
      <c r="AH1123" s="101"/>
      <c r="AI1123" s="101"/>
      <c r="AJ1123" s="100"/>
      <c r="AK1123" s="100"/>
      <c r="AL1123" s="100"/>
      <c r="AM1123" s="100"/>
      <c r="AN1123" s="100"/>
      <c r="AO1123" s="100"/>
      <c r="AP1123" s="100"/>
      <c r="AQ1123" s="100"/>
      <c r="AR1123" s="100"/>
      <c r="AS1123" s="100"/>
      <c r="AT1123" s="102"/>
      <c r="AX1123" s="100"/>
      <c r="AY1123" s="101"/>
      <c r="AZ1123" s="101"/>
      <c r="BA1123" s="100"/>
      <c r="BB1123" s="100"/>
      <c r="BC1123" s="100"/>
      <c r="BD1123" s="100"/>
      <c r="BE1123" s="100"/>
      <c r="BF1123" s="100"/>
      <c r="BG1123" s="100"/>
      <c r="BH1123" s="100"/>
      <c r="BI1123" s="100"/>
      <c r="BJ1123" s="100"/>
      <c r="BK1123" s="102"/>
      <c r="BN1123" s="36"/>
    </row>
    <row r="1124" spans="1:66" x14ac:dyDescent="0.25">
      <c r="A1124" s="92"/>
      <c r="B1124" s="93"/>
      <c r="C1124" s="93"/>
      <c r="D1124" s="92"/>
      <c r="E1124" s="92"/>
      <c r="F1124" s="92"/>
      <c r="G1124" s="92"/>
      <c r="H1124" s="92"/>
      <c r="I1124" s="92"/>
      <c r="J1124" s="92"/>
      <c r="K1124" s="92"/>
      <c r="L1124" s="92"/>
      <c r="M1124" s="92"/>
      <c r="N1124" s="94"/>
      <c r="AG1124" s="100"/>
      <c r="AH1124" s="101"/>
      <c r="AI1124" s="101"/>
      <c r="AJ1124" s="100"/>
      <c r="AK1124" s="100"/>
      <c r="AL1124" s="100"/>
      <c r="AM1124" s="100"/>
      <c r="AN1124" s="100"/>
      <c r="AO1124" s="100"/>
      <c r="AP1124" s="100"/>
      <c r="AQ1124" s="100"/>
      <c r="AR1124" s="100"/>
      <c r="AS1124" s="100"/>
      <c r="AT1124" s="102"/>
      <c r="AX1124" s="100"/>
      <c r="AY1124" s="101"/>
      <c r="AZ1124" s="101"/>
      <c r="BA1124" s="100"/>
      <c r="BB1124" s="100"/>
      <c r="BC1124" s="100"/>
      <c r="BD1124" s="100"/>
      <c r="BE1124" s="100"/>
      <c r="BF1124" s="100"/>
      <c r="BG1124" s="100"/>
      <c r="BH1124" s="100"/>
      <c r="BI1124" s="100"/>
      <c r="BJ1124" s="100"/>
      <c r="BK1124" s="102"/>
      <c r="BN1124" s="36"/>
    </row>
    <row r="1125" spans="1:66" x14ac:dyDescent="0.25">
      <c r="A1125" s="92"/>
      <c r="B1125" s="93"/>
      <c r="C1125" s="93"/>
      <c r="D1125" s="93"/>
      <c r="E1125" s="92"/>
      <c r="F1125" s="92"/>
      <c r="G1125" s="92"/>
      <c r="H1125" s="92"/>
      <c r="I1125" s="92"/>
      <c r="J1125" s="92"/>
      <c r="K1125" s="92"/>
      <c r="L1125" s="92"/>
      <c r="M1125" s="92"/>
      <c r="N1125" s="94"/>
      <c r="AG1125" s="100"/>
      <c r="AH1125" s="101"/>
      <c r="AI1125" s="101"/>
      <c r="AJ1125" s="100"/>
      <c r="AK1125" s="100"/>
      <c r="AL1125" s="100"/>
      <c r="AM1125" s="100"/>
      <c r="AN1125" s="100"/>
      <c r="AO1125" s="100"/>
      <c r="AP1125" s="100"/>
      <c r="AQ1125" s="100"/>
      <c r="AR1125" s="100"/>
      <c r="AS1125" s="100"/>
      <c r="AT1125" s="102"/>
      <c r="AX1125" s="100"/>
      <c r="AY1125" s="101"/>
      <c r="AZ1125" s="101"/>
      <c r="BA1125" s="100"/>
      <c r="BB1125" s="100"/>
      <c r="BC1125" s="100"/>
      <c r="BD1125" s="100"/>
      <c r="BE1125" s="100"/>
      <c r="BF1125" s="100"/>
      <c r="BG1125" s="100"/>
      <c r="BH1125" s="100"/>
      <c r="BI1125" s="100"/>
      <c r="BJ1125" s="100"/>
      <c r="BK1125" s="102"/>
      <c r="BN1125" s="36"/>
    </row>
    <row r="1126" spans="1:66" x14ac:dyDescent="0.25">
      <c r="A1126" s="92"/>
      <c r="B1126" s="92"/>
      <c r="C1126" s="92"/>
      <c r="D1126" s="92"/>
      <c r="E1126" s="92"/>
      <c r="F1126" s="92"/>
      <c r="G1126" s="92"/>
      <c r="H1126" s="92"/>
      <c r="I1126" s="92"/>
      <c r="J1126" s="92"/>
      <c r="K1126" s="92"/>
      <c r="L1126" s="92"/>
      <c r="M1126" s="92"/>
      <c r="N1126" s="92"/>
      <c r="AG1126" s="100"/>
      <c r="AH1126" s="101"/>
      <c r="AI1126" s="101"/>
      <c r="AJ1126" s="100"/>
      <c r="AK1126" s="100"/>
      <c r="AL1126" s="100"/>
      <c r="AM1126" s="100"/>
      <c r="AN1126" s="100"/>
      <c r="AO1126" s="100"/>
      <c r="AP1126" s="100"/>
      <c r="AQ1126" s="100"/>
      <c r="AR1126" s="100"/>
      <c r="AS1126" s="100"/>
      <c r="AT1126" s="102"/>
      <c r="AX1126" s="100"/>
      <c r="AY1126" s="101"/>
      <c r="AZ1126" s="101"/>
      <c r="BA1126" s="101"/>
      <c r="BB1126" s="100"/>
      <c r="BC1126" s="100"/>
      <c r="BD1126" s="100"/>
      <c r="BE1126" s="100"/>
      <c r="BF1126" s="100"/>
      <c r="BG1126" s="100"/>
      <c r="BH1126" s="100"/>
      <c r="BI1126" s="100"/>
      <c r="BJ1126" s="100"/>
      <c r="BK1126" s="102"/>
      <c r="BN1126" s="36"/>
    </row>
    <row r="1127" spans="1:66" x14ac:dyDescent="0.25">
      <c r="A1127" s="92"/>
      <c r="B1127" s="93"/>
      <c r="C1127" s="93"/>
      <c r="D1127" s="93"/>
      <c r="E1127" s="92"/>
      <c r="F1127" s="92"/>
      <c r="G1127" s="92"/>
      <c r="H1127" s="92"/>
      <c r="I1127" s="92"/>
      <c r="J1127" s="92"/>
      <c r="K1127" s="92"/>
      <c r="L1127" s="92"/>
      <c r="M1127" s="92"/>
      <c r="N1127" s="94"/>
      <c r="AG1127" s="100"/>
      <c r="AH1127" s="101"/>
      <c r="AI1127" s="101"/>
      <c r="AJ1127" s="100"/>
      <c r="AK1127" s="100"/>
      <c r="AL1127" s="100"/>
      <c r="AM1127" s="100"/>
      <c r="AN1127" s="100"/>
      <c r="AO1127" s="100"/>
      <c r="AP1127" s="100"/>
      <c r="AQ1127" s="100"/>
      <c r="AR1127" s="100"/>
      <c r="AS1127" s="100"/>
      <c r="AT1127" s="102"/>
      <c r="AX1127" s="100"/>
      <c r="AY1127" s="101"/>
      <c r="AZ1127" s="101"/>
      <c r="BA1127" s="100"/>
      <c r="BB1127" s="100"/>
      <c r="BC1127" s="100"/>
      <c r="BD1127" s="100"/>
      <c r="BE1127" s="100"/>
      <c r="BF1127" s="100"/>
      <c r="BG1127" s="100"/>
      <c r="BH1127" s="100"/>
      <c r="BI1127" s="100"/>
      <c r="BJ1127" s="100"/>
      <c r="BK1127" s="102"/>
      <c r="BN1127" s="36"/>
    </row>
    <row r="1128" spans="1:66" x14ac:dyDescent="0.25">
      <c r="A1128" s="92"/>
      <c r="B1128" s="93"/>
      <c r="C1128" s="93"/>
      <c r="D1128" s="92"/>
      <c r="E1128" s="92"/>
      <c r="F1128" s="92"/>
      <c r="G1128" s="92"/>
      <c r="H1128" s="92"/>
      <c r="I1128" s="92"/>
      <c r="J1128" s="92"/>
      <c r="K1128" s="92"/>
      <c r="L1128" s="92"/>
      <c r="M1128" s="92"/>
      <c r="N1128" s="94"/>
      <c r="AG1128" s="100"/>
      <c r="AH1128" s="101"/>
      <c r="AI1128" s="101"/>
      <c r="AJ1128" s="100"/>
      <c r="AK1128" s="100"/>
      <c r="AL1128" s="100"/>
      <c r="AM1128" s="100"/>
      <c r="AN1128" s="100"/>
      <c r="AO1128" s="100"/>
      <c r="AP1128" s="100"/>
      <c r="AQ1128" s="100"/>
      <c r="AR1128" s="100"/>
      <c r="AS1128" s="100"/>
      <c r="AT1128" s="102"/>
      <c r="AX1128" s="100"/>
      <c r="AY1128" s="101"/>
      <c r="AZ1128" s="101"/>
      <c r="BA1128" s="100"/>
      <c r="BB1128" s="100"/>
      <c r="BC1128" s="100"/>
      <c r="BD1128" s="100"/>
      <c r="BE1128" s="100"/>
      <c r="BF1128" s="100"/>
      <c r="BG1128" s="100"/>
      <c r="BH1128" s="100"/>
      <c r="BI1128" s="100"/>
      <c r="BJ1128" s="100"/>
      <c r="BK1128" s="102"/>
      <c r="BN1128" s="36"/>
    </row>
    <row r="1129" spans="1:66" x14ac:dyDescent="0.25">
      <c r="A1129" s="92"/>
      <c r="B1129" s="93"/>
      <c r="C1129" s="93"/>
      <c r="D1129" s="92"/>
      <c r="E1129" s="92"/>
      <c r="F1129" s="92"/>
      <c r="G1129" s="92"/>
      <c r="H1129" s="92"/>
      <c r="I1129" s="92"/>
      <c r="J1129" s="92"/>
      <c r="K1129" s="92"/>
      <c r="L1129" s="92"/>
      <c r="M1129" s="92"/>
      <c r="N1129" s="94"/>
      <c r="AG1129" s="100"/>
      <c r="AH1129" s="101"/>
      <c r="AI1129" s="101"/>
      <c r="AJ1129" s="100"/>
      <c r="AK1129" s="100"/>
      <c r="AL1129" s="100"/>
      <c r="AM1129" s="100"/>
      <c r="AN1129" s="100"/>
      <c r="AO1129" s="100"/>
      <c r="AP1129" s="100"/>
      <c r="AQ1129" s="100"/>
      <c r="AR1129" s="100"/>
      <c r="AS1129" s="100"/>
      <c r="AT1129" s="102"/>
      <c r="AX1129" s="100"/>
      <c r="AY1129" s="101"/>
      <c r="AZ1129" s="101"/>
      <c r="BA1129" s="100"/>
      <c r="BB1129" s="100"/>
      <c r="BC1129" s="100"/>
      <c r="BD1129" s="100"/>
      <c r="BE1129" s="100"/>
      <c r="BF1129" s="100"/>
      <c r="BG1129" s="100"/>
      <c r="BH1129" s="100"/>
      <c r="BI1129" s="100"/>
      <c r="BJ1129" s="100"/>
      <c r="BK1129" s="102"/>
      <c r="BN1129" s="36"/>
    </row>
    <row r="1130" spans="1:66" x14ac:dyDescent="0.25">
      <c r="A1130" s="92"/>
      <c r="B1130" s="92"/>
      <c r="C1130" s="92"/>
      <c r="D1130" s="92"/>
      <c r="E1130" s="92"/>
      <c r="F1130" s="92"/>
      <c r="G1130" s="92"/>
      <c r="H1130" s="92"/>
      <c r="I1130" s="92"/>
      <c r="J1130" s="92"/>
      <c r="K1130" s="92"/>
      <c r="L1130" s="92"/>
      <c r="M1130" s="92"/>
      <c r="N1130" s="92"/>
      <c r="AG1130" s="100"/>
      <c r="AH1130" s="101"/>
      <c r="AI1130" s="101"/>
      <c r="AJ1130" s="100"/>
      <c r="AK1130" s="100"/>
      <c r="AL1130" s="100"/>
      <c r="AM1130" s="100"/>
      <c r="AN1130" s="100"/>
      <c r="AO1130" s="100"/>
      <c r="AP1130" s="100"/>
      <c r="AQ1130" s="100"/>
      <c r="AR1130" s="100"/>
      <c r="AS1130" s="100"/>
      <c r="AT1130" s="102"/>
      <c r="AX1130" s="100"/>
      <c r="AY1130" s="101"/>
      <c r="AZ1130" s="101"/>
      <c r="BA1130" s="101"/>
      <c r="BB1130" s="100"/>
      <c r="BC1130" s="100"/>
      <c r="BD1130" s="100"/>
      <c r="BE1130" s="100"/>
      <c r="BF1130" s="100"/>
      <c r="BG1130" s="100"/>
      <c r="BH1130" s="100"/>
      <c r="BI1130" s="100"/>
      <c r="BJ1130" s="100"/>
      <c r="BK1130" s="102"/>
      <c r="BN1130" s="36"/>
    </row>
    <row r="1131" spans="1:66" x14ac:dyDescent="0.25">
      <c r="A1131" s="92"/>
      <c r="B1131" s="92"/>
      <c r="C1131" s="92"/>
      <c r="D1131" s="92"/>
      <c r="E1131" s="92"/>
      <c r="F1131" s="92"/>
      <c r="G1131" s="92"/>
      <c r="H1131" s="92"/>
      <c r="I1131" s="92"/>
      <c r="J1131" s="92"/>
      <c r="K1131" s="92"/>
      <c r="L1131" s="92"/>
      <c r="M1131" s="92"/>
      <c r="N1131" s="92"/>
      <c r="AG1131" s="100"/>
      <c r="AH1131" s="101"/>
      <c r="AI1131" s="101"/>
      <c r="AJ1131" s="100"/>
      <c r="AK1131" s="100"/>
      <c r="AL1131" s="100"/>
      <c r="AM1131" s="100"/>
      <c r="AN1131" s="100"/>
      <c r="AO1131" s="100"/>
      <c r="AP1131" s="100"/>
      <c r="AQ1131" s="100"/>
      <c r="AR1131" s="100"/>
      <c r="AS1131" s="100"/>
      <c r="AT1131" s="102"/>
      <c r="AX1131" s="100"/>
      <c r="AY1131" s="101"/>
      <c r="AZ1131" s="101"/>
      <c r="BA1131" s="100"/>
      <c r="BB1131" s="100"/>
      <c r="BC1131" s="100"/>
      <c r="BD1131" s="100"/>
      <c r="BE1131" s="100"/>
      <c r="BF1131" s="100"/>
      <c r="BG1131" s="100"/>
      <c r="BH1131" s="100"/>
      <c r="BI1131" s="100"/>
      <c r="BJ1131" s="100"/>
      <c r="BK1131" s="102"/>
      <c r="BN1131" s="36"/>
    </row>
    <row r="1132" spans="1:66" x14ac:dyDescent="0.25">
      <c r="A1132" s="92"/>
      <c r="B1132" s="92"/>
      <c r="C1132" s="92"/>
      <c r="D1132" s="92"/>
      <c r="E1132" s="92"/>
      <c r="F1132" s="92"/>
      <c r="G1132" s="92"/>
      <c r="H1132" s="92"/>
      <c r="I1132" s="92"/>
      <c r="J1132" s="92"/>
      <c r="K1132" s="92"/>
      <c r="L1132" s="92"/>
      <c r="M1132" s="92"/>
      <c r="N1132" s="92"/>
      <c r="AG1132" s="100"/>
      <c r="AH1132" s="101"/>
      <c r="AI1132" s="101"/>
      <c r="AJ1132" s="100"/>
      <c r="AK1132" s="100"/>
      <c r="AL1132" s="100"/>
      <c r="AM1132" s="100"/>
      <c r="AN1132" s="100"/>
      <c r="AO1132" s="100"/>
      <c r="AP1132" s="100"/>
      <c r="AQ1132" s="100"/>
      <c r="AR1132" s="100"/>
      <c r="AS1132" s="100"/>
      <c r="AT1132" s="102"/>
      <c r="AX1132" s="100"/>
      <c r="AY1132" s="101"/>
      <c r="AZ1132" s="101"/>
      <c r="BA1132" s="100"/>
      <c r="BB1132" s="100"/>
      <c r="BC1132" s="100"/>
      <c r="BD1132" s="100"/>
      <c r="BE1132" s="100"/>
      <c r="BF1132" s="100"/>
      <c r="BG1132" s="100"/>
      <c r="BH1132" s="100"/>
      <c r="BI1132" s="100"/>
      <c r="BJ1132" s="100"/>
      <c r="BK1132" s="102"/>
      <c r="BN1132" s="36"/>
    </row>
    <row r="1133" spans="1:66" x14ac:dyDescent="0.25">
      <c r="A1133" s="92"/>
      <c r="B1133" s="93"/>
      <c r="C1133" s="93"/>
      <c r="D1133" s="92"/>
      <c r="E1133" s="92"/>
      <c r="F1133" s="92"/>
      <c r="G1133" s="92"/>
      <c r="H1133" s="92"/>
      <c r="I1133" s="92"/>
      <c r="J1133" s="92"/>
      <c r="K1133" s="92"/>
      <c r="L1133" s="92"/>
      <c r="M1133" s="92"/>
      <c r="N1133" s="94"/>
      <c r="AG1133" s="100"/>
      <c r="AH1133" s="101"/>
      <c r="AI1133" s="101"/>
      <c r="AJ1133" s="100"/>
      <c r="AK1133" s="100"/>
      <c r="AL1133" s="100"/>
      <c r="AM1133" s="100"/>
      <c r="AN1133" s="100"/>
      <c r="AO1133" s="100"/>
      <c r="AP1133" s="100"/>
      <c r="AQ1133" s="100"/>
      <c r="AR1133" s="100"/>
      <c r="AS1133" s="100"/>
      <c r="AT1133" s="102"/>
      <c r="AX1133" s="100"/>
      <c r="AY1133" s="101"/>
      <c r="AZ1133" s="101"/>
      <c r="BA1133" s="100"/>
      <c r="BB1133" s="100"/>
      <c r="BC1133" s="100"/>
      <c r="BD1133" s="100"/>
      <c r="BE1133" s="100"/>
      <c r="BF1133" s="100"/>
      <c r="BG1133" s="100"/>
      <c r="BH1133" s="100"/>
      <c r="BI1133" s="100"/>
      <c r="BJ1133" s="100"/>
      <c r="BK1133" s="102"/>
      <c r="BN1133" s="36"/>
    </row>
    <row r="1134" spans="1:66" x14ac:dyDescent="0.25">
      <c r="A1134" s="92"/>
      <c r="B1134" s="92"/>
      <c r="C1134" s="92"/>
      <c r="D1134" s="92"/>
      <c r="E1134" s="92"/>
      <c r="F1134" s="92"/>
      <c r="G1134" s="92"/>
      <c r="H1134" s="92"/>
      <c r="I1134" s="92"/>
      <c r="J1134" s="92"/>
      <c r="K1134" s="92"/>
      <c r="L1134" s="92"/>
      <c r="M1134" s="92"/>
      <c r="N1134" s="92"/>
      <c r="AG1134" s="100"/>
      <c r="AH1134" s="101"/>
      <c r="AI1134" s="101"/>
      <c r="AJ1134" s="100"/>
      <c r="AK1134" s="100"/>
      <c r="AL1134" s="100"/>
      <c r="AM1134" s="100"/>
      <c r="AN1134" s="100"/>
      <c r="AO1134" s="100"/>
      <c r="AP1134" s="100"/>
      <c r="AQ1134" s="100"/>
      <c r="AR1134" s="100"/>
      <c r="AS1134" s="100"/>
      <c r="AT1134" s="102"/>
      <c r="AX1134" s="100"/>
      <c r="AY1134" s="101"/>
      <c r="AZ1134" s="101"/>
      <c r="BA1134" s="101"/>
      <c r="BB1134" s="100"/>
      <c r="BC1134" s="100"/>
      <c r="BD1134" s="100"/>
      <c r="BE1134" s="100"/>
      <c r="BF1134" s="100"/>
      <c r="BG1134" s="100"/>
      <c r="BH1134" s="100"/>
      <c r="BI1134" s="100"/>
      <c r="BJ1134" s="100"/>
      <c r="BK1134" s="102"/>
      <c r="BN1134" s="36"/>
    </row>
    <row r="1135" spans="1:66" x14ac:dyDescent="0.25">
      <c r="A1135" s="92"/>
      <c r="B1135" s="92"/>
      <c r="C1135" s="92"/>
      <c r="D1135" s="92"/>
      <c r="E1135" s="92"/>
      <c r="F1135" s="92"/>
      <c r="G1135" s="92"/>
      <c r="H1135" s="92"/>
      <c r="I1135" s="92"/>
      <c r="J1135" s="92"/>
      <c r="K1135" s="92"/>
      <c r="L1135" s="92"/>
      <c r="M1135" s="92"/>
      <c r="N1135" s="92"/>
      <c r="AG1135" s="100"/>
      <c r="AH1135" s="101"/>
      <c r="AI1135" s="101"/>
      <c r="AJ1135" s="100"/>
      <c r="AK1135" s="100"/>
      <c r="AL1135" s="100"/>
      <c r="AM1135" s="100"/>
      <c r="AN1135" s="100"/>
      <c r="AO1135" s="100"/>
      <c r="AP1135" s="100"/>
      <c r="AQ1135" s="100"/>
      <c r="AR1135" s="100"/>
      <c r="AS1135" s="100"/>
      <c r="AT1135" s="102"/>
      <c r="AX1135" s="100"/>
      <c r="AY1135" s="101"/>
      <c r="AZ1135" s="101"/>
      <c r="BA1135" s="100"/>
      <c r="BB1135" s="100"/>
      <c r="BC1135" s="100"/>
      <c r="BD1135" s="100"/>
      <c r="BE1135" s="100"/>
      <c r="BF1135" s="100"/>
      <c r="BG1135" s="100"/>
      <c r="BH1135" s="100"/>
      <c r="BI1135" s="100"/>
      <c r="BJ1135" s="100"/>
      <c r="BK1135" s="102"/>
      <c r="BN1135" s="36"/>
    </row>
    <row r="1136" spans="1:66" x14ac:dyDescent="0.25">
      <c r="A1136" s="92"/>
      <c r="B1136" s="92"/>
      <c r="C1136" s="92"/>
      <c r="D1136" s="92"/>
      <c r="E1136" s="92"/>
      <c r="F1136" s="92"/>
      <c r="G1136" s="92"/>
      <c r="H1136" s="92"/>
      <c r="I1136" s="92"/>
      <c r="J1136" s="92"/>
      <c r="K1136" s="92"/>
      <c r="L1136" s="92"/>
      <c r="M1136" s="92"/>
      <c r="N1136" s="92"/>
      <c r="AG1136" s="100"/>
      <c r="AH1136" s="101"/>
      <c r="AI1136" s="101"/>
      <c r="AJ1136" s="100"/>
      <c r="AK1136" s="100"/>
      <c r="AL1136" s="100"/>
      <c r="AM1136" s="100"/>
      <c r="AN1136" s="100"/>
      <c r="AO1136" s="100"/>
      <c r="AP1136" s="100"/>
      <c r="AQ1136" s="100"/>
      <c r="AR1136" s="100"/>
      <c r="AS1136" s="100"/>
      <c r="AT1136" s="102"/>
      <c r="AX1136" s="100"/>
      <c r="AY1136" s="101"/>
      <c r="AZ1136" s="101"/>
      <c r="BA1136" s="100"/>
      <c r="BB1136" s="100"/>
      <c r="BC1136" s="100"/>
      <c r="BD1136" s="100"/>
      <c r="BE1136" s="100"/>
      <c r="BF1136" s="100"/>
      <c r="BG1136" s="100"/>
      <c r="BH1136" s="100"/>
      <c r="BI1136" s="100"/>
      <c r="BJ1136" s="100"/>
      <c r="BK1136" s="102"/>
      <c r="BN1136" s="36"/>
    </row>
    <row r="1137" spans="1:66" x14ac:dyDescent="0.25">
      <c r="A1137" s="92"/>
      <c r="B1137" s="92"/>
      <c r="C1137" s="92"/>
      <c r="D1137" s="92"/>
      <c r="E1137" s="92"/>
      <c r="F1137" s="92"/>
      <c r="G1137" s="92"/>
      <c r="H1137" s="92"/>
      <c r="I1137" s="92"/>
      <c r="J1137" s="92"/>
      <c r="K1137" s="92"/>
      <c r="L1137" s="92"/>
      <c r="M1137" s="92"/>
      <c r="N1137" s="92"/>
      <c r="AG1137" s="100"/>
      <c r="AH1137" s="101"/>
      <c r="AI1137" s="101"/>
      <c r="AJ1137" s="100"/>
      <c r="AK1137" s="100"/>
      <c r="AL1137" s="100"/>
      <c r="AM1137" s="100"/>
      <c r="AN1137" s="100"/>
      <c r="AO1137" s="100"/>
      <c r="AP1137" s="100"/>
      <c r="AQ1137" s="100"/>
      <c r="AR1137" s="100"/>
      <c r="AS1137" s="100"/>
      <c r="AT1137" s="102"/>
      <c r="AX1137" s="100"/>
      <c r="AY1137" s="101"/>
      <c r="AZ1137" s="101"/>
      <c r="BA1137" s="100"/>
      <c r="BB1137" s="100"/>
      <c r="BC1137" s="100"/>
      <c r="BD1137" s="100"/>
      <c r="BE1137" s="100"/>
      <c r="BF1137" s="100"/>
      <c r="BG1137" s="100"/>
      <c r="BH1137" s="100"/>
      <c r="BI1137" s="100"/>
      <c r="BJ1137" s="100"/>
      <c r="BK1137" s="102"/>
      <c r="BN1137" s="36"/>
    </row>
    <row r="1138" spans="1:66" x14ac:dyDescent="0.25">
      <c r="A1138" s="92"/>
      <c r="B1138" s="92"/>
      <c r="C1138" s="92"/>
      <c r="D1138" s="92"/>
      <c r="E1138" s="92"/>
      <c r="F1138" s="92"/>
      <c r="G1138" s="92"/>
      <c r="H1138" s="92"/>
      <c r="I1138" s="92"/>
      <c r="J1138" s="92"/>
      <c r="K1138" s="92"/>
      <c r="L1138" s="92"/>
      <c r="M1138" s="92"/>
      <c r="N1138" s="92"/>
      <c r="AG1138" s="100"/>
      <c r="AH1138" s="101"/>
      <c r="AI1138" s="101"/>
      <c r="AJ1138" s="100"/>
      <c r="AK1138" s="100"/>
      <c r="AL1138" s="100"/>
      <c r="AM1138" s="100"/>
      <c r="AN1138" s="100"/>
      <c r="AO1138" s="100"/>
      <c r="AP1138" s="100"/>
      <c r="AQ1138" s="100"/>
      <c r="AR1138" s="100"/>
      <c r="AS1138" s="100"/>
      <c r="AT1138" s="102"/>
      <c r="AX1138" s="100"/>
      <c r="AY1138" s="101"/>
      <c r="AZ1138" s="101"/>
      <c r="BA1138" s="100"/>
      <c r="BB1138" s="100"/>
      <c r="BC1138" s="100"/>
      <c r="BD1138" s="100"/>
      <c r="BE1138" s="100"/>
      <c r="BF1138" s="100"/>
      <c r="BG1138" s="100"/>
      <c r="BH1138" s="100"/>
      <c r="BI1138" s="100"/>
      <c r="BJ1138" s="100"/>
      <c r="BK1138" s="102"/>
      <c r="BN1138" s="36"/>
    </row>
    <row r="1139" spans="1:66" x14ac:dyDescent="0.25">
      <c r="A1139" s="92"/>
      <c r="B1139" s="92"/>
      <c r="C1139" s="92"/>
      <c r="D1139" s="92"/>
      <c r="E1139" s="92"/>
      <c r="F1139" s="92"/>
      <c r="G1139" s="92"/>
      <c r="H1139" s="92"/>
      <c r="I1139" s="92"/>
      <c r="J1139" s="92"/>
      <c r="K1139" s="92"/>
      <c r="L1139" s="92"/>
      <c r="M1139" s="92"/>
      <c r="N1139" s="92"/>
      <c r="AG1139" s="100"/>
      <c r="AH1139" s="101"/>
      <c r="AI1139" s="101"/>
      <c r="AJ1139" s="100"/>
      <c r="AK1139" s="100"/>
      <c r="AL1139" s="100"/>
      <c r="AM1139" s="100"/>
      <c r="AN1139" s="100"/>
      <c r="AO1139" s="100"/>
      <c r="AP1139" s="100"/>
      <c r="AQ1139" s="100"/>
      <c r="AR1139" s="100"/>
      <c r="AS1139" s="100"/>
      <c r="AT1139" s="102"/>
      <c r="AX1139" s="100"/>
      <c r="AY1139" s="101"/>
      <c r="AZ1139" s="101"/>
      <c r="BA1139" s="100"/>
      <c r="BB1139" s="100"/>
      <c r="BC1139" s="100"/>
      <c r="BD1139" s="100"/>
      <c r="BE1139" s="100"/>
      <c r="BF1139" s="100"/>
      <c r="BG1139" s="100"/>
      <c r="BH1139" s="100"/>
      <c r="BI1139" s="100"/>
      <c r="BJ1139" s="100"/>
      <c r="BK1139" s="102"/>
      <c r="BN1139" s="36"/>
    </row>
    <row r="1140" spans="1:66" x14ac:dyDescent="0.25">
      <c r="A1140" s="92"/>
      <c r="B1140" s="92"/>
      <c r="C1140" s="92"/>
      <c r="D1140" s="92"/>
      <c r="E1140" s="92"/>
      <c r="F1140" s="92"/>
      <c r="G1140" s="92"/>
      <c r="H1140" s="92"/>
      <c r="I1140" s="92"/>
      <c r="J1140" s="92"/>
      <c r="K1140" s="92"/>
      <c r="L1140" s="92"/>
      <c r="M1140" s="92"/>
      <c r="N1140" s="92"/>
      <c r="AG1140" s="100"/>
      <c r="AH1140" s="101"/>
      <c r="AI1140" s="101"/>
      <c r="AJ1140" s="100"/>
      <c r="AK1140" s="100"/>
      <c r="AL1140" s="100"/>
      <c r="AM1140" s="100"/>
      <c r="AN1140" s="100"/>
      <c r="AO1140" s="100"/>
      <c r="AP1140" s="100"/>
      <c r="AQ1140" s="100"/>
      <c r="AR1140" s="100"/>
      <c r="AS1140" s="100"/>
      <c r="AT1140" s="102"/>
      <c r="AX1140" s="100"/>
      <c r="AY1140" s="101"/>
      <c r="AZ1140" s="101"/>
      <c r="BA1140" s="101"/>
      <c r="BB1140" s="100"/>
      <c r="BC1140" s="100"/>
      <c r="BD1140" s="100"/>
      <c r="BE1140" s="100"/>
      <c r="BF1140" s="100"/>
      <c r="BG1140" s="100"/>
      <c r="BH1140" s="100"/>
      <c r="BI1140" s="100"/>
      <c r="BJ1140" s="100"/>
      <c r="BK1140" s="102"/>
      <c r="BN1140" s="36"/>
    </row>
    <row r="1141" spans="1:66" x14ac:dyDescent="0.25">
      <c r="A1141" s="92"/>
      <c r="B1141" s="92"/>
      <c r="C1141" s="92"/>
      <c r="D1141" s="92"/>
      <c r="E1141" s="92"/>
      <c r="F1141" s="92"/>
      <c r="G1141" s="92"/>
      <c r="H1141" s="92"/>
      <c r="I1141" s="92"/>
      <c r="J1141" s="92"/>
      <c r="K1141" s="92"/>
      <c r="L1141" s="92"/>
      <c r="M1141" s="92"/>
      <c r="N1141" s="92"/>
      <c r="AG1141" s="100"/>
      <c r="AH1141" s="101"/>
      <c r="AI1141" s="101"/>
      <c r="AJ1141" s="100"/>
      <c r="AK1141" s="100"/>
      <c r="AL1141" s="100"/>
      <c r="AM1141" s="100"/>
      <c r="AN1141" s="100"/>
      <c r="AO1141" s="100"/>
      <c r="AP1141" s="100"/>
      <c r="AQ1141" s="100"/>
      <c r="AR1141" s="100"/>
      <c r="AS1141" s="100"/>
      <c r="AT1141" s="102"/>
      <c r="AX1141" s="100"/>
      <c r="AY1141" s="101"/>
      <c r="AZ1141" s="101"/>
      <c r="BA1141" s="100"/>
      <c r="BB1141" s="100"/>
      <c r="BC1141" s="100"/>
      <c r="BD1141" s="100"/>
      <c r="BE1141" s="100"/>
      <c r="BF1141" s="100"/>
      <c r="BG1141" s="100"/>
      <c r="BH1141" s="100"/>
      <c r="BI1141" s="100"/>
      <c r="BJ1141" s="100"/>
      <c r="BK1141" s="102"/>
      <c r="BN1141" s="36"/>
    </row>
    <row r="1142" spans="1:66" x14ac:dyDescent="0.25">
      <c r="A1142" s="92"/>
      <c r="B1142" s="92"/>
      <c r="C1142" s="92"/>
      <c r="D1142" s="92"/>
      <c r="E1142" s="92"/>
      <c r="F1142" s="92"/>
      <c r="G1142" s="92"/>
      <c r="H1142" s="92"/>
      <c r="I1142" s="92"/>
      <c r="J1142" s="92"/>
      <c r="K1142" s="92"/>
      <c r="L1142" s="92"/>
      <c r="M1142" s="92"/>
      <c r="N1142" s="92"/>
      <c r="AG1142" s="100"/>
      <c r="AH1142" s="101"/>
      <c r="AI1142" s="100"/>
      <c r="AJ1142" s="101"/>
      <c r="AK1142" s="100"/>
      <c r="AL1142" s="100"/>
      <c r="AM1142" s="100"/>
      <c r="AN1142" s="100"/>
      <c r="AO1142" s="100"/>
      <c r="AP1142" s="100"/>
      <c r="AQ1142" s="100"/>
      <c r="AR1142" s="100"/>
      <c r="AS1142" s="100"/>
      <c r="AT1142" s="102"/>
      <c r="AX1142" s="100"/>
      <c r="AY1142" s="101"/>
      <c r="AZ1142" s="101"/>
      <c r="BA1142" s="100"/>
      <c r="BB1142" s="100"/>
      <c r="BC1142" s="100"/>
      <c r="BD1142" s="100"/>
      <c r="BE1142" s="100"/>
      <c r="BF1142" s="100"/>
      <c r="BG1142" s="100"/>
      <c r="BH1142" s="100"/>
      <c r="BI1142" s="100"/>
      <c r="BJ1142" s="100"/>
      <c r="BK1142" s="102"/>
      <c r="BN1142" s="36"/>
    </row>
    <row r="1143" spans="1:66" x14ac:dyDescent="0.25">
      <c r="A1143" s="92"/>
      <c r="B1143" s="92"/>
      <c r="C1143" s="92"/>
      <c r="D1143" s="92"/>
      <c r="E1143" s="92"/>
      <c r="F1143" s="92"/>
      <c r="G1143" s="92"/>
      <c r="H1143" s="92"/>
      <c r="I1143" s="92"/>
      <c r="J1143" s="92"/>
      <c r="K1143" s="92"/>
      <c r="L1143" s="92"/>
      <c r="M1143" s="92"/>
      <c r="N1143" s="92"/>
      <c r="AG1143" s="100"/>
      <c r="AH1143" s="101"/>
      <c r="AI1143" s="100"/>
      <c r="AJ1143" s="101"/>
      <c r="AK1143" s="100"/>
      <c r="AL1143" s="100"/>
      <c r="AM1143" s="100"/>
      <c r="AN1143" s="100"/>
      <c r="AO1143" s="100"/>
      <c r="AP1143" s="100"/>
      <c r="AQ1143" s="100"/>
      <c r="AR1143" s="100"/>
      <c r="AS1143" s="100"/>
      <c r="AT1143" s="102"/>
      <c r="AX1143" s="100"/>
      <c r="AY1143" s="101"/>
      <c r="AZ1143" s="101"/>
      <c r="BA1143" s="100"/>
      <c r="BB1143" s="100"/>
      <c r="BC1143" s="100"/>
      <c r="BD1143" s="100"/>
      <c r="BE1143" s="100"/>
      <c r="BF1143" s="100"/>
      <c r="BG1143" s="100"/>
      <c r="BH1143" s="100"/>
      <c r="BI1143" s="100"/>
      <c r="BJ1143" s="100"/>
      <c r="BK1143" s="102"/>
      <c r="BN1143" s="36"/>
    </row>
    <row r="1144" spans="1:66" x14ac:dyDescent="0.25">
      <c r="A1144" s="92"/>
      <c r="B1144" s="92"/>
      <c r="C1144" s="92"/>
      <c r="D1144" s="92"/>
      <c r="E1144" s="92"/>
      <c r="F1144" s="92"/>
      <c r="G1144" s="92"/>
      <c r="H1144" s="92"/>
      <c r="I1144" s="92"/>
      <c r="J1144" s="92"/>
      <c r="K1144" s="92"/>
      <c r="L1144" s="92"/>
      <c r="M1144" s="92"/>
      <c r="N1144" s="92"/>
      <c r="AG1144" s="100"/>
      <c r="AH1144" s="101"/>
      <c r="AI1144" s="101"/>
      <c r="AJ1144" s="100"/>
      <c r="AK1144" s="100"/>
      <c r="AL1144" s="100"/>
      <c r="AM1144" s="100"/>
      <c r="AN1144" s="100"/>
      <c r="AO1144" s="100"/>
      <c r="AP1144" s="100"/>
      <c r="AQ1144" s="100"/>
      <c r="AR1144" s="100"/>
      <c r="AS1144" s="100"/>
      <c r="AT1144" s="102"/>
      <c r="AX1144" s="100"/>
      <c r="AY1144" s="101"/>
      <c r="AZ1144" s="101"/>
      <c r="BA1144" s="100"/>
      <c r="BB1144" s="100"/>
      <c r="BC1144" s="100"/>
      <c r="BD1144" s="100"/>
      <c r="BE1144" s="100"/>
      <c r="BF1144" s="100"/>
      <c r="BG1144" s="100"/>
      <c r="BH1144" s="100"/>
      <c r="BI1144" s="100"/>
      <c r="BJ1144" s="100"/>
      <c r="BK1144" s="102"/>
      <c r="BN1144" s="36"/>
    </row>
    <row r="1145" spans="1:66" x14ac:dyDescent="0.25">
      <c r="A1145" s="92"/>
      <c r="B1145" s="92"/>
      <c r="C1145" s="92"/>
      <c r="D1145" s="92"/>
      <c r="E1145" s="92"/>
      <c r="F1145" s="92"/>
      <c r="G1145" s="92"/>
      <c r="H1145" s="92"/>
      <c r="I1145" s="92"/>
      <c r="J1145" s="92"/>
      <c r="K1145" s="92"/>
      <c r="L1145" s="92"/>
      <c r="M1145" s="92"/>
      <c r="N1145" s="92"/>
      <c r="AG1145" s="100"/>
      <c r="AH1145" s="101"/>
      <c r="AI1145" s="101"/>
      <c r="AJ1145" s="101"/>
      <c r="AK1145" s="100"/>
      <c r="AL1145" s="100"/>
      <c r="AM1145" s="100"/>
      <c r="AN1145" s="100"/>
      <c r="AO1145" s="100"/>
      <c r="AP1145" s="100"/>
      <c r="AQ1145" s="100"/>
      <c r="AR1145" s="100"/>
      <c r="AS1145" s="100"/>
      <c r="AT1145" s="102"/>
      <c r="AX1145" s="100"/>
      <c r="AY1145" s="101"/>
      <c r="AZ1145" s="101"/>
      <c r="BA1145" s="100"/>
      <c r="BB1145" s="100"/>
      <c r="BC1145" s="100"/>
      <c r="BD1145" s="100"/>
      <c r="BE1145" s="100"/>
      <c r="BF1145" s="100"/>
      <c r="BG1145" s="100"/>
      <c r="BH1145" s="100"/>
      <c r="BI1145" s="100"/>
      <c r="BJ1145" s="100"/>
      <c r="BK1145" s="102"/>
      <c r="BN1145" s="36"/>
    </row>
    <row r="1146" spans="1:66" x14ac:dyDescent="0.25">
      <c r="A1146" s="92"/>
      <c r="B1146" s="93"/>
      <c r="C1146" s="93"/>
      <c r="D1146" s="93"/>
      <c r="E1146" s="92"/>
      <c r="F1146" s="92"/>
      <c r="G1146" s="92"/>
      <c r="H1146" s="92"/>
      <c r="I1146" s="92"/>
      <c r="J1146" s="92"/>
      <c r="K1146" s="92"/>
      <c r="L1146" s="92"/>
      <c r="M1146" s="92"/>
      <c r="N1146" s="94"/>
      <c r="AG1146" s="100"/>
      <c r="AH1146" s="101"/>
      <c r="AI1146" s="101"/>
      <c r="AJ1146" s="100"/>
      <c r="AK1146" s="100"/>
      <c r="AL1146" s="100"/>
      <c r="AM1146" s="100"/>
      <c r="AN1146" s="100"/>
      <c r="AO1146" s="100"/>
      <c r="AP1146" s="100"/>
      <c r="AQ1146" s="100"/>
      <c r="AR1146" s="100"/>
      <c r="AS1146" s="100"/>
      <c r="AT1146" s="102"/>
      <c r="AX1146" s="100"/>
      <c r="AY1146" s="101"/>
      <c r="AZ1146" s="101"/>
      <c r="BA1146" s="100"/>
      <c r="BB1146" s="100"/>
      <c r="BC1146" s="100"/>
      <c r="BD1146" s="100"/>
      <c r="BE1146" s="100"/>
      <c r="BF1146" s="100"/>
      <c r="BG1146" s="100"/>
      <c r="BH1146" s="100"/>
      <c r="BI1146" s="100"/>
      <c r="BJ1146" s="100"/>
      <c r="BK1146" s="102"/>
      <c r="BN1146" s="36"/>
    </row>
    <row r="1147" spans="1:66" x14ac:dyDescent="0.25">
      <c r="A1147" s="92"/>
      <c r="B1147" s="93"/>
      <c r="C1147" s="93"/>
      <c r="D1147" s="92"/>
      <c r="E1147" s="92"/>
      <c r="F1147" s="92"/>
      <c r="G1147" s="92"/>
      <c r="H1147" s="92"/>
      <c r="I1147" s="92"/>
      <c r="J1147" s="92"/>
      <c r="K1147" s="92"/>
      <c r="L1147" s="92"/>
      <c r="M1147" s="92"/>
      <c r="N1147" s="94"/>
      <c r="AG1147" s="100"/>
      <c r="AH1147" s="101"/>
      <c r="AI1147" s="101"/>
      <c r="AJ1147" s="100"/>
      <c r="AK1147" s="100"/>
      <c r="AL1147" s="100"/>
      <c r="AM1147" s="100"/>
      <c r="AN1147" s="100"/>
      <c r="AO1147" s="100"/>
      <c r="AP1147" s="100"/>
      <c r="AQ1147" s="100"/>
      <c r="AR1147" s="100"/>
      <c r="AS1147" s="100"/>
      <c r="AT1147" s="102"/>
      <c r="AX1147" s="100"/>
      <c r="AY1147" s="101"/>
      <c r="AZ1147" s="101"/>
      <c r="BA1147" s="100"/>
      <c r="BB1147" s="100"/>
      <c r="BC1147" s="100"/>
      <c r="BD1147" s="100"/>
      <c r="BE1147" s="100"/>
      <c r="BF1147" s="100"/>
      <c r="BG1147" s="100"/>
      <c r="BH1147" s="100"/>
      <c r="BI1147" s="100"/>
      <c r="BJ1147" s="100"/>
      <c r="BK1147" s="102"/>
      <c r="BN1147" s="36"/>
    </row>
    <row r="1148" spans="1:66" x14ac:dyDescent="0.25">
      <c r="A1148" s="92"/>
      <c r="B1148" s="93"/>
      <c r="C1148" s="93"/>
      <c r="D1148" s="92"/>
      <c r="E1148" s="92"/>
      <c r="F1148" s="92"/>
      <c r="G1148" s="92"/>
      <c r="H1148" s="92"/>
      <c r="I1148" s="92"/>
      <c r="J1148" s="92"/>
      <c r="K1148" s="92"/>
      <c r="L1148" s="92"/>
      <c r="M1148" s="92"/>
      <c r="N1148" s="94"/>
      <c r="AG1148" s="100"/>
      <c r="AH1148" s="101"/>
      <c r="AI1148" s="101"/>
      <c r="AJ1148" s="101"/>
      <c r="AK1148" s="100"/>
      <c r="AL1148" s="100"/>
      <c r="AM1148" s="100"/>
      <c r="AN1148" s="100"/>
      <c r="AO1148" s="100"/>
      <c r="AP1148" s="100"/>
      <c r="AQ1148" s="100"/>
      <c r="AR1148" s="100"/>
      <c r="AS1148" s="100"/>
      <c r="AT1148" s="102"/>
      <c r="AX1148" s="100"/>
      <c r="AY1148" s="101"/>
      <c r="AZ1148" s="101"/>
      <c r="BA1148" s="100"/>
      <c r="BB1148" s="100"/>
      <c r="BC1148" s="100"/>
      <c r="BD1148" s="100"/>
      <c r="BE1148" s="100"/>
      <c r="BF1148" s="100"/>
      <c r="BG1148" s="100"/>
      <c r="BH1148" s="100"/>
      <c r="BI1148" s="100"/>
      <c r="BJ1148" s="100"/>
      <c r="BK1148" s="102"/>
      <c r="BN1148" s="36"/>
    </row>
    <row r="1149" spans="1:66" x14ac:dyDescent="0.25">
      <c r="A1149" s="92"/>
      <c r="B1149" s="93"/>
      <c r="C1149" s="93"/>
      <c r="D1149" s="92"/>
      <c r="E1149" s="92"/>
      <c r="F1149" s="92"/>
      <c r="G1149" s="92"/>
      <c r="H1149" s="92"/>
      <c r="I1149" s="92"/>
      <c r="J1149" s="92"/>
      <c r="K1149" s="92"/>
      <c r="L1149" s="92"/>
      <c r="M1149" s="92"/>
      <c r="N1149" s="94"/>
      <c r="AG1149" s="100"/>
      <c r="AH1149" s="101"/>
      <c r="AI1149" s="101"/>
      <c r="AJ1149" s="100"/>
      <c r="AK1149" s="100"/>
      <c r="AL1149" s="100"/>
      <c r="AM1149" s="100"/>
      <c r="AN1149" s="100"/>
      <c r="AO1149" s="100"/>
      <c r="AP1149" s="100"/>
      <c r="AQ1149" s="100"/>
      <c r="AR1149" s="100"/>
      <c r="AS1149" s="100"/>
      <c r="AT1149" s="102"/>
      <c r="AX1149" s="100"/>
      <c r="AY1149" s="101"/>
      <c r="AZ1149" s="101"/>
      <c r="BA1149" s="100"/>
      <c r="BB1149" s="100"/>
      <c r="BC1149" s="100"/>
      <c r="BD1149" s="100"/>
      <c r="BE1149" s="100"/>
      <c r="BF1149" s="100"/>
      <c r="BG1149" s="100"/>
      <c r="BH1149" s="100"/>
      <c r="BI1149" s="100"/>
      <c r="BJ1149" s="100"/>
      <c r="BK1149" s="102"/>
      <c r="BN1149" s="36"/>
    </row>
    <row r="1150" spans="1:66" x14ac:dyDescent="0.25">
      <c r="A1150" s="92"/>
      <c r="B1150" s="93"/>
      <c r="C1150" s="93"/>
      <c r="D1150" s="92"/>
      <c r="E1150" s="92"/>
      <c r="F1150" s="92"/>
      <c r="G1150" s="92"/>
      <c r="H1150" s="92"/>
      <c r="I1150" s="92"/>
      <c r="J1150" s="92"/>
      <c r="K1150" s="92"/>
      <c r="L1150" s="92"/>
      <c r="M1150" s="92"/>
      <c r="N1150" s="94"/>
      <c r="AG1150" s="100"/>
      <c r="AH1150" s="101"/>
      <c r="AI1150" s="101"/>
      <c r="AJ1150" s="100"/>
      <c r="AK1150" s="100"/>
      <c r="AL1150" s="100"/>
      <c r="AM1150" s="100"/>
      <c r="AN1150" s="100"/>
      <c r="AO1150" s="100"/>
      <c r="AP1150" s="100"/>
      <c r="AQ1150" s="100"/>
      <c r="AR1150" s="100"/>
      <c r="AS1150" s="100"/>
      <c r="AT1150" s="102"/>
      <c r="AX1150" s="100"/>
      <c r="AY1150" s="101"/>
      <c r="AZ1150" s="101"/>
      <c r="BA1150" s="100"/>
      <c r="BB1150" s="100"/>
      <c r="BC1150" s="100"/>
      <c r="BD1150" s="100"/>
      <c r="BE1150" s="100"/>
      <c r="BF1150" s="100"/>
      <c r="BG1150" s="100"/>
      <c r="BH1150" s="100"/>
      <c r="BI1150" s="100"/>
      <c r="BJ1150" s="100"/>
      <c r="BK1150" s="102"/>
      <c r="BN1150" s="36"/>
    </row>
    <row r="1151" spans="1:66" x14ac:dyDescent="0.25">
      <c r="A1151" s="92"/>
      <c r="B1151" s="93"/>
      <c r="C1151" s="93"/>
      <c r="D1151" s="92"/>
      <c r="E1151" s="92"/>
      <c r="F1151" s="92"/>
      <c r="G1151" s="92"/>
      <c r="H1151" s="92"/>
      <c r="I1151" s="92"/>
      <c r="J1151" s="92"/>
      <c r="K1151" s="92"/>
      <c r="L1151" s="92"/>
      <c r="M1151" s="92"/>
      <c r="N1151" s="94"/>
      <c r="AG1151" s="100"/>
      <c r="AH1151" s="101"/>
      <c r="AI1151" s="101"/>
      <c r="AJ1151" s="100"/>
      <c r="AK1151" s="100"/>
      <c r="AL1151" s="100"/>
      <c r="AM1151" s="100"/>
      <c r="AN1151" s="100"/>
      <c r="AO1151" s="100"/>
      <c r="AP1151" s="100"/>
      <c r="AQ1151" s="100"/>
      <c r="AR1151" s="100"/>
      <c r="AS1151" s="100"/>
      <c r="AT1151" s="102"/>
      <c r="AX1151" s="100"/>
      <c r="AY1151" s="101"/>
      <c r="AZ1151" s="101"/>
      <c r="BA1151" s="100"/>
      <c r="BB1151" s="100"/>
      <c r="BC1151" s="100"/>
      <c r="BD1151" s="100"/>
      <c r="BE1151" s="100"/>
      <c r="BF1151" s="100"/>
      <c r="BG1151" s="100"/>
      <c r="BH1151" s="100"/>
      <c r="BI1151" s="100"/>
      <c r="BJ1151" s="100"/>
      <c r="BK1151" s="102"/>
      <c r="BN1151" s="36"/>
    </row>
    <row r="1152" spans="1:66" x14ac:dyDescent="0.25">
      <c r="A1152" s="92"/>
      <c r="B1152" s="93"/>
      <c r="C1152" s="93"/>
      <c r="D1152" s="93"/>
      <c r="E1152" s="92"/>
      <c r="F1152" s="92"/>
      <c r="G1152" s="92"/>
      <c r="H1152" s="92"/>
      <c r="I1152" s="92"/>
      <c r="J1152" s="92"/>
      <c r="K1152" s="92"/>
      <c r="L1152" s="92"/>
      <c r="M1152" s="92"/>
      <c r="N1152" s="94"/>
      <c r="AG1152" s="100"/>
      <c r="AH1152" s="101"/>
      <c r="AI1152" s="101"/>
      <c r="AJ1152" s="101"/>
      <c r="AK1152" s="100"/>
      <c r="AL1152" s="100"/>
      <c r="AM1152" s="100"/>
      <c r="AN1152" s="100"/>
      <c r="AO1152" s="100"/>
      <c r="AP1152" s="100"/>
      <c r="AQ1152" s="100"/>
      <c r="AR1152" s="100"/>
      <c r="AS1152" s="100"/>
      <c r="AT1152" s="102"/>
      <c r="AX1152" s="100"/>
      <c r="AY1152" s="101"/>
      <c r="AZ1152" s="101"/>
      <c r="BA1152" s="100"/>
      <c r="BB1152" s="100"/>
      <c r="BC1152" s="100"/>
      <c r="BD1152" s="100"/>
      <c r="BE1152" s="100"/>
      <c r="BF1152" s="100"/>
      <c r="BG1152" s="100"/>
      <c r="BH1152" s="100"/>
      <c r="BI1152" s="100"/>
      <c r="BJ1152" s="100"/>
      <c r="BK1152" s="102"/>
      <c r="BN1152" s="36"/>
    </row>
    <row r="1153" spans="1:66" x14ac:dyDescent="0.25">
      <c r="A1153" s="92"/>
      <c r="B1153" s="93"/>
      <c r="C1153" s="93"/>
      <c r="D1153" s="92"/>
      <c r="E1153" s="92"/>
      <c r="F1153" s="92"/>
      <c r="G1153" s="92"/>
      <c r="H1153" s="92"/>
      <c r="I1153" s="92"/>
      <c r="J1153" s="92"/>
      <c r="K1153" s="92"/>
      <c r="L1153" s="92"/>
      <c r="M1153" s="92"/>
      <c r="N1153" s="94"/>
      <c r="AG1153" s="100"/>
      <c r="AH1153" s="101"/>
      <c r="AI1153" s="101"/>
      <c r="AJ1153" s="101"/>
      <c r="AK1153" s="100"/>
      <c r="AL1153" s="100"/>
      <c r="AM1153" s="100"/>
      <c r="AN1153" s="100"/>
      <c r="AO1153" s="100"/>
      <c r="AP1153" s="100"/>
      <c r="AQ1153" s="100"/>
      <c r="AR1153" s="100"/>
      <c r="AS1153" s="100"/>
      <c r="AT1153" s="102"/>
      <c r="AX1153" s="100"/>
      <c r="AY1153" s="101"/>
      <c r="AZ1153" s="101"/>
      <c r="BA1153" s="100"/>
      <c r="BB1153" s="100"/>
      <c r="BC1153" s="100"/>
      <c r="BD1153" s="100"/>
      <c r="BE1153" s="100"/>
      <c r="BF1153" s="100"/>
      <c r="BG1153" s="100"/>
      <c r="BH1153" s="100"/>
      <c r="BI1153" s="100"/>
      <c r="BJ1153" s="100"/>
      <c r="BK1153" s="102"/>
      <c r="BN1153" s="36"/>
    </row>
    <row r="1154" spans="1:66" x14ac:dyDescent="0.25">
      <c r="A1154" s="92"/>
      <c r="B1154" s="92"/>
      <c r="C1154" s="92"/>
      <c r="D1154" s="92"/>
      <c r="E1154" s="92"/>
      <c r="F1154" s="92"/>
      <c r="G1154" s="92"/>
      <c r="H1154" s="92"/>
      <c r="I1154" s="92"/>
      <c r="J1154" s="92"/>
      <c r="K1154" s="92"/>
      <c r="L1154" s="92"/>
      <c r="M1154" s="92"/>
      <c r="N1154" s="92"/>
      <c r="AG1154" s="100"/>
      <c r="AH1154" s="101"/>
      <c r="AI1154" s="101"/>
      <c r="AJ1154" s="101"/>
      <c r="AK1154" s="100"/>
      <c r="AL1154" s="100"/>
      <c r="AM1154" s="100"/>
      <c r="AN1154" s="100"/>
      <c r="AO1154" s="100"/>
      <c r="AP1154" s="100"/>
      <c r="AQ1154" s="100"/>
      <c r="AR1154" s="100"/>
      <c r="AS1154" s="100"/>
      <c r="AT1154" s="102"/>
      <c r="AX1154" s="100"/>
      <c r="AY1154" s="101"/>
      <c r="AZ1154" s="101"/>
      <c r="BA1154" s="100"/>
      <c r="BB1154" s="100"/>
      <c r="BC1154" s="100"/>
      <c r="BD1154" s="100"/>
      <c r="BE1154" s="100"/>
      <c r="BF1154" s="100"/>
      <c r="BG1154" s="100"/>
      <c r="BH1154" s="100"/>
      <c r="BI1154" s="100"/>
      <c r="BJ1154" s="100"/>
      <c r="BK1154" s="102"/>
      <c r="BN1154" s="36"/>
    </row>
    <row r="1155" spans="1:66" x14ac:dyDescent="0.25">
      <c r="A1155" s="92"/>
      <c r="B1155" s="92"/>
      <c r="C1155" s="92"/>
      <c r="D1155" s="92"/>
      <c r="E1155" s="92"/>
      <c r="F1155" s="92"/>
      <c r="G1155" s="92"/>
      <c r="H1155" s="92"/>
      <c r="I1155" s="92"/>
      <c r="J1155" s="92"/>
      <c r="K1155" s="92"/>
      <c r="L1155" s="92"/>
      <c r="M1155" s="92"/>
      <c r="N1155" s="92"/>
      <c r="AG1155" s="100"/>
      <c r="AH1155" s="101"/>
      <c r="AI1155" s="101"/>
      <c r="AJ1155" s="100"/>
      <c r="AK1155" s="100"/>
      <c r="AL1155" s="100"/>
      <c r="AM1155" s="100"/>
      <c r="AN1155" s="100"/>
      <c r="AO1155" s="100"/>
      <c r="AP1155" s="100"/>
      <c r="AQ1155" s="100"/>
      <c r="AR1155" s="100"/>
      <c r="AS1155" s="100"/>
      <c r="AT1155" s="102"/>
      <c r="AX1155" s="100"/>
      <c r="AY1155" s="101"/>
      <c r="AZ1155" s="101"/>
      <c r="BA1155" s="100"/>
      <c r="BB1155" s="100"/>
      <c r="BC1155" s="100"/>
      <c r="BD1155" s="100"/>
      <c r="BE1155" s="100"/>
      <c r="BF1155" s="100"/>
      <c r="BG1155" s="100"/>
      <c r="BH1155" s="100"/>
      <c r="BI1155" s="100"/>
      <c r="BJ1155" s="100"/>
      <c r="BK1155" s="102"/>
      <c r="BN1155" s="36"/>
    </row>
    <row r="1156" spans="1:66" x14ac:dyDescent="0.25">
      <c r="A1156" s="92"/>
      <c r="B1156" s="92"/>
      <c r="C1156" s="92"/>
      <c r="D1156" s="92"/>
      <c r="E1156" s="92"/>
      <c r="F1156" s="92"/>
      <c r="G1156" s="92"/>
      <c r="H1156" s="92"/>
      <c r="I1156" s="92"/>
      <c r="J1156" s="92"/>
      <c r="K1156" s="92"/>
      <c r="L1156" s="92"/>
      <c r="M1156" s="92"/>
      <c r="N1156" s="92"/>
      <c r="AG1156" s="100"/>
      <c r="AH1156" s="101"/>
      <c r="AI1156" s="101"/>
      <c r="AJ1156" s="101"/>
      <c r="AK1156" s="100"/>
      <c r="AL1156" s="100"/>
      <c r="AM1156" s="100"/>
      <c r="AN1156" s="100"/>
      <c r="AO1156" s="100"/>
      <c r="AP1156" s="100"/>
      <c r="AQ1156" s="100"/>
      <c r="AR1156" s="100"/>
      <c r="AS1156" s="100"/>
      <c r="AT1156" s="102"/>
      <c r="AX1156" s="100"/>
      <c r="AY1156" s="101"/>
      <c r="AZ1156" s="101"/>
      <c r="BA1156" s="100"/>
      <c r="BB1156" s="100"/>
      <c r="BC1156" s="100"/>
      <c r="BD1156" s="100"/>
      <c r="BE1156" s="100"/>
      <c r="BF1156" s="100"/>
      <c r="BG1156" s="100"/>
      <c r="BH1156" s="100"/>
      <c r="BI1156" s="100"/>
      <c r="BJ1156" s="100"/>
      <c r="BK1156" s="102"/>
      <c r="BN1156" s="36"/>
    </row>
    <row r="1157" spans="1:66" x14ac:dyDescent="0.25">
      <c r="A1157" s="92"/>
      <c r="B1157" s="92"/>
      <c r="C1157" s="92"/>
      <c r="D1157" s="92"/>
      <c r="E1157" s="92"/>
      <c r="F1157" s="92"/>
      <c r="G1157" s="92"/>
      <c r="H1157" s="92"/>
      <c r="I1157" s="92"/>
      <c r="J1157" s="92"/>
      <c r="K1157" s="92"/>
      <c r="L1157" s="92"/>
      <c r="M1157" s="92"/>
      <c r="N1157" s="92"/>
      <c r="AG1157" s="100"/>
      <c r="AH1157" s="101"/>
      <c r="AI1157" s="101"/>
      <c r="AJ1157" s="101"/>
      <c r="AK1157" s="100"/>
      <c r="AL1157" s="100"/>
      <c r="AM1157" s="100"/>
      <c r="AN1157" s="100"/>
      <c r="AO1157" s="100"/>
      <c r="AP1157" s="100"/>
      <c r="AQ1157" s="100"/>
      <c r="AR1157" s="100"/>
      <c r="AS1157" s="100"/>
      <c r="AT1157" s="102"/>
      <c r="AX1157" s="100"/>
      <c r="AY1157" s="101"/>
      <c r="AZ1157" s="101"/>
      <c r="BA1157" s="100"/>
      <c r="BB1157" s="100"/>
      <c r="BC1157" s="100"/>
      <c r="BD1157" s="100"/>
      <c r="BE1157" s="100"/>
      <c r="BF1157" s="100"/>
      <c r="BG1157" s="100"/>
      <c r="BH1157" s="100"/>
      <c r="BI1157" s="100"/>
      <c r="BJ1157" s="100"/>
      <c r="BK1157" s="102"/>
      <c r="BN1157" s="36"/>
    </row>
    <row r="1158" spans="1:66" x14ac:dyDescent="0.25">
      <c r="A1158" s="92"/>
      <c r="B1158" s="93"/>
      <c r="C1158" s="93"/>
      <c r="D1158" s="92"/>
      <c r="E1158" s="92"/>
      <c r="F1158" s="92"/>
      <c r="G1158" s="92"/>
      <c r="H1158" s="92"/>
      <c r="I1158" s="92"/>
      <c r="J1158" s="92"/>
      <c r="K1158" s="92"/>
      <c r="L1158" s="92"/>
      <c r="M1158" s="92"/>
      <c r="N1158" s="94"/>
      <c r="AG1158" s="100"/>
      <c r="AH1158" s="101"/>
      <c r="AI1158" s="101"/>
      <c r="AJ1158" s="100"/>
      <c r="AK1158" s="100"/>
      <c r="AL1158" s="100"/>
      <c r="AM1158" s="100"/>
      <c r="AN1158" s="100"/>
      <c r="AO1158" s="100"/>
      <c r="AP1158" s="100"/>
      <c r="AQ1158" s="100"/>
      <c r="AR1158" s="100"/>
      <c r="AS1158" s="100"/>
      <c r="AT1158" s="102"/>
      <c r="AX1158" s="100"/>
      <c r="AY1158" s="101"/>
      <c r="AZ1158" s="101"/>
      <c r="BA1158" s="100"/>
      <c r="BB1158" s="100"/>
      <c r="BC1158" s="100"/>
      <c r="BD1158" s="100"/>
      <c r="BE1158" s="100"/>
      <c r="BF1158" s="100"/>
      <c r="BG1158" s="100"/>
      <c r="BH1158" s="100"/>
      <c r="BI1158" s="100"/>
      <c r="BJ1158" s="100"/>
      <c r="BK1158" s="102"/>
      <c r="BN1158" s="36"/>
    </row>
    <row r="1159" spans="1:66" x14ac:dyDescent="0.25">
      <c r="A1159" s="92"/>
      <c r="B1159" s="93"/>
      <c r="C1159" s="93"/>
      <c r="D1159" s="93"/>
      <c r="E1159" s="92"/>
      <c r="F1159" s="92"/>
      <c r="G1159" s="92"/>
      <c r="H1159" s="92"/>
      <c r="I1159" s="92"/>
      <c r="J1159" s="92"/>
      <c r="K1159" s="92"/>
      <c r="L1159" s="92"/>
      <c r="M1159" s="92"/>
      <c r="N1159" s="94"/>
      <c r="AG1159" s="100"/>
      <c r="AH1159" s="101"/>
      <c r="AI1159" s="101"/>
      <c r="AJ1159" s="100"/>
      <c r="AK1159" s="100"/>
      <c r="AL1159" s="100"/>
      <c r="AM1159" s="100"/>
      <c r="AN1159" s="100"/>
      <c r="AO1159" s="100"/>
      <c r="AP1159" s="100"/>
      <c r="AQ1159" s="100"/>
      <c r="AR1159" s="100"/>
      <c r="AS1159" s="100"/>
      <c r="AT1159" s="102"/>
      <c r="AX1159" s="100"/>
      <c r="AY1159" s="101"/>
      <c r="AZ1159" s="101"/>
      <c r="BA1159" s="100"/>
      <c r="BB1159" s="100"/>
      <c r="BC1159" s="100"/>
      <c r="BD1159" s="100"/>
      <c r="BE1159" s="100"/>
      <c r="BF1159" s="100"/>
      <c r="BG1159" s="100"/>
      <c r="BH1159" s="100"/>
      <c r="BI1159" s="100"/>
      <c r="BJ1159" s="100"/>
      <c r="BK1159" s="102"/>
      <c r="BN1159" s="36"/>
    </row>
    <row r="1160" spans="1:66" x14ac:dyDescent="0.25">
      <c r="A1160" s="92"/>
      <c r="B1160" s="93"/>
      <c r="C1160" s="93"/>
      <c r="D1160" s="92"/>
      <c r="E1160" s="92"/>
      <c r="F1160" s="92"/>
      <c r="G1160" s="92"/>
      <c r="H1160" s="92"/>
      <c r="I1160" s="92"/>
      <c r="J1160" s="92"/>
      <c r="K1160" s="92"/>
      <c r="L1160" s="92"/>
      <c r="M1160" s="92"/>
      <c r="N1160" s="94"/>
      <c r="AG1160" s="100"/>
      <c r="AH1160" s="101"/>
      <c r="AI1160" s="101"/>
      <c r="AJ1160" s="100"/>
      <c r="AK1160" s="100"/>
      <c r="AL1160" s="100"/>
      <c r="AM1160" s="100"/>
      <c r="AN1160" s="100"/>
      <c r="AO1160" s="100"/>
      <c r="AP1160" s="100"/>
      <c r="AQ1160" s="100"/>
      <c r="AR1160" s="100"/>
      <c r="AS1160" s="100"/>
      <c r="AT1160" s="102"/>
      <c r="AX1160" s="100"/>
      <c r="AY1160" s="101"/>
      <c r="AZ1160" s="101"/>
      <c r="BA1160" s="100"/>
      <c r="BB1160" s="100"/>
      <c r="BC1160" s="100"/>
      <c r="BD1160" s="100"/>
      <c r="BE1160" s="100"/>
      <c r="BF1160" s="100"/>
      <c r="BG1160" s="100"/>
      <c r="BH1160" s="100"/>
      <c r="BI1160" s="100"/>
      <c r="BJ1160" s="100"/>
      <c r="BK1160" s="102"/>
      <c r="BN1160" s="36"/>
    </row>
    <row r="1161" spans="1:66" x14ac:dyDescent="0.25">
      <c r="A1161" s="92"/>
      <c r="B1161" s="93"/>
      <c r="C1161" s="93"/>
      <c r="D1161" s="92"/>
      <c r="E1161" s="92"/>
      <c r="F1161" s="92"/>
      <c r="G1161" s="92"/>
      <c r="H1161" s="92"/>
      <c r="I1161" s="92"/>
      <c r="J1161" s="92"/>
      <c r="K1161" s="92"/>
      <c r="L1161" s="92"/>
      <c r="M1161" s="92"/>
      <c r="N1161" s="94"/>
      <c r="AG1161" s="100"/>
      <c r="AH1161" s="101"/>
      <c r="AI1161" s="101"/>
      <c r="AJ1161" s="100"/>
      <c r="AK1161" s="100"/>
      <c r="AL1161" s="100"/>
      <c r="AM1161" s="100"/>
      <c r="AN1161" s="100"/>
      <c r="AO1161" s="100"/>
      <c r="AP1161" s="100"/>
      <c r="AQ1161" s="100"/>
      <c r="AR1161" s="100"/>
      <c r="AS1161" s="100"/>
      <c r="AT1161" s="102"/>
      <c r="AX1161" s="100"/>
      <c r="AY1161" s="101"/>
      <c r="AZ1161" s="101"/>
      <c r="BA1161" s="100"/>
      <c r="BB1161" s="100"/>
      <c r="BC1161" s="100"/>
      <c r="BD1161" s="100"/>
      <c r="BE1161" s="100"/>
      <c r="BF1161" s="100"/>
      <c r="BG1161" s="100"/>
      <c r="BH1161" s="100"/>
      <c r="BI1161" s="100"/>
      <c r="BJ1161" s="100"/>
      <c r="BK1161" s="102"/>
      <c r="BN1161" s="36"/>
    </row>
    <row r="1162" spans="1:66" x14ac:dyDescent="0.25">
      <c r="A1162" s="92"/>
      <c r="B1162" s="92"/>
      <c r="C1162" s="92"/>
      <c r="D1162" s="92"/>
      <c r="E1162" s="92"/>
      <c r="F1162" s="92"/>
      <c r="G1162" s="92"/>
      <c r="H1162" s="92"/>
      <c r="I1162" s="92"/>
      <c r="J1162" s="92"/>
      <c r="K1162" s="92"/>
      <c r="L1162" s="92"/>
      <c r="M1162" s="92"/>
      <c r="N1162" s="92"/>
      <c r="AG1162" s="100"/>
      <c r="AH1162" s="101"/>
      <c r="AI1162" s="101"/>
      <c r="AJ1162" s="100"/>
      <c r="AK1162" s="100"/>
      <c r="AL1162" s="100"/>
      <c r="AM1162" s="100"/>
      <c r="AN1162" s="100"/>
      <c r="AO1162" s="100"/>
      <c r="AP1162" s="100"/>
      <c r="AQ1162" s="100"/>
      <c r="AR1162" s="100"/>
      <c r="AS1162" s="100"/>
      <c r="AT1162" s="102"/>
      <c r="AX1162" s="100"/>
      <c r="AY1162" s="101"/>
      <c r="AZ1162" s="100"/>
      <c r="BA1162" s="101"/>
      <c r="BB1162" s="100"/>
      <c r="BC1162" s="100"/>
      <c r="BD1162" s="100"/>
      <c r="BE1162" s="100"/>
      <c r="BF1162" s="100"/>
      <c r="BG1162" s="100"/>
      <c r="BH1162" s="100"/>
      <c r="BI1162" s="100"/>
      <c r="BJ1162" s="100"/>
      <c r="BK1162" s="102"/>
      <c r="BN1162" s="36"/>
    </row>
    <row r="1163" spans="1:66" x14ac:dyDescent="0.25">
      <c r="A1163" s="92"/>
      <c r="B1163" s="93"/>
      <c r="C1163" s="93"/>
      <c r="D1163" s="92"/>
      <c r="E1163" s="92"/>
      <c r="F1163" s="92"/>
      <c r="G1163" s="92"/>
      <c r="H1163" s="92"/>
      <c r="I1163" s="92"/>
      <c r="J1163" s="92"/>
      <c r="K1163" s="92"/>
      <c r="L1163" s="92"/>
      <c r="M1163" s="92"/>
      <c r="N1163" s="94"/>
      <c r="AG1163" s="100"/>
      <c r="AH1163" s="101"/>
      <c r="AI1163" s="101"/>
      <c r="AJ1163" s="101"/>
      <c r="AK1163" s="100"/>
      <c r="AL1163" s="100"/>
      <c r="AM1163" s="100"/>
      <c r="AN1163" s="100"/>
      <c r="AO1163" s="100"/>
      <c r="AP1163" s="100"/>
      <c r="AQ1163" s="100"/>
      <c r="AR1163" s="100"/>
      <c r="AS1163" s="100"/>
      <c r="AT1163" s="102"/>
      <c r="AX1163" s="100"/>
      <c r="AY1163" s="101"/>
      <c r="AZ1163" s="100"/>
      <c r="BA1163" s="101"/>
      <c r="BB1163" s="100"/>
      <c r="BC1163" s="100"/>
      <c r="BD1163" s="100"/>
      <c r="BE1163" s="100"/>
      <c r="BF1163" s="100"/>
      <c r="BG1163" s="100"/>
      <c r="BH1163" s="100"/>
      <c r="BI1163" s="100"/>
      <c r="BJ1163" s="100"/>
      <c r="BK1163" s="102"/>
      <c r="BN1163" s="36"/>
    </row>
    <row r="1164" spans="1:66" x14ac:dyDescent="0.25">
      <c r="A1164" s="92"/>
      <c r="B1164" s="93"/>
      <c r="C1164" s="93"/>
      <c r="D1164" s="92"/>
      <c r="E1164" s="92"/>
      <c r="F1164" s="92"/>
      <c r="G1164" s="92"/>
      <c r="H1164" s="92"/>
      <c r="I1164" s="92"/>
      <c r="J1164" s="92"/>
      <c r="K1164" s="92"/>
      <c r="L1164" s="92"/>
      <c r="M1164" s="92"/>
      <c r="N1164" s="94"/>
      <c r="AG1164" s="100"/>
      <c r="AH1164" s="101"/>
      <c r="AI1164" s="101"/>
      <c r="AJ1164" s="100"/>
      <c r="AK1164" s="100"/>
      <c r="AL1164" s="100"/>
      <c r="AM1164" s="100"/>
      <c r="AN1164" s="100"/>
      <c r="AO1164" s="100"/>
      <c r="AP1164" s="100"/>
      <c r="AQ1164" s="100"/>
      <c r="AR1164" s="100"/>
      <c r="AS1164" s="100"/>
      <c r="AT1164" s="102"/>
      <c r="AX1164" s="100"/>
      <c r="AY1164" s="101"/>
      <c r="AZ1164" s="101"/>
      <c r="BA1164" s="100"/>
      <c r="BB1164" s="100"/>
      <c r="BC1164" s="100"/>
      <c r="BD1164" s="100"/>
      <c r="BE1164" s="100"/>
      <c r="BF1164" s="100"/>
      <c r="BG1164" s="100"/>
      <c r="BH1164" s="100"/>
      <c r="BI1164" s="100"/>
      <c r="BJ1164" s="100"/>
      <c r="BK1164" s="102"/>
      <c r="BN1164" s="36"/>
    </row>
    <row r="1165" spans="1:66" x14ac:dyDescent="0.25">
      <c r="A1165" s="92"/>
      <c r="B1165" s="92"/>
      <c r="C1165" s="92"/>
      <c r="D1165" s="92"/>
      <c r="E1165" s="92"/>
      <c r="F1165" s="92"/>
      <c r="G1165" s="92"/>
      <c r="H1165" s="92"/>
      <c r="I1165" s="92"/>
      <c r="J1165" s="92"/>
      <c r="K1165" s="92"/>
      <c r="L1165" s="92"/>
      <c r="M1165" s="92"/>
      <c r="N1165" s="92"/>
      <c r="AG1165" s="100"/>
      <c r="AH1165" s="101"/>
      <c r="AI1165" s="101"/>
      <c r="AJ1165" s="100"/>
      <c r="AK1165" s="100"/>
      <c r="AL1165" s="100"/>
      <c r="AM1165" s="100"/>
      <c r="AN1165" s="100"/>
      <c r="AO1165" s="100"/>
      <c r="AP1165" s="100"/>
      <c r="AQ1165" s="100"/>
      <c r="AR1165" s="100"/>
      <c r="AS1165" s="100"/>
      <c r="AT1165" s="102"/>
      <c r="AX1165" s="100"/>
      <c r="AY1165" s="101"/>
      <c r="AZ1165" s="101"/>
      <c r="BA1165" s="101"/>
      <c r="BB1165" s="100"/>
      <c r="BC1165" s="100"/>
      <c r="BD1165" s="100"/>
      <c r="BE1165" s="100"/>
      <c r="BF1165" s="100"/>
      <c r="BG1165" s="100"/>
      <c r="BH1165" s="100"/>
      <c r="BI1165" s="100"/>
      <c r="BJ1165" s="100"/>
      <c r="BK1165" s="102"/>
      <c r="BN1165" s="36"/>
    </row>
    <row r="1166" spans="1:66" x14ac:dyDescent="0.25">
      <c r="A1166" s="92"/>
      <c r="B1166" s="92"/>
      <c r="C1166" s="92"/>
      <c r="D1166" s="92"/>
      <c r="E1166" s="92"/>
      <c r="F1166" s="92"/>
      <c r="G1166" s="92"/>
      <c r="H1166" s="92"/>
      <c r="I1166" s="92"/>
      <c r="J1166" s="92"/>
      <c r="K1166" s="92"/>
      <c r="L1166" s="92"/>
      <c r="M1166" s="92"/>
      <c r="N1166" s="92"/>
      <c r="AG1166" s="100"/>
      <c r="AH1166" s="101"/>
      <c r="AI1166" s="101"/>
      <c r="AJ1166" s="100"/>
      <c r="AK1166" s="100"/>
      <c r="AL1166" s="100"/>
      <c r="AM1166" s="100"/>
      <c r="AN1166" s="100"/>
      <c r="AO1166" s="100"/>
      <c r="AP1166" s="100"/>
      <c r="AQ1166" s="100"/>
      <c r="AR1166" s="100"/>
      <c r="AS1166" s="100"/>
      <c r="AT1166" s="102"/>
      <c r="AX1166" s="100"/>
      <c r="AY1166" s="101"/>
      <c r="AZ1166" s="101"/>
      <c r="BA1166" s="100"/>
      <c r="BB1166" s="100"/>
      <c r="BC1166" s="100"/>
      <c r="BD1166" s="100"/>
      <c r="BE1166" s="100"/>
      <c r="BF1166" s="100"/>
      <c r="BG1166" s="100"/>
      <c r="BH1166" s="100"/>
      <c r="BI1166" s="100"/>
      <c r="BJ1166" s="100"/>
      <c r="BK1166" s="102"/>
      <c r="BN1166" s="36"/>
    </row>
    <row r="1167" spans="1:66" x14ac:dyDescent="0.25">
      <c r="A1167" s="92"/>
      <c r="B1167" s="92"/>
      <c r="C1167" s="92"/>
      <c r="D1167" s="92"/>
      <c r="E1167" s="92"/>
      <c r="F1167" s="92"/>
      <c r="G1167" s="92"/>
      <c r="H1167" s="92"/>
      <c r="I1167" s="92"/>
      <c r="J1167" s="92"/>
      <c r="K1167" s="92"/>
      <c r="L1167" s="92"/>
      <c r="M1167" s="92"/>
      <c r="N1167" s="92"/>
      <c r="AG1167" s="100"/>
      <c r="AH1167" s="101"/>
      <c r="AI1167" s="101"/>
      <c r="AJ1167" s="100"/>
      <c r="AK1167" s="100"/>
      <c r="AL1167" s="100"/>
      <c r="AM1167" s="100"/>
      <c r="AN1167" s="100"/>
      <c r="AO1167" s="100"/>
      <c r="AP1167" s="100"/>
      <c r="AQ1167" s="100"/>
      <c r="AR1167" s="100"/>
      <c r="AS1167" s="100"/>
      <c r="AT1167" s="102"/>
      <c r="AX1167" s="100"/>
      <c r="AY1167" s="101"/>
      <c r="AZ1167" s="101"/>
      <c r="BA1167" s="100"/>
      <c r="BB1167" s="100"/>
      <c r="BC1167" s="100"/>
      <c r="BD1167" s="100"/>
      <c r="BE1167" s="100"/>
      <c r="BF1167" s="100"/>
      <c r="BG1167" s="100"/>
      <c r="BH1167" s="100"/>
      <c r="BI1167" s="100"/>
      <c r="BJ1167" s="100"/>
      <c r="BK1167" s="102"/>
      <c r="BN1167" s="36"/>
    </row>
    <row r="1168" spans="1:66" x14ac:dyDescent="0.25">
      <c r="A1168" s="92"/>
      <c r="B1168" s="92"/>
      <c r="C1168" s="92"/>
      <c r="D1168" s="92"/>
      <c r="E1168" s="92"/>
      <c r="F1168" s="92"/>
      <c r="G1168" s="92"/>
      <c r="H1168" s="92"/>
      <c r="I1168" s="92"/>
      <c r="J1168" s="92"/>
      <c r="K1168" s="92"/>
      <c r="L1168" s="92"/>
      <c r="M1168" s="92"/>
      <c r="N1168" s="92"/>
      <c r="AG1168" s="100"/>
      <c r="AH1168" s="101"/>
      <c r="AI1168" s="101"/>
      <c r="AJ1168" s="100"/>
      <c r="AK1168" s="100"/>
      <c r="AL1168" s="100"/>
      <c r="AM1168" s="100"/>
      <c r="AN1168" s="100"/>
      <c r="AO1168" s="100"/>
      <c r="AP1168" s="100"/>
      <c r="AQ1168" s="100"/>
      <c r="AR1168" s="100"/>
      <c r="AS1168" s="100"/>
      <c r="AT1168" s="102"/>
      <c r="AX1168" s="100"/>
      <c r="AY1168" s="101"/>
      <c r="AZ1168" s="101"/>
      <c r="BA1168" s="101"/>
      <c r="BB1168" s="100"/>
      <c r="BC1168" s="100"/>
      <c r="BD1168" s="100"/>
      <c r="BE1168" s="100"/>
      <c r="BF1168" s="100"/>
      <c r="BG1168" s="100"/>
      <c r="BH1168" s="100"/>
      <c r="BI1168" s="100"/>
      <c r="BJ1168" s="100"/>
      <c r="BK1168" s="102"/>
      <c r="BN1168" s="36"/>
    </row>
    <row r="1169" spans="1:66" x14ac:dyDescent="0.25">
      <c r="A1169" s="92"/>
      <c r="B1169" s="92"/>
      <c r="C1169" s="92"/>
      <c r="D1169" s="92"/>
      <c r="E1169" s="92"/>
      <c r="F1169" s="92"/>
      <c r="G1169" s="92"/>
      <c r="H1169" s="92"/>
      <c r="I1169" s="92"/>
      <c r="J1169" s="92"/>
      <c r="K1169" s="92"/>
      <c r="L1169" s="92"/>
      <c r="M1169" s="92"/>
      <c r="N1169" s="92"/>
      <c r="AG1169" s="100"/>
      <c r="AH1169" s="101"/>
      <c r="AI1169" s="101"/>
      <c r="AJ1169" s="100"/>
      <c r="AK1169" s="100"/>
      <c r="AL1169" s="100"/>
      <c r="AM1169" s="100"/>
      <c r="AN1169" s="100"/>
      <c r="AO1169" s="100"/>
      <c r="AP1169" s="100"/>
      <c r="AQ1169" s="100"/>
      <c r="AR1169" s="100"/>
      <c r="AS1169" s="100"/>
      <c r="AT1169" s="102"/>
      <c r="AX1169" s="100"/>
      <c r="AY1169" s="101"/>
      <c r="AZ1169" s="101"/>
      <c r="BA1169" s="100"/>
      <c r="BB1169" s="100"/>
      <c r="BC1169" s="100"/>
      <c r="BD1169" s="100"/>
      <c r="BE1169" s="100"/>
      <c r="BF1169" s="100"/>
      <c r="BG1169" s="100"/>
      <c r="BH1169" s="100"/>
      <c r="BI1169" s="100"/>
      <c r="BJ1169" s="100"/>
      <c r="BK1169" s="102"/>
      <c r="BN1169" s="36"/>
    </row>
    <row r="1170" spans="1:66" x14ac:dyDescent="0.25">
      <c r="A1170" s="92"/>
      <c r="B1170" s="93"/>
      <c r="C1170" s="93"/>
      <c r="D1170" s="92"/>
      <c r="E1170" s="92"/>
      <c r="F1170" s="92"/>
      <c r="G1170" s="92"/>
      <c r="H1170" s="92"/>
      <c r="I1170" s="92"/>
      <c r="J1170" s="92"/>
      <c r="K1170" s="92"/>
      <c r="L1170" s="92"/>
      <c r="M1170" s="92"/>
      <c r="N1170" s="94"/>
      <c r="AG1170" s="100"/>
      <c r="AH1170" s="101"/>
      <c r="AI1170" s="101"/>
      <c r="AJ1170" s="101"/>
      <c r="AK1170" s="100"/>
      <c r="AL1170" s="100"/>
      <c r="AM1170" s="100"/>
      <c r="AN1170" s="100"/>
      <c r="AO1170" s="100"/>
      <c r="AP1170" s="100"/>
      <c r="AQ1170" s="100"/>
      <c r="AR1170" s="100"/>
      <c r="AS1170" s="100"/>
      <c r="AT1170" s="102"/>
      <c r="AX1170" s="100"/>
      <c r="AY1170" s="101"/>
      <c r="AZ1170" s="101"/>
      <c r="BA1170" s="100"/>
      <c r="BB1170" s="100"/>
      <c r="BC1170" s="100"/>
      <c r="BD1170" s="100"/>
      <c r="BE1170" s="100"/>
      <c r="BF1170" s="100"/>
      <c r="BG1170" s="100"/>
      <c r="BH1170" s="100"/>
      <c r="BI1170" s="100"/>
      <c r="BJ1170" s="100"/>
      <c r="BK1170" s="102"/>
      <c r="BN1170" s="36"/>
    </row>
    <row r="1171" spans="1:66" x14ac:dyDescent="0.25">
      <c r="A1171" s="92"/>
      <c r="B1171" s="93"/>
      <c r="C1171" s="93"/>
      <c r="D1171" s="92"/>
      <c r="E1171" s="92"/>
      <c r="F1171" s="92"/>
      <c r="G1171" s="92"/>
      <c r="H1171" s="92"/>
      <c r="I1171" s="92"/>
      <c r="J1171" s="92"/>
      <c r="K1171" s="92"/>
      <c r="L1171" s="92"/>
      <c r="M1171" s="92"/>
      <c r="N1171" s="94"/>
      <c r="AG1171" s="100"/>
      <c r="AH1171" s="101"/>
      <c r="AI1171" s="101"/>
      <c r="AJ1171" s="101"/>
      <c r="AK1171" s="100"/>
      <c r="AL1171" s="100"/>
      <c r="AM1171" s="100"/>
      <c r="AN1171" s="100"/>
      <c r="AO1171" s="100"/>
      <c r="AP1171" s="100"/>
      <c r="AQ1171" s="100"/>
      <c r="AR1171" s="100"/>
      <c r="AS1171" s="100"/>
      <c r="AT1171" s="102"/>
      <c r="AX1171" s="100"/>
      <c r="AY1171" s="101"/>
      <c r="AZ1171" s="101"/>
      <c r="BA1171" s="100"/>
      <c r="BB1171" s="100"/>
      <c r="BC1171" s="100"/>
      <c r="BD1171" s="100"/>
      <c r="BE1171" s="100"/>
      <c r="BF1171" s="100"/>
      <c r="BG1171" s="100"/>
      <c r="BH1171" s="100"/>
      <c r="BI1171" s="100"/>
      <c r="BJ1171" s="100"/>
      <c r="BK1171" s="102"/>
      <c r="BN1171" s="36"/>
    </row>
    <row r="1172" spans="1:66" x14ac:dyDescent="0.25">
      <c r="A1172" s="92"/>
      <c r="B1172" s="92"/>
      <c r="C1172" s="92"/>
      <c r="D1172" s="92"/>
      <c r="E1172" s="92"/>
      <c r="F1172" s="92"/>
      <c r="G1172" s="92"/>
      <c r="H1172" s="92"/>
      <c r="I1172" s="92"/>
      <c r="J1172" s="92"/>
      <c r="K1172" s="92"/>
      <c r="L1172" s="92"/>
      <c r="M1172" s="92"/>
      <c r="N1172" s="92"/>
      <c r="AG1172" s="100"/>
      <c r="AH1172" s="101"/>
      <c r="AI1172" s="101"/>
      <c r="AJ1172" s="100"/>
      <c r="AK1172" s="100"/>
      <c r="AL1172" s="100"/>
      <c r="AM1172" s="100"/>
      <c r="AN1172" s="100"/>
      <c r="AO1172" s="100"/>
      <c r="AP1172" s="100"/>
      <c r="AQ1172" s="100"/>
      <c r="AR1172" s="100"/>
      <c r="AS1172" s="100"/>
      <c r="AT1172" s="102"/>
      <c r="AX1172" s="100"/>
      <c r="AY1172" s="101"/>
      <c r="AZ1172" s="101"/>
      <c r="BA1172" s="101"/>
      <c r="BB1172" s="100"/>
      <c r="BC1172" s="100"/>
      <c r="BD1172" s="100"/>
      <c r="BE1172" s="100"/>
      <c r="BF1172" s="100"/>
      <c r="BG1172" s="100"/>
      <c r="BH1172" s="100"/>
      <c r="BI1172" s="100"/>
      <c r="BJ1172" s="100"/>
      <c r="BK1172" s="102"/>
      <c r="BN1172" s="36"/>
    </row>
    <row r="1173" spans="1:66" x14ac:dyDescent="0.25">
      <c r="A1173" s="92"/>
      <c r="B1173" s="92"/>
      <c r="C1173" s="92"/>
      <c r="D1173" s="92"/>
      <c r="E1173" s="92"/>
      <c r="F1173" s="92"/>
      <c r="G1173" s="92"/>
      <c r="H1173" s="92"/>
      <c r="I1173" s="92"/>
      <c r="J1173" s="92"/>
      <c r="K1173" s="92"/>
      <c r="L1173" s="92"/>
      <c r="M1173" s="92"/>
      <c r="N1173" s="92"/>
      <c r="AG1173" s="100"/>
      <c r="AH1173" s="101"/>
      <c r="AI1173" s="101"/>
      <c r="AJ1173" s="100"/>
      <c r="AK1173" s="100"/>
      <c r="AL1173" s="100"/>
      <c r="AM1173" s="100"/>
      <c r="AN1173" s="100"/>
      <c r="AO1173" s="100"/>
      <c r="AP1173" s="100"/>
      <c r="AQ1173" s="100"/>
      <c r="AR1173" s="100"/>
      <c r="AS1173" s="100"/>
      <c r="AT1173" s="102"/>
      <c r="AX1173" s="100"/>
      <c r="AY1173" s="101"/>
      <c r="AZ1173" s="101"/>
      <c r="BA1173" s="101"/>
      <c r="BB1173" s="100"/>
      <c r="BC1173" s="100"/>
      <c r="BD1173" s="100"/>
      <c r="BE1173" s="100"/>
      <c r="BF1173" s="100"/>
      <c r="BG1173" s="100"/>
      <c r="BH1173" s="100"/>
      <c r="BI1173" s="100"/>
      <c r="BJ1173" s="100"/>
      <c r="BK1173" s="102"/>
      <c r="BN1173" s="36"/>
    </row>
    <row r="1174" spans="1:66" x14ac:dyDescent="0.25">
      <c r="A1174" s="92"/>
      <c r="B1174" s="93"/>
      <c r="C1174" s="93"/>
      <c r="D1174" s="92"/>
      <c r="E1174" s="92"/>
      <c r="F1174" s="92"/>
      <c r="G1174" s="92"/>
      <c r="H1174" s="92"/>
      <c r="I1174" s="92"/>
      <c r="J1174" s="92"/>
      <c r="K1174" s="92"/>
      <c r="L1174" s="92"/>
      <c r="M1174" s="92"/>
      <c r="N1174" s="94"/>
      <c r="AG1174" s="100"/>
      <c r="AH1174" s="101"/>
      <c r="AI1174" s="101"/>
      <c r="AJ1174" s="100"/>
      <c r="AK1174" s="100"/>
      <c r="AL1174" s="100"/>
      <c r="AM1174" s="100"/>
      <c r="AN1174" s="100"/>
      <c r="AO1174" s="100"/>
      <c r="AP1174" s="100"/>
      <c r="AQ1174" s="100"/>
      <c r="AR1174" s="100"/>
      <c r="AS1174" s="100"/>
      <c r="AT1174" s="102"/>
      <c r="AX1174" s="100"/>
      <c r="AY1174" s="101"/>
      <c r="AZ1174" s="101"/>
      <c r="BA1174" s="101"/>
      <c r="BB1174" s="100"/>
      <c r="BC1174" s="100"/>
      <c r="BD1174" s="100"/>
      <c r="BE1174" s="100"/>
      <c r="BF1174" s="100"/>
      <c r="BG1174" s="100"/>
      <c r="BH1174" s="100"/>
      <c r="BI1174" s="100"/>
      <c r="BJ1174" s="100"/>
      <c r="BK1174" s="102"/>
      <c r="BN1174" s="36"/>
    </row>
    <row r="1175" spans="1:66" x14ac:dyDescent="0.25">
      <c r="A1175" s="92"/>
      <c r="B1175" s="93"/>
      <c r="C1175" s="93"/>
      <c r="D1175" s="92"/>
      <c r="E1175" s="92"/>
      <c r="F1175" s="92"/>
      <c r="G1175" s="92"/>
      <c r="H1175" s="92"/>
      <c r="I1175" s="92"/>
      <c r="J1175" s="92"/>
      <c r="K1175" s="92"/>
      <c r="L1175" s="92"/>
      <c r="M1175" s="92"/>
      <c r="N1175" s="94"/>
      <c r="AG1175" s="100"/>
      <c r="AH1175" s="101"/>
      <c r="AI1175" s="101"/>
      <c r="AJ1175" s="100"/>
      <c r="AK1175" s="100"/>
      <c r="AL1175" s="100"/>
      <c r="AM1175" s="100"/>
      <c r="AN1175" s="100"/>
      <c r="AO1175" s="100"/>
      <c r="AP1175" s="100"/>
      <c r="AQ1175" s="100"/>
      <c r="AR1175" s="100"/>
      <c r="AS1175" s="100"/>
      <c r="AT1175" s="102"/>
      <c r="AX1175" s="100"/>
      <c r="AY1175" s="101"/>
      <c r="AZ1175" s="101"/>
      <c r="BA1175" s="100"/>
      <c r="BB1175" s="100"/>
      <c r="BC1175" s="100"/>
      <c r="BD1175" s="100"/>
      <c r="BE1175" s="100"/>
      <c r="BF1175" s="100"/>
      <c r="BG1175" s="100"/>
      <c r="BH1175" s="100"/>
      <c r="BI1175" s="100"/>
      <c r="BJ1175" s="100"/>
      <c r="BK1175" s="102"/>
      <c r="BN1175" s="36"/>
    </row>
    <row r="1176" spans="1:66" x14ac:dyDescent="0.25">
      <c r="A1176" s="92"/>
      <c r="B1176" s="93"/>
      <c r="C1176" s="93"/>
      <c r="D1176" s="92"/>
      <c r="E1176" s="92"/>
      <c r="F1176" s="92"/>
      <c r="G1176" s="92"/>
      <c r="H1176" s="92"/>
      <c r="I1176" s="92"/>
      <c r="J1176" s="92"/>
      <c r="K1176" s="92"/>
      <c r="L1176" s="92"/>
      <c r="M1176" s="92"/>
      <c r="N1176" s="94"/>
      <c r="AG1176" s="100"/>
      <c r="AH1176" s="101"/>
      <c r="AI1176" s="101"/>
      <c r="AJ1176" s="100"/>
      <c r="AK1176" s="100"/>
      <c r="AL1176" s="100"/>
      <c r="AM1176" s="100"/>
      <c r="AN1176" s="100"/>
      <c r="AO1176" s="100"/>
      <c r="AP1176" s="100"/>
      <c r="AQ1176" s="100"/>
      <c r="AR1176" s="100"/>
      <c r="AS1176" s="100"/>
      <c r="AT1176" s="102"/>
      <c r="AX1176" s="100"/>
      <c r="AY1176" s="101"/>
      <c r="AZ1176" s="101"/>
      <c r="BA1176" s="101"/>
      <c r="BB1176" s="100"/>
      <c r="BC1176" s="100"/>
      <c r="BD1176" s="100"/>
      <c r="BE1176" s="100"/>
      <c r="BF1176" s="100"/>
      <c r="BG1176" s="100"/>
      <c r="BH1176" s="100"/>
      <c r="BI1176" s="100"/>
      <c r="BJ1176" s="100"/>
      <c r="BK1176" s="102"/>
      <c r="BN1176" s="36"/>
    </row>
    <row r="1177" spans="1:66" x14ac:dyDescent="0.25">
      <c r="A1177" s="92"/>
      <c r="B1177" s="92"/>
      <c r="C1177" s="92"/>
      <c r="D1177" s="92"/>
      <c r="E1177" s="92"/>
      <c r="F1177" s="92"/>
      <c r="G1177" s="92"/>
      <c r="H1177" s="92"/>
      <c r="I1177" s="92"/>
      <c r="J1177" s="92"/>
      <c r="K1177" s="92"/>
      <c r="L1177" s="92"/>
      <c r="M1177" s="92"/>
      <c r="N1177" s="92"/>
      <c r="AG1177" s="100"/>
      <c r="AH1177" s="101"/>
      <c r="AI1177" s="101"/>
      <c r="AJ1177" s="100"/>
      <c r="AK1177" s="100"/>
      <c r="AL1177" s="100"/>
      <c r="AM1177" s="100"/>
      <c r="AN1177" s="100"/>
      <c r="AO1177" s="100"/>
      <c r="AP1177" s="100"/>
      <c r="AQ1177" s="100"/>
      <c r="AR1177" s="100"/>
      <c r="AS1177" s="100"/>
      <c r="AT1177" s="102"/>
      <c r="AX1177" s="100"/>
      <c r="AY1177" s="101"/>
      <c r="AZ1177" s="101"/>
      <c r="BA1177" s="101"/>
      <c r="BB1177" s="100"/>
      <c r="BC1177" s="100"/>
      <c r="BD1177" s="100"/>
      <c r="BE1177" s="100"/>
      <c r="BF1177" s="100"/>
      <c r="BG1177" s="100"/>
      <c r="BH1177" s="100"/>
      <c r="BI1177" s="100"/>
      <c r="BJ1177" s="100"/>
      <c r="BK1177" s="102"/>
      <c r="BN1177" s="36"/>
    </row>
    <row r="1178" spans="1:66" x14ac:dyDescent="0.25">
      <c r="A1178" s="92"/>
      <c r="B1178" s="92"/>
      <c r="C1178" s="92"/>
      <c r="D1178" s="92"/>
      <c r="E1178" s="92"/>
      <c r="F1178" s="92"/>
      <c r="G1178" s="92"/>
      <c r="H1178" s="92"/>
      <c r="I1178" s="92"/>
      <c r="J1178" s="92"/>
      <c r="K1178" s="92"/>
      <c r="L1178" s="92"/>
      <c r="M1178" s="92"/>
      <c r="N1178" s="92"/>
      <c r="AG1178" s="100"/>
      <c r="AH1178" s="101"/>
      <c r="AI1178" s="101"/>
      <c r="AJ1178" s="100"/>
      <c r="AK1178" s="100"/>
      <c r="AL1178" s="100"/>
      <c r="AM1178" s="100"/>
      <c r="AN1178" s="100"/>
      <c r="AO1178" s="100"/>
      <c r="AP1178" s="100"/>
      <c r="AQ1178" s="100"/>
      <c r="AR1178" s="100"/>
      <c r="AS1178" s="100"/>
      <c r="AT1178" s="102"/>
      <c r="AX1178" s="100"/>
      <c r="AY1178" s="101"/>
      <c r="AZ1178" s="101"/>
      <c r="BA1178" s="100"/>
      <c r="BB1178" s="100"/>
      <c r="BC1178" s="100"/>
      <c r="BD1178" s="100"/>
      <c r="BE1178" s="100"/>
      <c r="BF1178" s="100"/>
      <c r="BG1178" s="100"/>
      <c r="BH1178" s="100"/>
      <c r="BI1178" s="100"/>
      <c r="BJ1178" s="100"/>
      <c r="BK1178" s="102"/>
      <c r="BN1178" s="36"/>
    </row>
    <row r="1179" spans="1:66" x14ac:dyDescent="0.25">
      <c r="A1179" s="92"/>
      <c r="B1179" s="92"/>
      <c r="C1179" s="92"/>
      <c r="D1179" s="92"/>
      <c r="E1179" s="92"/>
      <c r="F1179" s="92"/>
      <c r="G1179" s="92"/>
      <c r="H1179" s="92"/>
      <c r="I1179" s="92"/>
      <c r="J1179" s="92"/>
      <c r="K1179" s="92"/>
      <c r="L1179" s="92"/>
      <c r="M1179" s="92"/>
      <c r="N1179" s="92"/>
      <c r="AG1179" s="100"/>
      <c r="AH1179" s="101"/>
      <c r="AI1179" s="101"/>
      <c r="AJ1179" s="100"/>
      <c r="AK1179" s="100"/>
      <c r="AL1179" s="100"/>
      <c r="AM1179" s="100"/>
      <c r="AN1179" s="100"/>
      <c r="AO1179" s="100"/>
      <c r="AP1179" s="100"/>
      <c r="AQ1179" s="100"/>
      <c r="AR1179" s="100"/>
      <c r="AS1179" s="100"/>
      <c r="AT1179" s="102"/>
      <c r="AX1179" s="100"/>
      <c r="AY1179" s="101"/>
      <c r="AZ1179" s="101"/>
      <c r="BA1179" s="100"/>
      <c r="BB1179" s="100"/>
      <c r="BC1179" s="100"/>
      <c r="BD1179" s="100"/>
      <c r="BE1179" s="100"/>
      <c r="BF1179" s="100"/>
      <c r="BG1179" s="100"/>
      <c r="BH1179" s="100"/>
      <c r="BI1179" s="100"/>
      <c r="BJ1179" s="100"/>
      <c r="BK1179" s="102"/>
      <c r="BN1179" s="36"/>
    </row>
    <row r="1180" spans="1:66" x14ac:dyDescent="0.25">
      <c r="A1180" s="92"/>
      <c r="B1180" s="92"/>
      <c r="C1180" s="92"/>
      <c r="D1180" s="92"/>
      <c r="E1180" s="92"/>
      <c r="F1180" s="92"/>
      <c r="G1180" s="92"/>
      <c r="H1180" s="92"/>
      <c r="I1180" s="92"/>
      <c r="J1180" s="92"/>
      <c r="K1180" s="92"/>
      <c r="L1180" s="92"/>
      <c r="M1180" s="92"/>
      <c r="N1180" s="92"/>
      <c r="AG1180" s="100"/>
      <c r="AH1180" s="101"/>
      <c r="AI1180" s="101"/>
      <c r="AJ1180" s="100"/>
      <c r="AK1180" s="100"/>
      <c r="AL1180" s="100"/>
      <c r="AM1180" s="100"/>
      <c r="AN1180" s="100"/>
      <c r="AO1180" s="100"/>
      <c r="AP1180" s="100"/>
      <c r="AQ1180" s="100"/>
      <c r="AR1180" s="100"/>
      <c r="AS1180" s="100"/>
      <c r="AT1180" s="102"/>
      <c r="AX1180" s="100"/>
      <c r="AY1180" s="101"/>
      <c r="AZ1180" s="101"/>
      <c r="BA1180" s="100"/>
      <c r="BB1180" s="100"/>
      <c r="BC1180" s="100"/>
      <c r="BD1180" s="100"/>
      <c r="BE1180" s="100"/>
      <c r="BF1180" s="100"/>
      <c r="BG1180" s="100"/>
      <c r="BH1180" s="100"/>
      <c r="BI1180" s="100"/>
      <c r="BJ1180" s="100"/>
      <c r="BK1180" s="102"/>
      <c r="BN1180" s="36"/>
    </row>
    <row r="1181" spans="1:66" x14ac:dyDescent="0.25">
      <c r="A1181" s="92"/>
      <c r="B1181" s="93"/>
      <c r="C1181" s="93"/>
      <c r="D1181" s="92"/>
      <c r="E1181" s="92"/>
      <c r="F1181" s="92"/>
      <c r="G1181" s="92"/>
      <c r="H1181" s="92"/>
      <c r="I1181" s="92"/>
      <c r="J1181" s="92"/>
      <c r="K1181" s="92"/>
      <c r="L1181" s="92"/>
      <c r="M1181" s="92"/>
      <c r="N1181" s="94"/>
      <c r="AG1181" s="100"/>
      <c r="AH1181" s="101"/>
      <c r="AI1181" s="101"/>
      <c r="AJ1181" s="100"/>
      <c r="AK1181" s="100"/>
      <c r="AL1181" s="100"/>
      <c r="AM1181" s="100"/>
      <c r="AN1181" s="100"/>
      <c r="AO1181" s="100"/>
      <c r="AP1181" s="100"/>
      <c r="AQ1181" s="100"/>
      <c r="AR1181" s="100"/>
      <c r="AS1181" s="100"/>
      <c r="AT1181" s="102"/>
      <c r="AX1181" s="100"/>
      <c r="AY1181" s="101"/>
      <c r="AZ1181" s="101"/>
      <c r="BA1181" s="100"/>
      <c r="BB1181" s="100"/>
      <c r="BC1181" s="100"/>
      <c r="BD1181" s="100"/>
      <c r="BE1181" s="100"/>
      <c r="BF1181" s="100"/>
      <c r="BG1181" s="100"/>
      <c r="BH1181" s="100"/>
      <c r="BI1181" s="100"/>
      <c r="BJ1181" s="100"/>
      <c r="BK1181" s="102"/>
      <c r="BN1181" s="36"/>
    </row>
    <row r="1182" spans="1:66" x14ac:dyDescent="0.25">
      <c r="A1182" s="92"/>
      <c r="B1182" s="93"/>
      <c r="C1182" s="93"/>
      <c r="D1182" s="92"/>
      <c r="E1182" s="92"/>
      <c r="F1182" s="92"/>
      <c r="G1182" s="92"/>
      <c r="H1182" s="92"/>
      <c r="I1182" s="92"/>
      <c r="J1182" s="92"/>
      <c r="K1182" s="92"/>
      <c r="L1182" s="92"/>
      <c r="M1182" s="92"/>
      <c r="N1182" s="94"/>
      <c r="AG1182" s="100"/>
      <c r="AH1182" s="101"/>
      <c r="AI1182" s="101"/>
      <c r="AJ1182" s="100"/>
      <c r="AK1182" s="100"/>
      <c r="AL1182" s="100"/>
      <c r="AM1182" s="100"/>
      <c r="AN1182" s="100"/>
      <c r="AO1182" s="100"/>
      <c r="AP1182" s="100"/>
      <c r="AQ1182" s="100"/>
      <c r="AR1182" s="100"/>
      <c r="AS1182" s="100"/>
      <c r="AT1182" s="102"/>
      <c r="AX1182" s="100"/>
      <c r="AY1182" s="101"/>
      <c r="AZ1182" s="101"/>
      <c r="BA1182" s="100"/>
      <c r="BB1182" s="100"/>
      <c r="BC1182" s="100"/>
      <c r="BD1182" s="100"/>
      <c r="BE1182" s="100"/>
      <c r="BF1182" s="100"/>
      <c r="BG1182" s="100"/>
      <c r="BH1182" s="100"/>
      <c r="BI1182" s="100"/>
      <c r="BJ1182" s="100"/>
      <c r="BK1182" s="102"/>
      <c r="BN1182" s="36"/>
    </row>
    <row r="1183" spans="1:66" x14ac:dyDescent="0.25">
      <c r="A1183" s="92"/>
      <c r="B1183" s="93"/>
      <c r="C1183" s="93"/>
      <c r="D1183" s="92"/>
      <c r="E1183" s="92"/>
      <c r="F1183" s="92"/>
      <c r="G1183" s="92"/>
      <c r="H1183" s="92"/>
      <c r="I1183" s="92"/>
      <c r="J1183" s="92"/>
      <c r="K1183" s="92"/>
      <c r="L1183" s="92"/>
      <c r="M1183" s="92"/>
      <c r="N1183" s="94"/>
      <c r="AG1183" s="100"/>
      <c r="AH1183" s="101"/>
      <c r="AI1183" s="101"/>
      <c r="AJ1183" s="101"/>
      <c r="AK1183" s="100"/>
      <c r="AL1183" s="100"/>
      <c r="AM1183" s="100"/>
      <c r="AN1183" s="100"/>
      <c r="AO1183" s="100"/>
      <c r="AP1183" s="100"/>
      <c r="AQ1183" s="100"/>
      <c r="AR1183" s="100"/>
      <c r="AS1183" s="100"/>
      <c r="AT1183" s="102"/>
      <c r="AX1183" s="100"/>
      <c r="AY1183" s="101"/>
      <c r="AZ1183" s="101"/>
      <c r="BA1183" s="101"/>
      <c r="BB1183" s="100"/>
      <c r="BC1183" s="100"/>
      <c r="BD1183" s="100"/>
      <c r="BE1183" s="100"/>
      <c r="BF1183" s="100"/>
      <c r="BG1183" s="100"/>
      <c r="BH1183" s="100"/>
      <c r="BI1183" s="100"/>
      <c r="BJ1183" s="100"/>
      <c r="BK1183" s="102"/>
      <c r="BN1183" s="36"/>
    </row>
    <row r="1184" spans="1:66" x14ac:dyDescent="0.25">
      <c r="A1184" s="92"/>
      <c r="B1184" s="93"/>
      <c r="C1184" s="93"/>
      <c r="D1184" s="93"/>
      <c r="E1184" s="92"/>
      <c r="F1184" s="92"/>
      <c r="G1184" s="92"/>
      <c r="H1184" s="92"/>
      <c r="I1184" s="92"/>
      <c r="J1184" s="92"/>
      <c r="K1184" s="92"/>
      <c r="L1184" s="92"/>
      <c r="M1184" s="92"/>
      <c r="N1184" s="94"/>
      <c r="AG1184" s="100"/>
      <c r="AH1184" s="101"/>
      <c r="AI1184" s="101"/>
      <c r="AJ1184" s="100"/>
      <c r="AK1184" s="100"/>
      <c r="AL1184" s="100"/>
      <c r="AM1184" s="100"/>
      <c r="AN1184" s="100"/>
      <c r="AO1184" s="100"/>
      <c r="AP1184" s="100"/>
      <c r="AQ1184" s="100"/>
      <c r="AR1184" s="100"/>
      <c r="AS1184" s="100"/>
      <c r="AT1184" s="102"/>
      <c r="AX1184" s="100"/>
      <c r="AY1184" s="101"/>
      <c r="AZ1184" s="101"/>
      <c r="BA1184" s="100"/>
      <c r="BB1184" s="100"/>
      <c r="BC1184" s="100"/>
      <c r="BD1184" s="100"/>
      <c r="BE1184" s="100"/>
      <c r="BF1184" s="100"/>
      <c r="BG1184" s="100"/>
      <c r="BH1184" s="100"/>
      <c r="BI1184" s="100"/>
      <c r="BJ1184" s="100"/>
      <c r="BK1184" s="102"/>
      <c r="BN1184" s="36"/>
    </row>
    <row r="1185" spans="1:66" x14ac:dyDescent="0.25">
      <c r="A1185" s="92"/>
      <c r="B1185" s="93"/>
      <c r="C1185" s="93"/>
      <c r="D1185" s="92"/>
      <c r="E1185" s="92"/>
      <c r="F1185" s="92"/>
      <c r="G1185" s="92"/>
      <c r="H1185" s="92"/>
      <c r="I1185" s="92"/>
      <c r="J1185" s="92"/>
      <c r="K1185" s="92"/>
      <c r="L1185" s="92"/>
      <c r="M1185" s="92"/>
      <c r="N1185" s="94"/>
      <c r="AG1185" s="100"/>
      <c r="AH1185" s="101"/>
      <c r="AI1185" s="101"/>
      <c r="AJ1185" s="100"/>
      <c r="AK1185" s="100"/>
      <c r="AL1185" s="100"/>
      <c r="AM1185" s="100"/>
      <c r="AN1185" s="100"/>
      <c r="AO1185" s="100"/>
      <c r="AP1185" s="100"/>
      <c r="AQ1185" s="100"/>
      <c r="AR1185" s="100"/>
      <c r="AS1185" s="100"/>
      <c r="AT1185" s="102"/>
      <c r="AX1185" s="100"/>
      <c r="AY1185" s="101"/>
      <c r="AZ1185" s="101"/>
      <c r="BA1185" s="100"/>
      <c r="BB1185" s="100"/>
      <c r="BC1185" s="100"/>
      <c r="BD1185" s="100"/>
      <c r="BE1185" s="100"/>
      <c r="BF1185" s="100"/>
      <c r="BG1185" s="100"/>
      <c r="BH1185" s="100"/>
      <c r="BI1185" s="100"/>
      <c r="BJ1185" s="100"/>
      <c r="BK1185" s="102"/>
      <c r="BN1185" s="36"/>
    </row>
    <row r="1186" spans="1:66" x14ac:dyDescent="0.25">
      <c r="A1186" s="92"/>
      <c r="B1186" s="92"/>
      <c r="C1186" s="92"/>
      <c r="D1186" s="92"/>
      <c r="E1186" s="92"/>
      <c r="F1186" s="92"/>
      <c r="G1186" s="92"/>
      <c r="H1186" s="92"/>
      <c r="I1186" s="92"/>
      <c r="J1186" s="92"/>
      <c r="K1186" s="92"/>
      <c r="L1186" s="92"/>
      <c r="M1186" s="92"/>
      <c r="N1186" s="92"/>
      <c r="AG1186" s="100"/>
      <c r="AH1186" s="101"/>
      <c r="AI1186" s="101"/>
      <c r="AJ1186" s="100"/>
      <c r="AK1186" s="100"/>
      <c r="AL1186" s="100"/>
      <c r="AM1186" s="100"/>
      <c r="AN1186" s="100"/>
      <c r="AO1186" s="100"/>
      <c r="AP1186" s="100"/>
      <c r="AQ1186" s="100"/>
      <c r="AR1186" s="100"/>
      <c r="AS1186" s="100"/>
      <c r="AT1186" s="102"/>
      <c r="AX1186" s="100"/>
      <c r="AY1186" s="101"/>
      <c r="AZ1186" s="101"/>
      <c r="BA1186" s="100"/>
      <c r="BB1186" s="100"/>
      <c r="BC1186" s="100"/>
      <c r="BD1186" s="100"/>
      <c r="BE1186" s="100"/>
      <c r="BF1186" s="100"/>
      <c r="BG1186" s="100"/>
      <c r="BH1186" s="100"/>
      <c r="BI1186" s="100"/>
      <c r="BJ1186" s="100"/>
      <c r="BK1186" s="102"/>
      <c r="BN1186" s="36"/>
    </row>
    <row r="1187" spans="1:66" x14ac:dyDescent="0.25">
      <c r="A1187" s="92"/>
      <c r="B1187" s="93"/>
      <c r="C1187" s="93"/>
      <c r="D1187" s="92"/>
      <c r="E1187" s="92"/>
      <c r="F1187" s="92"/>
      <c r="G1187" s="92"/>
      <c r="H1187" s="92"/>
      <c r="I1187" s="92"/>
      <c r="J1187" s="92"/>
      <c r="K1187" s="92"/>
      <c r="L1187" s="92"/>
      <c r="M1187" s="92"/>
      <c r="N1187" s="94"/>
      <c r="AG1187" s="100"/>
      <c r="AH1187" s="101"/>
      <c r="AI1187" s="101"/>
      <c r="AJ1187" s="100"/>
      <c r="AK1187" s="100"/>
      <c r="AL1187" s="100"/>
      <c r="AM1187" s="100"/>
      <c r="AN1187" s="100"/>
      <c r="AO1187" s="100"/>
      <c r="AP1187" s="100"/>
      <c r="AQ1187" s="100"/>
      <c r="AR1187" s="100"/>
      <c r="AS1187" s="100"/>
      <c r="AT1187" s="102"/>
      <c r="AX1187" s="100"/>
      <c r="AY1187" s="101"/>
      <c r="AZ1187" s="101"/>
      <c r="BA1187" s="100"/>
      <c r="BB1187" s="100"/>
      <c r="BC1187" s="100"/>
      <c r="BD1187" s="100"/>
      <c r="BE1187" s="100"/>
      <c r="BF1187" s="100"/>
      <c r="BG1187" s="100"/>
      <c r="BH1187" s="100"/>
      <c r="BI1187" s="100"/>
      <c r="BJ1187" s="100"/>
      <c r="BK1187" s="102"/>
      <c r="BN1187" s="36"/>
    </row>
    <row r="1188" spans="1:66" x14ac:dyDescent="0.25">
      <c r="A1188" s="92"/>
      <c r="B1188" s="92"/>
      <c r="C1188" s="92"/>
      <c r="D1188" s="92"/>
      <c r="E1188" s="92"/>
      <c r="F1188" s="92"/>
      <c r="G1188" s="92"/>
      <c r="H1188" s="92"/>
      <c r="I1188" s="92"/>
      <c r="J1188" s="92"/>
      <c r="K1188" s="92"/>
      <c r="L1188" s="92"/>
      <c r="M1188" s="92"/>
      <c r="N1188" s="92"/>
      <c r="AG1188" s="100"/>
      <c r="AH1188" s="101"/>
      <c r="AI1188" s="101"/>
      <c r="AJ1188" s="100"/>
      <c r="AK1188" s="100"/>
      <c r="AL1188" s="100"/>
      <c r="AM1188" s="100"/>
      <c r="AN1188" s="100"/>
      <c r="AO1188" s="100"/>
      <c r="AP1188" s="100"/>
      <c r="AQ1188" s="100"/>
      <c r="AR1188" s="100"/>
      <c r="AS1188" s="100"/>
      <c r="AT1188" s="102"/>
      <c r="AX1188" s="100"/>
      <c r="AY1188" s="101"/>
      <c r="AZ1188" s="101"/>
      <c r="BA1188" s="100"/>
      <c r="BB1188" s="100"/>
      <c r="BC1188" s="100"/>
      <c r="BD1188" s="100"/>
      <c r="BE1188" s="100"/>
      <c r="BF1188" s="100"/>
      <c r="BG1188" s="100"/>
      <c r="BH1188" s="100"/>
      <c r="BI1188" s="100"/>
      <c r="BJ1188" s="100"/>
      <c r="BK1188" s="102"/>
      <c r="BN1188" s="36"/>
    </row>
    <row r="1189" spans="1:66" x14ac:dyDescent="0.25">
      <c r="A1189" s="92"/>
      <c r="B1189" s="93"/>
      <c r="C1189" s="93"/>
      <c r="D1189" s="92"/>
      <c r="E1189" s="92"/>
      <c r="F1189" s="92"/>
      <c r="G1189" s="92"/>
      <c r="H1189" s="92"/>
      <c r="I1189" s="92"/>
      <c r="J1189" s="92"/>
      <c r="K1189" s="92"/>
      <c r="L1189" s="92"/>
      <c r="M1189" s="92"/>
      <c r="N1189" s="94"/>
      <c r="AG1189" s="100"/>
      <c r="AH1189" s="101"/>
      <c r="AI1189" s="101"/>
      <c r="AJ1189" s="101"/>
      <c r="AK1189" s="100"/>
      <c r="AL1189" s="100"/>
      <c r="AM1189" s="100"/>
      <c r="AN1189" s="100"/>
      <c r="AO1189" s="100"/>
      <c r="AP1189" s="100"/>
      <c r="AQ1189" s="100"/>
      <c r="AR1189" s="100"/>
      <c r="AS1189" s="100"/>
      <c r="AT1189" s="102"/>
      <c r="AX1189" s="100"/>
      <c r="AY1189" s="101"/>
      <c r="AZ1189" s="101"/>
      <c r="BA1189" s="100"/>
      <c r="BB1189" s="100"/>
      <c r="BC1189" s="100"/>
      <c r="BD1189" s="100"/>
      <c r="BE1189" s="100"/>
      <c r="BF1189" s="100"/>
      <c r="BG1189" s="100"/>
      <c r="BH1189" s="100"/>
      <c r="BI1189" s="100"/>
      <c r="BJ1189" s="100"/>
      <c r="BK1189" s="102"/>
      <c r="BN1189" s="36"/>
    </row>
    <row r="1190" spans="1:66" x14ac:dyDescent="0.25">
      <c r="A1190" s="92"/>
      <c r="B1190" s="93"/>
      <c r="C1190" s="93"/>
      <c r="D1190" s="92"/>
      <c r="E1190" s="92"/>
      <c r="F1190" s="92"/>
      <c r="G1190" s="92"/>
      <c r="H1190" s="92"/>
      <c r="I1190" s="92"/>
      <c r="J1190" s="92"/>
      <c r="K1190" s="92"/>
      <c r="L1190" s="92"/>
      <c r="M1190" s="92"/>
      <c r="N1190" s="94"/>
      <c r="AG1190" s="100"/>
      <c r="AH1190" s="101"/>
      <c r="AI1190" s="101"/>
      <c r="AJ1190" s="100"/>
      <c r="AK1190" s="100"/>
      <c r="AL1190" s="100"/>
      <c r="AM1190" s="100"/>
      <c r="AN1190" s="100"/>
      <c r="AO1190" s="100"/>
      <c r="AP1190" s="100"/>
      <c r="AQ1190" s="100"/>
      <c r="AR1190" s="100"/>
      <c r="AS1190" s="100"/>
      <c r="AT1190" s="102"/>
      <c r="AX1190" s="100"/>
      <c r="AY1190" s="101"/>
      <c r="AZ1190" s="101"/>
      <c r="BA1190" s="101"/>
      <c r="BB1190" s="100"/>
      <c r="BC1190" s="100"/>
      <c r="BD1190" s="100"/>
      <c r="BE1190" s="100"/>
      <c r="BF1190" s="100"/>
      <c r="BG1190" s="100"/>
      <c r="BH1190" s="100"/>
      <c r="BI1190" s="100"/>
      <c r="BJ1190" s="100"/>
      <c r="BK1190" s="102"/>
      <c r="BN1190" s="36"/>
    </row>
    <row r="1191" spans="1:66" x14ac:dyDescent="0.25">
      <c r="A1191" s="92"/>
      <c r="B1191" s="93"/>
      <c r="C1191" s="93"/>
      <c r="D1191" s="93"/>
      <c r="E1191" s="92"/>
      <c r="F1191" s="92"/>
      <c r="G1191" s="92"/>
      <c r="H1191" s="92"/>
      <c r="I1191" s="92"/>
      <c r="J1191" s="92"/>
      <c r="K1191" s="92"/>
      <c r="L1191" s="92"/>
      <c r="M1191" s="92"/>
      <c r="N1191" s="94"/>
      <c r="AG1191" s="100"/>
      <c r="AH1191" s="101"/>
      <c r="AI1191" s="101"/>
      <c r="AJ1191" s="101"/>
      <c r="AK1191" s="100"/>
      <c r="AL1191" s="100"/>
      <c r="AM1191" s="100"/>
      <c r="AN1191" s="100"/>
      <c r="AO1191" s="100"/>
      <c r="AP1191" s="100"/>
      <c r="AQ1191" s="100"/>
      <c r="AR1191" s="100"/>
      <c r="AS1191" s="100"/>
      <c r="AT1191" s="102"/>
      <c r="AX1191" s="100"/>
      <c r="AY1191" s="101"/>
      <c r="AZ1191" s="101"/>
      <c r="BA1191" s="101"/>
      <c r="BB1191" s="100"/>
      <c r="BC1191" s="100"/>
      <c r="BD1191" s="100"/>
      <c r="BE1191" s="100"/>
      <c r="BF1191" s="100"/>
      <c r="BG1191" s="100"/>
      <c r="BH1191" s="100"/>
      <c r="BI1191" s="100"/>
      <c r="BJ1191" s="100"/>
      <c r="BK1191" s="102"/>
      <c r="BN1191" s="36"/>
    </row>
    <row r="1192" spans="1:66" x14ac:dyDescent="0.25">
      <c r="A1192" s="92"/>
      <c r="B1192" s="92"/>
      <c r="C1192" s="92"/>
      <c r="D1192" s="92"/>
      <c r="E1192" s="92"/>
      <c r="F1192" s="92"/>
      <c r="G1192" s="92"/>
      <c r="H1192" s="92"/>
      <c r="I1192" s="92"/>
      <c r="J1192" s="92"/>
      <c r="K1192" s="92"/>
      <c r="L1192" s="92"/>
      <c r="M1192" s="92"/>
      <c r="N1192" s="92"/>
      <c r="AG1192" s="100"/>
      <c r="AH1192" s="101"/>
      <c r="AI1192" s="101"/>
      <c r="AJ1192" s="100"/>
      <c r="AK1192" s="100"/>
      <c r="AL1192" s="100"/>
      <c r="AM1192" s="100"/>
      <c r="AN1192" s="100"/>
      <c r="AO1192" s="100"/>
      <c r="AP1192" s="100"/>
      <c r="AQ1192" s="100"/>
      <c r="AR1192" s="100"/>
      <c r="AS1192" s="100"/>
      <c r="AT1192" s="102"/>
      <c r="AX1192" s="100"/>
      <c r="AY1192" s="101"/>
      <c r="AZ1192" s="101"/>
      <c r="BA1192" s="100"/>
      <c r="BB1192" s="100"/>
      <c r="BC1192" s="100"/>
      <c r="BD1192" s="100"/>
      <c r="BE1192" s="100"/>
      <c r="BF1192" s="100"/>
      <c r="BG1192" s="100"/>
      <c r="BH1192" s="100"/>
      <c r="BI1192" s="100"/>
      <c r="BJ1192" s="100"/>
      <c r="BK1192" s="102"/>
      <c r="BN1192" s="36"/>
    </row>
    <row r="1193" spans="1:66" x14ac:dyDescent="0.25">
      <c r="A1193" s="92"/>
      <c r="B1193" s="92"/>
      <c r="C1193" s="92"/>
      <c r="D1193" s="92"/>
      <c r="E1193" s="92"/>
      <c r="F1193" s="92"/>
      <c r="G1193" s="92"/>
      <c r="H1193" s="92"/>
      <c r="I1193" s="92"/>
      <c r="J1193" s="92"/>
      <c r="K1193" s="92"/>
      <c r="L1193" s="92"/>
      <c r="M1193" s="92"/>
      <c r="N1193" s="92"/>
      <c r="AG1193" s="100"/>
      <c r="AH1193" s="101"/>
      <c r="AI1193" s="101"/>
      <c r="AJ1193" s="100"/>
      <c r="AK1193" s="100"/>
      <c r="AL1193" s="100"/>
      <c r="AM1193" s="100"/>
      <c r="AN1193" s="100"/>
      <c r="AO1193" s="100"/>
      <c r="AP1193" s="100"/>
      <c r="AQ1193" s="100"/>
      <c r="AR1193" s="100"/>
      <c r="AS1193" s="100"/>
      <c r="AT1193" s="102"/>
      <c r="AX1193" s="100"/>
      <c r="AY1193" s="101"/>
      <c r="AZ1193" s="101"/>
      <c r="BA1193" s="100"/>
      <c r="BB1193" s="100"/>
      <c r="BC1193" s="100"/>
      <c r="BD1193" s="100"/>
      <c r="BE1193" s="100"/>
      <c r="BF1193" s="100"/>
      <c r="BG1193" s="100"/>
      <c r="BH1193" s="100"/>
      <c r="BI1193" s="100"/>
      <c r="BJ1193" s="100"/>
      <c r="BK1193" s="102"/>
      <c r="BN1193" s="36"/>
    </row>
    <row r="1194" spans="1:66" x14ac:dyDescent="0.25">
      <c r="A1194" s="92"/>
      <c r="B1194" s="92"/>
      <c r="C1194" s="92"/>
      <c r="D1194" s="92"/>
      <c r="E1194" s="92"/>
      <c r="F1194" s="92"/>
      <c r="G1194" s="92"/>
      <c r="H1194" s="92"/>
      <c r="I1194" s="92"/>
      <c r="J1194" s="92"/>
      <c r="K1194" s="92"/>
      <c r="L1194" s="92"/>
      <c r="M1194" s="92"/>
      <c r="N1194" s="92"/>
      <c r="AG1194" s="100"/>
      <c r="AH1194" s="101"/>
      <c r="AI1194" s="101"/>
      <c r="AJ1194" s="100"/>
      <c r="AK1194" s="100"/>
      <c r="AL1194" s="100"/>
      <c r="AM1194" s="100"/>
      <c r="AN1194" s="100"/>
      <c r="AO1194" s="100"/>
      <c r="AP1194" s="100"/>
      <c r="AQ1194" s="100"/>
      <c r="AR1194" s="100"/>
      <c r="AS1194" s="100"/>
      <c r="AT1194" s="102"/>
      <c r="AX1194" s="100"/>
      <c r="AY1194" s="101"/>
      <c r="AZ1194" s="101"/>
      <c r="BA1194" s="100"/>
      <c r="BB1194" s="100"/>
      <c r="BC1194" s="100"/>
      <c r="BD1194" s="100"/>
      <c r="BE1194" s="100"/>
      <c r="BF1194" s="100"/>
      <c r="BG1194" s="100"/>
      <c r="BH1194" s="100"/>
      <c r="BI1194" s="100"/>
      <c r="BJ1194" s="100"/>
      <c r="BK1194" s="102"/>
      <c r="BN1194" s="36"/>
    </row>
    <row r="1195" spans="1:66" x14ac:dyDescent="0.25">
      <c r="A1195" s="92"/>
      <c r="B1195" s="93"/>
      <c r="C1195" s="93"/>
      <c r="D1195" s="92"/>
      <c r="E1195" s="92"/>
      <c r="F1195" s="92"/>
      <c r="G1195" s="92"/>
      <c r="H1195" s="92"/>
      <c r="I1195" s="92"/>
      <c r="J1195" s="92"/>
      <c r="K1195" s="92"/>
      <c r="L1195" s="92"/>
      <c r="M1195" s="92"/>
      <c r="N1195" s="94"/>
      <c r="AG1195" s="100"/>
      <c r="AH1195" s="101"/>
      <c r="AI1195" s="101"/>
      <c r="AJ1195" s="100"/>
      <c r="AK1195" s="100"/>
      <c r="AL1195" s="100"/>
      <c r="AM1195" s="100"/>
      <c r="AN1195" s="100"/>
      <c r="AO1195" s="100"/>
      <c r="AP1195" s="100"/>
      <c r="AQ1195" s="100"/>
      <c r="AR1195" s="100"/>
      <c r="AS1195" s="100"/>
      <c r="AT1195" s="102"/>
      <c r="AX1195" s="100"/>
      <c r="AY1195" s="101"/>
      <c r="AZ1195" s="101"/>
      <c r="BA1195" s="100"/>
      <c r="BB1195" s="100"/>
      <c r="BC1195" s="100"/>
      <c r="BD1195" s="100"/>
      <c r="BE1195" s="100"/>
      <c r="BF1195" s="100"/>
      <c r="BG1195" s="100"/>
      <c r="BH1195" s="100"/>
      <c r="BI1195" s="100"/>
      <c r="BJ1195" s="100"/>
      <c r="BK1195" s="102"/>
      <c r="BN1195" s="36"/>
    </row>
    <row r="1196" spans="1:66" x14ac:dyDescent="0.25">
      <c r="A1196" s="92"/>
      <c r="B1196" s="92"/>
      <c r="C1196" s="92"/>
      <c r="D1196" s="92"/>
      <c r="E1196" s="92"/>
      <c r="F1196" s="92"/>
      <c r="G1196" s="92"/>
      <c r="H1196" s="92"/>
      <c r="I1196" s="92"/>
      <c r="J1196" s="92"/>
      <c r="K1196" s="92"/>
      <c r="L1196" s="92"/>
      <c r="M1196" s="92"/>
      <c r="N1196" s="92"/>
      <c r="AG1196" s="100"/>
      <c r="AH1196" s="101"/>
      <c r="AI1196" s="101"/>
      <c r="AJ1196" s="100"/>
      <c r="AK1196" s="100"/>
      <c r="AL1196" s="100"/>
      <c r="AM1196" s="100"/>
      <c r="AN1196" s="100"/>
      <c r="AO1196" s="100"/>
      <c r="AP1196" s="100"/>
      <c r="AQ1196" s="100"/>
      <c r="AR1196" s="100"/>
      <c r="AS1196" s="100"/>
      <c r="AT1196" s="102"/>
      <c r="AX1196" s="100"/>
      <c r="AY1196" s="101"/>
      <c r="AZ1196" s="101"/>
      <c r="BA1196" s="100"/>
      <c r="BB1196" s="100"/>
      <c r="BC1196" s="100"/>
      <c r="BD1196" s="100"/>
      <c r="BE1196" s="100"/>
      <c r="BF1196" s="100"/>
      <c r="BG1196" s="100"/>
      <c r="BH1196" s="100"/>
      <c r="BI1196" s="100"/>
      <c r="BJ1196" s="100"/>
      <c r="BK1196" s="102"/>
      <c r="BN1196" s="36"/>
    </row>
    <row r="1197" spans="1:66" x14ac:dyDescent="0.25">
      <c r="A1197" s="92"/>
      <c r="B1197" s="93"/>
      <c r="C1197" s="93"/>
      <c r="D1197" s="92"/>
      <c r="E1197" s="92"/>
      <c r="F1197" s="92"/>
      <c r="G1197" s="92"/>
      <c r="H1197" s="92"/>
      <c r="I1197" s="92"/>
      <c r="J1197" s="92"/>
      <c r="K1197" s="92"/>
      <c r="L1197" s="92"/>
      <c r="M1197" s="92"/>
      <c r="N1197" s="94"/>
      <c r="AG1197" s="100"/>
      <c r="AH1197" s="101"/>
      <c r="AI1197" s="101"/>
      <c r="AJ1197" s="100"/>
      <c r="AK1197" s="100"/>
      <c r="AL1197" s="100"/>
      <c r="AM1197" s="100"/>
      <c r="AN1197" s="100"/>
      <c r="AO1197" s="100"/>
      <c r="AP1197" s="100"/>
      <c r="AQ1197" s="100"/>
      <c r="AR1197" s="100"/>
      <c r="AS1197" s="100"/>
      <c r="AT1197" s="102"/>
      <c r="AX1197" s="100"/>
      <c r="AY1197" s="101"/>
      <c r="AZ1197" s="101"/>
      <c r="BA1197" s="100"/>
      <c r="BB1197" s="100"/>
      <c r="BC1197" s="100"/>
      <c r="BD1197" s="100"/>
      <c r="BE1197" s="100"/>
      <c r="BF1197" s="100"/>
      <c r="BG1197" s="100"/>
      <c r="BH1197" s="100"/>
      <c r="BI1197" s="100"/>
      <c r="BJ1197" s="100"/>
      <c r="BK1197" s="102"/>
      <c r="BN1197" s="36"/>
    </row>
    <row r="1198" spans="1:66" x14ac:dyDescent="0.25">
      <c r="A1198" s="92"/>
      <c r="B1198" s="92"/>
      <c r="C1198" s="92"/>
      <c r="D1198" s="92"/>
      <c r="E1198" s="92"/>
      <c r="F1198" s="92"/>
      <c r="G1198" s="92"/>
      <c r="H1198" s="92"/>
      <c r="I1198" s="92"/>
      <c r="J1198" s="92"/>
      <c r="K1198" s="92"/>
      <c r="L1198" s="92"/>
      <c r="M1198" s="92"/>
      <c r="N1198" s="92"/>
      <c r="AG1198" s="100"/>
      <c r="AH1198" s="101"/>
      <c r="AI1198" s="101"/>
      <c r="AJ1198" s="101"/>
      <c r="AK1198" s="100"/>
      <c r="AL1198" s="100"/>
      <c r="AM1198" s="100"/>
      <c r="AN1198" s="100"/>
      <c r="AO1198" s="100"/>
      <c r="AP1198" s="100"/>
      <c r="AQ1198" s="100"/>
      <c r="AR1198" s="100"/>
      <c r="AS1198" s="100"/>
      <c r="AT1198" s="102"/>
      <c r="AX1198" s="100"/>
      <c r="AY1198" s="101"/>
      <c r="AZ1198" s="101"/>
      <c r="BA1198" s="100"/>
      <c r="BB1198" s="100"/>
      <c r="BC1198" s="100"/>
      <c r="BD1198" s="100"/>
      <c r="BE1198" s="100"/>
      <c r="BF1198" s="100"/>
      <c r="BG1198" s="100"/>
      <c r="BH1198" s="100"/>
      <c r="BI1198" s="100"/>
      <c r="BJ1198" s="100"/>
      <c r="BK1198" s="102"/>
      <c r="BN1198" s="36"/>
    </row>
    <row r="1199" spans="1:66" x14ac:dyDescent="0.25">
      <c r="A1199" s="92"/>
      <c r="B1199" s="92"/>
      <c r="C1199" s="92"/>
      <c r="D1199" s="92"/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AG1199" s="100"/>
      <c r="AH1199" s="101"/>
      <c r="AI1199" s="101"/>
      <c r="AJ1199" s="100"/>
      <c r="AK1199" s="100"/>
      <c r="AL1199" s="100"/>
      <c r="AM1199" s="100"/>
      <c r="AN1199" s="100"/>
      <c r="AO1199" s="100"/>
      <c r="AP1199" s="100"/>
      <c r="AQ1199" s="100"/>
      <c r="AR1199" s="100"/>
      <c r="AS1199" s="100"/>
      <c r="AT1199" s="102"/>
      <c r="AX1199" s="100"/>
      <c r="AY1199" s="101"/>
      <c r="AZ1199" s="101"/>
      <c r="BA1199" s="100"/>
      <c r="BB1199" s="100"/>
      <c r="BC1199" s="100"/>
      <c r="BD1199" s="100"/>
      <c r="BE1199" s="100"/>
      <c r="BF1199" s="100"/>
      <c r="BG1199" s="100"/>
      <c r="BH1199" s="100"/>
      <c r="BI1199" s="100"/>
      <c r="BJ1199" s="100"/>
      <c r="BK1199" s="102"/>
      <c r="BN1199" s="36"/>
    </row>
    <row r="1200" spans="1:66" x14ac:dyDescent="0.25">
      <c r="A1200" s="92"/>
      <c r="B1200" s="93"/>
      <c r="C1200" s="93"/>
      <c r="D1200" s="92"/>
      <c r="E1200" s="92"/>
      <c r="F1200" s="92"/>
      <c r="G1200" s="92"/>
      <c r="H1200" s="92"/>
      <c r="I1200" s="92"/>
      <c r="J1200" s="92"/>
      <c r="K1200" s="92"/>
      <c r="L1200" s="92"/>
      <c r="M1200" s="92"/>
      <c r="N1200" s="94"/>
      <c r="AG1200" s="100"/>
      <c r="AH1200" s="101"/>
      <c r="AI1200" s="101"/>
      <c r="AJ1200" s="100"/>
      <c r="AK1200" s="100"/>
      <c r="AL1200" s="100"/>
      <c r="AM1200" s="100"/>
      <c r="AN1200" s="100"/>
      <c r="AO1200" s="100"/>
      <c r="AP1200" s="100"/>
      <c r="AQ1200" s="100"/>
      <c r="AR1200" s="100"/>
      <c r="AS1200" s="100"/>
      <c r="AT1200" s="102"/>
      <c r="AX1200" s="100"/>
      <c r="AY1200" s="101"/>
      <c r="AZ1200" s="101"/>
      <c r="BA1200" s="100"/>
      <c r="BB1200" s="100"/>
      <c r="BC1200" s="100"/>
      <c r="BD1200" s="100"/>
      <c r="BE1200" s="100"/>
      <c r="BF1200" s="100"/>
      <c r="BG1200" s="100"/>
      <c r="BH1200" s="100"/>
      <c r="BI1200" s="100"/>
      <c r="BJ1200" s="100"/>
      <c r="BK1200" s="102"/>
      <c r="BN1200" s="36"/>
    </row>
    <row r="1201" spans="1:66" x14ac:dyDescent="0.25">
      <c r="A1201" s="92"/>
      <c r="B1201" s="93"/>
      <c r="C1201" s="93"/>
      <c r="D1201" s="92"/>
      <c r="E1201" s="92"/>
      <c r="F1201" s="92"/>
      <c r="G1201" s="92"/>
      <c r="H1201" s="92"/>
      <c r="I1201" s="92"/>
      <c r="J1201" s="92"/>
      <c r="K1201" s="92"/>
      <c r="L1201" s="92"/>
      <c r="M1201" s="92"/>
      <c r="N1201" s="94"/>
      <c r="AG1201" s="100"/>
      <c r="AH1201" s="101"/>
      <c r="AI1201" s="101"/>
      <c r="AJ1201" s="100"/>
      <c r="AK1201" s="100"/>
      <c r="AL1201" s="100"/>
      <c r="AM1201" s="100"/>
      <c r="AN1201" s="100"/>
      <c r="AO1201" s="100"/>
      <c r="AP1201" s="100"/>
      <c r="AQ1201" s="100"/>
      <c r="AR1201" s="100"/>
      <c r="AS1201" s="100"/>
      <c r="AT1201" s="102"/>
      <c r="AX1201" s="100"/>
      <c r="AY1201" s="101"/>
      <c r="AZ1201" s="101"/>
      <c r="BA1201" s="100"/>
      <c r="BB1201" s="100"/>
      <c r="BC1201" s="100"/>
      <c r="BD1201" s="100"/>
      <c r="BE1201" s="100"/>
      <c r="BF1201" s="100"/>
      <c r="BG1201" s="100"/>
      <c r="BH1201" s="100"/>
      <c r="BI1201" s="100"/>
      <c r="BJ1201" s="100"/>
      <c r="BK1201" s="102"/>
      <c r="BN1201" s="36"/>
    </row>
    <row r="1202" spans="1:66" x14ac:dyDescent="0.25">
      <c r="A1202" s="92"/>
      <c r="B1202" s="92"/>
      <c r="C1202" s="92"/>
      <c r="D1202" s="92"/>
      <c r="E1202" s="92"/>
      <c r="F1202" s="92"/>
      <c r="G1202" s="92"/>
      <c r="H1202" s="92"/>
      <c r="I1202" s="92"/>
      <c r="J1202" s="92"/>
      <c r="K1202" s="92"/>
      <c r="L1202" s="92"/>
      <c r="M1202" s="92"/>
      <c r="N1202" s="92"/>
      <c r="AG1202" s="100"/>
      <c r="AH1202" s="101"/>
      <c r="AI1202" s="101"/>
      <c r="AJ1202" s="100"/>
      <c r="AK1202" s="100"/>
      <c r="AL1202" s="100"/>
      <c r="AM1202" s="100"/>
      <c r="AN1202" s="100"/>
      <c r="AO1202" s="100"/>
      <c r="AP1202" s="100"/>
      <c r="AQ1202" s="100"/>
      <c r="AR1202" s="100"/>
      <c r="AS1202" s="100"/>
      <c r="AT1202" s="102"/>
      <c r="AX1202" s="100"/>
      <c r="AY1202" s="101"/>
      <c r="AZ1202" s="101"/>
      <c r="BA1202" s="100"/>
      <c r="BB1202" s="100"/>
      <c r="BC1202" s="100"/>
      <c r="BD1202" s="100"/>
      <c r="BE1202" s="100"/>
      <c r="BF1202" s="100"/>
      <c r="BG1202" s="100"/>
      <c r="BH1202" s="100"/>
      <c r="BI1202" s="100"/>
      <c r="BJ1202" s="100"/>
      <c r="BK1202" s="102"/>
      <c r="BN1202" s="36"/>
    </row>
    <row r="1203" spans="1:66" x14ac:dyDescent="0.25">
      <c r="A1203" s="92"/>
      <c r="B1203" s="92"/>
      <c r="C1203" s="92"/>
      <c r="D1203" s="92"/>
      <c r="E1203" s="92"/>
      <c r="F1203" s="92"/>
      <c r="G1203" s="92"/>
      <c r="H1203" s="92"/>
      <c r="I1203" s="92"/>
      <c r="J1203" s="92"/>
      <c r="K1203" s="92"/>
      <c r="L1203" s="92"/>
      <c r="M1203" s="92"/>
      <c r="N1203" s="92"/>
      <c r="AG1203" s="100"/>
      <c r="AH1203" s="101"/>
      <c r="AI1203" s="101"/>
      <c r="AJ1203" s="100"/>
      <c r="AK1203" s="100"/>
      <c r="AL1203" s="100"/>
      <c r="AM1203" s="100"/>
      <c r="AN1203" s="100"/>
      <c r="AO1203" s="100"/>
      <c r="AP1203" s="100"/>
      <c r="AQ1203" s="100"/>
      <c r="AR1203" s="100"/>
      <c r="AS1203" s="100"/>
      <c r="AT1203" s="102"/>
      <c r="AX1203" s="100"/>
      <c r="AY1203" s="101"/>
      <c r="AZ1203" s="101"/>
      <c r="BA1203" s="101"/>
      <c r="BB1203" s="100"/>
      <c r="BC1203" s="100"/>
      <c r="BD1203" s="100"/>
      <c r="BE1203" s="100"/>
      <c r="BF1203" s="100"/>
      <c r="BG1203" s="100"/>
      <c r="BH1203" s="100"/>
      <c r="BI1203" s="100"/>
      <c r="BJ1203" s="100"/>
      <c r="BK1203" s="102"/>
      <c r="BN1203" s="36"/>
    </row>
    <row r="1204" spans="1:66" x14ac:dyDescent="0.25">
      <c r="A1204" s="92"/>
      <c r="B1204" s="92"/>
      <c r="C1204" s="92"/>
      <c r="D1204" s="92"/>
      <c r="E1204" s="92"/>
      <c r="F1204" s="92"/>
      <c r="G1204" s="92"/>
      <c r="H1204" s="92"/>
      <c r="I1204" s="92"/>
      <c r="J1204" s="92"/>
      <c r="K1204" s="92"/>
      <c r="L1204" s="92"/>
      <c r="M1204" s="92"/>
      <c r="N1204" s="92"/>
      <c r="AG1204" s="100"/>
      <c r="AH1204" s="101"/>
      <c r="AI1204" s="101"/>
      <c r="AJ1204" s="100"/>
      <c r="AK1204" s="100"/>
      <c r="AL1204" s="100"/>
      <c r="AM1204" s="100"/>
      <c r="AN1204" s="100"/>
      <c r="AO1204" s="100"/>
      <c r="AP1204" s="100"/>
      <c r="AQ1204" s="100"/>
      <c r="AR1204" s="100"/>
      <c r="AS1204" s="100"/>
      <c r="AT1204" s="102"/>
      <c r="AX1204" s="100"/>
      <c r="AY1204" s="101"/>
      <c r="AZ1204" s="101"/>
      <c r="BA1204" s="100"/>
      <c r="BB1204" s="100"/>
      <c r="BC1204" s="100"/>
      <c r="BD1204" s="100"/>
      <c r="BE1204" s="100"/>
      <c r="BF1204" s="100"/>
      <c r="BG1204" s="100"/>
      <c r="BH1204" s="100"/>
      <c r="BI1204" s="100"/>
      <c r="BJ1204" s="100"/>
      <c r="BK1204" s="102"/>
      <c r="BN1204" s="36"/>
    </row>
    <row r="1205" spans="1:66" x14ac:dyDescent="0.25">
      <c r="A1205" s="92"/>
      <c r="B1205" s="92"/>
      <c r="C1205" s="92"/>
      <c r="D1205" s="92"/>
      <c r="E1205" s="92"/>
      <c r="F1205" s="92"/>
      <c r="G1205" s="92"/>
      <c r="H1205" s="92"/>
      <c r="I1205" s="92"/>
      <c r="J1205" s="92"/>
      <c r="K1205" s="92"/>
      <c r="L1205" s="92"/>
      <c r="M1205" s="92"/>
      <c r="N1205" s="92"/>
      <c r="AG1205" s="100"/>
      <c r="AH1205" s="101"/>
      <c r="AI1205" s="101"/>
      <c r="AJ1205" s="100"/>
      <c r="AK1205" s="100"/>
      <c r="AL1205" s="100"/>
      <c r="AM1205" s="100"/>
      <c r="AN1205" s="100"/>
      <c r="AO1205" s="100"/>
      <c r="AP1205" s="100"/>
      <c r="AQ1205" s="100"/>
      <c r="AR1205" s="100"/>
      <c r="AS1205" s="100"/>
      <c r="AT1205" s="102"/>
      <c r="AX1205" s="100"/>
      <c r="AY1205" s="101"/>
      <c r="AZ1205" s="101"/>
      <c r="BA1205" s="100"/>
      <c r="BB1205" s="100"/>
      <c r="BC1205" s="100"/>
      <c r="BD1205" s="100"/>
      <c r="BE1205" s="100"/>
      <c r="BF1205" s="100"/>
      <c r="BG1205" s="100"/>
      <c r="BH1205" s="100"/>
      <c r="BI1205" s="100"/>
      <c r="BJ1205" s="100"/>
      <c r="BK1205" s="102"/>
      <c r="BN1205" s="36"/>
    </row>
    <row r="1206" spans="1:66" x14ac:dyDescent="0.25">
      <c r="A1206" s="92"/>
      <c r="B1206" s="92"/>
      <c r="C1206" s="92"/>
      <c r="D1206" s="92"/>
      <c r="E1206" s="92"/>
      <c r="F1206" s="92"/>
      <c r="G1206" s="92"/>
      <c r="H1206" s="92"/>
      <c r="I1206" s="92"/>
      <c r="J1206" s="92"/>
      <c r="K1206" s="92"/>
      <c r="L1206" s="92"/>
      <c r="M1206" s="92"/>
      <c r="N1206" s="92"/>
      <c r="AG1206" s="100"/>
      <c r="AH1206" s="101"/>
      <c r="AI1206" s="101"/>
      <c r="AJ1206" s="101"/>
      <c r="AK1206" s="100"/>
      <c r="AL1206" s="100"/>
      <c r="AM1206" s="100"/>
      <c r="AN1206" s="100"/>
      <c r="AO1206" s="100"/>
      <c r="AP1206" s="100"/>
      <c r="AQ1206" s="100"/>
      <c r="AR1206" s="100"/>
      <c r="AS1206" s="100"/>
      <c r="AT1206" s="102"/>
      <c r="AX1206" s="100"/>
      <c r="AY1206" s="101"/>
      <c r="AZ1206" s="101"/>
      <c r="BA1206" s="100"/>
      <c r="BB1206" s="100"/>
      <c r="BC1206" s="100"/>
      <c r="BD1206" s="100"/>
      <c r="BE1206" s="100"/>
      <c r="BF1206" s="100"/>
      <c r="BG1206" s="100"/>
      <c r="BH1206" s="100"/>
      <c r="BI1206" s="100"/>
      <c r="BJ1206" s="100"/>
      <c r="BK1206" s="102"/>
      <c r="BN1206" s="36"/>
    </row>
    <row r="1207" spans="1:66" x14ac:dyDescent="0.25">
      <c r="A1207" s="92"/>
      <c r="B1207" s="92"/>
      <c r="C1207" s="92"/>
      <c r="D1207" s="92"/>
      <c r="E1207" s="92"/>
      <c r="F1207" s="92"/>
      <c r="G1207" s="92"/>
      <c r="H1207" s="92"/>
      <c r="I1207" s="92"/>
      <c r="J1207" s="92"/>
      <c r="K1207" s="92"/>
      <c r="L1207" s="92"/>
      <c r="M1207" s="92"/>
      <c r="N1207" s="92"/>
      <c r="AG1207" s="100"/>
      <c r="AH1207" s="101"/>
      <c r="AI1207" s="101"/>
      <c r="AJ1207" s="101"/>
      <c r="AK1207" s="100"/>
      <c r="AL1207" s="100"/>
      <c r="AM1207" s="100"/>
      <c r="AN1207" s="100"/>
      <c r="AO1207" s="100"/>
      <c r="AP1207" s="100"/>
      <c r="AQ1207" s="100"/>
      <c r="AR1207" s="100"/>
      <c r="AS1207" s="100"/>
      <c r="AT1207" s="102"/>
      <c r="AX1207" s="100"/>
      <c r="AY1207" s="101"/>
      <c r="AZ1207" s="101"/>
      <c r="BA1207" s="100"/>
      <c r="BB1207" s="100"/>
      <c r="BC1207" s="100"/>
      <c r="BD1207" s="100"/>
      <c r="BE1207" s="100"/>
      <c r="BF1207" s="100"/>
      <c r="BG1207" s="100"/>
      <c r="BH1207" s="100"/>
      <c r="BI1207" s="100"/>
      <c r="BJ1207" s="100"/>
      <c r="BK1207" s="102"/>
      <c r="BN1207" s="36"/>
    </row>
    <row r="1208" spans="1:66" x14ac:dyDescent="0.25">
      <c r="A1208" s="92"/>
      <c r="B1208" s="92"/>
      <c r="C1208" s="92"/>
      <c r="D1208" s="92"/>
      <c r="E1208" s="92"/>
      <c r="F1208" s="92"/>
      <c r="G1208" s="92"/>
      <c r="H1208" s="92"/>
      <c r="I1208" s="92"/>
      <c r="J1208" s="92"/>
      <c r="K1208" s="92"/>
      <c r="L1208" s="92"/>
      <c r="M1208" s="92"/>
      <c r="N1208" s="92"/>
      <c r="AG1208" s="100"/>
      <c r="AH1208" s="101"/>
      <c r="AI1208" s="101"/>
      <c r="AJ1208" s="100"/>
      <c r="AK1208" s="100"/>
      <c r="AL1208" s="100"/>
      <c r="AM1208" s="100"/>
      <c r="AN1208" s="100"/>
      <c r="AO1208" s="100"/>
      <c r="AP1208" s="100"/>
      <c r="AQ1208" s="100"/>
      <c r="AR1208" s="100"/>
      <c r="AS1208" s="100"/>
      <c r="AT1208" s="102"/>
      <c r="AX1208" s="100"/>
      <c r="AY1208" s="101"/>
      <c r="AZ1208" s="101"/>
      <c r="BA1208" s="100"/>
      <c r="BB1208" s="100"/>
      <c r="BC1208" s="100"/>
      <c r="BD1208" s="100"/>
      <c r="BE1208" s="100"/>
      <c r="BF1208" s="100"/>
      <c r="BG1208" s="100"/>
      <c r="BH1208" s="100"/>
      <c r="BI1208" s="100"/>
      <c r="BJ1208" s="100"/>
      <c r="BK1208" s="102"/>
      <c r="BN1208" s="36"/>
    </row>
    <row r="1209" spans="1:66" x14ac:dyDescent="0.25">
      <c r="A1209" s="92"/>
      <c r="B1209" s="92"/>
      <c r="C1209" s="92"/>
      <c r="D1209" s="92"/>
      <c r="E1209" s="92"/>
      <c r="F1209" s="92"/>
      <c r="G1209" s="92"/>
      <c r="H1209" s="92"/>
      <c r="I1209" s="92"/>
      <c r="J1209" s="92"/>
      <c r="K1209" s="92"/>
      <c r="L1209" s="92"/>
      <c r="M1209" s="92"/>
      <c r="N1209" s="92"/>
      <c r="AG1209" s="100"/>
      <c r="AH1209" s="101"/>
      <c r="AI1209" s="101"/>
      <c r="AJ1209" s="100"/>
      <c r="AK1209" s="100"/>
      <c r="AL1209" s="100"/>
      <c r="AM1209" s="100"/>
      <c r="AN1209" s="100"/>
      <c r="AO1209" s="100"/>
      <c r="AP1209" s="100"/>
      <c r="AQ1209" s="100"/>
      <c r="AR1209" s="100"/>
      <c r="AS1209" s="100"/>
      <c r="AT1209" s="102"/>
      <c r="AX1209" s="100"/>
      <c r="AY1209" s="101"/>
      <c r="AZ1209" s="101"/>
      <c r="BA1209" s="101"/>
      <c r="BB1209" s="100"/>
      <c r="BC1209" s="100"/>
      <c r="BD1209" s="100"/>
      <c r="BE1209" s="100"/>
      <c r="BF1209" s="100"/>
      <c r="BG1209" s="100"/>
      <c r="BH1209" s="100"/>
      <c r="BI1209" s="100"/>
      <c r="BJ1209" s="100"/>
      <c r="BK1209" s="102"/>
      <c r="BN1209" s="36"/>
    </row>
    <row r="1210" spans="1:66" x14ac:dyDescent="0.25">
      <c r="A1210" s="92"/>
      <c r="B1210" s="93"/>
      <c r="C1210" s="93"/>
      <c r="D1210" s="92"/>
      <c r="E1210" s="92"/>
      <c r="F1210" s="92"/>
      <c r="G1210" s="92"/>
      <c r="H1210" s="92"/>
      <c r="I1210" s="92"/>
      <c r="J1210" s="92"/>
      <c r="K1210" s="92"/>
      <c r="L1210" s="92"/>
      <c r="M1210" s="92"/>
      <c r="N1210" s="94"/>
      <c r="AG1210" s="100"/>
      <c r="AH1210" s="101"/>
      <c r="AI1210" s="101"/>
      <c r="AJ1210" s="100"/>
      <c r="AK1210" s="100"/>
      <c r="AL1210" s="100"/>
      <c r="AM1210" s="100"/>
      <c r="AN1210" s="100"/>
      <c r="AO1210" s="100"/>
      <c r="AP1210" s="100"/>
      <c r="AQ1210" s="100"/>
      <c r="AR1210" s="100"/>
      <c r="AS1210" s="100"/>
      <c r="AT1210" s="102"/>
      <c r="AX1210" s="100"/>
      <c r="AY1210" s="101"/>
      <c r="AZ1210" s="101"/>
      <c r="BA1210" s="100"/>
      <c r="BB1210" s="100"/>
      <c r="BC1210" s="100"/>
      <c r="BD1210" s="100"/>
      <c r="BE1210" s="100"/>
      <c r="BF1210" s="100"/>
      <c r="BG1210" s="100"/>
      <c r="BH1210" s="100"/>
      <c r="BI1210" s="100"/>
      <c r="BJ1210" s="100"/>
      <c r="BK1210" s="102"/>
      <c r="BN1210" s="36"/>
    </row>
    <row r="1211" spans="1:66" x14ac:dyDescent="0.25">
      <c r="A1211" s="92"/>
      <c r="B1211" s="92"/>
      <c r="C1211" s="92"/>
      <c r="D1211" s="92"/>
      <c r="E1211" s="92"/>
      <c r="F1211" s="92"/>
      <c r="G1211" s="92"/>
      <c r="H1211" s="92"/>
      <c r="I1211" s="92"/>
      <c r="J1211" s="92"/>
      <c r="K1211" s="92"/>
      <c r="L1211" s="92"/>
      <c r="M1211" s="92"/>
      <c r="N1211" s="92"/>
      <c r="AG1211" s="100"/>
      <c r="AH1211" s="101"/>
      <c r="AI1211" s="101"/>
      <c r="AJ1211" s="100"/>
      <c r="AK1211" s="100"/>
      <c r="AL1211" s="100"/>
      <c r="AM1211" s="100"/>
      <c r="AN1211" s="100"/>
      <c r="AO1211" s="100"/>
      <c r="AP1211" s="100"/>
      <c r="AQ1211" s="100"/>
      <c r="AR1211" s="100"/>
      <c r="AS1211" s="100"/>
      <c r="AT1211" s="102"/>
      <c r="AX1211" s="100"/>
      <c r="AY1211" s="101"/>
      <c r="AZ1211" s="101"/>
      <c r="BA1211" s="101"/>
      <c r="BB1211" s="100"/>
      <c r="BC1211" s="100"/>
      <c r="BD1211" s="100"/>
      <c r="BE1211" s="100"/>
      <c r="BF1211" s="100"/>
      <c r="BG1211" s="100"/>
      <c r="BH1211" s="100"/>
      <c r="BI1211" s="100"/>
      <c r="BJ1211" s="100"/>
      <c r="BK1211" s="102"/>
      <c r="BN1211" s="36"/>
    </row>
    <row r="1212" spans="1:66" x14ac:dyDescent="0.25">
      <c r="A1212" s="92"/>
      <c r="B1212" s="92"/>
      <c r="C1212" s="92"/>
      <c r="D1212" s="92"/>
      <c r="E1212" s="92"/>
      <c r="F1212" s="92"/>
      <c r="G1212" s="92"/>
      <c r="H1212" s="92"/>
      <c r="I1212" s="92"/>
      <c r="J1212" s="92"/>
      <c r="K1212" s="92"/>
      <c r="L1212" s="92"/>
      <c r="M1212" s="92"/>
      <c r="N1212" s="92"/>
      <c r="AG1212" s="100"/>
      <c r="AH1212" s="101"/>
      <c r="AI1212" s="101"/>
      <c r="AJ1212" s="100"/>
      <c r="AK1212" s="100"/>
      <c r="AL1212" s="100"/>
      <c r="AM1212" s="100"/>
      <c r="AN1212" s="100"/>
      <c r="AO1212" s="100"/>
      <c r="AP1212" s="100"/>
      <c r="AQ1212" s="100"/>
      <c r="AR1212" s="100"/>
      <c r="AS1212" s="100"/>
      <c r="AT1212" s="102"/>
      <c r="AX1212" s="100"/>
      <c r="AY1212" s="101"/>
      <c r="AZ1212" s="101"/>
      <c r="BA1212" s="100"/>
      <c r="BB1212" s="100"/>
      <c r="BC1212" s="100"/>
      <c r="BD1212" s="100"/>
      <c r="BE1212" s="100"/>
      <c r="BF1212" s="100"/>
      <c r="BG1212" s="100"/>
      <c r="BH1212" s="100"/>
      <c r="BI1212" s="100"/>
      <c r="BJ1212" s="100"/>
      <c r="BK1212" s="102"/>
      <c r="BN1212" s="36"/>
    </row>
    <row r="1213" spans="1:66" x14ac:dyDescent="0.25">
      <c r="A1213" s="92"/>
      <c r="B1213" s="92"/>
      <c r="C1213" s="92"/>
      <c r="D1213" s="92"/>
      <c r="E1213" s="92"/>
      <c r="F1213" s="92"/>
      <c r="G1213" s="92"/>
      <c r="H1213" s="92"/>
      <c r="I1213" s="92"/>
      <c r="J1213" s="92"/>
      <c r="K1213" s="92"/>
      <c r="L1213" s="92"/>
      <c r="M1213" s="92"/>
      <c r="N1213" s="92"/>
      <c r="AG1213" s="100"/>
      <c r="AH1213" s="101"/>
      <c r="AI1213" s="101"/>
      <c r="AJ1213" s="100"/>
      <c r="AK1213" s="100"/>
      <c r="AL1213" s="100"/>
      <c r="AM1213" s="100"/>
      <c r="AN1213" s="100"/>
      <c r="AO1213" s="100"/>
      <c r="AP1213" s="100"/>
      <c r="AQ1213" s="100"/>
      <c r="AR1213" s="100"/>
      <c r="AS1213" s="100"/>
      <c r="AT1213" s="102"/>
      <c r="AX1213" s="100"/>
      <c r="AY1213" s="101"/>
      <c r="AZ1213" s="101"/>
      <c r="BA1213" s="100"/>
      <c r="BB1213" s="100"/>
      <c r="BC1213" s="100"/>
      <c r="BD1213" s="100"/>
      <c r="BE1213" s="100"/>
      <c r="BF1213" s="100"/>
      <c r="BG1213" s="100"/>
      <c r="BH1213" s="100"/>
      <c r="BI1213" s="100"/>
      <c r="BJ1213" s="100"/>
      <c r="BK1213" s="102"/>
      <c r="BN1213" s="36"/>
    </row>
    <row r="1214" spans="1:66" x14ac:dyDescent="0.25">
      <c r="A1214" s="92"/>
      <c r="B1214" s="92"/>
      <c r="C1214" s="92"/>
      <c r="D1214" s="92"/>
      <c r="E1214" s="92"/>
      <c r="F1214" s="92"/>
      <c r="G1214" s="92"/>
      <c r="H1214" s="92"/>
      <c r="I1214" s="92"/>
      <c r="J1214" s="92"/>
      <c r="K1214" s="92"/>
      <c r="L1214" s="92"/>
      <c r="M1214" s="92"/>
      <c r="N1214" s="92"/>
      <c r="AG1214" s="100"/>
      <c r="AH1214" s="101"/>
      <c r="AI1214" s="101"/>
      <c r="AJ1214" s="100"/>
      <c r="AK1214" s="100"/>
      <c r="AL1214" s="100"/>
      <c r="AM1214" s="100"/>
      <c r="AN1214" s="100"/>
      <c r="AO1214" s="100"/>
      <c r="AP1214" s="100"/>
      <c r="AQ1214" s="100"/>
      <c r="AR1214" s="100"/>
      <c r="AS1214" s="100"/>
      <c r="AT1214" s="102"/>
      <c r="AX1214" s="100"/>
      <c r="AY1214" s="101"/>
      <c r="AZ1214" s="101"/>
      <c r="BA1214" s="100"/>
      <c r="BB1214" s="100"/>
      <c r="BC1214" s="100"/>
      <c r="BD1214" s="100"/>
      <c r="BE1214" s="100"/>
      <c r="BF1214" s="100"/>
      <c r="BG1214" s="100"/>
      <c r="BH1214" s="100"/>
      <c r="BI1214" s="100"/>
      <c r="BJ1214" s="100"/>
      <c r="BK1214" s="102"/>
      <c r="BN1214" s="36"/>
    </row>
    <row r="1215" spans="1:66" x14ac:dyDescent="0.25">
      <c r="A1215" s="92"/>
      <c r="B1215" s="93"/>
      <c r="C1215" s="93"/>
      <c r="D1215" s="92"/>
      <c r="E1215" s="92"/>
      <c r="F1215" s="92"/>
      <c r="G1215" s="92"/>
      <c r="H1215" s="92"/>
      <c r="I1215" s="92"/>
      <c r="J1215" s="92"/>
      <c r="K1215" s="92"/>
      <c r="L1215" s="92"/>
      <c r="M1215" s="92"/>
      <c r="N1215" s="94"/>
      <c r="AG1215" s="100"/>
      <c r="AH1215" s="101"/>
      <c r="AI1215" s="101"/>
      <c r="AJ1215" s="100"/>
      <c r="AK1215" s="100"/>
      <c r="AL1215" s="100"/>
      <c r="AM1215" s="100"/>
      <c r="AN1215" s="100"/>
      <c r="AO1215" s="100"/>
      <c r="AP1215" s="100"/>
      <c r="AQ1215" s="100"/>
      <c r="AR1215" s="100"/>
      <c r="AS1215" s="100"/>
      <c r="AT1215" s="102"/>
      <c r="AX1215" s="100"/>
      <c r="AY1215" s="101"/>
      <c r="AZ1215" s="101"/>
      <c r="BA1215" s="100"/>
      <c r="BB1215" s="100"/>
      <c r="BC1215" s="100"/>
      <c r="BD1215" s="100"/>
      <c r="BE1215" s="100"/>
      <c r="BF1215" s="100"/>
      <c r="BG1215" s="100"/>
      <c r="BH1215" s="100"/>
      <c r="BI1215" s="100"/>
      <c r="BJ1215" s="100"/>
      <c r="BK1215" s="102"/>
      <c r="BN1215" s="36"/>
    </row>
    <row r="1216" spans="1:66" x14ac:dyDescent="0.25">
      <c r="A1216" s="92"/>
      <c r="B1216" s="92"/>
      <c r="C1216" s="92"/>
      <c r="D1216" s="92"/>
      <c r="E1216" s="92"/>
      <c r="F1216" s="92"/>
      <c r="G1216" s="92"/>
      <c r="H1216" s="92"/>
      <c r="I1216" s="92"/>
      <c r="J1216" s="92"/>
      <c r="K1216" s="92"/>
      <c r="L1216" s="92"/>
      <c r="M1216" s="92"/>
      <c r="N1216" s="92"/>
      <c r="AG1216" s="100"/>
      <c r="AH1216" s="101"/>
      <c r="AI1216" s="101"/>
      <c r="AJ1216" s="100"/>
      <c r="AK1216" s="100"/>
      <c r="AL1216" s="100"/>
      <c r="AM1216" s="100"/>
      <c r="AN1216" s="100"/>
      <c r="AO1216" s="100"/>
      <c r="AP1216" s="100"/>
      <c r="AQ1216" s="100"/>
      <c r="AR1216" s="100"/>
      <c r="AS1216" s="100"/>
      <c r="AT1216" s="102"/>
      <c r="AX1216" s="100"/>
      <c r="AY1216" s="101"/>
      <c r="AZ1216" s="101"/>
      <c r="BA1216" s="100"/>
      <c r="BB1216" s="100"/>
      <c r="BC1216" s="100"/>
      <c r="BD1216" s="100"/>
      <c r="BE1216" s="100"/>
      <c r="BF1216" s="100"/>
      <c r="BG1216" s="100"/>
      <c r="BH1216" s="100"/>
      <c r="BI1216" s="100"/>
      <c r="BJ1216" s="100"/>
      <c r="BK1216" s="102"/>
      <c r="BN1216" s="36"/>
    </row>
    <row r="1217" spans="1:66" x14ac:dyDescent="0.25">
      <c r="A1217" s="92"/>
      <c r="B1217" s="92"/>
      <c r="C1217" s="92"/>
      <c r="D1217" s="92"/>
      <c r="E1217" s="92"/>
      <c r="F1217" s="92"/>
      <c r="G1217" s="92"/>
      <c r="H1217" s="92"/>
      <c r="I1217" s="92"/>
      <c r="J1217" s="92"/>
      <c r="K1217" s="92"/>
      <c r="L1217" s="92"/>
      <c r="M1217" s="92"/>
      <c r="N1217" s="92"/>
      <c r="AG1217" s="100"/>
      <c r="AH1217" s="101"/>
      <c r="AI1217" s="101"/>
      <c r="AJ1217" s="100"/>
      <c r="AK1217" s="100"/>
      <c r="AL1217" s="100"/>
      <c r="AM1217" s="100"/>
      <c r="AN1217" s="100"/>
      <c r="AO1217" s="100"/>
      <c r="AP1217" s="100"/>
      <c r="AQ1217" s="100"/>
      <c r="AR1217" s="100"/>
      <c r="AS1217" s="100"/>
      <c r="AT1217" s="102"/>
      <c r="AX1217" s="100"/>
      <c r="AY1217" s="101"/>
      <c r="AZ1217" s="101"/>
      <c r="BA1217" s="100"/>
      <c r="BB1217" s="100"/>
      <c r="BC1217" s="100"/>
      <c r="BD1217" s="100"/>
      <c r="BE1217" s="100"/>
      <c r="BF1217" s="100"/>
      <c r="BG1217" s="100"/>
      <c r="BH1217" s="100"/>
      <c r="BI1217" s="100"/>
      <c r="BJ1217" s="100"/>
      <c r="BK1217" s="102"/>
      <c r="BN1217" s="36"/>
    </row>
    <row r="1218" spans="1:66" x14ac:dyDescent="0.25">
      <c r="A1218" s="92"/>
      <c r="B1218" s="92"/>
      <c r="C1218" s="92"/>
      <c r="D1218" s="92"/>
      <c r="E1218" s="92"/>
      <c r="F1218" s="92"/>
      <c r="G1218" s="92"/>
      <c r="H1218" s="92"/>
      <c r="I1218" s="92"/>
      <c r="J1218" s="92"/>
      <c r="K1218" s="92"/>
      <c r="L1218" s="92"/>
      <c r="M1218" s="92"/>
      <c r="N1218" s="92"/>
      <c r="AG1218" s="100"/>
      <c r="AH1218" s="101"/>
      <c r="AI1218" s="101"/>
      <c r="AJ1218" s="100"/>
      <c r="AK1218" s="100"/>
      <c r="AL1218" s="100"/>
      <c r="AM1218" s="100"/>
      <c r="AN1218" s="100"/>
      <c r="AO1218" s="100"/>
      <c r="AP1218" s="100"/>
      <c r="AQ1218" s="100"/>
      <c r="AR1218" s="100"/>
      <c r="AS1218" s="100"/>
      <c r="AT1218" s="102"/>
      <c r="AX1218" s="100"/>
      <c r="AY1218" s="101"/>
      <c r="AZ1218" s="101"/>
      <c r="BA1218" s="101"/>
      <c r="BB1218" s="100"/>
      <c r="BC1218" s="100"/>
      <c r="BD1218" s="100"/>
      <c r="BE1218" s="100"/>
      <c r="BF1218" s="100"/>
      <c r="BG1218" s="100"/>
      <c r="BH1218" s="100"/>
      <c r="BI1218" s="100"/>
      <c r="BJ1218" s="100"/>
      <c r="BK1218" s="102"/>
      <c r="BN1218" s="36"/>
    </row>
    <row r="1219" spans="1:66" x14ac:dyDescent="0.25">
      <c r="A1219" s="92"/>
      <c r="B1219" s="93"/>
      <c r="C1219" s="93"/>
      <c r="D1219" s="92"/>
      <c r="E1219" s="92"/>
      <c r="F1219" s="92"/>
      <c r="G1219" s="92"/>
      <c r="H1219" s="92"/>
      <c r="I1219" s="92"/>
      <c r="J1219" s="92"/>
      <c r="K1219" s="92"/>
      <c r="L1219" s="92"/>
      <c r="M1219" s="92"/>
      <c r="N1219" s="94"/>
      <c r="AG1219" s="100"/>
      <c r="AH1219" s="101"/>
      <c r="AI1219" s="101"/>
      <c r="AJ1219" s="101"/>
      <c r="AK1219" s="100"/>
      <c r="AL1219" s="100"/>
      <c r="AM1219" s="100"/>
      <c r="AN1219" s="100"/>
      <c r="AO1219" s="100"/>
      <c r="AP1219" s="100"/>
      <c r="AQ1219" s="100"/>
      <c r="AR1219" s="100"/>
      <c r="AS1219" s="100"/>
      <c r="AT1219" s="102"/>
      <c r="AX1219" s="100"/>
      <c r="AY1219" s="101"/>
      <c r="AZ1219" s="101"/>
      <c r="BA1219" s="100"/>
      <c r="BB1219" s="100"/>
      <c r="BC1219" s="100"/>
      <c r="BD1219" s="100"/>
      <c r="BE1219" s="100"/>
      <c r="BF1219" s="100"/>
      <c r="BG1219" s="100"/>
      <c r="BH1219" s="100"/>
      <c r="BI1219" s="100"/>
      <c r="BJ1219" s="100"/>
      <c r="BK1219" s="102"/>
      <c r="BN1219" s="36"/>
    </row>
    <row r="1220" spans="1:66" x14ac:dyDescent="0.25">
      <c r="A1220" s="92"/>
      <c r="B1220" s="93"/>
      <c r="C1220" s="93"/>
      <c r="D1220" s="92"/>
      <c r="E1220" s="92"/>
      <c r="F1220" s="92"/>
      <c r="G1220" s="92"/>
      <c r="H1220" s="92"/>
      <c r="I1220" s="92"/>
      <c r="J1220" s="92"/>
      <c r="K1220" s="92"/>
      <c r="L1220" s="92"/>
      <c r="M1220" s="92"/>
      <c r="N1220" s="94"/>
      <c r="AG1220" s="100"/>
      <c r="AH1220" s="101"/>
      <c r="AI1220" s="101"/>
      <c r="AJ1220" s="101"/>
      <c r="AK1220" s="100"/>
      <c r="AL1220" s="100"/>
      <c r="AM1220" s="100"/>
      <c r="AN1220" s="100"/>
      <c r="AO1220" s="100"/>
      <c r="AP1220" s="100"/>
      <c r="AQ1220" s="100"/>
      <c r="AR1220" s="100"/>
      <c r="AS1220" s="100"/>
      <c r="AT1220" s="102"/>
      <c r="AX1220" s="100"/>
      <c r="AY1220" s="101"/>
      <c r="AZ1220" s="101"/>
      <c r="BA1220" s="100"/>
      <c r="BB1220" s="100"/>
      <c r="BC1220" s="100"/>
      <c r="BD1220" s="100"/>
      <c r="BE1220" s="100"/>
      <c r="BF1220" s="100"/>
      <c r="BG1220" s="100"/>
      <c r="BH1220" s="100"/>
      <c r="BI1220" s="100"/>
      <c r="BJ1220" s="100"/>
      <c r="BK1220" s="102"/>
      <c r="BN1220" s="36"/>
    </row>
    <row r="1221" spans="1:66" x14ac:dyDescent="0.25">
      <c r="A1221" s="92"/>
      <c r="B1221" s="92"/>
      <c r="C1221" s="92"/>
      <c r="D1221" s="92"/>
      <c r="E1221" s="92"/>
      <c r="F1221" s="92"/>
      <c r="G1221" s="92"/>
      <c r="H1221" s="92"/>
      <c r="I1221" s="92"/>
      <c r="J1221" s="92"/>
      <c r="K1221" s="92"/>
      <c r="L1221" s="92"/>
      <c r="M1221" s="92"/>
      <c r="N1221" s="92"/>
      <c r="AG1221" s="100"/>
      <c r="AH1221" s="101"/>
      <c r="AI1221" s="101"/>
      <c r="AJ1221" s="100"/>
      <c r="AK1221" s="100"/>
      <c r="AL1221" s="100"/>
      <c r="AM1221" s="100"/>
      <c r="AN1221" s="100"/>
      <c r="AO1221" s="100"/>
      <c r="AP1221" s="100"/>
      <c r="AQ1221" s="100"/>
      <c r="AR1221" s="100"/>
      <c r="AS1221" s="100"/>
      <c r="AT1221" s="102"/>
      <c r="AX1221" s="100"/>
      <c r="AY1221" s="101"/>
      <c r="AZ1221" s="101"/>
      <c r="BA1221" s="100"/>
      <c r="BB1221" s="100"/>
      <c r="BC1221" s="100"/>
      <c r="BD1221" s="100"/>
      <c r="BE1221" s="100"/>
      <c r="BF1221" s="100"/>
      <c r="BG1221" s="100"/>
      <c r="BH1221" s="100"/>
      <c r="BI1221" s="100"/>
      <c r="BJ1221" s="100"/>
      <c r="BK1221" s="102"/>
      <c r="BN1221" s="36"/>
    </row>
    <row r="1222" spans="1:66" x14ac:dyDescent="0.25">
      <c r="A1222" s="92"/>
      <c r="B1222" s="92"/>
      <c r="C1222" s="92"/>
      <c r="D1222" s="92"/>
      <c r="E1222" s="92"/>
      <c r="F1222" s="92"/>
      <c r="G1222" s="92"/>
      <c r="H1222" s="92"/>
      <c r="I1222" s="92"/>
      <c r="J1222" s="92"/>
      <c r="K1222" s="92"/>
      <c r="L1222" s="92"/>
      <c r="M1222" s="92"/>
      <c r="N1222" s="92"/>
      <c r="AG1222" s="100"/>
      <c r="AH1222" s="101"/>
      <c r="AI1222" s="101"/>
      <c r="AJ1222" s="100"/>
      <c r="AK1222" s="100"/>
      <c r="AL1222" s="100"/>
      <c r="AM1222" s="100"/>
      <c r="AN1222" s="100"/>
      <c r="AO1222" s="100"/>
      <c r="AP1222" s="100"/>
      <c r="AQ1222" s="100"/>
      <c r="AR1222" s="100"/>
      <c r="AS1222" s="100"/>
      <c r="AT1222" s="102"/>
      <c r="AX1222" s="100"/>
      <c r="AY1222" s="101"/>
      <c r="AZ1222" s="101"/>
      <c r="BA1222" s="100"/>
      <c r="BB1222" s="100"/>
      <c r="BC1222" s="100"/>
      <c r="BD1222" s="100"/>
      <c r="BE1222" s="100"/>
      <c r="BF1222" s="100"/>
      <c r="BG1222" s="100"/>
      <c r="BH1222" s="100"/>
      <c r="BI1222" s="100"/>
      <c r="BJ1222" s="100"/>
      <c r="BK1222" s="102"/>
    </row>
    <row r="1223" spans="1:66" x14ac:dyDescent="0.25">
      <c r="A1223" s="92"/>
      <c r="B1223" s="92"/>
      <c r="C1223" s="92"/>
      <c r="D1223" s="92"/>
      <c r="E1223" s="92"/>
      <c r="F1223" s="92"/>
      <c r="G1223" s="92"/>
      <c r="H1223" s="92"/>
      <c r="I1223" s="92"/>
      <c r="J1223" s="92"/>
      <c r="K1223" s="92"/>
      <c r="L1223" s="92"/>
      <c r="M1223" s="92"/>
      <c r="N1223" s="92"/>
      <c r="AG1223" s="100"/>
      <c r="AH1223" s="101"/>
      <c r="AI1223" s="101"/>
      <c r="AJ1223" s="101"/>
      <c r="AK1223" s="100"/>
      <c r="AL1223" s="100"/>
      <c r="AM1223" s="100"/>
      <c r="AN1223" s="100"/>
      <c r="AO1223" s="100"/>
      <c r="AP1223" s="100"/>
      <c r="AQ1223" s="100"/>
      <c r="AR1223" s="100"/>
      <c r="AS1223" s="100"/>
      <c r="AT1223" s="102"/>
      <c r="AX1223" s="100"/>
      <c r="AY1223" s="101"/>
      <c r="AZ1223" s="101"/>
      <c r="BA1223" s="100"/>
      <c r="BB1223" s="100"/>
      <c r="BC1223" s="100"/>
      <c r="BD1223" s="100"/>
      <c r="BE1223" s="100"/>
      <c r="BF1223" s="100"/>
      <c r="BG1223" s="100"/>
      <c r="BH1223" s="100"/>
      <c r="BI1223" s="100"/>
      <c r="BJ1223" s="100"/>
      <c r="BK1223" s="102"/>
    </row>
    <row r="1224" spans="1:66" x14ac:dyDescent="0.25">
      <c r="A1224" s="92"/>
      <c r="B1224" s="93"/>
      <c r="C1224" s="93"/>
      <c r="D1224" s="92"/>
      <c r="E1224" s="92"/>
      <c r="F1224" s="92"/>
      <c r="G1224" s="92"/>
      <c r="H1224" s="92"/>
      <c r="I1224" s="92"/>
      <c r="J1224" s="92"/>
      <c r="K1224" s="92"/>
      <c r="L1224" s="92"/>
      <c r="M1224" s="92"/>
      <c r="N1224" s="94"/>
      <c r="AG1224" s="100"/>
      <c r="AH1224" s="101"/>
      <c r="AI1224" s="101"/>
      <c r="AJ1224" s="100"/>
      <c r="AK1224" s="100"/>
      <c r="AL1224" s="100"/>
      <c r="AM1224" s="100"/>
      <c r="AN1224" s="100"/>
      <c r="AO1224" s="100"/>
      <c r="AP1224" s="100"/>
      <c r="AQ1224" s="100"/>
      <c r="AR1224" s="100"/>
      <c r="AS1224" s="100"/>
      <c r="AT1224" s="102"/>
      <c r="AX1224" s="100"/>
      <c r="AY1224" s="101"/>
      <c r="AZ1224" s="101"/>
      <c r="BA1224" s="100"/>
      <c r="BB1224" s="100"/>
      <c r="BC1224" s="100"/>
      <c r="BD1224" s="100"/>
      <c r="BE1224" s="100"/>
      <c r="BF1224" s="100"/>
      <c r="BG1224" s="100"/>
      <c r="BH1224" s="100"/>
      <c r="BI1224" s="100"/>
      <c r="BJ1224" s="100"/>
      <c r="BK1224" s="102"/>
    </row>
    <row r="1225" spans="1:66" x14ac:dyDescent="0.25">
      <c r="A1225" s="92"/>
      <c r="B1225" s="93"/>
      <c r="C1225" s="93"/>
      <c r="D1225" s="93"/>
      <c r="E1225" s="92"/>
      <c r="F1225" s="92"/>
      <c r="G1225" s="92"/>
      <c r="H1225" s="92"/>
      <c r="I1225" s="92"/>
      <c r="J1225" s="92"/>
      <c r="K1225" s="92"/>
      <c r="L1225" s="92"/>
      <c r="M1225" s="92"/>
      <c r="N1225" s="94"/>
      <c r="AG1225" s="100"/>
      <c r="AH1225" s="101"/>
      <c r="AI1225" s="101"/>
      <c r="AJ1225" s="100"/>
      <c r="AK1225" s="100"/>
      <c r="AL1225" s="100"/>
      <c r="AM1225" s="100"/>
      <c r="AN1225" s="100"/>
      <c r="AO1225" s="100"/>
      <c r="AP1225" s="100"/>
      <c r="AQ1225" s="100"/>
      <c r="AR1225" s="100"/>
      <c r="AS1225" s="100"/>
      <c r="AT1225" s="102"/>
      <c r="AX1225" s="100"/>
      <c r="AY1225" s="101"/>
      <c r="AZ1225" s="101"/>
      <c r="BA1225" s="100"/>
      <c r="BB1225" s="100"/>
      <c r="BC1225" s="100"/>
      <c r="BD1225" s="100"/>
      <c r="BE1225" s="100"/>
      <c r="BF1225" s="100"/>
      <c r="BG1225" s="100"/>
      <c r="BH1225" s="100"/>
      <c r="BI1225" s="100"/>
      <c r="BJ1225" s="100"/>
      <c r="BK1225" s="102"/>
    </row>
    <row r="1226" spans="1:66" x14ac:dyDescent="0.25">
      <c r="A1226" s="92"/>
      <c r="B1226" s="92"/>
      <c r="C1226" s="92"/>
      <c r="D1226" s="92"/>
      <c r="E1226" s="92"/>
      <c r="F1226" s="92"/>
      <c r="G1226" s="92"/>
      <c r="H1226" s="92"/>
      <c r="I1226" s="92"/>
      <c r="J1226" s="92"/>
      <c r="K1226" s="92"/>
      <c r="L1226" s="92"/>
      <c r="M1226" s="92"/>
      <c r="N1226" s="92"/>
      <c r="AG1226" s="100"/>
      <c r="AH1226" s="101"/>
      <c r="AI1226" s="101"/>
      <c r="AJ1226" s="100"/>
      <c r="AK1226" s="100"/>
      <c r="AL1226" s="100"/>
      <c r="AM1226" s="100"/>
      <c r="AN1226" s="100"/>
      <c r="AO1226" s="100"/>
      <c r="AP1226" s="100"/>
      <c r="AQ1226" s="100"/>
      <c r="AR1226" s="100"/>
      <c r="AS1226" s="100"/>
      <c r="AT1226" s="102"/>
      <c r="AX1226" s="100"/>
      <c r="AY1226" s="101"/>
      <c r="AZ1226" s="101"/>
      <c r="BA1226" s="101"/>
      <c r="BB1226" s="100"/>
      <c r="BC1226" s="100"/>
      <c r="BD1226" s="100"/>
      <c r="BE1226" s="100"/>
      <c r="BF1226" s="100"/>
      <c r="BG1226" s="100"/>
      <c r="BH1226" s="100"/>
      <c r="BI1226" s="100"/>
      <c r="BJ1226" s="100"/>
      <c r="BK1226" s="102"/>
    </row>
    <row r="1227" spans="1:66" x14ac:dyDescent="0.25">
      <c r="A1227" s="92"/>
      <c r="B1227" s="92"/>
      <c r="C1227" s="92"/>
      <c r="D1227" s="92"/>
      <c r="E1227" s="92"/>
      <c r="F1227" s="92"/>
      <c r="G1227" s="92"/>
      <c r="H1227" s="92"/>
      <c r="I1227" s="92"/>
      <c r="J1227" s="92"/>
      <c r="K1227" s="92"/>
      <c r="L1227" s="92"/>
      <c r="M1227" s="92"/>
      <c r="N1227" s="92"/>
      <c r="AG1227" s="100"/>
      <c r="AH1227" s="101"/>
      <c r="AI1227" s="101"/>
      <c r="AJ1227" s="100"/>
      <c r="AK1227" s="100"/>
      <c r="AL1227" s="100"/>
      <c r="AM1227" s="100"/>
      <c r="AN1227" s="100"/>
      <c r="AO1227" s="100"/>
      <c r="AP1227" s="100"/>
      <c r="AQ1227" s="100"/>
      <c r="AR1227" s="100"/>
      <c r="AS1227" s="100"/>
      <c r="AT1227" s="102"/>
      <c r="AX1227" s="100"/>
      <c r="AY1227" s="101"/>
      <c r="AZ1227" s="101"/>
      <c r="BA1227" s="101"/>
      <c r="BB1227" s="100"/>
      <c r="BC1227" s="100"/>
      <c r="BD1227" s="100"/>
      <c r="BE1227" s="100"/>
      <c r="BF1227" s="100"/>
      <c r="BG1227" s="100"/>
      <c r="BH1227" s="100"/>
      <c r="BI1227" s="100"/>
      <c r="BJ1227" s="100"/>
      <c r="BK1227" s="102"/>
    </row>
    <row r="1228" spans="1:66" x14ac:dyDescent="0.25">
      <c r="A1228" s="92"/>
      <c r="B1228" s="92"/>
      <c r="C1228" s="92"/>
      <c r="D1228" s="92"/>
      <c r="E1228" s="92"/>
      <c r="F1228" s="92"/>
      <c r="G1228" s="92"/>
      <c r="H1228" s="92"/>
      <c r="I1228" s="92"/>
      <c r="J1228" s="92"/>
      <c r="K1228" s="92"/>
      <c r="L1228" s="92"/>
      <c r="M1228" s="92"/>
      <c r="N1228" s="92"/>
      <c r="AG1228" s="100"/>
      <c r="AH1228" s="101"/>
      <c r="AI1228" s="101"/>
      <c r="AJ1228" s="100"/>
      <c r="AK1228" s="100"/>
      <c r="AL1228" s="100"/>
      <c r="AM1228" s="100"/>
      <c r="AN1228" s="100"/>
      <c r="AO1228" s="100"/>
      <c r="AP1228" s="100"/>
      <c r="AQ1228" s="100"/>
      <c r="AR1228" s="100"/>
      <c r="AS1228" s="100"/>
      <c r="AT1228" s="102"/>
      <c r="AX1228" s="100"/>
      <c r="AY1228" s="101"/>
      <c r="AZ1228" s="101"/>
      <c r="BA1228" s="100"/>
      <c r="BB1228" s="100"/>
      <c r="BC1228" s="100"/>
      <c r="BD1228" s="100"/>
      <c r="BE1228" s="100"/>
      <c r="BF1228" s="100"/>
      <c r="BG1228" s="100"/>
      <c r="BH1228" s="100"/>
      <c r="BI1228" s="100"/>
      <c r="BJ1228" s="100"/>
      <c r="BK1228" s="102"/>
    </row>
    <row r="1229" spans="1:66" x14ac:dyDescent="0.25">
      <c r="A1229" s="92"/>
      <c r="B1229" s="93"/>
      <c r="C1229" s="93"/>
      <c r="D1229" s="92"/>
      <c r="E1229" s="92"/>
      <c r="F1229" s="92"/>
      <c r="G1229" s="92"/>
      <c r="H1229" s="92"/>
      <c r="I1229" s="92"/>
      <c r="J1229" s="92"/>
      <c r="K1229" s="92"/>
      <c r="L1229" s="92"/>
      <c r="M1229" s="92"/>
      <c r="N1229" s="94"/>
      <c r="AG1229" s="100"/>
      <c r="AH1229" s="101"/>
      <c r="AI1229" s="101"/>
      <c r="AJ1229" s="100"/>
      <c r="AK1229" s="100"/>
      <c r="AL1229" s="100"/>
      <c r="AM1229" s="100"/>
      <c r="AN1229" s="100"/>
      <c r="AO1229" s="100"/>
      <c r="AP1229" s="100"/>
      <c r="AQ1229" s="100"/>
      <c r="AR1229" s="100"/>
      <c r="AS1229" s="100"/>
      <c r="AT1229" s="102"/>
      <c r="AX1229" s="100"/>
      <c r="AY1229" s="101"/>
      <c r="AZ1229" s="101"/>
      <c r="BA1229" s="100"/>
      <c r="BB1229" s="100"/>
      <c r="BC1229" s="100"/>
      <c r="BD1229" s="100"/>
      <c r="BE1229" s="100"/>
      <c r="BF1229" s="100"/>
      <c r="BG1229" s="100"/>
      <c r="BH1229" s="100"/>
      <c r="BI1229" s="100"/>
      <c r="BJ1229" s="100"/>
      <c r="BK1229" s="102"/>
    </row>
    <row r="1230" spans="1:66" x14ac:dyDescent="0.25">
      <c r="A1230" s="92"/>
      <c r="B1230" s="93"/>
      <c r="C1230" s="93"/>
      <c r="D1230" s="92"/>
      <c r="E1230" s="92"/>
      <c r="F1230" s="92"/>
      <c r="G1230" s="92"/>
      <c r="H1230" s="92"/>
      <c r="I1230" s="92"/>
      <c r="J1230" s="92"/>
      <c r="K1230" s="92"/>
      <c r="L1230" s="92"/>
      <c r="M1230" s="92"/>
      <c r="N1230" s="94"/>
      <c r="AG1230" s="100"/>
      <c r="AH1230" s="101"/>
      <c r="AI1230" s="101"/>
      <c r="AJ1230" s="100"/>
      <c r="AK1230" s="100"/>
      <c r="AL1230" s="100"/>
      <c r="AM1230" s="100"/>
      <c r="AN1230" s="100"/>
      <c r="AO1230" s="100"/>
      <c r="AP1230" s="100"/>
      <c r="AQ1230" s="100"/>
      <c r="AR1230" s="100"/>
      <c r="AS1230" s="100"/>
      <c r="AT1230" s="102"/>
      <c r="AX1230" s="100"/>
      <c r="AY1230" s="101"/>
      <c r="AZ1230" s="101"/>
      <c r="BA1230" s="100"/>
      <c r="BB1230" s="100"/>
      <c r="BC1230" s="100"/>
      <c r="BD1230" s="100"/>
      <c r="BE1230" s="100"/>
      <c r="BF1230" s="100"/>
      <c r="BG1230" s="100"/>
      <c r="BH1230" s="100"/>
      <c r="BI1230" s="100"/>
      <c r="BJ1230" s="100"/>
      <c r="BK1230" s="102"/>
    </row>
    <row r="1231" spans="1:66" x14ac:dyDescent="0.25">
      <c r="A1231" s="92"/>
      <c r="B1231" s="92"/>
      <c r="C1231" s="92"/>
      <c r="D1231" s="92"/>
      <c r="E1231" s="92"/>
      <c r="F1231" s="92"/>
      <c r="G1231" s="92"/>
      <c r="H1231" s="92"/>
      <c r="I1231" s="92"/>
      <c r="J1231" s="92"/>
      <c r="K1231" s="92"/>
      <c r="L1231" s="92"/>
      <c r="M1231" s="92"/>
      <c r="N1231" s="92"/>
      <c r="AG1231" s="100"/>
      <c r="AH1231" s="101"/>
      <c r="AI1231" s="101"/>
      <c r="AJ1231" s="101"/>
      <c r="AK1231" s="100"/>
      <c r="AL1231" s="100"/>
      <c r="AM1231" s="100"/>
      <c r="AN1231" s="100"/>
      <c r="AO1231" s="100"/>
      <c r="AP1231" s="100"/>
      <c r="AQ1231" s="100"/>
      <c r="AR1231" s="100"/>
      <c r="AS1231" s="100"/>
      <c r="AT1231" s="102"/>
      <c r="AX1231" s="100"/>
      <c r="AY1231" s="101"/>
      <c r="AZ1231" s="101"/>
      <c r="BA1231" s="100"/>
      <c r="BB1231" s="100"/>
      <c r="BC1231" s="100"/>
      <c r="BD1231" s="100"/>
      <c r="BE1231" s="100"/>
      <c r="BF1231" s="100"/>
      <c r="BG1231" s="100"/>
      <c r="BH1231" s="100"/>
      <c r="BI1231" s="100"/>
      <c r="BJ1231" s="100"/>
      <c r="BK1231" s="102"/>
    </row>
    <row r="1232" spans="1:66" x14ac:dyDescent="0.25">
      <c r="A1232" s="92"/>
      <c r="B1232" s="92"/>
      <c r="C1232" s="92"/>
      <c r="D1232" s="92"/>
      <c r="E1232" s="92"/>
      <c r="F1232" s="92"/>
      <c r="G1232" s="92"/>
      <c r="H1232" s="92"/>
      <c r="I1232" s="92"/>
      <c r="J1232" s="92"/>
      <c r="K1232" s="92"/>
      <c r="L1232" s="92"/>
      <c r="M1232" s="92"/>
      <c r="N1232" s="92"/>
      <c r="AG1232" s="100"/>
      <c r="AH1232" s="101"/>
      <c r="AI1232" s="101"/>
      <c r="AJ1232" s="101"/>
      <c r="AK1232" s="100"/>
      <c r="AL1232" s="100"/>
      <c r="AM1232" s="100"/>
      <c r="AN1232" s="100"/>
      <c r="AO1232" s="100"/>
      <c r="AP1232" s="100"/>
      <c r="AQ1232" s="100"/>
      <c r="AR1232" s="100"/>
      <c r="AS1232" s="100"/>
      <c r="AT1232" s="102"/>
      <c r="AX1232" s="100"/>
      <c r="AY1232" s="101"/>
      <c r="AZ1232" s="101"/>
      <c r="BA1232" s="100"/>
      <c r="BB1232" s="100"/>
      <c r="BC1232" s="100"/>
      <c r="BD1232" s="100"/>
      <c r="BE1232" s="100"/>
      <c r="BF1232" s="100"/>
      <c r="BG1232" s="100"/>
      <c r="BH1232" s="100"/>
      <c r="BI1232" s="100"/>
      <c r="BJ1232" s="100"/>
      <c r="BK1232" s="102"/>
    </row>
    <row r="1233" spans="1:63" x14ac:dyDescent="0.25">
      <c r="A1233" s="92"/>
      <c r="B1233" s="92"/>
      <c r="C1233" s="92"/>
      <c r="D1233" s="92"/>
      <c r="E1233" s="92"/>
      <c r="F1233" s="92"/>
      <c r="G1233" s="92"/>
      <c r="H1233" s="92"/>
      <c r="I1233" s="92"/>
      <c r="J1233" s="92"/>
      <c r="K1233" s="92"/>
      <c r="L1233" s="92"/>
      <c r="M1233" s="92"/>
      <c r="N1233" s="92"/>
      <c r="AG1233" s="100"/>
      <c r="AH1233" s="101"/>
      <c r="AI1233" s="101"/>
      <c r="AJ1233" s="100"/>
      <c r="AK1233" s="100"/>
      <c r="AL1233" s="100"/>
      <c r="AM1233" s="100"/>
      <c r="AN1233" s="100"/>
      <c r="AO1233" s="100"/>
      <c r="AP1233" s="100"/>
      <c r="AQ1233" s="100"/>
      <c r="AR1233" s="100"/>
      <c r="AS1233" s="100"/>
      <c r="AT1233" s="102"/>
      <c r="AX1233" s="100"/>
      <c r="AY1233" s="101"/>
      <c r="AZ1233" s="101"/>
      <c r="BA1233" s="100"/>
      <c r="BB1233" s="100"/>
      <c r="BC1233" s="100"/>
      <c r="BD1233" s="100"/>
      <c r="BE1233" s="100"/>
      <c r="BF1233" s="100"/>
      <c r="BG1233" s="100"/>
      <c r="BH1233" s="100"/>
      <c r="BI1233" s="100"/>
      <c r="BJ1233" s="100"/>
      <c r="BK1233" s="102"/>
    </row>
    <row r="1234" spans="1:63" x14ac:dyDescent="0.25">
      <c r="A1234" s="92"/>
      <c r="B1234" s="93"/>
      <c r="C1234" s="93"/>
      <c r="D1234" s="93"/>
      <c r="E1234" s="92"/>
      <c r="F1234" s="92"/>
      <c r="G1234" s="92"/>
      <c r="H1234" s="92"/>
      <c r="I1234" s="92"/>
      <c r="J1234" s="92"/>
      <c r="K1234" s="92"/>
      <c r="L1234" s="92"/>
      <c r="M1234" s="92"/>
      <c r="N1234" s="94"/>
      <c r="AG1234" s="100"/>
      <c r="AH1234" s="101"/>
      <c r="AI1234" s="101"/>
      <c r="AJ1234" s="101"/>
      <c r="AK1234" s="100"/>
      <c r="AL1234" s="100"/>
      <c r="AM1234" s="100"/>
      <c r="AN1234" s="100"/>
      <c r="AO1234" s="100"/>
      <c r="AP1234" s="100"/>
      <c r="AQ1234" s="100"/>
      <c r="AR1234" s="100"/>
      <c r="AS1234" s="100"/>
      <c r="AT1234" s="102"/>
      <c r="AX1234" s="100"/>
      <c r="AY1234" s="101"/>
      <c r="AZ1234" s="101"/>
      <c r="BA1234" s="100"/>
      <c r="BB1234" s="100"/>
      <c r="BC1234" s="100"/>
      <c r="BD1234" s="100"/>
      <c r="BE1234" s="100"/>
      <c r="BF1234" s="100"/>
      <c r="BG1234" s="100"/>
      <c r="BH1234" s="100"/>
      <c r="BI1234" s="100"/>
      <c r="BJ1234" s="100"/>
      <c r="BK1234" s="102"/>
    </row>
    <row r="1235" spans="1:63" x14ac:dyDescent="0.25">
      <c r="A1235" s="92"/>
      <c r="B1235" s="93"/>
      <c r="C1235" s="93"/>
      <c r="D1235" s="92"/>
      <c r="E1235" s="92"/>
      <c r="F1235" s="92"/>
      <c r="G1235" s="92"/>
      <c r="H1235" s="92"/>
      <c r="I1235" s="92"/>
      <c r="J1235" s="92"/>
      <c r="K1235" s="92"/>
      <c r="L1235" s="92"/>
      <c r="M1235" s="92"/>
      <c r="N1235" s="94"/>
      <c r="AG1235" s="100"/>
      <c r="AH1235" s="101"/>
      <c r="AI1235" s="101"/>
      <c r="AJ1235" s="100"/>
      <c r="AK1235" s="100"/>
      <c r="AL1235" s="100"/>
      <c r="AM1235" s="100"/>
      <c r="AN1235" s="100"/>
      <c r="AO1235" s="100"/>
      <c r="AP1235" s="100"/>
      <c r="AQ1235" s="100"/>
      <c r="AR1235" s="100"/>
      <c r="AS1235" s="100"/>
      <c r="AT1235" s="102"/>
      <c r="AX1235" s="100"/>
      <c r="AY1235" s="101"/>
      <c r="AZ1235" s="101"/>
      <c r="BA1235" s="100"/>
      <c r="BB1235" s="100"/>
      <c r="BC1235" s="100"/>
      <c r="BD1235" s="100"/>
      <c r="BE1235" s="100"/>
      <c r="BF1235" s="100"/>
      <c r="BG1235" s="100"/>
      <c r="BH1235" s="100"/>
      <c r="BI1235" s="100"/>
      <c r="BJ1235" s="100"/>
      <c r="BK1235" s="102"/>
    </row>
    <row r="1236" spans="1:63" x14ac:dyDescent="0.25">
      <c r="A1236" s="92"/>
      <c r="B1236" s="92"/>
      <c r="C1236" s="92"/>
      <c r="D1236" s="92"/>
      <c r="E1236" s="92"/>
      <c r="F1236" s="92"/>
      <c r="G1236" s="92"/>
      <c r="H1236" s="92"/>
      <c r="I1236" s="92"/>
      <c r="J1236" s="92"/>
      <c r="K1236" s="92"/>
      <c r="L1236" s="92"/>
      <c r="M1236" s="92"/>
      <c r="N1236" s="92"/>
      <c r="AG1236" s="100"/>
      <c r="AH1236" s="101"/>
      <c r="AI1236" s="101"/>
      <c r="AJ1236" s="100"/>
      <c r="AK1236" s="100"/>
      <c r="AL1236" s="100"/>
      <c r="AM1236" s="100"/>
      <c r="AN1236" s="100"/>
      <c r="AO1236" s="100"/>
      <c r="AP1236" s="100"/>
      <c r="AQ1236" s="100"/>
      <c r="AR1236" s="100"/>
      <c r="AS1236" s="100"/>
      <c r="AT1236" s="102"/>
      <c r="AX1236" s="100"/>
      <c r="AY1236" s="101"/>
      <c r="AZ1236" s="101"/>
      <c r="BA1236" s="100"/>
      <c r="BB1236" s="100"/>
      <c r="BC1236" s="100"/>
      <c r="BD1236" s="100"/>
      <c r="BE1236" s="100"/>
      <c r="BF1236" s="100"/>
      <c r="BG1236" s="100"/>
      <c r="BH1236" s="100"/>
      <c r="BI1236" s="100"/>
      <c r="BJ1236" s="100"/>
      <c r="BK1236" s="102"/>
    </row>
    <row r="1237" spans="1:63" x14ac:dyDescent="0.25">
      <c r="A1237" s="92"/>
      <c r="B1237" s="92"/>
      <c r="C1237" s="92"/>
      <c r="D1237" s="92"/>
      <c r="E1237" s="92"/>
      <c r="F1237" s="92"/>
      <c r="G1237" s="92"/>
      <c r="H1237" s="92"/>
      <c r="I1237" s="92"/>
      <c r="J1237" s="92"/>
      <c r="K1237" s="92"/>
      <c r="L1237" s="92"/>
      <c r="M1237" s="92"/>
      <c r="N1237" s="92"/>
      <c r="AG1237" s="100"/>
      <c r="AH1237" s="101"/>
      <c r="AI1237" s="101"/>
      <c r="AJ1237" s="100"/>
      <c r="AK1237" s="100"/>
      <c r="AL1237" s="100"/>
      <c r="AM1237" s="100"/>
      <c r="AN1237" s="100"/>
      <c r="AO1237" s="100"/>
      <c r="AP1237" s="100"/>
      <c r="AQ1237" s="100"/>
      <c r="AR1237" s="100"/>
      <c r="AS1237" s="100"/>
      <c r="AT1237" s="102"/>
      <c r="AX1237" s="100"/>
      <c r="AY1237" s="101"/>
      <c r="AZ1237" s="101"/>
      <c r="BA1237" s="100"/>
      <c r="BB1237" s="100"/>
      <c r="BC1237" s="100"/>
      <c r="BD1237" s="100"/>
      <c r="BE1237" s="100"/>
      <c r="BF1237" s="100"/>
      <c r="BG1237" s="100"/>
      <c r="BH1237" s="100"/>
      <c r="BI1237" s="100"/>
      <c r="BJ1237" s="100"/>
      <c r="BK1237" s="102"/>
    </row>
    <row r="1238" spans="1:63" x14ac:dyDescent="0.25">
      <c r="A1238" s="92"/>
      <c r="B1238" s="92"/>
      <c r="C1238" s="92"/>
      <c r="D1238" s="92"/>
      <c r="E1238" s="92"/>
      <c r="F1238" s="92"/>
      <c r="G1238" s="92"/>
      <c r="H1238" s="92"/>
      <c r="I1238" s="92"/>
      <c r="J1238" s="92"/>
      <c r="K1238" s="92"/>
      <c r="L1238" s="92"/>
      <c r="M1238" s="92"/>
      <c r="N1238" s="92"/>
      <c r="AG1238" s="100"/>
      <c r="AH1238" s="101"/>
      <c r="AI1238" s="101"/>
      <c r="AJ1238" s="100"/>
      <c r="AK1238" s="100"/>
      <c r="AL1238" s="100"/>
      <c r="AM1238" s="100"/>
      <c r="AN1238" s="100"/>
      <c r="AO1238" s="100"/>
      <c r="AP1238" s="100"/>
      <c r="AQ1238" s="100"/>
      <c r="AR1238" s="100"/>
      <c r="AS1238" s="100"/>
      <c r="AT1238" s="102"/>
      <c r="AX1238" s="100"/>
      <c r="AY1238" s="101"/>
      <c r="AZ1238" s="101"/>
      <c r="BA1238" s="100"/>
      <c r="BB1238" s="100"/>
      <c r="BC1238" s="100"/>
      <c r="BD1238" s="100"/>
      <c r="BE1238" s="100"/>
      <c r="BF1238" s="100"/>
      <c r="BG1238" s="100"/>
      <c r="BH1238" s="100"/>
      <c r="BI1238" s="100"/>
      <c r="BJ1238" s="100"/>
      <c r="BK1238" s="102"/>
    </row>
    <row r="1239" spans="1:63" x14ac:dyDescent="0.25">
      <c r="A1239" s="92"/>
      <c r="B1239" s="93"/>
      <c r="C1239" s="93"/>
      <c r="D1239" s="92"/>
      <c r="E1239" s="92"/>
      <c r="F1239" s="92"/>
      <c r="G1239" s="92"/>
      <c r="H1239" s="92"/>
      <c r="I1239" s="92"/>
      <c r="J1239" s="92"/>
      <c r="K1239" s="92"/>
      <c r="L1239" s="92"/>
      <c r="M1239" s="92"/>
      <c r="N1239" s="94"/>
      <c r="AG1239" s="100"/>
      <c r="AH1239" s="101"/>
      <c r="AI1239" s="101"/>
      <c r="AJ1239" s="100"/>
      <c r="AK1239" s="100"/>
      <c r="AL1239" s="100"/>
      <c r="AM1239" s="100"/>
      <c r="AN1239" s="100"/>
      <c r="AO1239" s="100"/>
      <c r="AP1239" s="100"/>
      <c r="AQ1239" s="100"/>
      <c r="AR1239" s="100"/>
      <c r="AS1239" s="100"/>
      <c r="AT1239" s="102"/>
      <c r="AX1239" s="100"/>
      <c r="AY1239" s="101"/>
      <c r="AZ1239" s="101"/>
      <c r="BA1239" s="101"/>
      <c r="BB1239" s="100"/>
      <c r="BC1239" s="100"/>
      <c r="BD1239" s="100"/>
      <c r="BE1239" s="100"/>
      <c r="BF1239" s="100"/>
      <c r="BG1239" s="100"/>
      <c r="BH1239" s="100"/>
      <c r="BI1239" s="100"/>
      <c r="BJ1239" s="100"/>
      <c r="BK1239" s="102"/>
    </row>
    <row r="1240" spans="1:63" x14ac:dyDescent="0.25">
      <c r="A1240" s="92"/>
      <c r="B1240" s="93"/>
      <c r="C1240" s="93"/>
      <c r="D1240" s="92"/>
      <c r="E1240" s="92"/>
      <c r="F1240" s="92"/>
      <c r="G1240" s="92"/>
      <c r="H1240" s="92"/>
      <c r="I1240" s="92"/>
      <c r="J1240" s="92"/>
      <c r="K1240" s="92"/>
      <c r="L1240" s="92"/>
      <c r="M1240" s="92"/>
      <c r="N1240" s="94"/>
      <c r="AG1240" s="100"/>
      <c r="AH1240" s="101"/>
      <c r="AI1240" s="101"/>
      <c r="AJ1240" s="100"/>
      <c r="AK1240" s="100"/>
      <c r="AL1240" s="100"/>
      <c r="AM1240" s="100"/>
      <c r="AN1240" s="100"/>
      <c r="AO1240" s="100"/>
      <c r="AP1240" s="100"/>
      <c r="AQ1240" s="100"/>
      <c r="AR1240" s="100"/>
      <c r="AS1240" s="100"/>
      <c r="AT1240" s="102"/>
      <c r="AX1240" s="100"/>
      <c r="AY1240" s="101"/>
      <c r="AZ1240" s="101"/>
      <c r="BA1240" s="101"/>
      <c r="BB1240" s="100"/>
      <c r="BC1240" s="100"/>
      <c r="BD1240" s="100"/>
      <c r="BE1240" s="100"/>
      <c r="BF1240" s="100"/>
      <c r="BG1240" s="100"/>
      <c r="BH1240" s="100"/>
      <c r="BI1240" s="100"/>
      <c r="BJ1240" s="100"/>
      <c r="BK1240" s="102"/>
    </row>
    <row r="1241" spans="1:63" x14ac:dyDescent="0.25">
      <c r="A1241" s="92"/>
      <c r="B1241" s="93"/>
      <c r="C1241" s="93"/>
      <c r="D1241" s="92"/>
      <c r="E1241" s="92"/>
      <c r="F1241" s="92"/>
      <c r="G1241" s="92"/>
      <c r="H1241" s="92"/>
      <c r="I1241" s="92"/>
      <c r="J1241" s="92"/>
      <c r="K1241" s="92"/>
      <c r="L1241" s="92"/>
      <c r="M1241" s="92"/>
      <c r="N1241" s="94"/>
      <c r="AG1241" s="100"/>
      <c r="AH1241" s="101"/>
      <c r="AI1241" s="101"/>
      <c r="AJ1241" s="100"/>
      <c r="AK1241" s="100"/>
      <c r="AL1241" s="100"/>
      <c r="AM1241" s="100"/>
      <c r="AN1241" s="100"/>
      <c r="AO1241" s="100"/>
      <c r="AP1241" s="100"/>
      <c r="AQ1241" s="100"/>
      <c r="AR1241" s="100"/>
      <c r="AS1241" s="100"/>
      <c r="AT1241" s="102"/>
      <c r="AX1241" s="100"/>
      <c r="AY1241" s="101"/>
      <c r="AZ1241" s="101"/>
      <c r="BA1241" s="100"/>
      <c r="BB1241" s="100"/>
      <c r="BC1241" s="100"/>
      <c r="BD1241" s="100"/>
      <c r="BE1241" s="100"/>
      <c r="BF1241" s="100"/>
      <c r="BG1241" s="100"/>
      <c r="BH1241" s="100"/>
      <c r="BI1241" s="100"/>
      <c r="BJ1241" s="100"/>
      <c r="BK1241" s="102"/>
    </row>
    <row r="1242" spans="1:63" x14ac:dyDescent="0.25">
      <c r="A1242" s="92"/>
      <c r="B1242" s="93"/>
      <c r="C1242" s="93"/>
      <c r="D1242" s="93"/>
      <c r="E1242" s="92"/>
      <c r="F1242" s="92"/>
      <c r="G1242" s="92"/>
      <c r="H1242" s="92"/>
      <c r="I1242" s="92"/>
      <c r="J1242" s="92"/>
      <c r="K1242" s="92"/>
      <c r="L1242" s="92"/>
      <c r="M1242" s="92"/>
      <c r="N1242" s="94"/>
      <c r="AG1242" s="100"/>
      <c r="AH1242" s="101"/>
      <c r="AI1242" s="101"/>
      <c r="AJ1242" s="101"/>
      <c r="AK1242" s="100"/>
      <c r="AL1242" s="100"/>
      <c r="AM1242" s="100"/>
      <c r="AN1242" s="100"/>
      <c r="AO1242" s="100"/>
      <c r="AP1242" s="100"/>
      <c r="AQ1242" s="100"/>
      <c r="AR1242" s="100"/>
      <c r="AS1242" s="100"/>
      <c r="AT1242" s="102"/>
      <c r="AX1242" s="100"/>
      <c r="AY1242" s="101"/>
      <c r="AZ1242" s="101"/>
      <c r="BA1242" s="100"/>
      <c r="BB1242" s="100"/>
      <c r="BC1242" s="100"/>
      <c r="BD1242" s="100"/>
      <c r="BE1242" s="100"/>
      <c r="BF1242" s="100"/>
      <c r="BG1242" s="100"/>
      <c r="BH1242" s="100"/>
      <c r="BI1242" s="100"/>
      <c r="BJ1242" s="100"/>
      <c r="BK1242" s="102"/>
    </row>
    <row r="1243" spans="1:63" x14ac:dyDescent="0.25">
      <c r="A1243" s="92"/>
      <c r="B1243" s="92"/>
      <c r="C1243" s="92"/>
      <c r="D1243" s="92"/>
      <c r="E1243" s="92"/>
      <c r="F1243" s="92"/>
      <c r="G1243" s="92"/>
      <c r="H1243" s="92"/>
      <c r="I1243" s="92"/>
      <c r="J1243" s="92"/>
      <c r="K1243" s="92"/>
      <c r="L1243" s="92"/>
      <c r="M1243" s="92"/>
      <c r="N1243" s="92"/>
      <c r="AG1243" s="100"/>
      <c r="AH1243" s="101"/>
      <c r="AI1243" s="101"/>
      <c r="AJ1243" s="100"/>
      <c r="AK1243" s="100"/>
      <c r="AL1243" s="100"/>
      <c r="AM1243" s="100"/>
      <c r="AN1243" s="100"/>
      <c r="AO1243" s="100"/>
      <c r="AP1243" s="100"/>
      <c r="AQ1243" s="100"/>
      <c r="AR1243" s="100"/>
      <c r="AS1243" s="100"/>
      <c r="AT1243" s="102"/>
      <c r="AX1243" s="100"/>
      <c r="AY1243" s="101"/>
      <c r="AZ1243" s="101"/>
      <c r="BA1243" s="101"/>
      <c r="BB1243" s="100"/>
      <c r="BC1243" s="100"/>
      <c r="BD1243" s="100"/>
      <c r="BE1243" s="100"/>
      <c r="BF1243" s="100"/>
      <c r="BG1243" s="100"/>
      <c r="BH1243" s="100"/>
      <c r="BI1243" s="100"/>
      <c r="BJ1243" s="100"/>
      <c r="BK1243" s="102"/>
    </row>
    <row r="1244" spans="1:63" x14ac:dyDescent="0.25">
      <c r="A1244" s="92"/>
      <c r="B1244" s="92"/>
      <c r="C1244" s="92"/>
      <c r="D1244" s="92"/>
      <c r="E1244" s="92"/>
      <c r="F1244" s="92"/>
      <c r="G1244" s="92"/>
      <c r="H1244" s="92"/>
      <c r="I1244" s="92"/>
      <c r="J1244" s="92"/>
      <c r="K1244" s="92"/>
      <c r="L1244" s="92"/>
      <c r="M1244" s="92"/>
      <c r="N1244" s="92"/>
      <c r="AG1244" s="100"/>
      <c r="AH1244" s="101"/>
      <c r="AI1244" s="101"/>
      <c r="AJ1244" s="100"/>
      <c r="AK1244" s="100"/>
      <c r="AL1244" s="100"/>
      <c r="AM1244" s="100"/>
      <c r="AN1244" s="100"/>
      <c r="AO1244" s="100"/>
      <c r="AP1244" s="100"/>
      <c r="AQ1244" s="100"/>
      <c r="AR1244" s="100"/>
      <c r="AS1244" s="100"/>
      <c r="AT1244" s="102"/>
      <c r="AX1244" s="100"/>
      <c r="AY1244" s="101"/>
      <c r="AZ1244" s="101"/>
      <c r="BA1244" s="100"/>
      <c r="BB1244" s="100"/>
      <c r="BC1244" s="100"/>
      <c r="BD1244" s="100"/>
      <c r="BE1244" s="100"/>
      <c r="BF1244" s="100"/>
      <c r="BG1244" s="100"/>
      <c r="BH1244" s="100"/>
      <c r="BI1244" s="100"/>
      <c r="BJ1244" s="100"/>
      <c r="BK1244" s="102"/>
    </row>
    <row r="1245" spans="1:63" x14ac:dyDescent="0.25">
      <c r="A1245" s="92"/>
      <c r="B1245" s="92"/>
      <c r="C1245" s="92"/>
      <c r="D1245" s="92"/>
      <c r="E1245" s="92"/>
      <c r="F1245" s="92"/>
      <c r="G1245" s="92"/>
      <c r="H1245" s="92"/>
      <c r="I1245" s="92"/>
      <c r="J1245" s="92"/>
      <c r="K1245" s="92"/>
      <c r="L1245" s="92"/>
      <c r="M1245" s="92"/>
      <c r="N1245" s="92"/>
      <c r="AG1245" s="100"/>
      <c r="AH1245" s="101"/>
      <c r="AI1245" s="101"/>
      <c r="AJ1245" s="100"/>
      <c r="AK1245" s="100"/>
      <c r="AL1245" s="100"/>
      <c r="AM1245" s="100"/>
      <c r="AN1245" s="100"/>
      <c r="AO1245" s="100"/>
      <c r="AP1245" s="100"/>
      <c r="AQ1245" s="100"/>
      <c r="AR1245" s="100"/>
      <c r="AS1245" s="100"/>
      <c r="AT1245" s="102"/>
      <c r="AX1245" s="100"/>
      <c r="AY1245" s="101"/>
      <c r="AZ1245" s="101"/>
      <c r="BA1245" s="100"/>
      <c r="BB1245" s="100"/>
      <c r="BC1245" s="100"/>
      <c r="BD1245" s="100"/>
      <c r="BE1245" s="100"/>
      <c r="BF1245" s="100"/>
      <c r="BG1245" s="100"/>
      <c r="BH1245" s="100"/>
      <c r="BI1245" s="100"/>
      <c r="BJ1245" s="100"/>
      <c r="BK1245" s="102"/>
    </row>
    <row r="1246" spans="1:63" x14ac:dyDescent="0.25">
      <c r="A1246" s="92"/>
      <c r="B1246" s="92"/>
      <c r="C1246" s="92"/>
      <c r="D1246" s="92"/>
      <c r="E1246" s="92"/>
      <c r="F1246" s="92"/>
      <c r="G1246" s="92"/>
      <c r="H1246" s="92"/>
      <c r="I1246" s="92"/>
      <c r="J1246" s="92"/>
      <c r="K1246" s="92"/>
      <c r="L1246" s="92"/>
      <c r="M1246" s="92"/>
      <c r="N1246" s="92"/>
      <c r="AG1246" s="100"/>
      <c r="AH1246" s="101"/>
      <c r="AI1246" s="101"/>
      <c r="AJ1246" s="100"/>
      <c r="AK1246" s="100"/>
      <c r="AL1246" s="100"/>
      <c r="AM1246" s="100"/>
      <c r="AN1246" s="100"/>
      <c r="AO1246" s="100"/>
      <c r="AP1246" s="100"/>
      <c r="AQ1246" s="100"/>
      <c r="AR1246" s="100"/>
      <c r="AS1246" s="100"/>
      <c r="AT1246" s="102"/>
      <c r="AX1246" s="100"/>
      <c r="AY1246" s="101"/>
      <c r="AZ1246" s="101"/>
      <c r="BA1246" s="100"/>
      <c r="BB1246" s="100"/>
      <c r="BC1246" s="100"/>
      <c r="BD1246" s="100"/>
      <c r="BE1246" s="100"/>
      <c r="BF1246" s="100"/>
      <c r="BG1246" s="100"/>
      <c r="BH1246" s="100"/>
      <c r="BI1246" s="100"/>
      <c r="BJ1246" s="100"/>
      <c r="BK1246" s="102"/>
    </row>
    <row r="1247" spans="1:63" x14ac:dyDescent="0.25">
      <c r="A1247" s="92"/>
      <c r="B1247" s="92"/>
      <c r="C1247" s="92"/>
      <c r="D1247" s="92"/>
      <c r="E1247" s="92"/>
      <c r="F1247" s="92"/>
      <c r="G1247" s="92"/>
      <c r="H1247" s="92"/>
      <c r="I1247" s="92"/>
      <c r="J1247" s="92"/>
      <c r="K1247" s="92"/>
      <c r="L1247" s="92"/>
      <c r="M1247" s="92"/>
      <c r="N1247" s="92"/>
      <c r="AG1247" s="100"/>
      <c r="AH1247" s="101"/>
      <c r="AI1247" s="101"/>
      <c r="AJ1247" s="100"/>
      <c r="AK1247" s="100"/>
      <c r="AL1247" s="100"/>
      <c r="AM1247" s="100"/>
      <c r="AN1247" s="100"/>
      <c r="AO1247" s="100"/>
      <c r="AP1247" s="100"/>
      <c r="AQ1247" s="100"/>
      <c r="AR1247" s="100"/>
      <c r="AS1247" s="100"/>
      <c r="AT1247" s="102"/>
      <c r="AX1247" s="100"/>
      <c r="AY1247" s="101"/>
      <c r="AZ1247" s="101"/>
      <c r="BA1247" s="100"/>
      <c r="BB1247" s="100"/>
      <c r="BC1247" s="100"/>
      <c r="BD1247" s="100"/>
      <c r="BE1247" s="100"/>
      <c r="BF1247" s="100"/>
      <c r="BG1247" s="100"/>
      <c r="BH1247" s="100"/>
      <c r="BI1247" s="100"/>
      <c r="BJ1247" s="100"/>
      <c r="BK1247" s="102"/>
    </row>
    <row r="1248" spans="1:63" x14ac:dyDescent="0.25">
      <c r="A1248" s="92"/>
      <c r="B1248" s="93"/>
      <c r="C1248" s="93"/>
      <c r="D1248" s="92"/>
      <c r="E1248" s="92"/>
      <c r="F1248" s="92"/>
      <c r="G1248" s="92"/>
      <c r="H1248" s="92"/>
      <c r="I1248" s="92"/>
      <c r="J1248" s="92"/>
      <c r="K1248" s="92"/>
      <c r="L1248" s="92"/>
      <c r="M1248" s="92"/>
      <c r="N1248" s="94"/>
      <c r="AG1248" s="100"/>
      <c r="AH1248" s="101"/>
      <c r="AI1248" s="101"/>
      <c r="AJ1248" s="100"/>
      <c r="AK1248" s="100"/>
      <c r="AL1248" s="100"/>
      <c r="AM1248" s="100"/>
      <c r="AN1248" s="100"/>
      <c r="AO1248" s="100"/>
      <c r="AP1248" s="100"/>
      <c r="AQ1248" s="100"/>
      <c r="AR1248" s="100"/>
      <c r="AS1248" s="100"/>
      <c r="AT1248" s="102"/>
      <c r="AX1248" s="100"/>
      <c r="AY1248" s="101"/>
      <c r="AZ1248" s="101"/>
      <c r="BA1248" s="100"/>
      <c r="BB1248" s="100"/>
      <c r="BC1248" s="100"/>
      <c r="BD1248" s="100"/>
      <c r="BE1248" s="100"/>
      <c r="BF1248" s="100"/>
      <c r="BG1248" s="100"/>
      <c r="BH1248" s="100"/>
      <c r="BI1248" s="100"/>
      <c r="BJ1248" s="100"/>
      <c r="BK1248" s="102"/>
    </row>
    <row r="1249" spans="1:63" x14ac:dyDescent="0.25">
      <c r="A1249" s="92"/>
      <c r="B1249" s="93"/>
      <c r="C1249" s="93"/>
      <c r="D1249" s="92"/>
      <c r="E1249" s="92"/>
      <c r="F1249" s="92"/>
      <c r="G1249" s="92"/>
      <c r="H1249" s="92"/>
      <c r="I1249" s="92"/>
      <c r="J1249" s="92"/>
      <c r="K1249" s="92"/>
      <c r="L1249" s="92"/>
      <c r="M1249" s="92"/>
      <c r="N1249" s="94"/>
      <c r="AG1249" s="100"/>
      <c r="AH1249" s="101"/>
      <c r="AI1249" s="101"/>
      <c r="AJ1249" s="100"/>
      <c r="AK1249" s="100"/>
      <c r="AL1249" s="100"/>
      <c r="AM1249" s="100"/>
      <c r="AN1249" s="100"/>
      <c r="AO1249" s="100"/>
      <c r="AP1249" s="100"/>
      <c r="AQ1249" s="100"/>
      <c r="AR1249" s="100"/>
      <c r="AS1249" s="100"/>
      <c r="AT1249" s="102"/>
      <c r="AX1249" s="100"/>
      <c r="AY1249" s="101"/>
      <c r="AZ1249" s="101"/>
      <c r="BA1249" s="100"/>
      <c r="BB1249" s="100"/>
      <c r="BC1249" s="100"/>
      <c r="BD1249" s="100"/>
      <c r="BE1249" s="100"/>
      <c r="BF1249" s="100"/>
      <c r="BG1249" s="100"/>
      <c r="BH1249" s="100"/>
      <c r="BI1249" s="100"/>
      <c r="BJ1249" s="100"/>
      <c r="BK1249" s="102"/>
    </row>
    <row r="1250" spans="1:63" x14ac:dyDescent="0.25">
      <c r="A1250" s="92"/>
      <c r="B1250" s="92"/>
      <c r="C1250" s="92"/>
      <c r="D1250" s="92"/>
      <c r="E1250" s="92"/>
      <c r="F1250" s="92"/>
      <c r="G1250" s="92"/>
      <c r="H1250" s="92"/>
      <c r="I1250" s="92"/>
      <c r="J1250" s="92"/>
      <c r="K1250" s="92"/>
      <c r="L1250" s="92"/>
      <c r="M1250" s="92"/>
      <c r="N1250" s="92"/>
      <c r="AG1250" s="100"/>
      <c r="AH1250" s="101"/>
      <c r="AI1250" s="101"/>
      <c r="AJ1250" s="100"/>
      <c r="AK1250" s="100"/>
      <c r="AL1250" s="100"/>
      <c r="AM1250" s="100"/>
      <c r="AN1250" s="100"/>
      <c r="AO1250" s="100"/>
      <c r="AP1250" s="100"/>
      <c r="AQ1250" s="100"/>
      <c r="AR1250" s="100"/>
      <c r="AS1250" s="100"/>
      <c r="AT1250" s="102"/>
      <c r="AX1250" s="100"/>
      <c r="AY1250" s="101"/>
      <c r="AZ1250" s="101"/>
      <c r="BA1250" s="100"/>
      <c r="BB1250" s="100"/>
      <c r="BC1250" s="100"/>
      <c r="BD1250" s="100"/>
      <c r="BE1250" s="100"/>
      <c r="BF1250" s="100"/>
      <c r="BG1250" s="100"/>
      <c r="BH1250" s="100"/>
      <c r="BI1250" s="100"/>
      <c r="BJ1250" s="100"/>
      <c r="BK1250" s="102"/>
    </row>
    <row r="1251" spans="1:63" x14ac:dyDescent="0.25">
      <c r="A1251" s="92"/>
      <c r="B1251" s="92"/>
      <c r="C1251" s="92"/>
      <c r="D1251" s="92"/>
      <c r="E1251" s="92"/>
      <c r="F1251" s="92"/>
      <c r="G1251" s="92"/>
      <c r="H1251" s="92"/>
      <c r="I1251" s="92"/>
      <c r="J1251" s="92"/>
      <c r="K1251" s="92"/>
      <c r="L1251" s="92"/>
      <c r="M1251" s="92"/>
      <c r="N1251" s="92"/>
      <c r="AG1251" s="100"/>
      <c r="AH1251" s="101"/>
      <c r="AI1251" s="101"/>
      <c r="AJ1251" s="100"/>
      <c r="AK1251" s="100"/>
      <c r="AL1251" s="100"/>
      <c r="AM1251" s="100"/>
      <c r="AN1251" s="100"/>
      <c r="AO1251" s="100"/>
      <c r="AP1251" s="100"/>
      <c r="AQ1251" s="100"/>
      <c r="AR1251" s="100"/>
      <c r="AS1251" s="100"/>
      <c r="AT1251" s="102"/>
      <c r="AX1251" s="100"/>
      <c r="AY1251" s="101"/>
      <c r="AZ1251" s="101"/>
      <c r="BA1251" s="101"/>
      <c r="BB1251" s="100"/>
      <c r="BC1251" s="100"/>
      <c r="BD1251" s="100"/>
      <c r="BE1251" s="100"/>
      <c r="BF1251" s="100"/>
      <c r="BG1251" s="100"/>
      <c r="BH1251" s="100"/>
      <c r="BI1251" s="100"/>
      <c r="BJ1251" s="100"/>
      <c r="BK1251" s="102"/>
    </row>
    <row r="1252" spans="1:63" x14ac:dyDescent="0.25">
      <c r="A1252" s="92"/>
      <c r="B1252" s="93"/>
      <c r="C1252" s="93"/>
      <c r="D1252" s="93"/>
      <c r="E1252" s="92"/>
      <c r="F1252" s="92"/>
      <c r="G1252" s="92"/>
      <c r="H1252" s="92"/>
      <c r="I1252" s="92"/>
      <c r="J1252" s="92"/>
      <c r="K1252" s="92"/>
      <c r="L1252" s="92"/>
      <c r="M1252" s="92"/>
      <c r="N1252" s="94"/>
      <c r="AG1252" s="100"/>
      <c r="AH1252" s="101"/>
      <c r="AI1252" s="101"/>
      <c r="AJ1252" s="100"/>
      <c r="AK1252" s="100"/>
      <c r="AL1252" s="100"/>
      <c r="AM1252" s="100"/>
      <c r="AN1252" s="100"/>
      <c r="AO1252" s="100"/>
      <c r="AP1252" s="100"/>
      <c r="AQ1252" s="100"/>
      <c r="AR1252" s="100"/>
      <c r="AS1252" s="100"/>
      <c r="AT1252" s="102"/>
      <c r="AX1252" s="100"/>
      <c r="AY1252" s="101"/>
      <c r="AZ1252" s="101"/>
      <c r="BA1252" s="101"/>
      <c r="BB1252" s="100"/>
      <c r="BC1252" s="100"/>
      <c r="BD1252" s="100"/>
      <c r="BE1252" s="100"/>
      <c r="BF1252" s="100"/>
      <c r="BG1252" s="100"/>
      <c r="BH1252" s="100"/>
      <c r="BI1252" s="100"/>
      <c r="BJ1252" s="100"/>
      <c r="BK1252" s="102"/>
    </row>
    <row r="1253" spans="1:63" x14ac:dyDescent="0.25">
      <c r="A1253" s="92"/>
      <c r="B1253" s="92"/>
      <c r="C1253" s="92"/>
      <c r="D1253" s="93"/>
      <c r="E1253" s="92"/>
      <c r="F1253" s="92"/>
      <c r="G1253" s="92"/>
      <c r="H1253" s="92"/>
      <c r="I1253" s="92"/>
      <c r="J1253" s="92"/>
      <c r="K1253" s="92"/>
      <c r="L1253" s="92"/>
      <c r="M1253" s="92"/>
      <c r="N1253" s="92"/>
      <c r="AG1253" s="100"/>
      <c r="AH1253" s="101"/>
      <c r="AI1253" s="101"/>
      <c r="AJ1253" s="100"/>
      <c r="AK1253" s="100"/>
      <c r="AL1253" s="100"/>
      <c r="AM1253" s="100"/>
      <c r="AN1253" s="100"/>
      <c r="AO1253" s="100"/>
      <c r="AP1253" s="100"/>
      <c r="AQ1253" s="100"/>
      <c r="AR1253" s="100"/>
      <c r="AS1253" s="100"/>
      <c r="AT1253" s="102"/>
      <c r="AX1253" s="100"/>
      <c r="AY1253" s="101"/>
      <c r="AZ1253" s="101"/>
      <c r="BA1253" s="100"/>
      <c r="BB1253" s="100"/>
      <c r="BC1253" s="100"/>
      <c r="BD1253" s="100"/>
      <c r="BE1253" s="100"/>
      <c r="BF1253" s="100"/>
      <c r="BG1253" s="100"/>
      <c r="BH1253" s="100"/>
      <c r="BI1253" s="100"/>
      <c r="BJ1253" s="100"/>
      <c r="BK1253" s="102"/>
    </row>
    <row r="1254" spans="1:63" x14ac:dyDescent="0.25">
      <c r="A1254" s="92"/>
      <c r="B1254" s="92"/>
      <c r="C1254" s="92"/>
      <c r="D1254" s="92"/>
      <c r="E1254" s="92"/>
      <c r="F1254" s="92"/>
      <c r="G1254" s="92"/>
      <c r="H1254" s="92"/>
      <c r="I1254" s="92"/>
      <c r="J1254" s="92"/>
      <c r="K1254" s="92"/>
      <c r="L1254" s="92"/>
      <c r="M1254" s="92"/>
      <c r="N1254" s="92"/>
      <c r="AG1254" s="100"/>
      <c r="AH1254" s="101"/>
      <c r="AI1254" s="101"/>
      <c r="AJ1254" s="100"/>
      <c r="AK1254" s="100"/>
      <c r="AL1254" s="100"/>
      <c r="AM1254" s="100"/>
      <c r="AN1254" s="100"/>
      <c r="AO1254" s="100"/>
      <c r="AP1254" s="100"/>
      <c r="AQ1254" s="100"/>
      <c r="AR1254" s="100"/>
      <c r="AS1254" s="100"/>
      <c r="AT1254" s="102"/>
      <c r="AX1254" s="100"/>
      <c r="AY1254" s="101"/>
      <c r="AZ1254" s="101"/>
      <c r="BA1254" s="101"/>
      <c r="BB1254" s="100"/>
      <c r="BC1254" s="100"/>
      <c r="BD1254" s="100"/>
      <c r="BE1254" s="100"/>
      <c r="BF1254" s="100"/>
      <c r="BG1254" s="100"/>
      <c r="BH1254" s="100"/>
      <c r="BI1254" s="100"/>
      <c r="BJ1254" s="100"/>
      <c r="BK1254" s="102"/>
    </row>
    <row r="1255" spans="1:63" x14ac:dyDescent="0.25">
      <c r="A1255" s="92"/>
      <c r="B1255" s="92"/>
      <c r="C1255" s="92"/>
      <c r="D1255" s="92"/>
      <c r="E1255" s="92"/>
      <c r="F1255" s="92"/>
      <c r="G1255" s="92"/>
      <c r="H1255" s="92"/>
      <c r="I1255" s="92"/>
      <c r="J1255" s="92"/>
      <c r="K1255" s="92"/>
      <c r="L1255" s="92"/>
      <c r="M1255" s="92"/>
      <c r="N1255" s="92"/>
      <c r="AG1255" s="100"/>
      <c r="AH1255" s="101"/>
      <c r="AI1255" s="101"/>
      <c r="AJ1255" s="100"/>
      <c r="AK1255" s="100"/>
      <c r="AL1255" s="100"/>
      <c r="AM1255" s="100"/>
      <c r="AN1255" s="100"/>
      <c r="AO1255" s="100"/>
      <c r="AP1255" s="100"/>
      <c r="AQ1255" s="100"/>
      <c r="AR1255" s="100"/>
      <c r="AS1255" s="100"/>
      <c r="AT1255" s="102"/>
      <c r="AX1255" s="100"/>
      <c r="AY1255" s="101"/>
      <c r="AZ1255" s="101"/>
      <c r="BA1255" s="100"/>
      <c r="BB1255" s="100"/>
      <c r="BC1255" s="100"/>
      <c r="BD1255" s="100"/>
      <c r="BE1255" s="100"/>
      <c r="BF1255" s="100"/>
      <c r="BG1255" s="100"/>
      <c r="BH1255" s="100"/>
      <c r="BI1255" s="100"/>
      <c r="BJ1255" s="100"/>
      <c r="BK1255" s="102"/>
    </row>
    <row r="1256" spans="1:63" x14ac:dyDescent="0.25">
      <c r="A1256" s="92"/>
      <c r="B1256" s="92"/>
      <c r="C1256" s="92"/>
      <c r="D1256" s="92"/>
      <c r="E1256" s="92"/>
      <c r="F1256" s="92"/>
      <c r="G1256" s="92"/>
      <c r="H1256" s="92"/>
      <c r="I1256" s="92"/>
      <c r="J1256" s="92"/>
      <c r="K1256" s="92"/>
      <c r="L1256" s="92"/>
      <c r="M1256" s="92"/>
      <c r="N1256" s="92"/>
      <c r="AG1256" s="100"/>
      <c r="AH1256" s="101"/>
      <c r="AI1256" s="101"/>
      <c r="AJ1256" s="101"/>
      <c r="AK1256" s="100"/>
      <c r="AL1256" s="100"/>
      <c r="AM1256" s="100"/>
      <c r="AN1256" s="100"/>
      <c r="AO1256" s="100"/>
      <c r="AP1256" s="100"/>
      <c r="AQ1256" s="100"/>
      <c r="AR1256" s="100"/>
      <c r="AS1256" s="100"/>
      <c r="AT1256" s="102"/>
      <c r="AX1256" s="100"/>
      <c r="AY1256" s="101"/>
      <c r="AZ1256" s="101"/>
      <c r="BA1256" s="100"/>
      <c r="BB1256" s="100"/>
      <c r="BC1256" s="100"/>
      <c r="BD1256" s="100"/>
      <c r="BE1256" s="100"/>
      <c r="BF1256" s="100"/>
      <c r="BG1256" s="100"/>
      <c r="BH1256" s="100"/>
      <c r="BI1256" s="100"/>
      <c r="BJ1256" s="100"/>
      <c r="BK1256" s="102"/>
    </row>
    <row r="1257" spans="1:63" x14ac:dyDescent="0.25">
      <c r="A1257" s="92"/>
      <c r="B1257" s="92"/>
      <c r="C1257" s="92"/>
      <c r="D1257" s="92"/>
      <c r="E1257" s="92"/>
      <c r="F1257" s="92"/>
      <c r="G1257" s="92"/>
      <c r="H1257" s="92"/>
      <c r="I1257" s="92"/>
      <c r="J1257" s="92"/>
      <c r="K1257" s="92"/>
      <c r="L1257" s="92"/>
      <c r="M1257" s="92"/>
      <c r="N1257" s="92"/>
      <c r="AG1257" s="100"/>
      <c r="AH1257" s="101"/>
      <c r="AI1257" s="101"/>
      <c r="AJ1257" s="100"/>
      <c r="AK1257" s="100"/>
      <c r="AL1257" s="100"/>
      <c r="AM1257" s="100"/>
      <c r="AN1257" s="100"/>
      <c r="AO1257" s="100"/>
      <c r="AP1257" s="100"/>
      <c r="AQ1257" s="100"/>
      <c r="AR1257" s="100"/>
      <c r="AS1257" s="100"/>
      <c r="AT1257" s="102"/>
      <c r="AX1257" s="100"/>
      <c r="AY1257" s="101"/>
      <c r="AZ1257" s="101"/>
      <c r="BA1257" s="100"/>
      <c r="BB1257" s="100"/>
      <c r="BC1257" s="100"/>
      <c r="BD1257" s="100"/>
      <c r="BE1257" s="100"/>
      <c r="BF1257" s="100"/>
      <c r="BG1257" s="100"/>
      <c r="BH1257" s="100"/>
      <c r="BI1257" s="100"/>
      <c r="BJ1257" s="100"/>
      <c r="BK1257" s="102"/>
    </row>
    <row r="1258" spans="1:63" x14ac:dyDescent="0.25">
      <c r="A1258" s="92"/>
      <c r="B1258" s="92"/>
      <c r="C1258" s="92"/>
      <c r="D1258" s="92"/>
      <c r="E1258" s="92"/>
      <c r="F1258" s="92"/>
      <c r="G1258" s="92"/>
      <c r="H1258" s="92"/>
      <c r="I1258" s="92"/>
      <c r="J1258" s="92"/>
      <c r="K1258" s="92"/>
      <c r="L1258" s="92"/>
      <c r="M1258" s="92"/>
      <c r="N1258" s="92"/>
      <c r="AG1258" s="100"/>
      <c r="AH1258" s="101"/>
      <c r="AI1258" s="101"/>
      <c r="AJ1258" s="100"/>
      <c r="AK1258" s="100"/>
      <c r="AL1258" s="100"/>
      <c r="AM1258" s="100"/>
      <c r="AN1258" s="100"/>
      <c r="AO1258" s="100"/>
      <c r="AP1258" s="100"/>
      <c r="AQ1258" s="100"/>
      <c r="AR1258" s="100"/>
      <c r="AS1258" s="100"/>
      <c r="AT1258" s="102"/>
      <c r="AX1258" s="100"/>
      <c r="AY1258" s="101"/>
      <c r="AZ1258" s="101"/>
      <c r="BA1258" s="100"/>
      <c r="BB1258" s="100"/>
      <c r="BC1258" s="100"/>
      <c r="BD1258" s="100"/>
      <c r="BE1258" s="100"/>
      <c r="BF1258" s="100"/>
      <c r="BG1258" s="100"/>
      <c r="BH1258" s="100"/>
      <c r="BI1258" s="100"/>
      <c r="BJ1258" s="100"/>
      <c r="BK1258" s="102"/>
    </row>
    <row r="1259" spans="1:63" x14ac:dyDescent="0.25">
      <c r="A1259" s="92"/>
      <c r="B1259" s="92"/>
      <c r="C1259" s="92"/>
      <c r="D1259" s="92"/>
      <c r="E1259" s="92"/>
      <c r="F1259" s="92"/>
      <c r="G1259" s="92"/>
      <c r="H1259" s="92"/>
      <c r="I1259" s="92"/>
      <c r="J1259" s="92"/>
      <c r="K1259" s="92"/>
      <c r="L1259" s="92"/>
      <c r="M1259" s="92"/>
      <c r="N1259" s="92"/>
      <c r="AG1259" s="100"/>
      <c r="AH1259" s="101"/>
      <c r="AI1259" s="101"/>
      <c r="AJ1259" s="100"/>
      <c r="AK1259" s="100"/>
      <c r="AL1259" s="100"/>
      <c r="AM1259" s="100"/>
      <c r="AN1259" s="100"/>
      <c r="AO1259" s="100"/>
      <c r="AP1259" s="100"/>
      <c r="AQ1259" s="100"/>
      <c r="AR1259" s="100"/>
      <c r="AS1259" s="100"/>
      <c r="AT1259" s="102"/>
      <c r="AX1259" s="100"/>
      <c r="AY1259" s="101"/>
      <c r="AZ1259" s="101"/>
      <c r="BA1259" s="100"/>
      <c r="BB1259" s="100"/>
      <c r="BC1259" s="100"/>
      <c r="BD1259" s="100"/>
      <c r="BE1259" s="100"/>
      <c r="BF1259" s="100"/>
      <c r="BG1259" s="100"/>
      <c r="BH1259" s="100"/>
      <c r="BI1259" s="100"/>
      <c r="BJ1259" s="100"/>
      <c r="BK1259" s="102"/>
    </row>
    <row r="1260" spans="1:63" x14ac:dyDescent="0.25">
      <c r="A1260" s="92"/>
      <c r="B1260" s="92"/>
      <c r="C1260" s="92"/>
      <c r="D1260" s="92"/>
      <c r="E1260" s="92"/>
      <c r="F1260" s="92"/>
      <c r="G1260" s="92"/>
      <c r="H1260" s="92"/>
      <c r="I1260" s="92"/>
      <c r="J1260" s="92"/>
      <c r="K1260" s="92"/>
      <c r="L1260" s="92"/>
      <c r="M1260" s="92"/>
      <c r="N1260" s="92"/>
      <c r="AG1260" s="100"/>
      <c r="AH1260" s="101"/>
      <c r="AI1260" s="101"/>
      <c r="AJ1260" s="100"/>
      <c r="AK1260" s="100"/>
      <c r="AL1260" s="100"/>
      <c r="AM1260" s="100"/>
      <c r="AN1260" s="100"/>
      <c r="AO1260" s="100"/>
      <c r="AP1260" s="100"/>
      <c r="AQ1260" s="100"/>
      <c r="AR1260" s="100"/>
      <c r="AS1260" s="100"/>
      <c r="AT1260" s="102"/>
      <c r="AX1260" s="100"/>
      <c r="AY1260" s="101"/>
      <c r="AZ1260" s="101"/>
      <c r="BA1260" s="100"/>
      <c r="BB1260" s="100"/>
      <c r="BC1260" s="100"/>
      <c r="BD1260" s="100"/>
      <c r="BE1260" s="100"/>
      <c r="BF1260" s="100"/>
      <c r="BG1260" s="100"/>
      <c r="BH1260" s="100"/>
      <c r="BI1260" s="100"/>
      <c r="BJ1260" s="100"/>
      <c r="BK1260" s="102"/>
    </row>
    <row r="1261" spans="1:63" x14ac:dyDescent="0.25">
      <c r="A1261" s="92"/>
      <c r="B1261" s="92"/>
      <c r="C1261" s="92"/>
      <c r="D1261" s="92"/>
      <c r="E1261" s="92"/>
      <c r="F1261" s="92"/>
      <c r="G1261" s="92"/>
      <c r="H1261" s="92"/>
      <c r="I1261" s="92"/>
      <c r="J1261" s="92"/>
      <c r="K1261" s="92"/>
      <c r="L1261" s="92"/>
      <c r="M1261" s="92"/>
      <c r="N1261" s="92"/>
      <c r="AG1261" s="100"/>
      <c r="AH1261" s="101"/>
      <c r="AI1261" s="101"/>
      <c r="AJ1261" s="100"/>
      <c r="AK1261" s="100"/>
      <c r="AL1261" s="100"/>
      <c r="AM1261" s="100"/>
      <c r="AN1261" s="100"/>
      <c r="AO1261" s="100"/>
      <c r="AP1261" s="100"/>
      <c r="AQ1261" s="100"/>
      <c r="AR1261" s="100"/>
      <c r="AS1261" s="100"/>
      <c r="AT1261" s="102"/>
      <c r="AX1261" s="100"/>
      <c r="AY1261" s="101"/>
      <c r="AZ1261" s="101"/>
      <c r="BA1261" s="100"/>
      <c r="BB1261" s="100"/>
      <c r="BC1261" s="100"/>
      <c r="BD1261" s="100"/>
      <c r="BE1261" s="100"/>
      <c r="BF1261" s="100"/>
      <c r="BG1261" s="100"/>
      <c r="BH1261" s="100"/>
      <c r="BI1261" s="100"/>
      <c r="BJ1261" s="100"/>
      <c r="BK1261" s="102"/>
    </row>
    <row r="1262" spans="1:63" x14ac:dyDescent="0.25">
      <c r="A1262" s="92"/>
      <c r="B1262" s="92"/>
      <c r="C1262" s="92"/>
      <c r="D1262" s="92"/>
      <c r="E1262" s="92"/>
      <c r="F1262" s="92"/>
      <c r="G1262" s="92"/>
      <c r="H1262" s="92"/>
      <c r="I1262" s="92"/>
      <c r="J1262" s="92"/>
      <c r="K1262" s="92"/>
      <c r="L1262" s="92"/>
      <c r="M1262" s="92"/>
      <c r="N1262" s="92"/>
      <c r="AG1262" s="100"/>
      <c r="AH1262" s="101"/>
      <c r="AI1262" s="101"/>
      <c r="AJ1262" s="100"/>
      <c r="AK1262" s="100"/>
      <c r="AL1262" s="100"/>
      <c r="AM1262" s="100"/>
      <c r="AN1262" s="100"/>
      <c r="AO1262" s="100"/>
      <c r="AP1262" s="100"/>
      <c r="AQ1262" s="100"/>
      <c r="AR1262" s="100"/>
      <c r="AS1262" s="100"/>
      <c r="AT1262" s="102"/>
      <c r="AX1262" s="100"/>
      <c r="AY1262" s="101"/>
      <c r="AZ1262" s="101"/>
      <c r="BA1262" s="101"/>
      <c r="BB1262" s="100"/>
      <c r="BC1262" s="100"/>
      <c r="BD1262" s="100"/>
      <c r="BE1262" s="100"/>
      <c r="BF1262" s="100"/>
      <c r="BG1262" s="100"/>
      <c r="BH1262" s="100"/>
      <c r="BI1262" s="100"/>
      <c r="BJ1262" s="100"/>
      <c r="BK1262" s="102"/>
    </row>
    <row r="1263" spans="1:63" x14ac:dyDescent="0.25">
      <c r="A1263" s="92"/>
      <c r="B1263" s="92"/>
      <c r="C1263" s="92"/>
      <c r="D1263" s="92"/>
      <c r="E1263" s="92"/>
      <c r="F1263" s="92"/>
      <c r="G1263" s="92"/>
      <c r="H1263" s="92"/>
      <c r="I1263" s="92"/>
      <c r="J1263" s="92"/>
      <c r="K1263" s="92"/>
      <c r="L1263" s="92"/>
      <c r="M1263" s="92"/>
      <c r="N1263" s="92"/>
      <c r="AG1263" s="100"/>
      <c r="AH1263" s="101"/>
      <c r="AI1263" s="101"/>
      <c r="AJ1263" s="101"/>
      <c r="AK1263" s="100"/>
      <c r="AL1263" s="100"/>
      <c r="AM1263" s="100"/>
      <c r="AN1263" s="100"/>
      <c r="AO1263" s="100"/>
      <c r="AP1263" s="100"/>
      <c r="AQ1263" s="100"/>
      <c r="AR1263" s="100"/>
      <c r="AS1263" s="100"/>
      <c r="AT1263" s="102"/>
      <c r="AX1263" s="100"/>
      <c r="AY1263" s="101"/>
      <c r="AZ1263" s="101"/>
      <c r="BA1263" s="100"/>
      <c r="BB1263" s="100"/>
      <c r="BC1263" s="100"/>
      <c r="BD1263" s="100"/>
      <c r="BE1263" s="100"/>
      <c r="BF1263" s="100"/>
      <c r="BG1263" s="100"/>
      <c r="BH1263" s="100"/>
      <c r="BI1263" s="100"/>
      <c r="BJ1263" s="100"/>
      <c r="BK1263" s="102"/>
    </row>
    <row r="1264" spans="1:63" x14ac:dyDescent="0.25">
      <c r="A1264" s="92"/>
      <c r="B1264" s="92"/>
      <c r="C1264" s="92"/>
      <c r="D1264" s="92"/>
      <c r="E1264" s="92"/>
      <c r="F1264" s="92"/>
      <c r="G1264" s="92"/>
      <c r="H1264" s="92"/>
      <c r="I1264" s="92"/>
      <c r="J1264" s="92"/>
      <c r="K1264" s="92"/>
      <c r="L1264" s="92"/>
      <c r="M1264" s="92"/>
      <c r="N1264" s="92"/>
      <c r="AG1264" s="100"/>
      <c r="AH1264" s="101"/>
      <c r="AI1264" s="101"/>
      <c r="AJ1264" s="100"/>
      <c r="AK1264" s="100"/>
      <c r="AL1264" s="100"/>
      <c r="AM1264" s="100"/>
      <c r="AN1264" s="100"/>
      <c r="AO1264" s="100"/>
      <c r="AP1264" s="100"/>
      <c r="AQ1264" s="100"/>
      <c r="AR1264" s="100"/>
      <c r="AS1264" s="100"/>
      <c r="AT1264" s="102"/>
      <c r="AX1264" s="100"/>
      <c r="AY1264" s="101"/>
      <c r="AZ1264" s="101"/>
      <c r="BA1264" s="100"/>
      <c r="BB1264" s="100"/>
      <c r="BC1264" s="100"/>
      <c r="BD1264" s="100"/>
      <c r="BE1264" s="100"/>
      <c r="BF1264" s="100"/>
      <c r="BG1264" s="100"/>
      <c r="BH1264" s="100"/>
      <c r="BI1264" s="100"/>
      <c r="BJ1264" s="100"/>
      <c r="BK1264" s="102"/>
    </row>
    <row r="1265" spans="1:63" x14ac:dyDescent="0.25">
      <c r="A1265" s="92"/>
      <c r="B1265" s="92"/>
      <c r="C1265" s="92"/>
      <c r="D1265" s="92"/>
      <c r="E1265" s="92"/>
      <c r="F1265" s="92"/>
      <c r="G1265" s="92"/>
      <c r="H1265" s="92"/>
      <c r="I1265" s="92"/>
      <c r="J1265" s="92"/>
      <c r="K1265" s="92"/>
      <c r="L1265" s="92"/>
      <c r="M1265" s="92"/>
      <c r="N1265" s="92"/>
      <c r="AG1265" s="100"/>
      <c r="AH1265" s="101"/>
      <c r="AI1265" s="101"/>
      <c r="AJ1265" s="100"/>
      <c r="AK1265" s="100"/>
      <c r="AL1265" s="100"/>
      <c r="AM1265" s="100"/>
      <c r="AN1265" s="100"/>
      <c r="AO1265" s="100"/>
      <c r="AP1265" s="100"/>
      <c r="AQ1265" s="100"/>
      <c r="AR1265" s="100"/>
      <c r="AS1265" s="100"/>
      <c r="AT1265" s="102"/>
      <c r="AX1265" s="100"/>
      <c r="AY1265" s="101"/>
      <c r="AZ1265" s="101"/>
      <c r="BA1265" s="100"/>
      <c r="BB1265" s="100"/>
      <c r="BC1265" s="100"/>
      <c r="BD1265" s="100"/>
      <c r="BE1265" s="100"/>
      <c r="BF1265" s="100"/>
      <c r="BG1265" s="100"/>
      <c r="BH1265" s="100"/>
      <c r="BI1265" s="100"/>
      <c r="BJ1265" s="100"/>
      <c r="BK1265" s="102"/>
    </row>
    <row r="1266" spans="1:63" x14ac:dyDescent="0.25">
      <c r="A1266" s="92"/>
      <c r="B1266" s="92"/>
      <c r="C1266" s="92"/>
      <c r="D1266" s="92"/>
      <c r="E1266" s="92"/>
      <c r="F1266" s="92"/>
      <c r="G1266" s="92"/>
      <c r="H1266" s="92"/>
      <c r="I1266" s="92"/>
      <c r="J1266" s="92"/>
      <c r="K1266" s="92"/>
      <c r="L1266" s="92"/>
      <c r="M1266" s="92"/>
      <c r="N1266" s="92"/>
      <c r="AG1266" s="100"/>
      <c r="AH1266" s="101"/>
      <c r="AI1266" s="101"/>
      <c r="AJ1266" s="100"/>
      <c r="AK1266" s="100"/>
      <c r="AL1266" s="100"/>
      <c r="AM1266" s="100"/>
      <c r="AN1266" s="100"/>
      <c r="AO1266" s="100"/>
      <c r="AP1266" s="100"/>
      <c r="AQ1266" s="100"/>
      <c r="AR1266" s="100"/>
      <c r="AS1266" s="100"/>
      <c r="AT1266" s="102"/>
      <c r="AX1266" s="100"/>
      <c r="AY1266" s="101"/>
      <c r="AZ1266" s="101"/>
      <c r="BA1266" s="100"/>
      <c r="BB1266" s="100"/>
      <c r="BC1266" s="100"/>
      <c r="BD1266" s="100"/>
      <c r="BE1266" s="100"/>
      <c r="BF1266" s="100"/>
      <c r="BG1266" s="100"/>
      <c r="BH1266" s="100"/>
      <c r="BI1266" s="100"/>
      <c r="BJ1266" s="100"/>
      <c r="BK1266" s="102"/>
    </row>
    <row r="1267" spans="1:63" x14ac:dyDescent="0.25">
      <c r="A1267" s="92"/>
      <c r="B1267" s="92"/>
      <c r="C1267" s="92"/>
      <c r="D1267" s="92"/>
      <c r="E1267" s="92"/>
      <c r="F1267" s="92"/>
      <c r="G1267" s="92"/>
      <c r="H1267" s="92"/>
      <c r="I1267" s="92"/>
      <c r="J1267" s="92"/>
      <c r="K1267" s="92"/>
      <c r="L1267" s="92"/>
      <c r="M1267" s="92"/>
      <c r="N1267" s="92"/>
      <c r="AG1267" s="100"/>
      <c r="AH1267" s="101"/>
      <c r="AI1267" s="101"/>
      <c r="AJ1267" s="100"/>
      <c r="AK1267" s="100"/>
      <c r="AL1267" s="100"/>
      <c r="AM1267" s="100"/>
      <c r="AN1267" s="100"/>
      <c r="AO1267" s="100"/>
      <c r="AP1267" s="100"/>
      <c r="AQ1267" s="100"/>
      <c r="AR1267" s="100"/>
      <c r="AS1267" s="100"/>
      <c r="AT1267" s="102"/>
      <c r="AX1267" s="100"/>
      <c r="AY1267" s="101"/>
      <c r="AZ1267" s="101"/>
      <c r="BA1267" s="100"/>
      <c r="BB1267" s="100"/>
      <c r="BC1267" s="100"/>
      <c r="BD1267" s="100"/>
      <c r="BE1267" s="100"/>
      <c r="BF1267" s="100"/>
      <c r="BG1267" s="100"/>
      <c r="BH1267" s="100"/>
      <c r="BI1267" s="100"/>
      <c r="BJ1267" s="100"/>
      <c r="BK1267" s="102"/>
    </row>
    <row r="1268" spans="1:63" x14ac:dyDescent="0.25">
      <c r="A1268" s="92"/>
      <c r="B1268" s="92"/>
      <c r="C1268" s="92"/>
      <c r="D1268" s="92"/>
      <c r="E1268" s="92"/>
      <c r="F1268" s="92"/>
      <c r="G1268" s="92"/>
      <c r="H1268" s="92"/>
      <c r="I1268" s="92"/>
      <c r="J1268" s="92"/>
      <c r="K1268" s="92"/>
      <c r="L1268" s="92"/>
      <c r="M1268" s="92"/>
      <c r="N1268" s="92"/>
      <c r="AG1268" s="100"/>
      <c r="AH1268" s="101"/>
      <c r="AI1268" s="101"/>
      <c r="AJ1268" s="100"/>
      <c r="AK1268" s="100"/>
      <c r="AL1268" s="100"/>
      <c r="AM1268" s="100"/>
      <c r="AN1268" s="100"/>
      <c r="AO1268" s="100"/>
      <c r="AP1268" s="100"/>
      <c r="AQ1268" s="100"/>
      <c r="AR1268" s="100"/>
      <c r="AS1268" s="100"/>
      <c r="AT1268" s="102"/>
      <c r="AX1268" s="100"/>
      <c r="AY1268" s="101"/>
      <c r="AZ1268" s="101"/>
      <c r="BA1268" s="100"/>
      <c r="BB1268" s="100"/>
      <c r="BC1268" s="100"/>
      <c r="BD1268" s="100"/>
      <c r="BE1268" s="100"/>
      <c r="BF1268" s="100"/>
      <c r="BG1268" s="100"/>
      <c r="BH1268" s="100"/>
      <c r="BI1268" s="100"/>
      <c r="BJ1268" s="100"/>
      <c r="BK1268" s="102"/>
    </row>
    <row r="1269" spans="1:63" x14ac:dyDescent="0.25">
      <c r="A1269" s="92"/>
      <c r="B1269" s="92"/>
      <c r="C1269" s="92"/>
      <c r="D1269" s="92"/>
      <c r="E1269" s="92"/>
      <c r="F1269" s="92"/>
      <c r="G1269" s="92"/>
      <c r="H1269" s="92"/>
      <c r="I1269" s="92"/>
      <c r="J1269" s="92"/>
      <c r="K1269" s="92"/>
      <c r="L1269" s="92"/>
      <c r="M1269" s="92"/>
      <c r="N1269" s="92"/>
      <c r="AG1269" s="100"/>
      <c r="AH1269" s="101"/>
      <c r="AI1269" s="101"/>
      <c r="AJ1269" s="100"/>
      <c r="AK1269" s="100"/>
      <c r="AL1269" s="100"/>
      <c r="AM1269" s="100"/>
      <c r="AN1269" s="100"/>
      <c r="AO1269" s="100"/>
      <c r="AP1269" s="100"/>
      <c r="AQ1269" s="100"/>
      <c r="AR1269" s="100"/>
      <c r="AS1269" s="100"/>
      <c r="AT1269" s="102"/>
      <c r="AX1269" s="100"/>
      <c r="AY1269" s="101"/>
      <c r="AZ1269" s="101"/>
      <c r="BA1269" s="100"/>
      <c r="BB1269" s="100"/>
      <c r="BC1269" s="100"/>
      <c r="BD1269" s="100"/>
      <c r="BE1269" s="100"/>
      <c r="BF1269" s="100"/>
      <c r="BG1269" s="100"/>
      <c r="BH1269" s="100"/>
      <c r="BI1269" s="100"/>
      <c r="BJ1269" s="100"/>
      <c r="BK1269" s="102"/>
    </row>
    <row r="1270" spans="1:63" x14ac:dyDescent="0.25">
      <c r="A1270" s="92"/>
      <c r="B1270" s="92"/>
      <c r="C1270" s="92"/>
      <c r="D1270" s="92"/>
      <c r="E1270" s="92"/>
      <c r="F1270" s="92"/>
      <c r="G1270" s="92"/>
      <c r="H1270" s="92"/>
      <c r="I1270" s="92"/>
      <c r="J1270" s="92"/>
      <c r="K1270" s="92"/>
      <c r="L1270" s="92"/>
      <c r="M1270" s="92"/>
      <c r="N1270" s="92"/>
      <c r="AG1270" s="100"/>
      <c r="AH1270" s="101"/>
      <c r="AI1270" s="101"/>
      <c r="AJ1270" s="100"/>
      <c r="AK1270" s="100"/>
      <c r="AL1270" s="100"/>
      <c r="AM1270" s="100"/>
      <c r="AN1270" s="100"/>
      <c r="AO1270" s="100"/>
      <c r="AP1270" s="100"/>
      <c r="AQ1270" s="100"/>
      <c r="AR1270" s="100"/>
      <c r="AS1270" s="100"/>
      <c r="AT1270" s="102"/>
      <c r="AX1270" s="100"/>
      <c r="AY1270" s="101"/>
      <c r="AZ1270" s="101"/>
      <c r="BA1270" s="100"/>
      <c r="BB1270" s="100"/>
      <c r="BC1270" s="100"/>
      <c r="BD1270" s="100"/>
      <c r="BE1270" s="100"/>
      <c r="BF1270" s="100"/>
      <c r="BG1270" s="100"/>
      <c r="BH1270" s="100"/>
      <c r="BI1270" s="100"/>
      <c r="BJ1270" s="100"/>
      <c r="BK1270" s="102"/>
    </row>
    <row r="1271" spans="1:63" x14ac:dyDescent="0.25">
      <c r="A1271" s="92"/>
      <c r="B1271" s="93"/>
      <c r="C1271" s="93"/>
      <c r="D1271" s="93"/>
      <c r="E1271" s="92"/>
      <c r="F1271" s="92"/>
      <c r="G1271" s="92"/>
      <c r="H1271" s="92"/>
      <c r="I1271" s="92"/>
      <c r="J1271" s="92"/>
      <c r="K1271" s="92"/>
      <c r="L1271" s="92"/>
      <c r="M1271" s="92"/>
      <c r="N1271" s="94"/>
      <c r="AG1271" s="100"/>
      <c r="AH1271" s="101"/>
      <c r="AI1271" s="101"/>
      <c r="AJ1271" s="100"/>
      <c r="AK1271" s="100"/>
      <c r="AL1271" s="100"/>
      <c r="AM1271" s="100"/>
      <c r="AN1271" s="100"/>
      <c r="AO1271" s="100"/>
      <c r="AP1271" s="100"/>
      <c r="AQ1271" s="100"/>
      <c r="AR1271" s="100"/>
      <c r="AS1271" s="100"/>
      <c r="AT1271" s="102"/>
      <c r="AX1271" s="100"/>
      <c r="AY1271" s="101"/>
      <c r="AZ1271" s="101"/>
      <c r="BA1271" s="100"/>
      <c r="BB1271" s="100"/>
      <c r="BC1271" s="100"/>
      <c r="BD1271" s="100"/>
      <c r="BE1271" s="100"/>
      <c r="BF1271" s="100"/>
      <c r="BG1271" s="100"/>
      <c r="BH1271" s="100"/>
      <c r="BI1271" s="100"/>
      <c r="BJ1271" s="100"/>
      <c r="BK1271" s="102"/>
    </row>
    <row r="1272" spans="1:63" x14ac:dyDescent="0.25">
      <c r="A1272" s="92"/>
      <c r="B1272" s="93"/>
      <c r="C1272" s="93"/>
      <c r="D1272" s="92"/>
      <c r="E1272" s="92"/>
      <c r="F1272" s="92"/>
      <c r="G1272" s="92"/>
      <c r="H1272" s="92"/>
      <c r="I1272" s="92"/>
      <c r="J1272" s="92"/>
      <c r="K1272" s="92"/>
      <c r="L1272" s="92"/>
      <c r="M1272" s="92"/>
      <c r="N1272" s="94"/>
      <c r="AG1272" s="100"/>
      <c r="AH1272" s="101"/>
      <c r="AI1272" s="101"/>
      <c r="AJ1272" s="100"/>
      <c r="AK1272" s="100"/>
      <c r="AL1272" s="100"/>
      <c r="AM1272" s="100"/>
      <c r="AN1272" s="100"/>
      <c r="AO1272" s="100"/>
      <c r="AP1272" s="100"/>
      <c r="AQ1272" s="100"/>
      <c r="AR1272" s="100"/>
      <c r="AS1272" s="100"/>
      <c r="AT1272" s="102"/>
      <c r="AX1272" s="100"/>
      <c r="AY1272" s="101"/>
      <c r="AZ1272" s="101"/>
      <c r="BA1272" s="100"/>
      <c r="BB1272" s="100"/>
      <c r="BC1272" s="100"/>
      <c r="BD1272" s="100"/>
      <c r="BE1272" s="100"/>
      <c r="BF1272" s="100"/>
      <c r="BG1272" s="100"/>
      <c r="BH1272" s="100"/>
      <c r="BI1272" s="100"/>
      <c r="BJ1272" s="100"/>
      <c r="BK1272" s="102"/>
    </row>
    <row r="1273" spans="1:63" x14ac:dyDescent="0.25">
      <c r="A1273" s="92"/>
      <c r="B1273" s="92"/>
      <c r="C1273" s="92"/>
      <c r="D1273" s="92"/>
      <c r="E1273" s="92"/>
      <c r="F1273" s="92"/>
      <c r="G1273" s="92"/>
      <c r="H1273" s="92"/>
      <c r="I1273" s="92"/>
      <c r="J1273" s="92"/>
      <c r="K1273" s="92"/>
      <c r="L1273" s="92"/>
      <c r="M1273" s="92"/>
      <c r="N1273" s="92"/>
      <c r="AG1273" s="100"/>
      <c r="AH1273" s="101"/>
      <c r="AI1273" s="101"/>
      <c r="AJ1273" s="100"/>
      <c r="AK1273" s="100"/>
      <c r="AL1273" s="100"/>
      <c r="AM1273" s="100"/>
      <c r="AN1273" s="100"/>
      <c r="AO1273" s="100"/>
      <c r="AP1273" s="100"/>
      <c r="AQ1273" s="100"/>
      <c r="AR1273" s="100"/>
      <c r="AS1273" s="100"/>
      <c r="AT1273" s="102"/>
      <c r="AX1273" s="100"/>
      <c r="AY1273" s="101"/>
      <c r="AZ1273" s="101"/>
      <c r="BA1273" s="100"/>
      <c r="BB1273" s="100"/>
      <c r="BC1273" s="100"/>
      <c r="BD1273" s="100"/>
      <c r="BE1273" s="100"/>
      <c r="BF1273" s="100"/>
      <c r="BG1273" s="100"/>
      <c r="BH1273" s="100"/>
      <c r="BI1273" s="100"/>
      <c r="BJ1273" s="100"/>
      <c r="BK1273" s="102"/>
    </row>
    <row r="1274" spans="1:63" x14ac:dyDescent="0.25">
      <c r="A1274" s="92"/>
      <c r="B1274" s="92"/>
      <c r="C1274" s="92"/>
      <c r="D1274" s="92"/>
      <c r="E1274" s="92"/>
      <c r="F1274" s="92"/>
      <c r="G1274" s="92"/>
      <c r="H1274" s="92"/>
      <c r="I1274" s="92"/>
      <c r="J1274" s="92"/>
      <c r="K1274" s="92"/>
      <c r="L1274" s="92"/>
      <c r="M1274" s="92"/>
      <c r="N1274" s="92"/>
      <c r="AG1274" s="100"/>
      <c r="AH1274" s="101"/>
      <c r="AI1274" s="101"/>
      <c r="AJ1274" s="100"/>
      <c r="AK1274" s="100"/>
      <c r="AL1274" s="100"/>
      <c r="AM1274" s="100"/>
      <c r="AN1274" s="100"/>
      <c r="AO1274" s="100"/>
      <c r="AP1274" s="100"/>
      <c r="AQ1274" s="100"/>
      <c r="AR1274" s="100"/>
      <c r="AS1274" s="100"/>
      <c r="AT1274" s="102"/>
      <c r="AX1274" s="100"/>
      <c r="AY1274" s="101"/>
      <c r="AZ1274" s="101"/>
      <c r="BA1274" s="100"/>
      <c r="BB1274" s="100"/>
      <c r="BC1274" s="100"/>
      <c r="BD1274" s="100"/>
      <c r="BE1274" s="100"/>
      <c r="BF1274" s="100"/>
      <c r="BG1274" s="100"/>
      <c r="BH1274" s="100"/>
      <c r="BI1274" s="100"/>
      <c r="BJ1274" s="100"/>
      <c r="BK1274" s="102"/>
    </row>
    <row r="1275" spans="1:63" x14ac:dyDescent="0.25">
      <c r="A1275" s="92"/>
      <c r="B1275" s="92"/>
      <c r="C1275" s="92"/>
      <c r="D1275" s="92"/>
      <c r="E1275" s="92"/>
      <c r="F1275" s="92"/>
      <c r="G1275" s="92"/>
      <c r="H1275" s="92"/>
      <c r="I1275" s="92"/>
      <c r="J1275" s="92"/>
      <c r="K1275" s="92"/>
      <c r="L1275" s="92"/>
      <c r="M1275" s="92"/>
      <c r="N1275" s="92"/>
      <c r="AG1275" s="100"/>
      <c r="AH1275" s="101"/>
      <c r="AI1275" s="101"/>
      <c r="AJ1275" s="101"/>
      <c r="AK1275" s="100"/>
      <c r="AL1275" s="100"/>
      <c r="AM1275" s="100"/>
      <c r="AN1275" s="100"/>
      <c r="AO1275" s="100"/>
      <c r="AP1275" s="100"/>
      <c r="AQ1275" s="100"/>
      <c r="AR1275" s="100"/>
      <c r="AS1275" s="100"/>
      <c r="AT1275" s="102"/>
      <c r="AX1275" s="100"/>
      <c r="AY1275" s="101"/>
      <c r="AZ1275" s="101"/>
      <c r="BA1275" s="100"/>
      <c r="BB1275" s="100"/>
      <c r="BC1275" s="100"/>
      <c r="BD1275" s="100"/>
      <c r="BE1275" s="100"/>
      <c r="BF1275" s="100"/>
      <c r="BG1275" s="100"/>
      <c r="BH1275" s="100"/>
      <c r="BI1275" s="100"/>
      <c r="BJ1275" s="100"/>
      <c r="BK1275" s="102"/>
    </row>
    <row r="1276" spans="1:63" x14ac:dyDescent="0.25">
      <c r="A1276" s="92"/>
      <c r="B1276" s="92"/>
      <c r="C1276" s="92"/>
      <c r="D1276" s="92"/>
      <c r="E1276" s="92"/>
      <c r="F1276" s="92"/>
      <c r="G1276" s="92"/>
      <c r="H1276" s="92"/>
      <c r="I1276" s="92"/>
      <c r="J1276" s="92"/>
      <c r="K1276" s="92"/>
      <c r="L1276" s="92"/>
      <c r="M1276" s="92"/>
      <c r="N1276" s="92"/>
      <c r="AG1276" s="100"/>
      <c r="AH1276" s="101"/>
      <c r="AI1276" s="101"/>
      <c r="AJ1276" s="101"/>
      <c r="AK1276" s="100"/>
      <c r="AL1276" s="100"/>
      <c r="AM1276" s="100"/>
      <c r="AN1276" s="100"/>
      <c r="AO1276" s="100"/>
      <c r="AP1276" s="100"/>
      <c r="AQ1276" s="100"/>
      <c r="AR1276" s="100"/>
      <c r="AS1276" s="100"/>
      <c r="AT1276" s="102"/>
      <c r="AX1276" s="100"/>
      <c r="AY1276" s="101"/>
      <c r="AZ1276" s="101"/>
      <c r="BA1276" s="101"/>
      <c r="BB1276" s="100"/>
      <c r="BC1276" s="100"/>
      <c r="BD1276" s="100"/>
      <c r="BE1276" s="100"/>
      <c r="BF1276" s="100"/>
      <c r="BG1276" s="100"/>
      <c r="BH1276" s="100"/>
      <c r="BI1276" s="100"/>
      <c r="BJ1276" s="100"/>
      <c r="BK1276" s="102"/>
    </row>
    <row r="1277" spans="1:63" x14ac:dyDescent="0.25">
      <c r="A1277" s="92"/>
      <c r="B1277" s="92"/>
      <c r="C1277" s="92"/>
      <c r="D1277" s="92"/>
      <c r="E1277" s="92"/>
      <c r="F1277" s="92"/>
      <c r="G1277" s="92"/>
      <c r="H1277" s="92"/>
      <c r="I1277" s="92"/>
      <c r="J1277" s="92"/>
      <c r="K1277" s="92"/>
      <c r="L1277" s="92"/>
      <c r="M1277" s="92"/>
      <c r="N1277" s="92"/>
      <c r="AG1277" s="100"/>
      <c r="AH1277" s="101"/>
      <c r="AI1277" s="101"/>
      <c r="AJ1277" s="100"/>
      <c r="AK1277" s="100"/>
      <c r="AL1277" s="100"/>
      <c r="AM1277" s="100"/>
      <c r="AN1277" s="100"/>
      <c r="AO1277" s="100"/>
      <c r="AP1277" s="100"/>
      <c r="AQ1277" s="100"/>
      <c r="AR1277" s="100"/>
      <c r="AS1277" s="100"/>
      <c r="AT1277" s="102"/>
      <c r="AX1277" s="100"/>
      <c r="AY1277" s="101"/>
      <c r="AZ1277" s="101"/>
      <c r="BA1277" s="100"/>
      <c r="BB1277" s="100"/>
      <c r="BC1277" s="100"/>
      <c r="BD1277" s="100"/>
      <c r="BE1277" s="100"/>
      <c r="BF1277" s="100"/>
      <c r="BG1277" s="100"/>
      <c r="BH1277" s="100"/>
      <c r="BI1277" s="100"/>
      <c r="BJ1277" s="100"/>
      <c r="BK1277" s="102"/>
    </row>
    <row r="1278" spans="1:63" x14ac:dyDescent="0.25">
      <c r="A1278" s="92"/>
      <c r="B1278" s="92"/>
      <c r="C1278" s="92"/>
      <c r="D1278" s="92"/>
      <c r="E1278" s="92"/>
      <c r="F1278" s="92"/>
      <c r="G1278" s="92"/>
      <c r="H1278" s="92"/>
      <c r="I1278" s="92"/>
      <c r="J1278" s="92"/>
      <c r="K1278" s="92"/>
      <c r="L1278" s="92"/>
      <c r="M1278" s="92"/>
      <c r="N1278" s="92"/>
      <c r="AG1278" s="100"/>
      <c r="AH1278" s="101"/>
      <c r="AI1278" s="101"/>
      <c r="AJ1278" s="100"/>
      <c r="AK1278" s="100"/>
      <c r="AL1278" s="100"/>
      <c r="AM1278" s="100"/>
      <c r="AN1278" s="100"/>
      <c r="AO1278" s="100"/>
      <c r="AP1278" s="100"/>
      <c r="AQ1278" s="100"/>
      <c r="AR1278" s="100"/>
      <c r="AS1278" s="100"/>
      <c r="AT1278" s="102"/>
      <c r="AX1278" s="100"/>
      <c r="AY1278" s="101"/>
      <c r="AZ1278" s="101"/>
      <c r="BA1278" s="100"/>
      <c r="BB1278" s="100"/>
      <c r="BC1278" s="100"/>
      <c r="BD1278" s="100"/>
      <c r="BE1278" s="100"/>
      <c r="BF1278" s="100"/>
      <c r="BG1278" s="100"/>
      <c r="BH1278" s="100"/>
      <c r="BI1278" s="100"/>
      <c r="BJ1278" s="100"/>
      <c r="BK1278" s="102"/>
    </row>
    <row r="1279" spans="1:63" x14ac:dyDescent="0.25">
      <c r="A1279" s="92"/>
      <c r="B1279" s="93"/>
      <c r="C1279" s="93"/>
      <c r="D1279" s="92"/>
      <c r="E1279" s="92"/>
      <c r="F1279" s="92"/>
      <c r="G1279" s="92"/>
      <c r="H1279" s="92"/>
      <c r="I1279" s="92"/>
      <c r="J1279" s="92"/>
      <c r="K1279" s="92"/>
      <c r="L1279" s="92"/>
      <c r="M1279" s="92"/>
      <c r="N1279" s="94"/>
      <c r="AG1279" s="100"/>
      <c r="AH1279" s="101"/>
      <c r="AI1279" s="101"/>
      <c r="AJ1279" s="100"/>
      <c r="AK1279" s="100"/>
      <c r="AL1279" s="100"/>
      <c r="AM1279" s="100"/>
      <c r="AN1279" s="100"/>
      <c r="AO1279" s="100"/>
      <c r="AP1279" s="100"/>
      <c r="AQ1279" s="100"/>
      <c r="AR1279" s="100"/>
      <c r="AS1279" s="100"/>
      <c r="AT1279" s="102"/>
      <c r="AX1279" s="100"/>
      <c r="AY1279" s="101"/>
      <c r="AZ1279" s="101"/>
      <c r="BA1279" s="100"/>
      <c r="BB1279" s="100"/>
      <c r="BC1279" s="100"/>
      <c r="BD1279" s="100"/>
      <c r="BE1279" s="100"/>
      <c r="BF1279" s="100"/>
      <c r="BG1279" s="100"/>
      <c r="BH1279" s="100"/>
      <c r="BI1279" s="100"/>
      <c r="BJ1279" s="100"/>
      <c r="BK1279" s="102"/>
    </row>
    <row r="1280" spans="1:63" x14ac:dyDescent="0.25">
      <c r="A1280" s="92"/>
      <c r="B1280" s="93"/>
      <c r="C1280" s="93"/>
      <c r="D1280" s="92"/>
      <c r="E1280" s="92"/>
      <c r="F1280" s="92"/>
      <c r="G1280" s="92"/>
      <c r="H1280" s="92"/>
      <c r="I1280" s="92"/>
      <c r="J1280" s="92"/>
      <c r="K1280" s="92"/>
      <c r="L1280" s="92"/>
      <c r="M1280" s="92"/>
      <c r="N1280" s="94"/>
      <c r="AG1280" s="100"/>
      <c r="AH1280" s="101"/>
      <c r="AI1280" s="101"/>
      <c r="AJ1280" s="100"/>
      <c r="AK1280" s="100"/>
      <c r="AL1280" s="100"/>
      <c r="AM1280" s="100"/>
      <c r="AN1280" s="100"/>
      <c r="AO1280" s="100"/>
      <c r="AP1280" s="100"/>
      <c r="AQ1280" s="100"/>
      <c r="AR1280" s="100"/>
      <c r="AS1280" s="100"/>
      <c r="AT1280" s="102"/>
      <c r="AX1280" s="100"/>
      <c r="AY1280" s="101"/>
      <c r="AZ1280" s="101"/>
      <c r="BA1280" s="100"/>
      <c r="BB1280" s="100"/>
      <c r="BC1280" s="100"/>
      <c r="BD1280" s="100"/>
      <c r="BE1280" s="100"/>
      <c r="BF1280" s="100"/>
      <c r="BG1280" s="100"/>
      <c r="BH1280" s="100"/>
      <c r="BI1280" s="100"/>
      <c r="BJ1280" s="100"/>
      <c r="BK1280" s="102"/>
    </row>
    <row r="1281" spans="1:63" x14ac:dyDescent="0.25">
      <c r="A1281" s="92"/>
      <c r="B1281" s="93"/>
      <c r="C1281" s="93"/>
      <c r="D1281" s="92"/>
      <c r="E1281" s="92"/>
      <c r="F1281" s="92"/>
      <c r="G1281" s="92"/>
      <c r="H1281" s="92"/>
      <c r="I1281" s="92"/>
      <c r="J1281" s="92"/>
      <c r="K1281" s="92"/>
      <c r="L1281" s="92"/>
      <c r="M1281" s="92"/>
      <c r="N1281" s="94"/>
      <c r="AG1281" s="100"/>
      <c r="AH1281" s="101"/>
      <c r="AI1281" s="101"/>
      <c r="AJ1281" s="100"/>
      <c r="AK1281" s="100"/>
      <c r="AL1281" s="100"/>
      <c r="AM1281" s="100"/>
      <c r="AN1281" s="100"/>
      <c r="AO1281" s="100"/>
      <c r="AP1281" s="100"/>
      <c r="AQ1281" s="100"/>
      <c r="AR1281" s="100"/>
      <c r="AS1281" s="100"/>
      <c r="AT1281" s="102"/>
      <c r="AX1281" s="100"/>
      <c r="AY1281" s="101"/>
      <c r="AZ1281" s="101"/>
      <c r="BA1281" s="100"/>
      <c r="BB1281" s="100"/>
      <c r="BC1281" s="100"/>
      <c r="BD1281" s="100"/>
      <c r="BE1281" s="100"/>
      <c r="BF1281" s="100"/>
      <c r="BG1281" s="100"/>
      <c r="BH1281" s="100"/>
      <c r="BI1281" s="100"/>
      <c r="BJ1281" s="100"/>
      <c r="BK1281" s="102"/>
    </row>
    <row r="1282" spans="1:63" x14ac:dyDescent="0.25">
      <c r="A1282" s="92"/>
      <c r="B1282" s="92"/>
      <c r="C1282" s="92"/>
      <c r="D1282" s="92"/>
      <c r="E1282" s="92"/>
      <c r="F1282" s="92"/>
      <c r="G1282" s="92"/>
      <c r="H1282" s="92"/>
      <c r="I1282" s="92"/>
      <c r="J1282" s="92"/>
      <c r="K1282" s="92"/>
      <c r="L1282" s="92"/>
      <c r="M1282" s="92"/>
      <c r="N1282" s="92"/>
      <c r="AG1282" s="100"/>
      <c r="AH1282" s="101"/>
      <c r="AI1282" s="101"/>
      <c r="AJ1282" s="100"/>
      <c r="AK1282" s="100"/>
      <c r="AL1282" s="100"/>
      <c r="AM1282" s="100"/>
      <c r="AN1282" s="100"/>
      <c r="AO1282" s="100"/>
      <c r="AP1282" s="100"/>
      <c r="AQ1282" s="100"/>
      <c r="AR1282" s="100"/>
      <c r="AS1282" s="100"/>
      <c r="AT1282" s="102"/>
      <c r="AX1282" s="100"/>
      <c r="AY1282" s="101"/>
      <c r="AZ1282" s="101"/>
      <c r="BA1282" s="100"/>
      <c r="BB1282" s="100"/>
      <c r="BC1282" s="100"/>
      <c r="BD1282" s="100"/>
      <c r="BE1282" s="100"/>
      <c r="BF1282" s="100"/>
      <c r="BG1282" s="100"/>
      <c r="BH1282" s="100"/>
      <c r="BI1282" s="100"/>
      <c r="BJ1282" s="100"/>
      <c r="BK1282" s="102"/>
    </row>
    <row r="1283" spans="1:63" x14ac:dyDescent="0.25">
      <c r="A1283" s="92"/>
      <c r="B1283" s="92"/>
      <c r="C1283" s="92"/>
      <c r="D1283" s="92"/>
      <c r="E1283" s="92"/>
      <c r="F1283" s="92"/>
      <c r="G1283" s="92"/>
      <c r="H1283" s="92"/>
      <c r="I1283" s="92"/>
      <c r="J1283" s="92"/>
      <c r="K1283" s="92"/>
      <c r="L1283" s="92"/>
      <c r="M1283" s="92"/>
      <c r="N1283" s="92"/>
      <c r="AG1283" s="100"/>
      <c r="AH1283" s="101"/>
      <c r="AI1283" s="101"/>
      <c r="AJ1283" s="100"/>
      <c r="AK1283" s="100"/>
      <c r="AL1283" s="100"/>
      <c r="AM1283" s="100"/>
      <c r="AN1283" s="100"/>
      <c r="AO1283" s="100"/>
      <c r="AP1283" s="100"/>
      <c r="AQ1283" s="100"/>
      <c r="AR1283" s="100"/>
      <c r="AS1283" s="100"/>
      <c r="AT1283" s="102"/>
      <c r="AX1283" s="100"/>
      <c r="AY1283" s="101"/>
      <c r="AZ1283" s="101"/>
      <c r="BA1283" s="101"/>
      <c r="BB1283" s="100"/>
      <c r="BC1283" s="100"/>
      <c r="BD1283" s="100"/>
      <c r="BE1283" s="100"/>
      <c r="BF1283" s="100"/>
      <c r="BG1283" s="100"/>
      <c r="BH1283" s="100"/>
      <c r="BI1283" s="100"/>
      <c r="BJ1283" s="100"/>
      <c r="BK1283" s="102"/>
    </row>
    <row r="1284" spans="1:63" x14ac:dyDescent="0.25">
      <c r="A1284" s="92"/>
      <c r="B1284" s="92"/>
      <c r="C1284" s="92"/>
      <c r="D1284" s="92"/>
      <c r="E1284" s="92"/>
      <c r="F1284" s="92"/>
      <c r="G1284" s="92"/>
      <c r="H1284" s="92"/>
      <c r="I1284" s="92"/>
      <c r="J1284" s="92"/>
      <c r="K1284" s="92"/>
      <c r="L1284" s="92"/>
      <c r="M1284" s="92"/>
      <c r="N1284" s="92"/>
      <c r="AG1284" s="100"/>
      <c r="AH1284" s="101"/>
      <c r="AI1284" s="101"/>
      <c r="AJ1284" s="100"/>
      <c r="AK1284" s="100"/>
      <c r="AL1284" s="100"/>
      <c r="AM1284" s="100"/>
      <c r="AN1284" s="100"/>
      <c r="AO1284" s="100"/>
      <c r="AP1284" s="100"/>
      <c r="AQ1284" s="100"/>
      <c r="AR1284" s="100"/>
      <c r="AS1284" s="100"/>
      <c r="AT1284" s="102"/>
      <c r="AX1284" s="100"/>
      <c r="AY1284" s="101"/>
      <c r="AZ1284" s="101"/>
      <c r="BA1284" s="100"/>
      <c r="BB1284" s="100"/>
      <c r="BC1284" s="100"/>
      <c r="BD1284" s="100"/>
      <c r="BE1284" s="100"/>
      <c r="BF1284" s="100"/>
      <c r="BG1284" s="100"/>
      <c r="BH1284" s="100"/>
      <c r="BI1284" s="100"/>
      <c r="BJ1284" s="100"/>
      <c r="BK1284" s="102"/>
    </row>
    <row r="1285" spans="1:63" x14ac:dyDescent="0.25">
      <c r="A1285" s="92"/>
      <c r="B1285" s="92"/>
      <c r="C1285" s="92"/>
      <c r="D1285" s="92"/>
      <c r="E1285" s="92"/>
      <c r="F1285" s="92"/>
      <c r="G1285" s="92"/>
      <c r="H1285" s="92"/>
      <c r="I1285" s="92"/>
      <c r="J1285" s="92"/>
      <c r="K1285" s="92"/>
      <c r="L1285" s="92"/>
      <c r="M1285" s="92"/>
      <c r="N1285" s="92"/>
      <c r="AG1285" s="100"/>
      <c r="AH1285" s="101"/>
      <c r="AI1285" s="101"/>
      <c r="AJ1285" s="100"/>
      <c r="AK1285" s="100"/>
      <c r="AL1285" s="100"/>
      <c r="AM1285" s="100"/>
      <c r="AN1285" s="100"/>
      <c r="AO1285" s="100"/>
      <c r="AP1285" s="100"/>
      <c r="AQ1285" s="100"/>
      <c r="AR1285" s="100"/>
      <c r="AS1285" s="100"/>
      <c r="AT1285" s="102"/>
      <c r="AX1285" s="100"/>
      <c r="AY1285" s="101"/>
      <c r="AZ1285" s="101"/>
      <c r="BA1285" s="100"/>
      <c r="BB1285" s="100"/>
      <c r="BC1285" s="100"/>
      <c r="BD1285" s="100"/>
      <c r="BE1285" s="100"/>
      <c r="BF1285" s="100"/>
      <c r="BG1285" s="100"/>
      <c r="BH1285" s="100"/>
      <c r="BI1285" s="100"/>
      <c r="BJ1285" s="100"/>
      <c r="BK1285" s="102"/>
    </row>
    <row r="1286" spans="1:63" x14ac:dyDescent="0.25">
      <c r="A1286" s="92"/>
      <c r="B1286" s="93"/>
      <c r="C1286" s="93"/>
      <c r="D1286" s="92"/>
      <c r="E1286" s="92"/>
      <c r="F1286" s="92"/>
      <c r="G1286" s="92"/>
      <c r="H1286" s="92"/>
      <c r="I1286" s="92"/>
      <c r="J1286" s="92"/>
      <c r="K1286" s="92"/>
      <c r="L1286" s="92"/>
      <c r="M1286" s="92"/>
      <c r="N1286" s="94"/>
      <c r="AG1286" s="100"/>
      <c r="AH1286" s="101"/>
      <c r="AI1286" s="101"/>
      <c r="AJ1286" s="100"/>
      <c r="AK1286" s="100"/>
      <c r="AL1286" s="100"/>
      <c r="AM1286" s="100"/>
      <c r="AN1286" s="100"/>
      <c r="AO1286" s="100"/>
      <c r="AP1286" s="100"/>
      <c r="AQ1286" s="100"/>
      <c r="AR1286" s="100"/>
      <c r="AS1286" s="100"/>
      <c r="AT1286" s="102"/>
      <c r="AX1286" s="100"/>
      <c r="AY1286" s="101"/>
      <c r="AZ1286" s="101"/>
      <c r="BA1286" s="100"/>
      <c r="BB1286" s="100"/>
      <c r="BC1286" s="100"/>
      <c r="BD1286" s="100"/>
      <c r="BE1286" s="100"/>
      <c r="BF1286" s="100"/>
      <c r="BG1286" s="100"/>
      <c r="BH1286" s="100"/>
      <c r="BI1286" s="100"/>
      <c r="BJ1286" s="100"/>
      <c r="BK1286" s="102"/>
    </row>
    <row r="1287" spans="1:63" x14ac:dyDescent="0.25">
      <c r="A1287" s="92"/>
      <c r="B1287" s="93"/>
      <c r="C1287" s="93"/>
      <c r="D1287" s="92"/>
      <c r="E1287" s="92"/>
      <c r="F1287" s="92"/>
      <c r="G1287" s="92"/>
      <c r="H1287" s="92"/>
      <c r="I1287" s="92"/>
      <c r="J1287" s="92"/>
      <c r="K1287" s="92"/>
      <c r="L1287" s="92"/>
      <c r="M1287" s="92"/>
      <c r="N1287" s="94"/>
      <c r="AG1287" s="100"/>
      <c r="AH1287" s="101"/>
      <c r="AI1287" s="101"/>
      <c r="AJ1287" s="100"/>
      <c r="AK1287" s="100"/>
      <c r="AL1287" s="100"/>
      <c r="AM1287" s="100"/>
      <c r="AN1287" s="100"/>
      <c r="AO1287" s="100"/>
      <c r="AP1287" s="100"/>
      <c r="AQ1287" s="100"/>
      <c r="AR1287" s="100"/>
      <c r="AS1287" s="100"/>
      <c r="AT1287" s="102"/>
      <c r="AX1287" s="100"/>
      <c r="AY1287" s="101"/>
      <c r="AZ1287" s="101"/>
      <c r="BA1287" s="100"/>
      <c r="BB1287" s="100"/>
      <c r="BC1287" s="100"/>
      <c r="BD1287" s="100"/>
      <c r="BE1287" s="100"/>
      <c r="BF1287" s="100"/>
      <c r="BG1287" s="100"/>
      <c r="BH1287" s="100"/>
      <c r="BI1287" s="100"/>
      <c r="BJ1287" s="100"/>
      <c r="BK1287" s="102"/>
    </row>
    <row r="1288" spans="1:63" x14ac:dyDescent="0.25">
      <c r="A1288" s="92"/>
      <c r="B1288" s="92"/>
      <c r="C1288" s="92"/>
      <c r="D1288" s="92"/>
      <c r="E1288" s="92"/>
      <c r="F1288" s="92"/>
      <c r="G1288" s="92"/>
      <c r="H1288" s="92"/>
      <c r="I1288" s="92"/>
      <c r="J1288" s="92"/>
      <c r="K1288" s="92"/>
      <c r="L1288" s="92"/>
      <c r="M1288" s="92"/>
      <c r="N1288" s="92"/>
      <c r="AG1288" s="100"/>
      <c r="AH1288" s="101"/>
      <c r="AI1288" s="101"/>
      <c r="AJ1288" s="100"/>
      <c r="AK1288" s="100"/>
      <c r="AL1288" s="100"/>
      <c r="AM1288" s="100"/>
      <c r="AN1288" s="100"/>
      <c r="AO1288" s="100"/>
      <c r="AP1288" s="100"/>
      <c r="AQ1288" s="100"/>
      <c r="AR1288" s="100"/>
      <c r="AS1288" s="100"/>
      <c r="AT1288" s="102"/>
      <c r="AX1288" s="100"/>
      <c r="AY1288" s="101"/>
      <c r="AZ1288" s="101"/>
      <c r="BA1288" s="100"/>
      <c r="BB1288" s="100"/>
      <c r="BC1288" s="100"/>
      <c r="BD1288" s="100"/>
      <c r="BE1288" s="100"/>
      <c r="BF1288" s="100"/>
      <c r="BG1288" s="100"/>
      <c r="BH1288" s="100"/>
      <c r="BI1288" s="100"/>
      <c r="BJ1288" s="100"/>
      <c r="BK1288" s="102"/>
    </row>
    <row r="1289" spans="1:63" x14ac:dyDescent="0.25">
      <c r="A1289" s="92"/>
      <c r="B1289" s="92"/>
      <c r="C1289" s="92"/>
      <c r="D1289" s="92"/>
      <c r="E1289" s="92"/>
      <c r="F1289" s="92"/>
      <c r="G1289" s="92"/>
      <c r="H1289" s="92"/>
      <c r="I1289" s="92"/>
      <c r="J1289" s="92"/>
      <c r="K1289" s="92"/>
      <c r="L1289" s="92"/>
      <c r="M1289" s="92"/>
      <c r="N1289" s="92"/>
      <c r="AG1289" s="100"/>
      <c r="AH1289" s="101"/>
      <c r="AI1289" s="101"/>
      <c r="AJ1289" s="101"/>
      <c r="AK1289" s="100"/>
      <c r="AL1289" s="100"/>
      <c r="AM1289" s="100"/>
      <c r="AN1289" s="100"/>
      <c r="AO1289" s="100"/>
      <c r="AP1289" s="100"/>
      <c r="AQ1289" s="100"/>
      <c r="AR1289" s="100"/>
      <c r="AS1289" s="100"/>
      <c r="AT1289" s="102"/>
      <c r="AX1289" s="100"/>
      <c r="AY1289" s="101"/>
      <c r="AZ1289" s="101"/>
      <c r="BA1289" s="100"/>
      <c r="BB1289" s="100"/>
      <c r="BC1289" s="100"/>
      <c r="BD1289" s="100"/>
      <c r="BE1289" s="100"/>
      <c r="BF1289" s="100"/>
      <c r="BG1289" s="100"/>
      <c r="BH1289" s="100"/>
      <c r="BI1289" s="100"/>
      <c r="BJ1289" s="100"/>
      <c r="BK1289" s="102"/>
    </row>
    <row r="1290" spans="1:63" x14ac:dyDescent="0.25">
      <c r="A1290" s="92"/>
      <c r="B1290" s="92"/>
      <c r="C1290" s="92"/>
      <c r="D1290" s="92"/>
      <c r="E1290" s="92"/>
      <c r="F1290" s="92"/>
      <c r="G1290" s="92"/>
      <c r="H1290" s="92"/>
      <c r="I1290" s="92"/>
      <c r="J1290" s="92"/>
      <c r="K1290" s="92"/>
      <c r="L1290" s="92"/>
      <c r="M1290" s="92"/>
      <c r="N1290" s="92"/>
      <c r="AG1290" s="100"/>
      <c r="AH1290" s="101"/>
      <c r="AI1290" s="101"/>
      <c r="AJ1290" s="101"/>
      <c r="AK1290" s="100"/>
      <c r="AL1290" s="100"/>
      <c r="AM1290" s="100"/>
      <c r="AN1290" s="100"/>
      <c r="AO1290" s="100"/>
      <c r="AP1290" s="100"/>
      <c r="AQ1290" s="100"/>
      <c r="AR1290" s="100"/>
      <c r="AS1290" s="100"/>
      <c r="AT1290" s="102"/>
      <c r="AX1290" s="100"/>
      <c r="AY1290" s="101"/>
      <c r="AZ1290" s="101"/>
      <c r="BA1290" s="100"/>
      <c r="BB1290" s="100"/>
      <c r="BC1290" s="100"/>
      <c r="BD1290" s="100"/>
      <c r="BE1290" s="100"/>
      <c r="BF1290" s="100"/>
      <c r="BG1290" s="100"/>
      <c r="BH1290" s="100"/>
      <c r="BI1290" s="100"/>
      <c r="BJ1290" s="100"/>
      <c r="BK1290" s="102"/>
    </row>
    <row r="1291" spans="1:63" x14ac:dyDescent="0.25">
      <c r="A1291" s="92"/>
      <c r="B1291" s="93"/>
      <c r="C1291" s="93"/>
      <c r="D1291" s="92"/>
      <c r="E1291" s="92"/>
      <c r="F1291" s="92"/>
      <c r="G1291" s="92"/>
      <c r="H1291" s="92"/>
      <c r="I1291" s="92"/>
      <c r="J1291" s="92"/>
      <c r="K1291" s="92"/>
      <c r="L1291" s="92"/>
      <c r="M1291" s="92"/>
      <c r="N1291" s="94"/>
      <c r="AG1291" s="100"/>
      <c r="AH1291" s="101"/>
      <c r="AI1291" s="101"/>
      <c r="AJ1291" s="100"/>
      <c r="AK1291" s="100"/>
      <c r="AL1291" s="100"/>
      <c r="AM1291" s="100"/>
      <c r="AN1291" s="100"/>
      <c r="AO1291" s="100"/>
      <c r="AP1291" s="100"/>
      <c r="AQ1291" s="100"/>
      <c r="AR1291" s="100"/>
      <c r="AS1291" s="100"/>
      <c r="AT1291" s="102"/>
      <c r="AX1291" s="100"/>
      <c r="AY1291" s="101"/>
      <c r="AZ1291" s="101"/>
      <c r="BA1291" s="100"/>
      <c r="BB1291" s="100"/>
      <c r="BC1291" s="100"/>
      <c r="BD1291" s="100"/>
      <c r="BE1291" s="100"/>
      <c r="BF1291" s="100"/>
      <c r="BG1291" s="100"/>
      <c r="BH1291" s="100"/>
      <c r="BI1291" s="100"/>
      <c r="BJ1291" s="100"/>
      <c r="BK1291" s="102"/>
    </row>
    <row r="1292" spans="1:63" x14ac:dyDescent="0.25">
      <c r="A1292" s="92"/>
      <c r="B1292" s="93"/>
      <c r="C1292" s="93"/>
      <c r="D1292" s="93"/>
      <c r="E1292" s="92"/>
      <c r="F1292" s="92"/>
      <c r="G1292" s="92"/>
      <c r="H1292" s="92"/>
      <c r="I1292" s="92"/>
      <c r="J1292" s="92"/>
      <c r="K1292" s="92"/>
      <c r="L1292" s="92"/>
      <c r="M1292" s="92"/>
      <c r="N1292" s="94"/>
      <c r="AG1292" s="100"/>
      <c r="AH1292" s="101"/>
      <c r="AI1292" s="101"/>
      <c r="AJ1292" s="100"/>
      <c r="AK1292" s="100"/>
      <c r="AL1292" s="100"/>
      <c r="AM1292" s="100"/>
      <c r="AN1292" s="100"/>
      <c r="AO1292" s="100"/>
      <c r="AP1292" s="100"/>
      <c r="AQ1292" s="100"/>
      <c r="AR1292" s="100"/>
      <c r="AS1292" s="100"/>
      <c r="AT1292" s="102"/>
      <c r="AX1292" s="100"/>
      <c r="AY1292" s="101"/>
      <c r="AZ1292" s="101"/>
      <c r="BA1292" s="100"/>
      <c r="BB1292" s="100"/>
      <c r="BC1292" s="100"/>
      <c r="BD1292" s="100"/>
      <c r="BE1292" s="100"/>
      <c r="BF1292" s="100"/>
      <c r="BG1292" s="100"/>
      <c r="BH1292" s="100"/>
      <c r="BI1292" s="100"/>
      <c r="BJ1292" s="100"/>
      <c r="BK1292" s="102"/>
    </row>
    <row r="1293" spans="1:63" x14ac:dyDescent="0.25">
      <c r="A1293" s="92"/>
      <c r="B1293" s="92"/>
      <c r="C1293" s="92"/>
      <c r="D1293" s="93"/>
      <c r="E1293" s="92"/>
      <c r="F1293" s="92"/>
      <c r="G1293" s="92"/>
      <c r="H1293" s="92"/>
      <c r="I1293" s="92"/>
      <c r="J1293" s="92"/>
      <c r="K1293" s="92"/>
      <c r="L1293" s="92"/>
      <c r="M1293" s="92"/>
      <c r="N1293" s="92"/>
      <c r="AG1293" s="100"/>
      <c r="AH1293" s="101"/>
      <c r="AI1293" s="101"/>
      <c r="AJ1293" s="100"/>
      <c r="AK1293" s="100"/>
      <c r="AL1293" s="100"/>
      <c r="AM1293" s="100"/>
      <c r="AN1293" s="100"/>
      <c r="AO1293" s="100"/>
      <c r="AP1293" s="100"/>
      <c r="AQ1293" s="100"/>
      <c r="AR1293" s="100"/>
      <c r="AS1293" s="100"/>
      <c r="AT1293" s="102"/>
      <c r="AX1293" s="100"/>
      <c r="AY1293" s="101"/>
      <c r="AZ1293" s="101"/>
      <c r="BA1293" s="100"/>
      <c r="BB1293" s="100"/>
      <c r="BC1293" s="100"/>
      <c r="BD1293" s="100"/>
      <c r="BE1293" s="100"/>
      <c r="BF1293" s="100"/>
      <c r="BG1293" s="100"/>
      <c r="BH1293" s="100"/>
      <c r="BI1293" s="100"/>
      <c r="BJ1293" s="100"/>
      <c r="BK1293" s="102"/>
    </row>
    <row r="1294" spans="1:63" x14ac:dyDescent="0.25">
      <c r="A1294" s="92"/>
      <c r="B1294" s="92"/>
      <c r="C1294" s="92"/>
      <c r="D1294" s="92"/>
      <c r="E1294" s="92"/>
      <c r="F1294" s="92"/>
      <c r="G1294" s="92"/>
      <c r="H1294" s="92"/>
      <c r="I1294" s="92"/>
      <c r="J1294" s="92"/>
      <c r="K1294" s="92"/>
      <c r="L1294" s="92"/>
      <c r="M1294" s="92"/>
      <c r="N1294" s="92"/>
      <c r="AG1294" s="100"/>
      <c r="AH1294" s="101"/>
      <c r="AI1294" s="101"/>
      <c r="AJ1294" s="100"/>
      <c r="AK1294" s="100"/>
      <c r="AL1294" s="100"/>
      <c r="AM1294" s="100"/>
      <c r="AN1294" s="100"/>
      <c r="AO1294" s="100"/>
      <c r="AP1294" s="100"/>
      <c r="AQ1294" s="100"/>
      <c r="AR1294" s="100"/>
      <c r="AS1294" s="100"/>
      <c r="AT1294" s="102"/>
      <c r="AX1294" s="100"/>
      <c r="AY1294" s="101"/>
      <c r="AZ1294" s="101"/>
      <c r="BA1294" s="100"/>
      <c r="BB1294" s="100"/>
      <c r="BC1294" s="100"/>
      <c r="BD1294" s="100"/>
      <c r="BE1294" s="100"/>
      <c r="BF1294" s="100"/>
      <c r="BG1294" s="100"/>
      <c r="BH1294" s="100"/>
      <c r="BI1294" s="100"/>
      <c r="BJ1294" s="100"/>
      <c r="BK1294" s="102"/>
    </row>
    <row r="1295" spans="1:63" x14ac:dyDescent="0.25">
      <c r="A1295" s="92"/>
      <c r="B1295" s="92"/>
      <c r="C1295" s="92"/>
      <c r="D1295" s="92"/>
      <c r="E1295" s="92"/>
      <c r="F1295" s="92"/>
      <c r="G1295" s="92"/>
      <c r="H1295" s="92"/>
      <c r="I1295" s="92"/>
      <c r="J1295" s="92"/>
      <c r="K1295" s="92"/>
      <c r="L1295" s="92"/>
      <c r="M1295" s="92"/>
      <c r="N1295" s="92"/>
      <c r="AG1295" s="100"/>
      <c r="AH1295" s="101"/>
      <c r="AI1295" s="101"/>
      <c r="AJ1295" s="101"/>
      <c r="AK1295" s="100"/>
      <c r="AL1295" s="100"/>
      <c r="AM1295" s="100"/>
      <c r="AN1295" s="100"/>
      <c r="AO1295" s="100"/>
      <c r="AP1295" s="100"/>
      <c r="AQ1295" s="100"/>
      <c r="AR1295" s="100"/>
      <c r="AS1295" s="100"/>
      <c r="AT1295" s="102"/>
      <c r="AX1295" s="100"/>
      <c r="AY1295" s="101"/>
      <c r="AZ1295" s="101"/>
      <c r="BA1295" s="101"/>
      <c r="BB1295" s="100"/>
      <c r="BC1295" s="100"/>
      <c r="BD1295" s="100"/>
      <c r="BE1295" s="100"/>
      <c r="BF1295" s="100"/>
      <c r="BG1295" s="100"/>
      <c r="BH1295" s="100"/>
      <c r="BI1295" s="100"/>
      <c r="BJ1295" s="100"/>
      <c r="BK1295" s="102"/>
    </row>
    <row r="1296" spans="1:63" x14ac:dyDescent="0.25">
      <c r="A1296" s="92"/>
      <c r="B1296" s="92"/>
      <c r="C1296" s="92"/>
      <c r="D1296" s="92"/>
      <c r="E1296" s="92"/>
      <c r="F1296" s="92"/>
      <c r="G1296" s="92"/>
      <c r="H1296" s="92"/>
      <c r="I1296" s="92"/>
      <c r="J1296" s="92"/>
      <c r="K1296" s="92"/>
      <c r="L1296" s="92"/>
      <c r="M1296" s="92"/>
      <c r="N1296" s="92"/>
      <c r="AG1296" s="100"/>
      <c r="AH1296" s="101"/>
      <c r="AI1296" s="101"/>
      <c r="AJ1296" s="100"/>
      <c r="AK1296" s="100"/>
      <c r="AL1296" s="100"/>
      <c r="AM1296" s="100"/>
      <c r="AN1296" s="100"/>
      <c r="AO1296" s="100"/>
      <c r="AP1296" s="100"/>
      <c r="AQ1296" s="100"/>
      <c r="AR1296" s="100"/>
      <c r="AS1296" s="100"/>
      <c r="AT1296" s="102"/>
      <c r="AX1296" s="100"/>
      <c r="AY1296" s="101"/>
      <c r="AZ1296" s="101"/>
      <c r="BA1296" s="101"/>
      <c r="BB1296" s="100"/>
      <c r="BC1296" s="100"/>
      <c r="BD1296" s="100"/>
      <c r="BE1296" s="100"/>
      <c r="BF1296" s="100"/>
      <c r="BG1296" s="100"/>
      <c r="BH1296" s="100"/>
      <c r="BI1296" s="100"/>
      <c r="BJ1296" s="100"/>
      <c r="BK1296" s="102"/>
    </row>
    <row r="1297" spans="1:63" x14ac:dyDescent="0.25">
      <c r="A1297" s="92"/>
      <c r="B1297" s="92"/>
      <c r="C1297" s="92"/>
      <c r="D1297" s="92"/>
      <c r="E1297" s="92"/>
      <c r="F1297" s="92"/>
      <c r="G1297" s="92"/>
      <c r="H1297" s="92"/>
      <c r="I1297" s="92"/>
      <c r="J1297" s="92"/>
      <c r="K1297" s="92"/>
      <c r="L1297" s="92"/>
      <c r="M1297" s="92"/>
      <c r="N1297" s="92"/>
      <c r="AG1297" s="100"/>
      <c r="AH1297" s="101"/>
      <c r="AI1297" s="101"/>
      <c r="AJ1297" s="100"/>
      <c r="AK1297" s="100"/>
      <c r="AL1297" s="100"/>
      <c r="AM1297" s="100"/>
      <c r="AN1297" s="100"/>
      <c r="AO1297" s="100"/>
      <c r="AP1297" s="100"/>
      <c r="AQ1297" s="100"/>
      <c r="AR1297" s="100"/>
      <c r="AS1297" s="100"/>
      <c r="AT1297" s="102"/>
      <c r="AX1297" s="100"/>
      <c r="AY1297" s="101"/>
      <c r="AZ1297" s="101"/>
      <c r="BA1297" s="100"/>
      <c r="BB1297" s="100"/>
      <c r="BC1297" s="100"/>
      <c r="BD1297" s="100"/>
      <c r="BE1297" s="100"/>
      <c r="BF1297" s="100"/>
      <c r="BG1297" s="100"/>
      <c r="BH1297" s="100"/>
      <c r="BI1297" s="100"/>
      <c r="BJ1297" s="100"/>
      <c r="BK1297" s="102"/>
    </row>
    <row r="1298" spans="1:63" x14ac:dyDescent="0.25">
      <c r="A1298" s="92"/>
      <c r="B1298" s="92"/>
      <c r="C1298" s="92"/>
      <c r="D1298" s="92"/>
      <c r="E1298" s="92"/>
      <c r="F1298" s="92"/>
      <c r="G1298" s="92"/>
      <c r="H1298" s="92"/>
      <c r="I1298" s="92"/>
      <c r="J1298" s="92"/>
      <c r="K1298" s="92"/>
      <c r="L1298" s="92"/>
      <c r="M1298" s="92"/>
      <c r="N1298" s="92"/>
      <c r="AG1298" s="100"/>
      <c r="AH1298" s="101"/>
      <c r="AI1298" s="101"/>
      <c r="AJ1298" s="100"/>
      <c r="AK1298" s="100"/>
      <c r="AL1298" s="100"/>
      <c r="AM1298" s="100"/>
      <c r="AN1298" s="100"/>
      <c r="AO1298" s="100"/>
      <c r="AP1298" s="100"/>
      <c r="AQ1298" s="100"/>
      <c r="AR1298" s="100"/>
      <c r="AS1298" s="100"/>
      <c r="AT1298" s="102"/>
      <c r="AX1298" s="100"/>
      <c r="AY1298" s="101"/>
      <c r="AZ1298" s="101"/>
      <c r="BA1298" s="100"/>
      <c r="BB1298" s="100"/>
      <c r="BC1298" s="100"/>
      <c r="BD1298" s="100"/>
      <c r="BE1298" s="100"/>
      <c r="BF1298" s="100"/>
      <c r="BG1298" s="100"/>
      <c r="BH1298" s="100"/>
      <c r="BI1298" s="100"/>
      <c r="BJ1298" s="100"/>
      <c r="BK1298" s="102"/>
    </row>
    <row r="1299" spans="1:63" x14ac:dyDescent="0.25">
      <c r="A1299" s="92"/>
      <c r="B1299" s="92"/>
      <c r="C1299" s="92"/>
      <c r="D1299" s="92"/>
      <c r="E1299" s="92"/>
      <c r="F1299" s="92"/>
      <c r="G1299" s="92"/>
      <c r="H1299" s="92"/>
      <c r="I1299" s="92"/>
      <c r="J1299" s="92"/>
      <c r="K1299" s="92"/>
      <c r="L1299" s="92"/>
      <c r="M1299" s="92"/>
      <c r="N1299" s="92"/>
      <c r="AG1299" s="100"/>
      <c r="AH1299" s="101"/>
      <c r="AI1299" s="101"/>
      <c r="AJ1299" s="100"/>
      <c r="AK1299" s="100"/>
      <c r="AL1299" s="100"/>
      <c r="AM1299" s="100"/>
      <c r="AN1299" s="100"/>
      <c r="AO1299" s="100"/>
      <c r="AP1299" s="100"/>
      <c r="AQ1299" s="100"/>
      <c r="AR1299" s="100"/>
      <c r="AS1299" s="100"/>
      <c r="AT1299" s="102"/>
      <c r="AX1299" s="100"/>
      <c r="AY1299" s="101"/>
      <c r="AZ1299" s="101"/>
      <c r="BA1299" s="100"/>
      <c r="BB1299" s="100"/>
      <c r="BC1299" s="100"/>
      <c r="BD1299" s="100"/>
      <c r="BE1299" s="100"/>
      <c r="BF1299" s="100"/>
      <c r="BG1299" s="100"/>
      <c r="BH1299" s="100"/>
      <c r="BI1299" s="100"/>
      <c r="BJ1299" s="100"/>
      <c r="BK1299" s="102"/>
    </row>
    <row r="1300" spans="1:63" x14ac:dyDescent="0.25">
      <c r="A1300" s="92"/>
      <c r="B1300" s="92"/>
      <c r="C1300" s="92"/>
      <c r="D1300" s="92"/>
      <c r="E1300" s="92"/>
      <c r="F1300" s="92"/>
      <c r="G1300" s="92"/>
      <c r="H1300" s="92"/>
      <c r="I1300" s="92"/>
      <c r="J1300" s="92"/>
      <c r="K1300" s="92"/>
      <c r="L1300" s="92"/>
      <c r="M1300" s="92"/>
      <c r="N1300" s="92"/>
      <c r="AG1300" s="100"/>
      <c r="AH1300" s="101"/>
      <c r="AI1300" s="101"/>
      <c r="AJ1300" s="100"/>
      <c r="AK1300" s="100"/>
      <c r="AL1300" s="100"/>
      <c r="AM1300" s="100"/>
      <c r="AN1300" s="100"/>
      <c r="AO1300" s="100"/>
      <c r="AP1300" s="100"/>
      <c r="AQ1300" s="100"/>
      <c r="AR1300" s="100"/>
      <c r="AS1300" s="100"/>
      <c r="AT1300" s="102"/>
      <c r="AX1300" s="100"/>
      <c r="AY1300" s="101"/>
      <c r="AZ1300" s="101"/>
      <c r="BA1300" s="100"/>
      <c r="BB1300" s="100"/>
      <c r="BC1300" s="100"/>
      <c r="BD1300" s="100"/>
      <c r="BE1300" s="100"/>
      <c r="BF1300" s="100"/>
      <c r="BG1300" s="100"/>
      <c r="BH1300" s="100"/>
      <c r="BI1300" s="100"/>
      <c r="BJ1300" s="100"/>
      <c r="BK1300" s="102"/>
    </row>
    <row r="1301" spans="1:63" x14ac:dyDescent="0.25">
      <c r="A1301" s="92"/>
      <c r="B1301" s="92"/>
      <c r="C1301" s="92"/>
      <c r="D1301" s="92"/>
      <c r="E1301" s="92"/>
      <c r="F1301" s="92"/>
      <c r="G1301" s="92"/>
      <c r="H1301" s="92"/>
      <c r="I1301" s="92"/>
      <c r="J1301" s="92"/>
      <c r="K1301" s="92"/>
      <c r="L1301" s="92"/>
      <c r="M1301" s="92"/>
      <c r="N1301" s="92"/>
      <c r="AG1301" s="100"/>
      <c r="AH1301" s="101"/>
      <c r="AI1301" s="101"/>
      <c r="AJ1301" s="101"/>
      <c r="AK1301" s="100"/>
      <c r="AL1301" s="100"/>
      <c r="AM1301" s="100"/>
      <c r="AN1301" s="100"/>
      <c r="AO1301" s="100"/>
      <c r="AP1301" s="100"/>
      <c r="AQ1301" s="100"/>
      <c r="AR1301" s="100"/>
      <c r="AS1301" s="100"/>
      <c r="AT1301" s="102"/>
      <c r="AX1301" s="100"/>
      <c r="AY1301" s="101"/>
      <c r="AZ1301" s="101"/>
      <c r="BA1301" s="100"/>
      <c r="BB1301" s="100"/>
      <c r="BC1301" s="100"/>
      <c r="BD1301" s="100"/>
      <c r="BE1301" s="100"/>
      <c r="BF1301" s="100"/>
      <c r="BG1301" s="100"/>
      <c r="BH1301" s="100"/>
      <c r="BI1301" s="100"/>
      <c r="BJ1301" s="100"/>
      <c r="BK1301" s="102"/>
    </row>
    <row r="1302" spans="1:63" x14ac:dyDescent="0.25">
      <c r="A1302" s="92"/>
      <c r="B1302" s="92"/>
      <c r="C1302" s="92"/>
      <c r="D1302" s="92"/>
      <c r="E1302" s="92"/>
      <c r="F1302" s="92"/>
      <c r="G1302" s="92"/>
      <c r="H1302" s="92"/>
      <c r="I1302" s="92"/>
      <c r="J1302" s="92"/>
      <c r="K1302" s="92"/>
      <c r="L1302" s="92"/>
      <c r="M1302" s="92"/>
      <c r="N1302" s="92"/>
      <c r="AG1302" s="100"/>
      <c r="AH1302" s="101"/>
      <c r="AI1302" s="101"/>
      <c r="AJ1302" s="100"/>
      <c r="AK1302" s="100"/>
      <c r="AL1302" s="100"/>
      <c r="AM1302" s="100"/>
      <c r="AN1302" s="100"/>
      <c r="AO1302" s="100"/>
      <c r="AP1302" s="100"/>
      <c r="AQ1302" s="100"/>
      <c r="AR1302" s="100"/>
      <c r="AS1302" s="100"/>
      <c r="AT1302" s="102"/>
      <c r="AX1302" s="100"/>
      <c r="AY1302" s="101"/>
      <c r="AZ1302" s="101"/>
      <c r="BA1302" s="100"/>
      <c r="BB1302" s="100"/>
      <c r="BC1302" s="100"/>
      <c r="BD1302" s="100"/>
      <c r="BE1302" s="100"/>
      <c r="BF1302" s="100"/>
      <c r="BG1302" s="100"/>
      <c r="BH1302" s="100"/>
      <c r="BI1302" s="100"/>
      <c r="BJ1302" s="100"/>
      <c r="BK1302" s="102"/>
    </row>
    <row r="1303" spans="1:63" x14ac:dyDescent="0.25">
      <c r="A1303" s="92"/>
      <c r="B1303" s="93"/>
      <c r="C1303" s="93"/>
      <c r="D1303" s="92"/>
      <c r="E1303" s="92"/>
      <c r="F1303" s="92"/>
      <c r="G1303" s="92"/>
      <c r="H1303" s="92"/>
      <c r="I1303" s="92"/>
      <c r="J1303" s="92"/>
      <c r="K1303" s="92"/>
      <c r="L1303" s="92"/>
      <c r="M1303" s="92"/>
      <c r="N1303" s="94"/>
      <c r="AG1303" s="100"/>
      <c r="AH1303" s="101"/>
      <c r="AI1303" s="101"/>
      <c r="AJ1303" s="101"/>
      <c r="AK1303" s="100"/>
      <c r="AL1303" s="100"/>
      <c r="AM1303" s="100"/>
      <c r="AN1303" s="100"/>
      <c r="AO1303" s="100"/>
      <c r="AP1303" s="100"/>
      <c r="AQ1303" s="100"/>
      <c r="AR1303" s="100"/>
      <c r="AS1303" s="100"/>
      <c r="AT1303" s="102"/>
      <c r="AX1303" s="100"/>
      <c r="AY1303" s="101"/>
      <c r="AZ1303" s="101"/>
      <c r="BA1303" s="100"/>
      <c r="BB1303" s="100"/>
      <c r="BC1303" s="100"/>
      <c r="BD1303" s="100"/>
      <c r="BE1303" s="100"/>
      <c r="BF1303" s="100"/>
      <c r="BG1303" s="100"/>
      <c r="BH1303" s="100"/>
      <c r="BI1303" s="100"/>
      <c r="BJ1303" s="100"/>
      <c r="BK1303" s="102"/>
    </row>
    <row r="1304" spans="1:63" x14ac:dyDescent="0.25">
      <c r="A1304" s="92"/>
      <c r="B1304" s="93"/>
      <c r="C1304" s="93"/>
      <c r="D1304" s="92"/>
      <c r="E1304" s="92"/>
      <c r="F1304" s="92"/>
      <c r="G1304" s="92"/>
      <c r="H1304" s="92"/>
      <c r="I1304" s="92"/>
      <c r="J1304" s="92"/>
      <c r="K1304" s="92"/>
      <c r="L1304" s="92"/>
      <c r="M1304" s="92"/>
      <c r="N1304" s="94"/>
      <c r="AG1304" s="100"/>
      <c r="AH1304" s="101"/>
      <c r="AI1304" s="101"/>
      <c r="AJ1304" s="100"/>
      <c r="AK1304" s="100"/>
      <c r="AL1304" s="100"/>
      <c r="AM1304" s="100"/>
      <c r="AN1304" s="100"/>
      <c r="AO1304" s="100"/>
      <c r="AP1304" s="100"/>
      <c r="AQ1304" s="100"/>
      <c r="AR1304" s="100"/>
      <c r="AS1304" s="100"/>
      <c r="AT1304" s="102"/>
      <c r="AX1304" s="100"/>
      <c r="AY1304" s="101"/>
      <c r="AZ1304" s="101"/>
      <c r="BA1304" s="100"/>
      <c r="BB1304" s="100"/>
      <c r="BC1304" s="100"/>
      <c r="BD1304" s="100"/>
      <c r="BE1304" s="100"/>
      <c r="BF1304" s="100"/>
      <c r="BG1304" s="100"/>
      <c r="BH1304" s="100"/>
      <c r="BI1304" s="100"/>
      <c r="BJ1304" s="100"/>
      <c r="BK1304" s="102"/>
    </row>
    <row r="1305" spans="1:63" x14ac:dyDescent="0.25">
      <c r="A1305" s="92"/>
      <c r="B1305" s="93"/>
      <c r="C1305" s="93"/>
      <c r="D1305" s="92"/>
      <c r="E1305" s="92"/>
      <c r="F1305" s="92"/>
      <c r="G1305" s="92"/>
      <c r="H1305" s="92"/>
      <c r="I1305" s="92"/>
      <c r="J1305" s="92"/>
      <c r="K1305" s="92"/>
      <c r="L1305" s="92"/>
      <c r="M1305" s="92"/>
      <c r="N1305" s="94"/>
      <c r="AG1305" s="100"/>
      <c r="AH1305" s="101"/>
      <c r="AI1305" s="101"/>
      <c r="AJ1305" s="100"/>
      <c r="AK1305" s="100"/>
      <c r="AL1305" s="100"/>
      <c r="AM1305" s="100"/>
      <c r="AN1305" s="100"/>
      <c r="AO1305" s="100"/>
      <c r="AP1305" s="100"/>
      <c r="AQ1305" s="100"/>
      <c r="AR1305" s="100"/>
      <c r="AS1305" s="100"/>
      <c r="AT1305" s="102"/>
      <c r="AX1305" s="100"/>
      <c r="AY1305" s="101"/>
      <c r="AZ1305" s="101"/>
      <c r="BA1305" s="100"/>
      <c r="BB1305" s="100"/>
      <c r="BC1305" s="100"/>
      <c r="BD1305" s="100"/>
      <c r="BE1305" s="100"/>
      <c r="BF1305" s="100"/>
      <c r="BG1305" s="100"/>
      <c r="BH1305" s="100"/>
      <c r="BI1305" s="100"/>
      <c r="BJ1305" s="100"/>
      <c r="BK1305" s="102"/>
    </row>
    <row r="1306" spans="1:63" x14ac:dyDescent="0.25">
      <c r="A1306" s="92"/>
      <c r="B1306" s="92"/>
      <c r="C1306" s="92"/>
      <c r="D1306" s="92"/>
      <c r="E1306" s="92"/>
      <c r="F1306" s="92"/>
      <c r="G1306" s="92"/>
      <c r="H1306" s="92"/>
      <c r="I1306" s="92"/>
      <c r="J1306" s="92"/>
      <c r="K1306" s="92"/>
      <c r="L1306" s="92"/>
      <c r="M1306" s="92"/>
      <c r="N1306" s="92"/>
      <c r="AG1306" s="100"/>
      <c r="AH1306" s="101"/>
      <c r="AI1306" s="101"/>
      <c r="AJ1306" s="100"/>
      <c r="AK1306" s="100"/>
      <c r="AL1306" s="100"/>
      <c r="AM1306" s="100"/>
      <c r="AN1306" s="100"/>
      <c r="AO1306" s="100"/>
      <c r="AP1306" s="100"/>
      <c r="AQ1306" s="100"/>
      <c r="AR1306" s="100"/>
      <c r="AS1306" s="100"/>
      <c r="AT1306" s="102"/>
      <c r="AX1306" s="100"/>
      <c r="AY1306" s="101"/>
      <c r="AZ1306" s="101"/>
      <c r="BA1306" s="100"/>
      <c r="BB1306" s="100"/>
      <c r="BC1306" s="100"/>
      <c r="BD1306" s="100"/>
      <c r="BE1306" s="100"/>
      <c r="BF1306" s="100"/>
      <c r="BG1306" s="100"/>
      <c r="BH1306" s="100"/>
      <c r="BI1306" s="100"/>
      <c r="BJ1306" s="100"/>
      <c r="BK1306" s="102"/>
    </row>
    <row r="1307" spans="1:63" x14ac:dyDescent="0.25">
      <c r="A1307" s="92"/>
      <c r="B1307" s="93"/>
      <c r="C1307" s="93"/>
      <c r="D1307" s="92"/>
      <c r="E1307" s="92"/>
      <c r="F1307" s="92"/>
      <c r="G1307" s="92"/>
      <c r="H1307" s="92"/>
      <c r="I1307" s="92"/>
      <c r="J1307" s="92"/>
      <c r="K1307" s="92"/>
      <c r="L1307" s="92"/>
      <c r="M1307" s="92"/>
      <c r="N1307" s="94"/>
      <c r="AG1307" s="100"/>
      <c r="AH1307" s="101"/>
      <c r="AI1307" s="101"/>
      <c r="AJ1307" s="100"/>
      <c r="AK1307" s="100"/>
      <c r="AL1307" s="100"/>
      <c r="AM1307" s="100"/>
      <c r="AN1307" s="100"/>
      <c r="AO1307" s="100"/>
      <c r="AP1307" s="100"/>
      <c r="AQ1307" s="100"/>
      <c r="AR1307" s="100"/>
      <c r="AS1307" s="100"/>
      <c r="AT1307" s="102"/>
      <c r="AX1307" s="100"/>
      <c r="AY1307" s="101"/>
      <c r="AZ1307" s="101"/>
      <c r="BA1307" s="100"/>
      <c r="BB1307" s="100"/>
      <c r="BC1307" s="100"/>
      <c r="BD1307" s="100"/>
      <c r="BE1307" s="100"/>
      <c r="BF1307" s="100"/>
      <c r="BG1307" s="100"/>
      <c r="BH1307" s="100"/>
      <c r="BI1307" s="100"/>
      <c r="BJ1307" s="100"/>
      <c r="BK1307" s="102"/>
    </row>
    <row r="1308" spans="1:63" x14ac:dyDescent="0.25">
      <c r="A1308" s="92"/>
      <c r="B1308" s="93"/>
      <c r="C1308" s="93"/>
      <c r="D1308" s="92"/>
      <c r="E1308" s="92"/>
      <c r="F1308" s="92"/>
      <c r="G1308" s="92"/>
      <c r="H1308" s="92"/>
      <c r="I1308" s="92"/>
      <c r="J1308" s="92"/>
      <c r="K1308" s="92"/>
      <c r="L1308" s="92"/>
      <c r="M1308" s="92"/>
      <c r="N1308" s="94"/>
      <c r="AG1308" s="100"/>
      <c r="AH1308" s="101"/>
      <c r="AI1308" s="101"/>
      <c r="AJ1308" s="100"/>
      <c r="AK1308" s="100"/>
      <c r="AL1308" s="100"/>
      <c r="AM1308" s="100"/>
      <c r="AN1308" s="100"/>
      <c r="AO1308" s="100"/>
      <c r="AP1308" s="100"/>
      <c r="AQ1308" s="100"/>
      <c r="AR1308" s="100"/>
      <c r="AS1308" s="100"/>
      <c r="AT1308" s="102"/>
      <c r="AX1308" s="100"/>
      <c r="AY1308" s="101"/>
      <c r="AZ1308" s="101"/>
      <c r="BA1308" s="100"/>
      <c r="BB1308" s="100"/>
      <c r="BC1308" s="100"/>
      <c r="BD1308" s="100"/>
      <c r="BE1308" s="100"/>
      <c r="BF1308" s="100"/>
      <c r="BG1308" s="100"/>
      <c r="BH1308" s="100"/>
      <c r="BI1308" s="100"/>
      <c r="BJ1308" s="100"/>
      <c r="BK1308" s="102"/>
    </row>
    <row r="1309" spans="1:63" x14ac:dyDescent="0.25">
      <c r="A1309" s="92"/>
      <c r="B1309" s="92"/>
      <c r="C1309" s="92"/>
      <c r="D1309" s="92"/>
      <c r="E1309" s="92"/>
      <c r="F1309" s="92"/>
      <c r="G1309" s="92"/>
      <c r="H1309" s="92"/>
      <c r="I1309" s="92"/>
      <c r="J1309" s="92"/>
      <c r="K1309" s="92"/>
      <c r="L1309" s="92"/>
      <c r="M1309" s="92"/>
      <c r="N1309" s="92"/>
      <c r="AG1309" s="100"/>
      <c r="AH1309" s="101"/>
      <c r="AI1309" s="101"/>
      <c r="AJ1309" s="100"/>
      <c r="AK1309" s="100"/>
      <c r="AL1309" s="100"/>
      <c r="AM1309" s="100"/>
      <c r="AN1309" s="100"/>
      <c r="AO1309" s="100"/>
      <c r="AP1309" s="100"/>
      <c r="AQ1309" s="100"/>
      <c r="AR1309" s="100"/>
      <c r="AS1309" s="100"/>
      <c r="AT1309" s="102"/>
      <c r="AX1309" s="100"/>
      <c r="AY1309" s="101"/>
      <c r="AZ1309" s="101"/>
      <c r="BA1309" s="101"/>
      <c r="BB1309" s="100"/>
      <c r="BC1309" s="100"/>
      <c r="BD1309" s="100"/>
      <c r="BE1309" s="100"/>
      <c r="BF1309" s="100"/>
      <c r="BG1309" s="100"/>
      <c r="BH1309" s="100"/>
      <c r="BI1309" s="100"/>
      <c r="BJ1309" s="100"/>
      <c r="BK1309" s="102"/>
    </row>
    <row r="1310" spans="1:63" x14ac:dyDescent="0.25">
      <c r="A1310" s="92"/>
      <c r="B1310" s="93"/>
      <c r="C1310" s="93"/>
      <c r="D1310" s="92"/>
      <c r="E1310" s="92"/>
      <c r="F1310" s="92"/>
      <c r="G1310" s="92"/>
      <c r="H1310" s="92"/>
      <c r="I1310" s="92"/>
      <c r="J1310" s="92"/>
      <c r="K1310" s="92"/>
      <c r="L1310" s="92"/>
      <c r="M1310" s="92"/>
      <c r="N1310" s="94"/>
      <c r="AG1310" s="100"/>
      <c r="AH1310" s="101"/>
      <c r="AI1310" s="101"/>
      <c r="AJ1310" s="100"/>
      <c r="AK1310" s="100"/>
      <c r="AL1310" s="100"/>
      <c r="AM1310" s="100"/>
      <c r="AN1310" s="100"/>
      <c r="AO1310" s="100"/>
      <c r="AP1310" s="100"/>
      <c r="AQ1310" s="100"/>
      <c r="AR1310" s="100"/>
      <c r="AS1310" s="100"/>
      <c r="AT1310" s="102"/>
      <c r="AX1310" s="100"/>
      <c r="AY1310" s="101"/>
      <c r="AZ1310" s="101"/>
      <c r="BA1310" s="101"/>
      <c r="BB1310" s="100"/>
      <c r="BC1310" s="100"/>
      <c r="BD1310" s="100"/>
      <c r="BE1310" s="100"/>
      <c r="BF1310" s="100"/>
      <c r="BG1310" s="100"/>
      <c r="BH1310" s="100"/>
      <c r="BI1310" s="100"/>
      <c r="BJ1310" s="100"/>
      <c r="BK1310" s="102"/>
    </row>
    <row r="1311" spans="1:63" x14ac:dyDescent="0.25">
      <c r="A1311" s="92"/>
      <c r="B1311" s="92"/>
      <c r="C1311" s="92"/>
      <c r="D1311" s="92"/>
      <c r="E1311" s="92"/>
      <c r="F1311" s="92"/>
      <c r="G1311" s="92"/>
      <c r="H1311" s="92"/>
      <c r="I1311" s="92"/>
      <c r="J1311" s="92"/>
      <c r="K1311" s="92"/>
      <c r="L1311" s="92"/>
      <c r="M1311" s="92"/>
      <c r="N1311" s="92"/>
      <c r="AG1311" s="100"/>
      <c r="AH1311" s="101"/>
      <c r="AI1311" s="101"/>
      <c r="AJ1311" s="100"/>
      <c r="AK1311" s="100"/>
      <c r="AL1311" s="100"/>
      <c r="AM1311" s="100"/>
      <c r="AN1311" s="100"/>
      <c r="AO1311" s="100"/>
      <c r="AP1311" s="100"/>
      <c r="AQ1311" s="100"/>
      <c r="AR1311" s="100"/>
      <c r="AS1311" s="100"/>
      <c r="AT1311" s="102"/>
      <c r="AX1311" s="100"/>
      <c r="AY1311" s="101"/>
      <c r="AZ1311" s="101"/>
      <c r="BA1311" s="100"/>
      <c r="BB1311" s="100"/>
      <c r="BC1311" s="100"/>
      <c r="BD1311" s="100"/>
      <c r="BE1311" s="100"/>
      <c r="BF1311" s="100"/>
      <c r="BG1311" s="100"/>
      <c r="BH1311" s="100"/>
      <c r="BI1311" s="100"/>
      <c r="BJ1311" s="100"/>
      <c r="BK1311" s="102"/>
    </row>
    <row r="1312" spans="1:63" x14ac:dyDescent="0.25">
      <c r="A1312" s="92"/>
      <c r="B1312" s="92"/>
      <c r="C1312" s="92"/>
      <c r="D1312" s="92"/>
      <c r="E1312" s="92"/>
      <c r="F1312" s="92"/>
      <c r="G1312" s="92"/>
      <c r="H1312" s="92"/>
      <c r="I1312" s="92"/>
      <c r="J1312" s="92"/>
      <c r="K1312" s="92"/>
      <c r="L1312" s="92"/>
      <c r="M1312" s="92"/>
      <c r="N1312" s="92"/>
      <c r="AG1312" s="100"/>
      <c r="AH1312" s="101"/>
      <c r="AI1312" s="101"/>
      <c r="AJ1312" s="100"/>
      <c r="AK1312" s="100"/>
      <c r="AL1312" s="100"/>
      <c r="AM1312" s="100"/>
      <c r="AN1312" s="100"/>
      <c r="AO1312" s="100"/>
      <c r="AP1312" s="100"/>
      <c r="AQ1312" s="100"/>
      <c r="AR1312" s="100"/>
      <c r="AS1312" s="100"/>
      <c r="AT1312" s="102"/>
      <c r="AX1312" s="100"/>
      <c r="AY1312" s="101"/>
      <c r="AZ1312" s="101"/>
      <c r="BA1312" s="100"/>
      <c r="BB1312" s="100"/>
      <c r="BC1312" s="100"/>
      <c r="BD1312" s="100"/>
      <c r="BE1312" s="100"/>
      <c r="BF1312" s="100"/>
      <c r="BG1312" s="100"/>
      <c r="BH1312" s="100"/>
      <c r="BI1312" s="100"/>
      <c r="BJ1312" s="100"/>
      <c r="BK1312" s="102"/>
    </row>
    <row r="1313" spans="1:63" x14ac:dyDescent="0.25">
      <c r="A1313" s="92"/>
      <c r="B1313" s="92"/>
      <c r="C1313" s="92"/>
      <c r="D1313" s="92"/>
      <c r="E1313" s="92"/>
      <c r="F1313" s="92"/>
      <c r="G1313" s="92"/>
      <c r="H1313" s="92"/>
      <c r="I1313" s="92"/>
      <c r="J1313" s="92"/>
      <c r="K1313" s="92"/>
      <c r="L1313" s="92"/>
      <c r="M1313" s="92"/>
      <c r="N1313" s="92"/>
      <c r="AG1313" s="100"/>
      <c r="AH1313" s="101"/>
      <c r="AI1313" s="101"/>
      <c r="AJ1313" s="100"/>
      <c r="AK1313" s="100"/>
      <c r="AL1313" s="100"/>
      <c r="AM1313" s="100"/>
      <c r="AN1313" s="100"/>
      <c r="AO1313" s="100"/>
      <c r="AP1313" s="100"/>
      <c r="AQ1313" s="100"/>
      <c r="AR1313" s="100"/>
      <c r="AS1313" s="100"/>
      <c r="AT1313" s="102"/>
      <c r="AX1313" s="100"/>
      <c r="AY1313" s="101"/>
      <c r="AZ1313" s="101"/>
      <c r="BA1313" s="100"/>
      <c r="BB1313" s="100"/>
      <c r="BC1313" s="100"/>
      <c r="BD1313" s="100"/>
      <c r="BE1313" s="100"/>
      <c r="BF1313" s="100"/>
      <c r="BG1313" s="100"/>
      <c r="BH1313" s="100"/>
      <c r="BI1313" s="100"/>
      <c r="BJ1313" s="100"/>
      <c r="BK1313" s="102"/>
    </row>
    <row r="1314" spans="1:63" x14ac:dyDescent="0.25">
      <c r="A1314" s="92"/>
      <c r="B1314" s="92"/>
      <c r="C1314" s="92"/>
      <c r="D1314" s="92"/>
      <c r="E1314" s="92"/>
      <c r="F1314" s="92"/>
      <c r="G1314" s="92"/>
      <c r="H1314" s="92"/>
      <c r="I1314" s="92"/>
      <c r="J1314" s="92"/>
      <c r="K1314" s="92"/>
      <c r="L1314" s="92"/>
      <c r="M1314" s="92"/>
      <c r="N1314" s="92"/>
      <c r="AG1314" s="100"/>
      <c r="AH1314" s="101"/>
      <c r="AI1314" s="101"/>
      <c r="AJ1314" s="101"/>
      <c r="AK1314" s="100"/>
      <c r="AL1314" s="100"/>
      <c r="AM1314" s="100"/>
      <c r="AN1314" s="100"/>
      <c r="AO1314" s="100"/>
      <c r="AP1314" s="100"/>
      <c r="AQ1314" s="100"/>
      <c r="AR1314" s="100"/>
      <c r="AS1314" s="100"/>
      <c r="AT1314" s="102"/>
      <c r="AX1314" s="100"/>
      <c r="AY1314" s="101"/>
      <c r="AZ1314" s="101"/>
      <c r="BA1314" s="100"/>
      <c r="BB1314" s="100"/>
      <c r="BC1314" s="100"/>
      <c r="BD1314" s="100"/>
      <c r="BE1314" s="100"/>
      <c r="BF1314" s="100"/>
      <c r="BG1314" s="100"/>
      <c r="BH1314" s="100"/>
      <c r="BI1314" s="100"/>
      <c r="BJ1314" s="100"/>
      <c r="BK1314" s="102"/>
    </row>
    <row r="1315" spans="1:63" x14ac:dyDescent="0.25">
      <c r="A1315" s="92"/>
      <c r="B1315" s="92"/>
      <c r="C1315" s="92"/>
      <c r="D1315" s="92"/>
      <c r="E1315" s="92"/>
      <c r="F1315" s="92"/>
      <c r="G1315" s="92"/>
      <c r="H1315" s="92"/>
      <c r="I1315" s="92"/>
      <c r="J1315" s="92"/>
      <c r="K1315" s="92"/>
      <c r="L1315" s="92"/>
      <c r="M1315" s="92"/>
      <c r="N1315" s="92"/>
      <c r="AG1315" s="100"/>
      <c r="AH1315" s="101"/>
      <c r="AI1315" s="101"/>
      <c r="AJ1315" s="101"/>
      <c r="AK1315" s="100"/>
      <c r="AL1315" s="100"/>
      <c r="AM1315" s="100"/>
      <c r="AN1315" s="100"/>
      <c r="AO1315" s="100"/>
      <c r="AP1315" s="100"/>
      <c r="AQ1315" s="100"/>
      <c r="AR1315" s="100"/>
      <c r="AS1315" s="100"/>
      <c r="AT1315" s="102"/>
      <c r="AX1315" s="100"/>
      <c r="AY1315" s="101"/>
      <c r="AZ1315" s="101"/>
      <c r="BA1315" s="101"/>
      <c r="BB1315" s="100"/>
      <c r="BC1315" s="100"/>
      <c r="BD1315" s="100"/>
      <c r="BE1315" s="100"/>
      <c r="BF1315" s="100"/>
      <c r="BG1315" s="100"/>
      <c r="BH1315" s="100"/>
      <c r="BI1315" s="100"/>
      <c r="BJ1315" s="100"/>
      <c r="BK1315" s="102"/>
    </row>
    <row r="1316" spans="1:63" x14ac:dyDescent="0.25">
      <c r="A1316" s="92"/>
      <c r="B1316" s="93"/>
      <c r="C1316" s="93"/>
      <c r="D1316" s="92"/>
      <c r="E1316" s="92"/>
      <c r="F1316" s="92"/>
      <c r="G1316" s="92"/>
      <c r="H1316" s="92"/>
      <c r="I1316" s="92"/>
      <c r="J1316" s="92"/>
      <c r="K1316" s="92"/>
      <c r="L1316" s="92"/>
      <c r="M1316" s="92"/>
      <c r="N1316" s="94"/>
      <c r="AG1316" s="100"/>
      <c r="AH1316" s="101"/>
      <c r="AI1316" s="101"/>
      <c r="AJ1316" s="101"/>
      <c r="AK1316" s="100"/>
      <c r="AL1316" s="100"/>
      <c r="AM1316" s="100"/>
      <c r="AN1316" s="100"/>
      <c r="AO1316" s="100"/>
      <c r="AP1316" s="100"/>
      <c r="AQ1316" s="100"/>
      <c r="AR1316" s="100"/>
      <c r="AS1316" s="100"/>
      <c r="AT1316" s="102"/>
      <c r="AX1316" s="100"/>
      <c r="AY1316" s="101"/>
      <c r="AZ1316" s="101"/>
      <c r="BA1316" s="100"/>
      <c r="BB1316" s="100"/>
      <c r="BC1316" s="100"/>
      <c r="BD1316" s="100"/>
      <c r="BE1316" s="100"/>
      <c r="BF1316" s="100"/>
      <c r="BG1316" s="100"/>
      <c r="BH1316" s="100"/>
      <c r="BI1316" s="100"/>
      <c r="BJ1316" s="100"/>
      <c r="BK1316" s="102"/>
    </row>
    <row r="1317" spans="1:63" x14ac:dyDescent="0.25">
      <c r="A1317" s="92"/>
      <c r="B1317" s="92"/>
      <c r="C1317" s="92"/>
      <c r="D1317" s="92"/>
      <c r="E1317" s="92"/>
      <c r="F1317" s="92"/>
      <c r="G1317" s="92"/>
      <c r="H1317" s="92"/>
      <c r="I1317" s="92"/>
      <c r="J1317" s="92"/>
      <c r="K1317" s="92"/>
      <c r="L1317" s="92"/>
      <c r="M1317" s="92"/>
      <c r="N1317" s="92"/>
      <c r="AG1317" s="100"/>
      <c r="AH1317" s="101"/>
      <c r="AI1317" s="101"/>
      <c r="AJ1317" s="100"/>
      <c r="AK1317" s="100"/>
      <c r="AL1317" s="100"/>
      <c r="AM1317" s="100"/>
      <c r="AN1317" s="100"/>
      <c r="AO1317" s="100"/>
      <c r="AP1317" s="100"/>
      <c r="AQ1317" s="100"/>
      <c r="AR1317" s="100"/>
      <c r="AS1317" s="100"/>
      <c r="AT1317" s="102"/>
      <c r="AX1317" s="100"/>
      <c r="AY1317" s="101"/>
      <c r="AZ1317" s="101"/>
      <c r="BA1317" s="100"/>
      <c r="BB1317" s="100"/>
      <c r="BC1317" s="100"/>
      <c r="BD1317" s="100"/>
      <c r="BE1317" s="100"/>
      <c r="BF1317" s="100"/>
      <c r="BG1317" s="100"/>
      <c r="BH1317" s="100"/>
      <c r="BI1317" s="100"/>
      <c r="BJ1317" s="100"/>
      <c r="BK1317" s="102"/>
    </row>
    <row r="1318" spans="1:63" x14ac:dyDescent="0.25">
      <c r="A1318" s="92"/>
      <c r="B1318" s="93"/>
      <c r="C1318" s="93"/>
      <c r="D1318" s="92"/>
      <c r="E1318" s="92"/>
      <c r="F1318" s="92"/>
      <c r="G1318" s="92"/>
      <c r="H1318" s="92"/>
      <c r="I1318" s="92"/>
      <c r="J1318" s="92"/>
      <c r="K1318" s="92"/>
      <c r="L1318" s="92"/>
      <c r="M1318" s="92"/>
      <c r="N1318" s="94"/>
      <c r="AG1318" s="100"/>
      <c r="AH1318" s="101"/>
      <c r="AI1318" s="101"/>
      <c r="AJ1318" s="100"/>
      <c r="AK1318" s="100"/>
      <c r="AL1318" s="100"/>
      <c r="AM1318" s="100"/>
      <c r="AN1318" s="100"/>
      <c r="AO1318" s="100"/>
      <c r="AP1318" s="100"/>
      <c r="AQ1318" s="100"/>
      <c r="AR1318" s="100"/>
      <c r="AS1318" s="100"/>
      <c r="AT1318" s="102"/>
      <c r="AX1318" s="100"/>
      <c r="AY1318" s="101"/>
      <c r="AZ1318" s="101"/>
      <c r="BA1318" s="100"/>
      <c r="BB1318" s="100"/>
      <c r="BC1318" s="100"/>
      <c r="BD1318" s="100"/>
      <c r="BE1318" s="100"/>
      <c r="BF1318" s="100"/>
      <c r="BG1318" s="100"/>
      <c r="BH1318" s="100"/>
      <c r="BI1318" s="100"/>
      <c r="BJ1318" s="100"/>
      <c r="BK1318" s="102"/>
    </row>
    <row r="1319" spans="1:63" x14ac:dyDescent="0.25">
      <c r="A1319" s="92"/>
      <c r="B1319" s="93"/>
      <c r="C1319" s="93"/>
      <c r="D1319" s="92"/>
      <c r="E1319" s="92"/>
      <c r="F1319" s="92"/>
      <c r="G1319" s="92"/>
      <c r="H1319" s="92"/>
      <c r="I1319" s="92"/>
      <c r="J1319" s="92"/>
      <c r="K1319" s="92"/>
      <c r="L1319" s="92"/>
      <c r="M1319" s="92"/>
      <c r="N1319" s="94"/>
      <c r="AG1319" s="100"/>
      <c r="AH1319" s="101"/>
      <c r="AI1319" s="101"/>
      <c r="AJ1319" s="100"/>
      <c r="AK1319" s="100"/>
      <c r="AL1319" s="100"/>
      <c r="AM1319" s="100"/>
      <c r="AN1319" s="100"/>
      <c r="AO1319" s="100"/>
      <c r="AP1319" s="100"/>
      <c r="AQ1319" s="100"/>
      <c r="AR1319" s="100"/>
      <c r="AS1319" s="100"/>
      <c r="AT1319" s="102"/>
      <c r="AX1319" s="100"/>
      <c r="AY1319" s="101"/>
      <c r="AZ1319" s="101"/>
      <c r="BA1319" s="100"/>
      <c r="BB1319" s="100"/>
      <c r="BC1319" s="100"/>
      <c r="BD1319" s="100"/>
      <c r="BE1319" s="100"/>
      <c r="BF1319" s="100"/>
      <c r="BG1319" s="100"/>
      <c r="BH1319" s="100"/>
      <c r="BI1319" s="100"/>
      <c r="BJ1319" s="100"/>
      <c r="BK1319" s="102"/>
    </row>
    <row r="1320" spans="1:63" x14ac:dyDescent="0.25">
      <c r="A1320" s="92"/>
      <c r="B1320" s="93"/>
      <c r="C1320" s="93"/>
      <c r="D1320" s="92"/>
      <c r="E1320" s="92"/>
      <c r="F1320" s="92"/>
      <c r="G1320" s="92"/>
      <c r="H1320" s="92"/>
      <c r="I1320" s="92"/>
      <c r="J1320" s="92"/>
      <c r="K1320" s="92"/>
      <c r="L1320" s="92"/>
      <c r="M1320" s="92"/>
      <c r="N1320" s="94"/>
      <c r="AG1320" s="100"/>
      <c r="AH1320" s="101"/>
      <c r="AI1320" s="101"/>
      <c r="AJ1320" s="101"/>
      <c r="AK1320" s="100"/>
      <c r="AL1320" s="100"/>
      <c r="AM1320" s="100"/>
      <c r="AN1320" s="100"/>
      <c r="AO1320" s="100"/>
      <c r="AP1320" s="100"/>
      <c r="AQ1320" s="100"/>
      <c r="AR1320" s="100"/>
      <c r="AS1320" s="100"/>
      <c r="AT1320" s="102"/>
      <c r="AX1320" s="100"/>
      <c r="AY1320" s="101"/>
      <c r="AZ1320" s="101"/>
      <c r="BA1320" s="100"/>
      <c r="BB1320" s="100"/>
      <c r="BC1320" s="100"/>
      <c r="BD1320" s="100"/>
      <c r="BE1320" s="100"/>
      <c r="BF1320" s="100"/>
      <c r="BG1320" s="100"/>
      <c r="BH1320" s="100"/>
      <c r="BI1320" s="100"/>
      <c r="BJ1320" s="100"/>
      <c r="BK1320" s="102"/>
    </row>
    <row r="1321" spans="1:63" x14ac:dyDescent="0.25">
      <c r="A1321" s="92"/>
      <c r="B1321" s="93"/>
      <c r="C1321" s="93"/>
      <c r="D1321" s="92"/>
      <c r="E1321" s="92"/>
      <c r="F1321" s="92"/>
      <c r="G1321" s="92"/>
      <c r="H1321" s="92"/>
      <c r="I1321" s="92"/>
      <c r="J1321" s="92"/>
      <c r="K1321" s="92"/>
      <c r="L1321" s="92"/>
      <c r="M1321" s="92"/>
      <c r="N1321" s="94"/>
      <c r="AG1321" s="100"/>
      <c r="AH1321" s="101"/>
      <c r="AI1321" s="101"/>
      <c r="AJ1321" s="101"/>
      <c r="AK1321" s="100"/>
      <c r="AL1321" s="100"/>
      <c r="AM1321" s="100"/>
      <c r="AN1321" s="100"/>
      <c r="AO1321" s="100"/>
      <c r="AP1321" s="100"/>
      <c r="AQ1321" s="100"/>
      <c r="AR1321" s="100"/>
      <c r="AS1321" s="100"/>
      <c r="AT1321" s="102"/>
      <c r="AX1321" s="100"/>
      <c r="AY1321" s="101"/>
      <c r="AZ1321" s="101"/>
      <c r="BA1321" s="101"/>
      <c r="BB1321" s="100"/>
      <c r="BC1321" s="100"/>
      <c r="BD1321" s="100"/>
      <c r="BE1321" s="100"/>
      <c r="BF1321" s="100"/>
      <c r="BG1321" s="100"/>
      <c r="BH1321" s="100"/>
      <c r="BI1321" s="100"/>
      <c r="BJ1321" s="100"/>
      <c r="BK1321" s="102"/>
    </row>
    <row r="1322" spans="1:63" x14ac:dyDescent="0.25">
      <c r="A1322" s="92"/>
      <c r="B1322" s="93"/>
      <c r="C1322" s="93"/>
      <c r="D1322" s="92"/>
      <c r="E1322" s="92"/>
      <c r="F1322" s="92"/>
      <c r="G1322" s="92"/>
      <c r="H1322" s="92"/>
      <c r="I1322" s="92"/>
      <c r="J1322" s="92"/>
      <c r="K1322" s="92"/>
      <c r="L1322" s="92"/>
      <c r="M1322" s="92"/>
      <c r="N1322" s="94"/>
      <c r="AG1322" s="100"/>
      <c r="AH1322" s="101"/>
      <c r="AI1322" s="101"/>
      <c r="AJ1322" s="100"/>
      <c r="AK1322" s="100"/>
      <c r="AL1322" s="100"/>
      <c r="AM1322" s="100"/>
      <c r="AN1322" s="100"/>
      <c r="AO1322" s="100"/>
      <c r="AP1322" s="100"/>
      <c r="AQ1322" s="100"/>
      <c r="AR1322" s="100"/>
      <c r="AS1322" s="100"/>
      <c r="AT1322" s="102"/>
      <c r="AX1322" s="100"/>
      <c r="AY1322" s="101"/>
      <c r="AZ1322" s="101"/>
      <c r="BA1322" s="100"/>
      <c r="BB1322" s="100"/>
      <c r="BC1322" s="100"/>
      <c r="BD1322" s="100"/>
      <c r="BE1322" s="100"/>
      <c r="BF1322" s="100"/>
      <c r="BG1322" s="100"/>
      <c r="BH1322" s="100"/>
      <c r="BI1322" s="100"/>
      <c r="BJ1322" s="100"/>
      <c r="BK1322" s="102"/>
    </row>
    <row r="1323" spans="1:63" x14ac:dyDescent="0.25">
      <c r="A1323" s="92"/>
      <c r="B1323" s="93"/>
      <c r="C1323" s="93"/>
      <c r="D1323" s="92"/>
      <c r="E1323" s="92"/>
      <c r="F1323" s="92"/>
      <c r="G1323" s="92"/>
      <c r="H1323" s="92"/>
      <c r="I1323" s="92"/>
      <c r="J1323" s="92"/>
      <c r="K1323" s="92"/>
      <c r="L1323" s="92"/>
      <c r="M1323" s="92"/>
      <c r="N1323" s="94"/>
      <c r="AG1323" s="100"/>
      <c r="AH1323" s="101"/>
      <c r="AI1323" s="101"/>
      <c r="AJ1323" s="100"/>
      <c r="AK1323" s="100"/>
      <c r="AL1323" s="100"/>
      <c r="AM1323" s="100"/>
      <c r="AN1323" s="100"/>
      <c r="AO1323" s="100"/>
      <c r="AP1323" s="100"/>
      <c r="AQ1323" s="100"/>
      <c r="AR1323" s="100"/>
      <c r="AS1323" s="100"/>
      <c r="AT1323" s="102"/>
      <c r="AX1323" s="100"/>
      <c r="AY1323" s="101"/>
      <c r="AZ1323" s="101"/>
      <c r="BA1323" s="101"/>
      <c r="BB1323" s="100"/>
      <c r="BC1323" s="100"/>
      <c r="BD1323" s="100"/>
      <c r="BE1323" s="100"/>
      <c r="BF1323" s="100"/>
      <c r="BG1323" s="100"/>
      <c r="BH1323" s="100"/>
      <c r="BI1323" s="100"/>
      <c r="BJ1323" s="100"/>
      <c r="BK1323" s="102"/>
    </row>
    <row r="1324" spans="1:63" x14ac:dyDescent="0.25">
      <c r="A1324" s="92"/>
      <c r="B1324" s="93"/>
      <c r="C1324" s="93"/>
      <c r="D1324" s="92"/>
      <c r="E1324" s="92"/>
      <c r="F1324" s="92"/>
      <c r="G1324" s="92"/>
      <c r="H1324" s="92"/>
      <c r="I1324" s="92"/>
      <c r="J1324" s="92"/>
      <c r="K1324" s="92"/>
      <c r="L1324" s="92"/>
      <c r="M1324" s="92"/>
      <c r="N1324" s="94"/>
      <c r="AG1324" s="100"/>
      <c r="AH1324" s="101"/>
      <c r="AI1324" s="101"/>
      <c r="AJ1324" s="101"/>
      <c r="AK1324" s="100"/>
      <c r="AL1324" s="100"/>
      <c r="AM1324" s="100"/>
      <c r="AN1324" s="100"/>
      <c r="AO1324" s="100"/>
      <c r="AP1324" s="100"/>
      <c r="AQ1324" s="100"/>
      <c r="AR1324" s="100"/>
      <c r="AS1324" s="100"/>
      <c r="AT1324" s="102"/>
      <c r="AX1324" s="100"/>
      <c r="AY1324" s="101"/>
      <c r="AZ1324" s="101"/>
      <c r="BA1324" s="100"/>
      <c r="BB1324" s="100"/>
      <c r="BC1324" s="100"/>
      <c r="BD1324" s="100"/>
      <c r="BE1324" s="100"/>
      <c r="BF1324" s="100"/>
      <c r="BG1324" s="100"/>
      <c r="BH1324" s="100"/>
      <c r="BI1324" s="100"/>
      <c r="BJ1324" s="100"/>
      <c r="BK1324" s="102"/>
    </row>
    <row r="1325" spans="1:63" x14ac:dyDescent="0.25">
      <c r="A1325" s="92"/>
      <c r="B1325" s="92"/>
      <c r="C1325" s="92"/>
      <c r="D1325" s="92"/>
      <c r="E1325" s="92"/>
      <c r="F1325" s="92"/>
      <c r="G1325" s="92"/>
      <c r="H1325" s="92"/>
      <c r="I1325" s="92"/>
      <c r="J1325" s="92"/>
      <c r="K1325" s="92"/>
      <c r="L1325" s="92"/>
      <c r="M1325" s="92"/>
      <c r="N1325" s="92"/>
      <c r="AG1325" s="100"/>
      <c r="AH1325" s="101"/>
      <c r="AI1325" s="101"/>
      <c r="AJ1325" s="100"/>
      <c r="AK1325" s="100"/>
      <c r="AL1325" s="100"/>
      <c r="AM1325" s="100"/>
      <c r="AN1325" s="100"/>
      <c r="AO1325" s="100"/>
      <c r="AP1325" s="100"/>
      <c r="AQ1325" s="100"/>
      <c r="AR1325" s="100"/>
      <c r="AS1325" s="100"/>
      <c r="AT1325" s="102"/>
      <c r="AX1325" s="100"/>
      <c r="AY1325" s="101"/>
      <c r="AZ1325" s="101"/>
      <c r="BA1325" s="100"/>
      <c r="BB1325" s="100"/>
      <c r="BC1325" s="100"/>
      <c r="BD1325" s="100"/>
      <c r="BE1325" s="100"/>
      <c r="BF1325" s="100"/>
      <c r="BG1325" s="100"/>
      <c r="BH1325" s="100"/>
      <c r="BI1325" s="100"/>
      <c r="BJ1325" s="100"/>
      <c r="BK1325" s="102"/>
    </row>
    <row r="1326" spans="1:63" x14ac:dyDescent="0.25">
      <c r="A1326" s="92"/>
      <c r="B1326" s="93"/>
      <c r="C1326" s="93"/>
      <c r="D1326" s="92"/>
      <c r="E1326" s="92"/>
      <c r="F1326" s="92"/>
      <c r="G1326" s="92"/>
      <c r="H1326" s="92"/>
      <c r="I1326" s="92"/>
      <c r="J1326" s="92"/>
      <c r="K1326" s="92"/>
      <c r="L1326" s="92"/>
      <c r="M1326" s="92"/>
      <c r="N1326" s="94"/>
      <c r="AG1326" s="100"/>
      <c r="AH1326" s="101"/>
      <c r="AI1326" s="101"/>
      <c r="AJ1326" s="100"/>
      <c r="AK1326" s="100"/>
      <c r="AL1326" s="100"/>
      <c r="AM1326" s="100"/>
      <c r="AN1326" s="100"/>
      <c r="AO1326" s="100"/>
      <c r="AP1326" s="100"/>
      <c r="AQ1326" s="100"/>
      <c r="AR1326" s="100"/>
      <c r="AS1326" s="100"/>
      <c r="AT1326" s="102"/>
      <c r="AX1326" s="100"/>
      <c r="AY1326" s="101"/>
      <c r="AZ1326" s="101"/>
      <c r="BA1326" s="100"/>
      <c r="BB1326" s="100"/>
      <c r="BC1326" s="100"/>
      <c r="BD1326" s="100"/>
      <c r="BE1326" s="100"/>
      <c r="BF1326" s="100"/>
      <c r="BG1326" s="100"/>
      <c r="BH1326" s="100"/>
      <c r="BI1326" s="100"/>
      <c r="BJ1326" s="100"/>
      <c r="BK1326" s="102"/>
    </row>
    <row r="1327" spans="1:63" x14ac:dyDescent="0.25">
      <c r="A1327" s="92"/>
      <c r="B1327" s="93"/>
      <c r="C1327" s="93"/>
      <c r="D1327" s="93"/>
      <c r="E1327" s="92"/>
      <c r="F1327" s="92"/>
      <c r="G1327" s="92"/>
      <c r="H1327" s="92"/>
      <c r="I1327" s="92"/>
      <c r="J1327" s="92"/>
      <c r="K1327" s="92"/>
      <c r="L1327" s="92"/>
      <c r="M1327" s="92"/>
      <c r="N1327" s="94"/>
      <c r="AG1327" s="100"/>
      <c r="AH1327" s="101"/>
      <c r="AI1327" s="101"/>
      <c r="AJ1327" s="100"/>
      <c r="AK1327" s="100"/>
      <c r="AL1327" s="100"/>
      <c r="AM1327" s="100"/>
      <c r="AN1327" s="100"/>
      <c r="AO1327" s="100"/>
      <c r="AP1327" s="100"/>
      <c r="AQ1327" s="100"/>
      <c r="AR1327" s="100"/>
      <c r="AS1327" s="100"/>
      <c r="AT1327" s="102"/>
      <c r="AX1327" s="100"/>
      <c r="AY1327" s="101"/>
      <c r="AZ1327" s="101"/>
      <c r="BA1327" s="100"/>
      <c r="BB1327" s="100"/>
      <c r="BC1327" s="100"/>
      <c r="BD1327" s="100"/>
      <c r="BE1327" s="100"/>
      <c r="BF1327" s="100"/>
      <c r="BG1327" s="100"/>
      <c r="BH1327" s="100"/>
      <c r="BI1327" s="100"/>
      <c r="BJ1327" s="100"/>
      <c r="BK1327" s="102"/>
    </row>
    <row r="1328" spans="1:63" x14ac:dyDescent="0.25">
      <c r="A1328" s="92"/>
      <c r="B1328" s="92"/>
      <c r="C1328" s="92"/>
      <c r="D1328" s="93"/>
      <c r="E1328" s="92"/>
      <c r="F1328" s="92"/>
      <c r="G1328" s="92"/>
      <c r="H1328" s="92"/>
      <c r="I1328" s="92"/>
      <c r="J1328" s="92"/>
      <c r="K1328" s="92"/>
      <c r="L1328" s="92"/>
      <c r="M1328" s="92"/>
      <c r="N1328" s="92"/>
      <c r="AG1328" s="100"/>
      <c r="AH1328" s="101"/>
      <c r="AI1328" s="101"/>
      <c r="AJ1328" s="101"/>
      <c r="AK1328" s="100"/>
      <c r="AL1328" s="100"/>
      <c r="AM1328" s="100"/>
      <c r="AN1328" s="100"/>
      <c r="AO1328" s="100"/>
      <c r="AP1328" s="100"/>
      <c r="AQ1328" s="100"/>
      <c r="AR1328" s="100"/>
      <c r="AS1328" s="100"/>
      <c r="AT1328" s="102"/>
      <c r="AX1328" s="100"/>
      <c r="AY1328" s="101"/>
      <c r="AZ1328" s="101"/>
      <c r="BA1328" s="100"/>
      <c r="BB1328" s="100"/>
      <c r="BC1328" s="100"/>
      <c r="BD1328" s="100"/>
      <c r="BE1328" s="100"/>
      <c r="BF1328" s="100"/>
      <c r="BG1328" s="100"/>
      <c r="BH1328" s="100"/>
      <c r="BI1328" s="100"/>
      <c r="BJ1328" s="100"/>
      <c r="BK1328" s="102"/>
    </row>
    <row r="1329" spans="1:63" x14ac:dyDescent="0.25">
      <c r="A1329" s="92"/>
      <c r="B1329" s="92"/>
      <c r="C1329" s="92"/>
      <c r="D1329" s="92"/>
      <c r="E1329" s="92"/>
      <c r="F1329" s="92"/>
      <c r="G1329" s="92"/>
      <c r="H1329" s="92"/>
      <c r="I1329" s="92"/>
      <c r="J1329" s="92"/>
      <c r="K1329" s="92"/>
      <c r="L1329" s="92"/>
      <c r="M1329" s="92"/>
      <c r="N1329" s="92"/>
      <c r="AG1329" s="100"/>
      <c r="AH1329" s="101"/>
      <c r="AI1329" s="101"/>
      <c r="AJ1329" s="100"/>
      <c r="AK1329" s="100"/>
      <c r="AL1329" s="100"/>
      <c r="AM1329" s="100"/>
      <c r="AN1329" s="100"/>
      <c r="AO1329" s="100"/>
      <c r="AP1329" s="100"/>
      <c r="AQ1329" s="100"/>
      <c r="AR1329" s="100"/>
      <c r="AS1329" s="100"/>
      <c r="AT1329" s="102"/>
      <c r="AX1329" s="100"/>
      <c r="AY1329" s="101"/>
      <c r="AZ1329" s="101"/>
      <c r="BA1329" s="100"/>
      <c r="BB1329" s="100"/>
      <c r="BC1329" s="100"/>
      <c r="BD1329" s="100"/>
      <c r="BE1329" s="100"/>
      <c r="BF1329" s="100"/>
      <c r="BG1329" s="100"/>
      <c r="BH1329" s="100"/>
      <c r="BI1329" s="100"/>
      <c r="BJ1329" s="100"/>
      <c r="BK1329" s="102"/>
    </row>
    <row r="1330" spans="1:63" x14ac:dyDescent="0.25">
      <c r="A1330" s="92"/>
      <c r="B1330" s="92"/>
      <c r="C1330" s="92"/>
      <c r="D1330" s="92"/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AG1330" s="100"/>
      <c r="AH1330" s="101"/>
      <c r="AI1330" s="101"/>
      <c r="AJ1330" s="100"/>
      <c r="AK1330" s="100"/>
      <c r="AL1330" s="100"/>
      <c r="AM1330" s="100"/>
      <c r="AN1330" s="100"/>
      <c r="AO1330" s="100"/>
      <c r="AP1330" s="100"/>
      <c r="AQ1330" s="100"/>
      <c r="AR1330" s="100"/>
      <c r="AS1330" s="100"/>
      <c r="AT1330" s="102"/>
      <c r="AX1330" s="100"/>
      <c r="AY1330" s="101"/>
      <c r="AZ1330" s="101"/>
      <c r="BA1330" s="100"/>
      <c r="BB1330" s="100"/>
      <c r="BC1330" s="100"/>
      <c r="BD1330" s="100"/>
      <c r="BE1330" s="100"/>
      <c r="BF1330" s="100"/>
      <c r="BG1330" s="100"/>
      <c r="BH1330" s="100"/>
      <c r="BI1330" s="100"/>
      <c r="BJ1330" s="100"/>
      <c r="BK1330" s="102"/>
    </row>
    <row r="1331" spans="1:63" x14ac:dyDescent="0.25">
      <c r="A1331" s="92"/>
      <c r="B1331" s="92"/>
      <c r="C1331" s="92"/>
      <c r="D1331" s="92"/>
      <c r="E1331" s="92"/>
      <c r="F1331" s="92"/>
      <c r="G1331" s="92"/>
      <c r="H1331" s="92"/>
      <c r="I1331" s="92"/>
      <c r="J1331" s="92"/>
      <c r="K1331" s="92"/>
      <c r="L1331" s="92"/>
      <c r="M1331" s="92"/>
      <c r="N1331" s="92"/>
      <c r="AG1331" s="100"/>
      <c r="AH1331" s="101"/>
      <c r="AI1331" s="101"/>
      <c r="AJ1331" s="101"/>
      <c r="AK1331" s="100"/>
      <c r="AL1331" s="100"/>
      <c r="AM1331" s="100"/>
      <c r="AN1331" s="100"/>
      <c r="AO1331" s="100"/>
      <c r="AP1331" s="100"/>
      <c r="AQ1331" s="100"/>
      <c r="AR1331" s="100"/>
      <c r="AS1331" s="100"/>
      <c r="AT1331" s="102"/>
      <c r="AX1331" s="100"/>
      <c r="AY1331" s="101"/>
      <c r="AZ1331" s="101"/>
      <c r="BA1331" s="100"/>
      <c r="BB1331" s="100"/>
      <c r="BC1331" s="100"/>
      <c r="BD1331" s="100"/>
      <c r="BE1331" s="100"/>
      <c r="BF1331" s="100"/>
      <c r="BG1331" s="100"/>
      <c r="BH1331" s="100"/>
      <c r="BI1331" s="100"/>
      <c r="BJ1331" s="100"/>
      <c r="BK1331" s="102"/>
    </row>
    <row r="1332" spans="1:63" x14ac:dyDescent="0.25">
      <c r="A1332" s="92"/>
      <c r="B1332" s="92"/>
      <c r="C1332" s="92"/>
      <c r="D1332" s="92"/>
      <c r="E1332" s="92"/>
      <c r="F1332" s="92"/>
      <c r="G1332" s="92"/>
      <c r="H1332" s="92"/>
      <c r="I1332" s="92"/>
      <c r="J1332" s="92"/>
      <c r="K1332" s="92"/>
      <c r="L1332" s="92"/>
      <c r="M1332" s="92"/>
      <c r="N1332" s="92"/>
      <c r="AG1332" s="100"/>
      <c r="AH1332" s="101"/>
      <c r="AI1332" s="101"/>
      <c r="AJ1332" s="100"/>
      <c r="AK1332" s="100"/>
      <c r="AL1332" s="100"/>
      <c r="AM1332" s="100"/>
      <c r="AN1332" s="100"/>
      <c r="AO1332" s="100"/>
      <c r="AP1332" s="100"/>
      <c r="AQ1332" s="100"/>
      <c r="AR1332" s="100"/>
      <c r="AS1332" s="100"/>
      <c r="AT1332" s="102"/>
      <c r="AX1332" s="100"/>
      <c r="AY1332" s="101"/>
      <c r="AZ1332" s="101"/>
      <c r="BA1332" s="100"/>
      <c r="BB1332" s="100"/>
      <c r="BC1332" s="100"/>
      <c r="BD1332" s="100"/>
      <c r="BE1332" s="100"/>
      <c r="BF1332" s="100"/>
      <c r="BG1332" s="100"/>
      <c r="BH1332" s="100"/>
      <c r="BI1332" s="100"/>
      <c r="BJ1332" s="100"/>
      <c r="BK1332" s="102"/>
    </row>
    <row r="1333" spans="1:63" x14ac:dyDescent="0.25">
      <c r="A1333" s="92"/>
      <c r="B1333" s="93"/>
      <c r="C1333" s="93"/>
      <c r="D1333" s="92"/>
      <c r="E1333" s="92"/>
      <c r="F1333" s="92"/>
      <c r="G1333" s="92"/>
      <c r="H1333" s="92"/>
      <c r="I1333" s="92"/>
      <c r="J1333" s="92"/>
      <c r="K1333" s="92"/>
      <c r="L1333" s="92"/>
      <c r="M1333" s="92"/>
      <c r="N1333" s="94"/>
      <c r="AG1333" s="100"/>
      <c r="AH1333" s="101"/>
      <c r="AI1333" s="101"/>
      <c r="AJ1333" s="101"/>
      <c r="AK1333" s="100"/>
      <c r="AL1333" s="100"/>
      <c r="AM1333" s="100"/>
      <c r="AN1333" s="100"/>
      <c r="AO1333" s="100"/>
      <c r="AP1333" s="100"/>
      <c r="AQ1333" s="100"/>
      <c r="AR1333" s="100"/>
      <c r="AS1333" s="100"/>
      <c r="AT1333" s="102"/>
      <c r="AX1333" s="100"/>
      <c r="AY1333" s="101"/>
      <c r="AZ1333" s="101"/>
      <c r="BA1333" s="100"/>
      <c r="BB1333" s="100"/>
      <c r="BC1333" s="100"/>
      <c r="BD1333" s="100"/>
      <c r="BE1333" s="100"/>
      <c r="BF1333" s="100"/>
      <c r="BG1333" s="100"/>
      <c r="BH1333" s="100"/>
      <c r="BI1333" s="100"/>
      <c r="BJ1333" s="100"/>
      <c r="BK1333" s="102"/>
    </row>
    <row r="1334" spans="1:63" x14ac:dyDescent="0.25">
      <c r="A1334" s="92"/>
      <c r="B1334" s="93"/>
      <c r="C1334" s="93"/>
      <c r="D1334" s="92"/>
      <c r="E1334" s="92"/>
      <c r="F1334" s="92"/>
      <c r="G1334" s="92"/>
      <c r="H1334" s="92"/>
      <c r="I1334" s="92"/>
      <c r="J1334" s="92"/>
      <c r="K1334" s="92"/>
      <c r="L1334" s="92"/>
      <c r="M1334" s="92"/>
      <c r="N1334" s="94"/>
      <c r="AG1334" s="100"/>
      <c r="AH1334" s="101"/>
      <c r="AI1334" s="101"/>
      <c r="AJ1334" s="100"/>
      <c r="AK1334" s="100"/>
      <c r="AL1334" s="100"/>
      <c r="AM1334" s="100"/>
      <c r="AN1334" s="100"/>
      <c r="AO1334" s="100"/>
      <c r="AP1334" s="100"/>
      <c r="AQ1334" s="100"/>
      <c r="AR1334" s="100"/>
      <c r="AS1334" s="100"/>
      <c r="AT1334" s="102"/>
      <c r="AX1334" s="100"/>
      <c r="AY1334" s="101"/>
      <c r="AZ1334" s="101"/>
      <c r="BA1334" s="101"/>
      <c r="BB1334" s="100"/>
      <c r="BC1334" s="100"/>
      <c r="BD1334" s="100"/>
      <c r="BE1334" s="100"/>
      <c r="BF1334" s="100"/>
      <c r="BG1334" s="100"/>
      <c r="BH1334" s="100"/>
      <c r="BI1334" s="100"/>
      <c r="BJ1334" s="100"/>
      <c r="BK1334" s="102"/>
    </row>
    <row r="1335" spans="1:63" x14ac:dyDescent="0.25">
      <c r="A1335" s="92"/>
      <c r="B1335" s="93"/>
      <c r="C1335" s="93"/>
      <c r="D1335" s="92"/>
      <c r="E1335" s="92"/>
      <c r="F1335" s="92"/>
      <c r="G1335" s="92"/>
      <c r="H1335" s="92"/>
      <c r="I1335" s="92"/>
      <c r="J1335" s="92"/>
      <c r="K1335" s="92"/>
      <c r="L1335" s="92"/>
      <c r="M1335" s="92"/>
      <c r="N1335" s="94"/>
      <c r="AG1335" s="100"/>
      <c r="AH1335" s="101"/>
      <c r="AI1335" s="101"/>
      <c r="AJ1335" s="100"/>
      <c r="AK1335" s="100"/>
      <c r="AL1335" s="100"/>
      <c r="AM1335" s="100"/>
      <c r="AN1335" s="100"/>
      <c r="AO1335" s="100"/>
      <c r="AP1335" s="100"/>
      <c r="AQ1335" s="100"/>
      <c r="AR1335" s="100"/>
      <c r="AS1335" s="100"/>
      <c r="AT1335" s="102"/>
      <c r="AX1335" s="100"/>
      <c r="AY1335" s="101"/>
      <c r="AZ1335" s="101"/>
      <c r="BA1335" s="101"/>
      <c r="BB1335" s="100"/>
      <c r="BC1335" s="100"/>
      <c r="BD1335" s="100"/>
      <c r="BE1335" s="100"/>
      <c r="BF1335" s="100"/>
      <c r="BG1335" s="100"/>
      <c r="BH1335" s="100"/>
      <c r="BI1335" s="100"/>
      <c r="BJ1335" s="100"/>
      <c r="BK1335" s="102"/>
    </row>
    <row r="1336" spans="1:63" x14ac:dyDescent="0.25">
      <c r="A1336" s="92"/>
      <c r="B1336" s="93"/>
      <c r="C1336" s="93"/>
      <c r="D1336" s="92"/>
      <c r="E1336" s="92"/>
      <c r="F1336" s="92"/>
      <c r="G1336" s="92"/>
      <c r="H1336" s="92"/>
      <c r="I1336" s="92"/>
      <c r="J1336" s="92"/>
      <c r="K1336" s="92"/>
      <c r="L1336" s="92"/>
      <c r="M1336" s="92"/>
      <c r="N1336" s="94"/>
      <c r="AG1336" s="100"/>
      <c r="AH1336" s="101"/>
      <c r="AI1336" s="101"/>
      <c r="AJ1336" s="100"/>
      <c r="AK1336" s="100"/>
      <c r="AL1336" s="100"/>
      <c r="AM1336" s="100"/>
      <c r="AN1336" s="100"/>
      <c r="AO1336" s="100"/>
      <c r="AP1336" s="100"/>
      <c r="AQ1336" s="100"/>
      <c r="AR1336" s="100"/>
      <c r="AS1336" s="100"/>
      <c r="AT1336" s="102"/>
      <c r="AX1336" s="100"/>
      <c r="AY1336" s="101"/>
      <c r="AZ1336" s="101"/>
      <c r="BA1336" s="101"/>
      <c r="BB1336" s="100"/>
      <c r="BC1336" s="100"/>
      <c r="BD1336" s="100"/>
      <c r="BE1336" s="100"/>
      <c r="BF1336" s="100"/>
      <c r="BG1336" s="100"/>
      <c r="BH1336" s="100"/>
      <c r="BI1336" s="100"/>
      <c r="BJ1336" s="100"/>
      <c r="BK1336" s="102"/>
    </row>
    <row r="1337" spans="1:63" x14ac:dyDescent="0.25">
      <c r="A1337" s="92"/>
      <c r="B1337" s="93"/>
      <c r="C1337" s="93"/>
      <c r="D1337" s="93"/>
      <c r="E1337" s="92"/>
      <c r="F1337" s="92"/>
      <c r="G1337" s="92"/>
      <c r="H1337" s="92"/>
      <c r="I1337" s="92"/>
      <c r="J1337" s="92"/>
      <c r="K1337" s="92"/>
      <c r="L1337" s="92"/>
      <c r="M1337" s="92"/>
      <c r="N1337" s="94"/>
      <c r="AG1337" s="100"/>
      <c r="AH1337" s="101"/>
      <c r="AI1337" s="101"/>
      <c r="AJ1337" s="100"/>
      <c r="AK1337" s="100"/>
      <c r="AL1337" s="100"/>
      <c r="AM1337" s="100"/>
      <c r="AN1337" s="100"/>
      <c r="AO1337" s="100"/>
      <c r="AP1337" s="100"/>
      <c r="AQ1337" s="100"/>
      <c r="AR1337" s="100"/>
      <c r="AS1337" s="100"/>
      <c r="AT1337" s="102"/>
      <c r="AX1337" s="100"/>
      <c r="AY1337" s="101"/>
      <c r="AZ1337" s="101"/>
      <c r="BA1337" s="100"/>
      <c r="BB1337" s="100"/>
      <c r="BC1337" s="100"/>
      <c r="BD1337" s="100"/>
      <c r="BE1337" s="100"/>
      <c r="BF1337" s="100"/>
      <c r="BG1337" s="100"/>
      <c r="BH1337" s="100"/>
      <c r="BI1337" s="100"/>
      <c r="BJ1337" s="100"/>
      <c r="BK1337" s="102"/>
    </row>
    <row r="1338" spans="1:63" x14ac:dyDescent="0.25">
      <c r="A1338" s="92"/>
      <c r="B1338" s="92"/>
      <c r="C1338" s="92"/>
      <c r="D1338" s="92"/>
      <c r="E1338" s="92"/>
      <c r="F1338" s="92"/>
      <c r="G1338" s="92"/>
      <c r="H1338" s="92"/>
      <c r="I1338" s="92"/>
      <c r="J1338" s="92"/>
      <c r="K1338" s="92"/>
      <c r="L1338" s="92"/>
      <c r="M1338" s="92"/>
      <c r="N1338" s="92"/>
      <c r="AG1338" s="100"/>
      <c r="AH1338" s="101"/>
      <c r="AI1338" s="101"/>
      <c r="AJ1338" s="100"/>
      <c r="AK1338" s="100"/>
      <c r="AL1338" s="100"/>
      <c r="AM1338" s="100"/>
      <c r="AN1338" s="100"/>
      <c r="AO1338" s="100"/>
      <c r="AP1338" s="100"/>
      <c r="AQ1338" s="100"/>
      <c r="AR1338" s="100"/>
      <c r="AS1338" s="100"/>
      <c r="AT1338" s="102"/>
      <c r="AX1338" s="100"/>
      <c r="AY1338" s="101"/>
      <c r="AZ1338" s="101"/>
      <c r="BA1338" s="100"/>
      <c r="BB1338" s="100"/>
      <c r="BC1338" s="100"/>
      <c r="BD1338" s="100"/>
      <c r="BE1338" s="100"/>
      <c r="BF1338" s="100"/>
      <c r="BG1338" s="100"/>
      <c r="BH1338" s="100"/>
      <c r="BI1338" s="100"/>
      <c r="BJ1338" s="100"/>
      <c r="BK1338" s="102"/>
    </row>
    <row r="1339" spans="1:63" x14ac:dyDescent="0.25">
      <c r="A1339" s="92"/>
      <c r="B1339" s="92"/>
      <c r="C1339" s="92"/>
      <c r="D1339" s="92"/>
      <c r="E1339" s="92"/>
      <c r="F1339" s="92"/>
      <c r="G1339" s="92"/>
      <c r="H1339" s="92"/>
      <c r="I1339" s="92"/>
      <c r="J1339" s="92"/>
      <c r="K1339" s="92"/>
      <c r="L1339" s="92"/>
      <c r="M1339" s="92"/>
      <c r="N1339" s="92"/>
      <c r="AG1339" s="100"/>
      <c r="AH1339" s="101"/>
      <c r="AI1339" s="101"/>
      <c r="AJ1339" s="100"/>
      <c r="AK1339" s="100"/>
      <c r="AL1339" s="100"/>
      <c r="AM1339" s="100"/>
      <c r="AN1339" s="100"/>
      <c r="AO1339" s="100"/>
      <c r="AP1339" s="100"/>
      <c r="AQ1339" s="100"/>
      <c r="AR1339" s="100"/>
      <c r="AS1339" s="100"/>
      <c r="AT1339" s="102"/>
      <c r="AX1339" s="100"/>
      <c r="AY1339" s="101"/>
      <c r="AZ1339" s="101"/>
      <c r="BA1339" s="100"/>
      <c r="BB1339" s="100"/>
      <c r="BC1339" s="100"/>
      <c r="BD1339" s="100"/>
      <c r="BE1339" s="100"/>
      <c r="BF1339" s="100"/>
      <c r="BG1339" s="100"/>
      <c r="BH1339" s="100"/>
      <c r="BI1339" s="100"/>
      <c r="BJ1339" s="100"/>
      <c r="BK1339" s="102"/>
    </row>
    <row r="1340" spans="1:63" x14ac:dyDescent="0.25">
      <c r="A1340" s="92"/>
      <c r="B1340" s="92"/>
      <c r="C1340" s="92"/>
      <c r="D1340" s="92"/>
      <c r="E1340" s="92"/>
      <c r="F1340" s="92"/>
      <c r="G1340" s="92"/>
      <c r="H1340" s="92"/>
      <c r="I1340" s="92"/>
      <c r="J1340" s="92"/>
      <c r="K1340" s="92"/>
      <c r="L1340" s="92"/>
      <c r="M1340" s="92"/>
      <c r="N1340" s="92"/>
      <c r="AG1340" s="100"/>
      <c r="AH1340" s="101"/>
      <c r="AI1340" s="101"/>
      <c r="AJ1340" s="100"/>
      <c r="AK1340" s="100"/>
      <c r="AL1340" s="100"/>
      <c r="AM1340" s="100"/>
      <c r="AN1340" s="100"/>
      <c r="AO1340" s="100"/>
      <c r="AP1340" s="100"/>
      <c r="AQ1340" s="100"/>
      <c r="AR1340" s="100"/>
      <c r="AS1340" s="100"/>
      <c r="AT1340" s="102"/>
      <c r="AX1340" s="100"/>
      <c r="AY1340" s="101"/>
      <c r="AZ1340" s="101"/>
      <c r="BA1340" s="101"/>
      <c r="BB1340" s="100"/>
      <c r="BC1340" s="100"/>
      <c r="BD1340" s="100"/>
      <c r="BE1340" s="100"/>
      <c r="BF1340" s="100"/>
      <c r="BG1340" s="100"/>
      <c r="BH1340" s="100"/>
      <c r="BI1340" s="100"/>
      <c r="BJ1340" s="100"/>
      <c r="BK1340" s="102"/>
    </row>
    <row r="1341" spans="1:63" x14ac:dyDescent="0.25">
      <c r="A1341" s="92"/>
      <c r="B1341" s="93"/>
      <c r="C1341" s="93"/>
      <c r="D1341" s="92"/>
      <c r="E1341" s="92"/>
      <c r="F1341" s="92"/>
      <c r="G1341" s="92"/>
      <c r="H1341" s="92"/>
      <c r="I1341" s="92"/>
      <c r="J1341" s="96"/>
      <c r="K1341" s="92"/>
      <c r="L1341" s="92"/>
      <c r="M1341" s="92"/>
      <c r="N1341" s="94"/>
      <c r="AG1341" s="100"/>
      <c r="AH1341" s="101"/>
      <c r="AI1341" s="101"/>
      <c r="AJ1341" s="100"/>
      <c r="AK1341" s="100"/>
      <c r="AL1341" s="100"/>
      <c r="AM1341" s="100"/>
      <c r="AN1341" s="100"/>
      <c r="AO1341" s="100"/>
      <c r="AP1341" s="100"/>
      <c r="AQ1341" s="100"/>
      <c r="AR1341" s="100"/>
      <c r="AS1341" s="100"/>
      <c r="AT1341" s="102"/>
      <c r="AX1341" s="100"/>
      <c r="AY1341" s="101"/>
      <c r="AZ1341" s="101"/>
      <c r="BA1341" s="101"/>
      <c r="BB1341" s="100"/>
      <c r="BC1341" s="100"/>
      <c r="BD1341" s="100"/>
      <c r="BE1341" s="100"/>
      <c r="BF1341" s="100"/>
      <c r="BG1341" s="100"/>
      <c r="BH1341" s="100"/>
      <c r="BI1341" s="100"/>
      <c r="BJ1341" s="100"/>
      <c r="BK1341" s="102"/>
    </row>
    <row r="1342" spans="1:63" x14ac:dyDescent="0.25">
      <c r="A1342" s="92"/>
      <c r="B1342" s="92"/>
      <c r="C1342" s="92"/>
      <c r="D1342" s="92"/>
      <c r="E1342" s="92"/>
      <c r="F1342" s="92"/>
      <c r="G1342" s="92"/>
      <c r="H1342" s="92"/>
      <c r="I1342" s="92"/>
      <c r="J1342" s="92"/>
      <c r="K1342" s="92"/>
      <c r="L1342" s="92"/>
      <c r="M1342" s="92"/>
      <c r="N1342" s="92"/>
      <c r="AG1342" s="100"/>
      <c r="AH1342" s="101"/>
      <c r="AI1342" s="101"/>
      <c r="AJ1342" s="101"/>
      <c r="AK1342" s="100"/>
      <c r="AL1342" s="100"/>
      <c r="AM1342" s="100"/>
      <c r="AN1342" s="100"/>
      <c r="AO1342" s="100"/>
      <c r="AP1342" s="100"/>
      <c r="AQ1342" s="100"/>
      <c r="AR1342" s="100"/>
      <c r="AS1342" s="100"/>
      <c r="AT1342" s="102"/>
      <c r="AX1342" s="100"/>
      <c r="AY1342" s="101"/>
      <c r="AZ1342" s="101"/>
      <c r="BA1342" s="100"/>
      <c r="BB1342" s="100"/>
      <c r="BC1342" s="100"/>
      <c r="BD1342" s="100"/>
      <c r="BE1342" s="100"/>
      <c r="BF1342" s="100"/>
      <c r="BG1342" s="100"/>
      <c r="BH1342" s="100"/>
      <c r="BI1342" s="100"/>
      <c r="BJ1342" s="100"/>
      <c r="BK1342" s="102"/>
    </row>
    <row r="1343" spans="1:63" x14ac:dyDescent="0.25">
      <c r="A1343" s="92"/>
      <c r="B1343" s="92"/>
      <c r="C1343" s="92"/>
      <c r="D1343" s="92"/>
      <c r="E1343" s="92"/>
      <c r="F1343" s="92"/>
      <c r="G1343" s="92"/>
      <c r="H1343" s="92"/>
      <c r="I1343" s="92"/>
      <c r="J1343" s="92"/>
      <c r="K1343" s="92"/>
      <c r="L1343" s="92"/>
      <c r="M1343" s="92"/>
      <c r="N1343" s="92"/>
      <c r="AG1343" s="100"/>
      <c r="AH1343" s="101"/>
      <c r="AI1343" s="101"/>
      <c r="AJ1343" s="100"/>
      <c r="AK1343" s="100"/>
      <c r="AL1343" s="100"/>
      <c r="AM1343" s="100"/>
      <c r="AN1343" s="100"/>
      <c r="AO1343" s="100"/>
      <c r="AP1343" s="100"/>
      <c r="AQ1343" s="100"/>
      <c r="AR1343" s="100"/>
      <c r="AS1343" s="100"/>
      <c r="AT1343" s="102"/>
      <c r="AX1343" s="100"/>
      <c r="AY1343" s="101"/>
      <c r="AZ1343" s="101"/>
      <c r="BA1343" s="100"/>
      <c r="BB1343" s="100"/>
      <c r="BC1343" s="100"/>
      <c r="BD1343" s="100"/>
      <c r="BE1343" s="100"/>
      <c r="BF1343" s="100"/>
      <c r="BG1343" s="100"/>
      <c r="BH1343" s="100"/>
      <c r="BI1343" s="100"/>
      <c r="BJ1343" s="100"/>
      <c r="BK1343" s="102"/>
    </row>
    <row r="1344" spans="1:63" x14ac:dyDescent="0.25">
      <c r="A1344" s="92"/>
      <c r="B1344" s="92"/>
      <c r="C1344" s="92"/>
      <c r="D1344" s="92"/>
      <c r="E1344" s="92"/>
      <c r="F1344" s="92"/>
      <c r="G1344" s="92"/>
      <c r="H1344" s="92"/>
      <c r="I1344" s="92"/>
      <c r="J1344" s="92"/>
      <c r="K1344" s="92"/>
      <c r="L1344" s="92"/>
      <c r="M1344" s="92"/>
      <c r="N1344" s="92"/>
      <c r="AG1344" s="100"/>
      <c r="AH1344" s="101"/>
      <c r="AI1344" s="101"/>
      <c r="AJ1344" s="100"/>
      <c r="AK1344" s="100"/>
      <c r="AL1344" s="100"/>
      <c r="AM1344" s="100"/>
      <c r="AN1344" s="100"/>
      <c r="AO1344" s="100"/>
      <c r="AP1344" s="100"/>
      <c r="AQ1344" s="100"/>
      <c r="AR1344" s="100"/>
      <c r="AS1344" s="100"/>
      <c r="AT1344" s="102"/>
      <c r="AX1344" s="100"/>
      <c r="AY1344" s="101"/>
      <c r="AZ1344" s="101"/>
      <c r="BA1344" s="101"/>
      <c r="BB1344" s="100"/>
      <c r="BC1344" s="100"/>
      <c r="BD1344" s="100"/>
      <c r="BE1344" s="100"/>
      <c r="BF1344" s="100"/>
      <c r="BG1344" s="100"/>
      <c r="BH1344" s="100"/>
      <c r="BI1344" s="100"/>
      <c r="BJ1344" s="100"/>
      <c r="BK1344" s="102"/>
    </row>
    <row r="1345" spans="1:63" x14ac:dyDescent="0.25">
      <c r="A1345" s="92"/>
      <c r="B1345" s="92"/>
      <c r="C1345" s="92"/>
      <c r="D1345" s="92"/>
      <c r="E1345" s="92"/>
      <c r="F1345" s="92"/>
      <c r="G1345" s="92"/>
      <c r="H1345" s="92"/>
      <c r="I1345" s="92"/>
      <c r="J1345" s="92"/>
      <c r="K1345" s="92"/>
      <c r="L1345" s="92"/>
      <c r="M1345" s="92"/>
      <c r="N1345" s="92"/>
      <c r="AG1345" s="100"/>
      <c r="AH1345" s="101"/>
      <c r="AI1345" s="101"/>
      <c r="AJ1345" s="100"/>
      <c r="AK1345" s="100"/>
      <c r="AL1345" s="100"/>
      <c r="AM1345" s="100"/>
      <c r="AN1345" s="100"/>
      <c r="AO1345" s="100"/>
      <c r="AP1345" s="100"/>
      <c r="AQ1345" s="100"/>
      <c r="AR1345" s="100"/>
      <c r="AS1345" s="100"/>
      <c r="AT1345" s="102"/>
      <c r="AX1345" s="100"/>
      <c r="AY1345" s="101"/>
      <c r="AZ1345" s="101"/>
      <c r="BA1345" s="100"/>
      <c r="BB1345" s="100"/>
      <c r="BC1345" s="100"/>
      <c r="BD1345" s="100"/>
      <c r="BE1345" s="100"/>
      <c r="BF1345" s="100"/>
      <c r="BG1345" s="100"/>
      <c r="BH1345" s="100"/>
      <c r="BI1345" s="100"/>
      <c r="BJ1345" s="100"/>
      <c r="BK1345" s="102"/>
    </row>
    <row r="1346" spans="1:63" x14ac:dyDescent="0.25">
      <c r="A1346" s="92"/>
      <c r="B1346" s="93"/>
      <c r="C1346" s="93"/>
      <c r="D1346" s="92"/>
      <c r="E1346" s="92"/>
      <c r="F1346" s="92"/>
      <c r="G1346" s="92"/>
      <c r="H1346" s="92"/>
      <c r="I1346" s="92"/>
      <c r="J1346" s="92"/>
      <c r="K1346" s="92"/>
      <c r="L1346" s="92"/>
      <c r="M1346" s="92"/>
      <c r="N1346" s="94"/>
      <c r="AG1346" s="100"/>
      <c r="AH1346" s="101"/>
      <c r="AI1346" s="101"/>
      <c r="AJ1346" s="100"/>
      <c r="AK1346" s="100"/>
      <c r="AL1346" s="100"/>
      <c r="AM1346" s="100"/>
      <c r="AN1346" s="100"/>
      <c r="AO1346" s="100"/>
      <c r="AP1346" s="100"/>
      <c r="AQ1346" s="100"/>
      <c r="AR1346" s="100"/>
      <c r="AS1346" s="100"/>
      <c r="AT1346" s="102"/>
      <c r="AX1346" s="100"/>
      <c r="AY1346" s="101"/>
      <c r="AZ1346" s="101"/>
      <c r="BA1346" s="100"/>
      <c r="BB1346" s="100"/>
      <c r="BC1346" s="100"/>
      <c r="BD1346" s="100"/>
      <c r="BE1346" s="100"/>
      <c r="BF1346" s="100"/>
      <c r="BG1346" s="100"/>
      <c r="BH1346" s="100"/>
      <c r="BI1346" s="100"/>
      <c r="BJ1346" s="100"/>
      <c r="BK1346" s="102"/>
    </row>
    <row r="1347" spans="1:63" x14ac:dyDescent="0.25">
      <c r="A1347" s="92"/>
      <c r="B1347" s="93"/>
      <c r="C1347" s="93"/>
      <c r="D1347" s="93"/>
      <c r="E1347" s="92"/>
      <c r="F1347" s="92"/>
      <c r="G1347" s="92"/>
      <c r="H1347" s="92"/>
      <c r="I1347" s="92"/>
      <c r="J1347" s="92"/>
      <c r="K1347" s="92"/>
      <c r="L1347" s="92"/>
      <c r="M1347" s="92"/>
      <c r="N1347" s="94"/>
      <c r="AG1347" s="100"/>
      <c r="AH1347" s="101"/>
      <c r="AI1347" s="101"/>
      <c r="AJ1347" s="100"/>
      <c r="AK1347" s="100"/>
      <c r="AL1347" s="100"/>
      <c r="AM1347" s="100"/>
      <c r="AN1347" s="100"/>
      <c r="AO1347" s="100"/>
      <c r="AP1347" s="100"/>
      <c r="AQ1347" s="100"/>
      <c r="AR1347" s="100"/>
      <c r="AS1347" s="100"/>
      <c r="AT1347" s="102"/>
      <c r="AX1347" s="100"/>
      <c r="AY1347" s="101"/>
      <c r="AZ1347" s="101"/>
      <c r="BA1347" s="100"/>
      <c r="BB1347" s="100"/>
      <c r="BC1347" s="100"/>
      <c r="BD1347" s="100"/>
      <c r="BE1347" s="100"/>
      <c r="BF1347" s="100"/>
      <c r="BG1347" s="100"/>
      <c r="BH1347" s="100"/>
      <c r="BI1347" s="100"/>
      <c r="BJ1347" s="100"/>
      <c r="BK1347" s="102"/>
    </row>
    <row r="1348" spans="1:63" x14ac:dyDescent="0.25">
      <c r="A1348" s="92"/>
      <c r="B1348" s="93"/>
      <c r="C1348" s="93"/>
      <c r="D1348" s="92"/>
      <c r="E1348" s="92"/>
      <c r="F1348" s="92"/>
      <c r="G1348" s="92"/>
      <c r="H1348" s="92"/>
      <c r="I1348" s="92"/>
      <c r="J1348" s="92"/>
      <c r="K1348" s="92"/>
      <c r="L1348" s="92"/>
      <c r="M1348" s="92"/>
      <c r="N1348" s="94"/>
      <c r="AG1348" s="100"/>
      <c r="AH1348" s="101"/>
      <c r="AI1348" s="101"/>
      <c r="AJ1348" s="100"/>
      <c r="AK1348" s="100"/>
      <c r="AL1348" s="100"/>
      <c r="AM1348" s="100"/>
      <c r="AN1348" s="100"/>
      <c r="AO1348" s="100"/>
      <c r="AP1348" s="100"/>
      <c r="AQ1348" s="100"/>
      <c r="AR1348" s="100"/>
      <c r="AS1348" s="100"/>
      <c r="AT1348" s="102"/>
      <c r="AX1348" s="100"/>
      <c r="AY1348" s="101"/>
      <c r="AZ1348" s="101"/>
      <c r="BA1348" s="101"/>
      <c r="BB1348" s="100"/>
      <c r="BC1348" s="100"/>
      <c r="BD1348" s="100"/>
      <c r="BE1348" s="100"/>
      <c r="BF1348" s="100"/>
      <c r="BG1348" s="100"/>
      <c r="BH1348" s="100"/>
      <c r="BI1348" s="100"/>
      <c r="BJ1348" s="100"/>
      <c r="BK1348" s="102"/>
    </row>
    <row r="1349" spans="1:63" x14ac:dyDescent="0.25">
      <c r="A1349" s="92"/>
      <c r="B1349" s="92"/>
      <c r="C1349" s="92"/>
      <c r="D1349" s="92"/>
      <c r="E1349" s="92"/>
      <c r="F1349" s="92"/>
      <c r="G1349" s="92"/>
      <c r="H1349" s="92"/>
      <c r="I1349" s="92"/>
      <c r="J1349" s="92"/>
      <c r="K1349" s="92"/>
      <c r="L1349" s="92"/>
      <c r="M1349" s="92"/>
      <c r="N1349" s="92"/>
      <c r="AG1349" s="100"/>
      <c r="AH1349" s="101"/>
      <c r="AI1349" s="101"/>
      <c r="AJ1349" s="100"/>
      <c r="AK1349" s="100"/>
      <c r="AL1349" s="100"/>
      <c r="AM1349" s="100"/>
      <c r="AN1349" s="100"/>
      <c r="AO1349" s="100"/>
      <c r="AP1349" s="100"/>
      <c r="AQ1349" s="100"/>
      <c r="AR1349" s="100"/>
      <c r="AS1349" s="100"/>
      <c r="AT1349" s="102"/>
      <c r="AX1349" s="100"/>
      <c r="AY1349" s="101"/>
      <c r="AZ1349" s="101"/>
      <c r="BA1349" s="100"/>
      <c r="BB1349" s="100"/>
      <c r="BC1349" s="100"/>
      <c r="BD1349" s="100"/>
      <c r="BE1349" s="100"/>
      <c r="BF1349" s="100"/>
      <c r="BG1349" s="100"/>
      <c r="BH1349" s="100"/>
      <c r="BI1349" s="100"/>
      <c r="BJ1349" s="100"/>
      <c r="BK1349" s="102"/>
    </row>
    <row r="1350" spans="1:63" x14ac:dyDescent="0.25">
      <c r="A1350" s="92"/>
      <c r="B1350" s="92"/>
      <c r="C1350" s="92"/>
      <c r="D1350" s="92"/>
      <c r="E1350" s="92"/>
      <c r="F1350" s="92"/>
      <c r="G1350" s="92"/>
      <c r="H1350" s="92"/>
      <c r="I1350" s="92"/>
      <c r="J1350" s="92"/>
      <c r="K1350" s="92"/>
      <c r="L1350" s="92"/>
      <c r="M1350" s="92"/>
      <c r="N1350" s="92"/>
      <c r="AG1350" s="100"/>
      <c r="AH1350" s="101"/>
      <c r="AI1350" s="101"/>
      <c r="AJ1350" s="100"/>
      <c r="AK1350" s="100"/>
      <c r="AL1350" s="100"/>
      <c r="AM1350" s="100"/>
      <c r="AN1350" s="100"/>
      <c r="AO1350" s="100"/>
      <c r="AP1350" s="100"/>
      <c r="AQ1350" s="100"/>
      <c r="AR1350" s="100"/>
      <c r="AS1350" s="100"/>
      <c r="AT1350" s="102"/>
      <c r="AX1350" s="100"/>
      <c r="AY1350" s="101"/>
      <c r="AZ1350" s="101"/>
      <c r="BA1350" s="100"/>
      <c r="BB1350" s="100"/>
      <c r="BC1350" s="100"/>
      <c r="BD1350" s="100"/>
      <c r="BE1350" s="100"/>
      <c r="BF1350" s="100"/>
      <c r="BG1350" s="100"/>
      <c r="BH1350" s="100"/>
      <c r="BI1350" s="100"/>
      <c r="BJ1350" s="100"/>
      <c r="BK1350" s="102"/>
    </row>
    <row r="1351" spans="1:63" x14ac:dyDescent="0.25">
      <c r="A1351" s="92"/>
      <c r="B1351" s="93"/>
      <c r="C1351" s="93"/>
      <c r="D1351" s="92"/>
      <c r="E1351" s="92"/>
      <c r="F1351" s="92"/>
      <c r="G1351" s="92"/>
      <c r="H1351" s="92"/>
      <c r="I1351" s="92"/>
      <c r="J1351" s="92"/>
      <c r="K1351" s="92"/>
      <c r="L1351" s="92"/>
      <c r="M1351" s="92"/>
      <c r="N1351" s="94"/>
      <c r="AG1351" s="100"/>
      <c r="AH1351" s="101"/>
      <c r="AI1351" s="101"/>
      <c r="AJ1351" s="100"/>
      <c r="AK1351" s="100"/>
      <c r="AL1351" s="100"/>
      <c r="AM1351" s="100"/>
      <c r="AN1351" s="100"/>
      <c r="AO1351" s="100"/>
      <c r="AP1351" s="100"/>
      <c r="AQ1351" s="100"/>
      <c r="AR1351" s="100"/>
      <c r="AS1351" s="100"/>
      <c r="AT1351" s="102"/>
      <c r="AX1351" s="100"/>
      <c r="AY1351" s="101"/>
      <c r="AZ1351" s="101"/>
      <c r="BA1351" s="101"/>
      <c r="BB1351" s="100"/>
      <c r="BC1351" s="100"/>
      <c r="BD1351" s="100"/>
      <c r="BE1351" s="100"/>
      <c r="BF1351" s="100"/>
      <c r="BG1351" s="100"/>
      <c r="BH1351" s="100"/>
      <c r="BI1351" s="100"/>
      <c r="BJ1351" s="100"/>
      <c r="BK1351" s="102"/>
    </row>
    <row r="1352" spans="1:63" x14ac:dyDescent="0.25">
      <c r="A1352" s="92"/>
      <c r="B1352" s="93"/>
      <c r="C1352" s="93"/>
      <c r="D1352" s="92"/>
      <c r="E1352" s="92"/>
      <c r="F1352" s="92"/>
      <c r="G1352" s="92"/>
      <c r="H1352" s="92"/>
      <c r="I1352" s="92"/>
      <c r="J1352" s="92"/>
      <c r="K1352" s="92"/>
      <c r="L1352" s="92"/>
      <c r="M1352" s="92"/>
      <c r="N1352" s="94"/>
      <c r="AG1352" s="100"/>
      <c r="AH1352" s="101"/>
      <c r="AI1352" s="101"/>
      <c r="AJ1352" s="100"/>
      <c r="AK1352" s="100"/>
      <c r="AL1352" s="100"/>
      <c r="AM1352" s="100"/>
      <c r="AN1352" s="100"/>
      <c r="AO1352" s="100"/>
      <c r="AP1352" s="100"/>
      <c r="AQ1352" s="100"/>
      <c r="AR1352" s="100"/>
      <c r="AS1352" s="100"/>
      <c r="AT1352" s="102"/>
      <c r="AX1352" s="100"/>
      <c r="AY1352" s="101"/>
      <c r="AZ1352" s="101"/>
      <c r="BA1352" s="100"/>
      <c r="BB1352" s="100"/>
      <c r="BC1352" s="100"/>
      <c r="BD1352" s="100"/>
      <c r="BE1352" s="100"/>
      <c r="BF1352" s="100"/>
      <c r="BG1352" s="100"/>
      <c r="BH1352" s="100"/>
      <c r="BI1352" s="100"/>
      <c r="BJ1352" s="100"/>
      <c r="BK1352" s="102"/>
    </row>
    <row r="1353" spans="1:63" x14ac:dyDescent="0.25">
      <c r="A1353" s="92"/>
      <c r="B1353" s="93"/>
      <c r="C1353" s="93"/>
      <c r="D1353" s="92"/>
      <c r="E1353" s="92"/>
      <c r="F1353" s="92"/>
      <c r="G1353" s="92"/>
      <c r="H1353" s="92"/>
      <c r="I1353" s="92"/>
      <c r="J1353" s="92"/>
      <c r="K1353" s="92"/>
      <c r="L1353" s="92"/>
      <c r="M1353" s="92"/>
      <c r="N1353" s="94"/>
      <c r="AG1353" s="100"/>
      <c r="AH1353" s="101"/>
      <c r="AI1353" s="101"/>
      <c r="AJ1353" s="100"/>
      <c r="AK1353" s="100"/>
      <c r="AL1353" s="100"/>
      <c r="AM1353" s="100"/>
      <c r="AN1353" s="100"/>
      <c r="AO1353" s="100"/>
      <c r="AP1353" s="100"/>
      <c r="AQ1353" s="100"/>
      <c r="AR1353" s="100"/>
      <c r="AS1353" s="100"/>
      <c r="AT1353" s="102"/>
      <c r="AX1353" s="100"/>
      <c r="AY1353" s="101"/>
      <c r="AZ1353" s="101"/>
      <c r="BA1353" s="101"/>
      <c r="BB1353" s="100"/>
      <c r="BC1353" s="100"/>
      <c r="BD1353" s="100"/>
      <c r="BE1353" s="100"/>
      <c r="BF1353" s="100"/>
      <c r="BG1353" s="100"/>
      <c r="BH1353" s="100"/>
      <c r="BI1353" s="100"/>
      <c r="BJ1353" s="100"/>
      <c r="BK1353" s="102"/>
    </row>
    <row r="1354" spans="1:63" x14ac:dyDescent="0.25">
      <c r="A1354" s="92"/>
      <c r="B1354" s="93"/>
      <c r="C1354" s="93"/>
      <c r="D1354" s="93"/>
      <c r="E1354" s="92"/>
      <c r="F1354" s="92"/>
      <c r="G1354" s="92"/>
      <c r="H1354" s="92"/>
      <c r="I1354" s="92"/>
      <c r="J1354" s="92"/>
      <c r="K1354" s="92"/>
      <c r="L1354" s="92"/>
      <c r="M1354" s="92"/>
      <c r="N1354" s="94"/>
      <c r="AG1354" s="100"/>
      <c r="AH1354" s="101"/>
      <c r="AI1354" s="101"/>
      <c r="AJ1354" s="100"/>
      <c r="AK1354" s="100"/>
      <c r="AL1354" s="100"/>
      <c r="AM1354" s="100"/>
      <c r="AN1354" s="100"/>
      <c r="AO1354" s="100"/>
      <c r="AP1354" s="100"/>
      <c r="AQ1354" s="100"/>
      <c r="AR1354" s="100"/>
      <c r="AS1354" s="100"/>
      <c r="AT1354" s="102"/>
      <c r="AX1354" s="100"/>
      <c r="AY1354" s="101"/>
      <c r="AZ1354" s="101"/>
      <c r="BA1354" s="100"/>
      <c r="BB1354" s="100"/>
      <c r="BC1354" s="100"/>
      <c r="BD1354" s="100"/>
      <c r="BE1354" s="100"/>
      <c r="BF1354" s="100"/>
      <c r="BG1354" s="100"/>
      <c r="BH1354" s="100"/>
      <c r="BI1354" s="100"/>
      <c r="BJ1354" s="100"/>
      <c r="BK1354" s="102"/>
    </row>
    <row r="1355" spans="1:63" x14ac:dyDescent="0.25">
      <c r="A1355" s="92"/>
      <c r="B1355" s="93"/>
      <c r="C1355" s="93"/>
      <c r="D1355" s="93"/>
      <c r="E1355" s="92"/>
      <c r="F1355" s="92"/>
      <c r="G1355" s="92"/>
      <c r="H1355" s="92"/>
      <c r="I1355" s="92"/>
      <c r="J1355" s="92"/>
      <c r="K1355" s="92"/>
      <c r="L1355" s="92"/>
      <c r="M1355" s="92"/>
      <c r="N1355" s="94"/>
      <c r="AG1355" s="100"/>
      <c r="AH1355" s="101"/>
      <c r="AI1355" s="101"/>
      <c r="AJ1355" s="100"/>
      <c r="AK1355" s="100"/>
      <c r="AL1355" s="100"/>
      <c r="AM1355" s="100"/>
      <c r="AN1355" s="100"/>
      <c r="AO1355" s="100"/>
      <c r="AP1355" s="100"/>
      <c r="AQ1355" s="100"/>
      <c r="AR1355" s="100"/>
      <c r="AS1355" s="100"/>
      <c r="AT1355" s="102"/>
      <c r="AX1355" s="100"/>
      <c r="AY1355" s="101"/>
      <c r="AZ1355" s="101"/>
      <c r="BA1355" s="100"/>
      <c r="BB1355" s="100"/>
      <c r="BC1355" s="100"/>
      <c r="BD1355" s="100"/>
      <c r="BE1355" s="100"/>
      <c r="BF1355" s="100"/>
      <c r="BG1355" s="100"/>
      <c r="BH1355" s="100"/>
      <c r="BI1355" s="100"/>
      <c r="BJ1355" s="100"/>
      <c r="BK1355" s="102"/>
    </row>
    <row r="1356" spans="1:63" x14ac:dyDescent="0.25">
      <c r="A1356" s="92"/>
      <c r="B1356" s="92"/>
      <c r="C1356" s="92"/>
      <c r="D1356" s="92"/>
      <c r="E1356" s="92"/>
      <c r="F1356" s="92"/>
      <c r="G1356" s="92"/>
      <c r="H1356" s="92"/>
      <c r="I1356" s="92"/>
      <c r="J1356" s="92"/>
      <c r="K1356" s="92"/>
      <c r="L1356" s="92"/>
      <c r="M1356" s="92"/>
      <c r="N1356" s="92"/>
      <c r="AG1356" s="100"/>
      <c r="AH1356" s="101"/>
      <c r="AI1356" s="101"/>
      <c r="AJ1356" s="100"/>
      <c r="AK1356" s="100"/>
      <c r="AL1356" s="100"/>
      <c r="AM1356" s="100"/>
      <c r="AN1356" s="100"/>
      <c r="AO1356" s="100"/>
      <c r="AP1356" s="100"/>
      <c r="AQ1356" s="100"/>
      <c r="AR1356" s="100"/>
      <c r="AS1356" s="100"/>
      <c r="AT1356" s="102"/>
      <c r="AX1356" s="100"/>
      <c r="AY1356" s="101"/>
      <c r="AZ1356" s="101"/>
      <c r="BA1356" s="100"/>
      <c r="BB1356" s="100"/>
      <c r="BC1356" s="100"/>
      <c r="BD1356" s="100"/>
      <c r="BE1356" s="100"/>
      <c r="BF1356" s="100"/>
      <c r="BG1356" s="100"/>
      <c r="BH1356" s="100"/>
      <c r="BI1356" s="100"/>
      <c r="BJ1356" s="100"/>
      <c r="BK1356" s="102"/>
    </row>
    <row r="1357" spans="1:63" x14ac:dyDescent="0.25">
      <c r="A1357" s="92"/>
      <c r="B1357" s="92"/>
      <c r="C1357" s="92"/>
      <c r="D1357" s="92"/>
      <c r="E1357" s="92"/>
      <c r="F1357" s="92"/>
      <c r="G1357" s="92"/>
      <c r="H1357" s="92"/>
      <c r="I1357" s="92"/>
      <c r="J1357" s="92"/>
      <c r="K1357" s="92"/>
      <c r="L1357" s="92"/>
      <c r="M1357" s="92"/>
      <c r="N1357" s="92"/>
      <c r="AG1357" s="100"/>
      <c r="AH1357" s="101"/>
      <c r="AI1357" s="101"/>
      <c r="AJ1357" s="100"/>
      <c r="AK1357" s="100"/>
      <c r="AL1357" s="100"/>
      <c r="AM1357" s="100"/>
      <c r="AN1357" s="100"/>
      <c r="AO1357" s="100"/>
      <c r="AP1357" s="100"/>
      <c r="AQ1357" s="100"/>
      <c r="AR1357" s="100"/>
      <c r="AS1357" s="100"/>
      <c r="AT1357" s="102"/>
      <c r="AX1357" s="100"/>
      <c r="AY1357" s="101"/>
      <c r="AZ1357" s="101"/>
      <c r="BA1357" s="100"/>
      <c r="BB1357" s="100"/>
      <c r="BC1357" s="100"/>
      <c r="BD1357" s="100"/>
      <c r="BE1357" s="100"/>
      <c r="BF1357" s="100"/>
      <c r="BG1357" s="100"/>
      <c r="BH1357" s="100"/>
      <c r="BI1357" s="100"/>
      <c r="BJ1357" s="100"/>
      <c r="BK1357" s="102"/>
    </row>
    <row r="1358" spans="1:63" x14ac:dyDescent="0.25">
      <c r="A1358" s="92"/>
      <c r="B1358" s="93"/>
      <c r="C1358" s="93"/>
      <c r="D1358" s="93"/>
      <c r="E1358" s="92"/>
      <c r="F1358" s="92"/>
      <c r="G1358" s="92"/>
      <c r="H1358" s="92"/>
      <c r="I1358" s="92"/>
      <c r="J1358" s="92"/>
      <c r="K1358" s="92"/>
      <c r="L1358" s="92"/>
      <c r="M1358" s="92"/>
      <c r="N1358" s="94"/>
      <c r="AG1358" s="100"/>
      <c r="AH1358" s="101"/>
      <c r="AI1358" s="101"/>
      <c r="AJ1358" s="101"/>
      <c r="AK1358" s="100"/>
      <c r="AL1358" s="100"/>
      <c r="AM1358" s="100"/>
      <c r="AN1358" s="100"/>
      <c r="AO1358" s="100"/>
      <c r="AP1358" s="100"/>
      <c r="AQ1358" s="100"/>
      <c r="AR1358" s="100"/>
      <c r="AS1358" s="100"/>
      <c r="AT1358" s="102"/>
      <c r="AX1358" s="100"/>
      <c r="AY1358" s="101"/>
      <c r="AZ1358" s="101"/>
      <c r="BA1358" s="100"/>
      <c r="BB1358" s="100"/>
      <c r="BC1358" s="100"/>
      <c r="BD1358" s="100"/>
      <c r="BE1358" s="100"/>
      <c r="BF1358" s="100"/>
      <c r="BG1358" s="100"/>
      <c r="BH1358" s="100"/>
      <c r="BI1358" s="100"/>
      <c r="BJ1358" s="100"/>
      <c r="BK1358" s="102"/>
    </row>
    <row r="1359" spans="1:63" x14ac:dyDescent="0.25">
      <c r="A1359" s="92"/>
      <c r="B1359" s="92"/>
      <c r="C1359" s="92"/>
      <c r="D1359" s="93"/>
      <c r="E1359" s="92"/>
      <c r="F1359" s="92"/>
      <c r="G1359" s="92"/>
      <c r="H1359" s="92"/>
      <c r="I1359" s="92"/>
      <c r="J1359" s="92"/>
      <c r="K1359" s="92"/>
      <c r="L1359" s="92"/>
      <c r="M1359" s="92"/>
      <c r="N1359" s="92"/>
      <c r="AG1359" s="100"/>
      <c r="AH1359" s="101"/>
      <c r="AI1359" s="101"/>
      <c r="AJ1359" s="100"/>
      <c r="AK1359" s="100"/>
      <c r="AL1359" s="100"/>
      <c r="AM1359" s="100"/>
      <c r="AN1359" s="100"/>
      <c r="AO1359" s="100"/>
      <c r="AP1359" s="100"/>
      <c r="AQ1359" s="100"/>
      <c r="AR1359" s="100"/>
      <c r="AS1359" s="100"/>
      <c r="AT1359" s="102"/>
      <c r="AX1359" s="100"/>
      <c r="AY1359" s="101"/>
      <c r="AZ1359" s="101"/>
      <c r="BA1359" s="100"/>
      <c r="BB1359" s="100"/>
      <c r="BC1359" s="100"/>
      <c r="BD1359" s="100"/>
      <c r="BE1359" s="100"/>
      <c r="BF1359" s="100"/>
      <c r="BG1359" s="100"/>
      <c r="BH1359" s="100"/>
      <c r="BI1359" s="100"/>
      <c r="BJ1359" s="100"/>
      <c r="BK1359" s="102"/>
    </row>
    <row r="1360" spans="1:63" x14ac:dyDescent="0.25">
      <c r="A1360" s="92"/>
      <c r="B1360" s="92"/>
      <c r="C1360" s="92"/>
      <c r="D1360" s="92"/>
      <c r="E1360" s="92"/>
      <c r="F1360" s="92"/>
      <c r="G1360" s="92"/>
      <c r="H1360" s="92"/>
      <c r="I1360" s="92"/>
      <c r="J1360" s="92"/>
      <c r="K1360" s="92"/>
      <c r="L1360" s="92"/>
      <c r="M1360" s="92"/>
      <c r="N1360" s="92"/>
      <c r="AG1360" s="100"/>
      <c r="AH1360" s="101"/>
      <c r="AI1360" s="101"/>
      <c r="AJ1360" s="100"/>
      <c r="AK1360" s="100"/>
      <c r="AL1360" s="100"/>
      <c r="AM1360" s="100"/>
      <c r="AN1360" s="100"/>
      <c r="AO1360" s="100"/>
      <c r="AP1360" s="100"/>
      <c r="AQ1360" s="100"/>
      <c r="AR1360" s="100"/>
      <c r="AS1360" s="100"/>
      <c r="AT1360" s="102"/>
      <c r="AX1360" s="100"/>
      <c r="AY1360" s="101"/>
      <c r="AZ1360" s="101"/>
      <c r="BA1360" s="100"/>
      <c r="BB1360" s="100"/>
      <c r="BC1360" s="100"/>
      <c r="BD1360" s="100"/>
      <c r="BE1360" s="100"/>
      <c r="BF1360" s="100"/>
      <c r="BG1360" s="100"/>
      <c r="BH1360" s="100"/>
      <c r="BI1360" s="100"/>
      <c r="BJ1360" s="100"/>
      <c r="BK1360" s="102"/>
    </row>
    <row r="1361" spans="1:63" x14ac:dyDescent="0.25">
      <c r="A1361" s="92"/>
      <c r="B1361" s="92"/>
      <c r="C1361" s="92"/>
      <c r="D1361" s="92"/>
      <c r="E1361" s="92"/>
      <c r="F1361" s="92"/>
      <c r="G1361" s="92"/>
      <c r="H1361" s="92"/>
      <c r="I1361" s="92"/>
      <c r="J1361" s="92"/>
      <c r="K1361" s="92"/>
      <c r="L1361" s="92"/>
      <c r="M1361" s="92"/>
      <c r="N1361" s="92"/>
      <c r="AG1361" s="100"/>
      <c r="AH1361" s="101"/>
      <c r="AI1361" s="101"/>
      <c r="AJ1361" s="100"/>
      <c r="AK1361" s="100"/>
      <c r="AL1361" s="100"/>
      <c r="AM1361" s="100"/>
      <c r="AN1361" s="100"/>
      <c r="AO1361" s="100"/>
      <c r="AP1361" s="100"/>
      <c r="AQ1361" s="100"/>
      <c r="AR1361" s="100"/>
      <c r="AS1361" s="100"/>
      <c r="AT1361" s="102"/>
      <c r="AX1361" s="100"/>
      <c r="AY1361" s="101"/>
      <c r="AZ1361" s="101"/>
      <c r="BA1361" s="100"/>
      <c r="BB1361" s="100"/>
      <c r="BC1361" s="100"/>
      <c r="BD1361" s="100"/>
      <c r="BE1361" s="100"/>
      <c r="BF1361" s="100"/>
      <c r="BG1361" s="100"/>
      <c r="BH1361" s="100"/>
      <c r="BI1361" s="100"/>
      <c r="BJ1361" s="100"/>
      <c r="BK1361" s="102"/>
    </row>
    <row r="1362" spans="1:63" x14ac:dyDescent="0.25">
      <c r="A1362" s="92"/>
      <c r="B1362" s="92"/>
      <c r="C1362" s="92"/>
      <c r="D1362" s="92"/>
      <c r="E1362" s="92"/>
      <c r="F1362" s="92"/>
      <c r="G1362" s="92"/>
      <c r="H1362" s="92"/>
      <c r="I1362" s="92"/>
      <c r="J1362" s="92"/>
      <c r="K1362" s="92"/>
      <c r="L1362" s="92"/>
      <c r="M1362" s="92"/>
      <c r="N1362" s="92"/>
      <c r="AG1362" s="100"/>
      <c r="AH1362" s="101"/>
      <c r="AI1362" s="101"/>
      <c r="AJ1362" s="100"/>
      <c r="AK1362" s="100"/>
      <c r="AL1362" s="100"/>
      <c r="AM1362" s="100"/>
      <c r="AN1362" s="100"/>
      <c r="AO1362" s="100"/>
      <c r="AP1362" s="100"/>
      <c r="AQ1362" s="100"/>
      <c r="AR1362" s="100"/>
      <c r="AS1362" s="100"/>
      <c r="AT1362" s="102"/>
      <c r="AX1362" s="100"/>
      <c r="AY1362" s="101"/>
      <c r="AZ1362" s="101"/>
      <c r="BA1362" s="101"/>
      <c r="BB1362" s="100"/>
      <c r="BC1362" s="100"/>
      <c r="BD1362" s="100"/>
      <c r="BE1362" s="100"/>
      <c r="BF1362" s="100"/>
      <c r="BG1362" s="100"/>
      <c r="BH1362" s="100"/>
      <c r="BI1362" s="100"/>
      <c r="BJ1362" s="100"/>
      <c r="BK1362" s="102"/>
    </row>
    <row r="1363" spans="1:63" x14ac:dyDescent="0.25">
      <c r="A1363" s="92"/>
      <c r="B1363" s="92"/>
      <c r="C1363" s="92"/>
      <c r="D1363" s="92"/>
      <c r="E1363" s="92"/>
      <c r="F1363" s="92"/>
      <c r="G1363" s="92"/>
      <c r="H1363" s="92"/>
      <c r="I1363" s="92"/>
      <c r="J1363" s="92"/>
      <c r="K1363" s="92"/>
      <c r="L1363" s="92"/>
      <c r="M1363" s="92"/>
      <c r="N1363" s="92"/>
      <c r="AG1363" s="100"/>
      <c r="AH1363" s="101"/>
      <c r="AI1363" s="101"/>
      <c r="AJ1363" s="100"/>
      <c r="AK1363" s="100"/>
      <c r="AL1363" s="100"/>
      <c r="AM1363" s="100"/>
      <c r="AN1363" s="100"/>
      <c r="AO1363" s="100"/>
      <c r="AP1363" s="100"/>
      <c r="AQ1363" s="100"/>
      <c r="AR1363" s="100"/>
      <c r="AS1363" s="100"/>
      <c r="AT1363" s="102"/>
      <c r="AX1363" s="100"/>
      <c r="AY1363" s="101"/>
      <c r="AZ1363" s="101"/>
      <c r="BA1363" s="100"/>
      <c r="BB1363" s="100"/>
      <c r="BC1363" s="100"/>
      <c r="BD1363" s="100"/>
      <c r="BE1363" s="100"/>
      <c r="BF1363" s="100"/>
      <c r="BG1363" s="100"/>
      <c r="BH1363" s="100"/>
      <c r="BI1363" s="100"/>
      <c r="BJ1363" s="100"/>
      <c r="BK1363" s="102"/>
    </row>
    <row r="1364" spans="1:63" x14ac:dyDescent="0.25">
      <c r="A1364" s="92"/>
      <c r="B1364" s="92"/>
      <c r="C1364" s="92"/>
      <c r="D1364" s="92"/>
      <c r="E1364" s="92"/>
      <c r="F1364" s="92"/>
      <c r="G1364" s="92"/>
      <c r="H1364" s="92"/>
      <c r="I1364" s="92"/>
      <c r="J1364" s="92"/>
      <c r="K1364" s="92"/>
      <c r="L1364" s="92"/>
      <c r="M1364" s="92"/>
      <c r="N1364" s="92"/>
      <c r="AG1364" s="100"/>
      <c r="AH1364" s="101"/>
      <c r="AI1364" s="101"/>
      <c r="AJ1364" s="100"/>
      <c r="AK1364" s="100"/>
      <c r="AL1364" s="100"/>
      <c r="AM1364" s="100"/>
      <c r="AN1364" s="100"/>
      <c r="AO1364" s="100"/>
      <c r="AP1364" s="100"/>
      <c r="AQ1364" s="100"/>
      <c r="AR1364" s="100"/>
      <c r="AS1364" s="100"/>
      <c r="AT1364" s="102"/>
      <c r="AX1364" s="100"/>
      <c r="AY1364" s="101"/>
      <c r="AZ1364" s="101"/>
      <c r="BA1364" s="100"/>
      <c r="BB1364" s="100"/>
      <c r="BC1364" s="100"/>
      <c r="BD1364" s="100"/>
      <c r="BE1364" s="100"/>
      <c r="BF1364" s="100"/>
      <c r="BG1364" s="100"/>
      <c r="BH1364" s="100"/>
      <c r="BI1364" s="100"/>
      <c r="BJ1364" s="100"/>
      <c r="BK1364" s="102"/>
    </row>
    <row r="1365" spans="1:63" x14ac:dyDescent="0.25">
      <c r="A1365" s="92"/>
      <c r="B1365" s="92"/>
      <c r="C1365" s="92"/>
      <c r="D1365" s="92"/>
      <c r="E1365" s="92"/>
      <c r="F1365" s="92"/>
      <c r="G1365" s="92"/>
      <c r="H1365" s="92"/>
      <c r="I1365" s="92"/>
      <c r="J1365" s="92"/>
      <c r="K1365" s="92"/>
      <c r="L1365" s="92"/>
      <c r="M1365" s="92"/>
      <c r="N1365" s="92"/>
      <c r="AG1365" s="100"/>
      <c r="AH1365" s="101"/>
      <c r="AI1365" s="101"/>
      <c r="AJ1365" s="101"/>
      <c r="AK1365" s="100"/>
      <c r="AL1365" s="100"/>
      <c r="AM1365" s="100"/>
      <c r="AN1365" s="100"/>
      <c r="AO1365" s="100"/>
      <c r="AP1365" s="100"/>
      <c r="AQ1365" s="100"/>
      <c r="AR1365" s="100"/>
      <c r="AS1365" s="100"/>
      <c r="AT1365" s="102"/>
      <c r="AX1365" s="100"/>
      <c r="AY1365" s="101"/>
      <c r="AZ1365" s="101"/>
      <c r="BA1365" s="100"/>
      <c r="BB1365" s="100"/>
      <c r="BC1365" s="100"/>
      <c r="BD1365" s="100"/>
      <c r="BE1365" s="100"/>
      <c r="BF1365" s="100"/>
      <c r="BG1365" s="100"/>
      <c r="BH1365" s="100"/>
      <c r="BI1365" s="100"/>
      <c r="BJ1365" s="100"/>
      <c r="BK1365" s="102"/>
    </row>
    <row r="1366" spans="1:63" x14ac:dyDescent="0.25">
      <c r="A1366" s="92"/>
      <c r="B1366" s="93"/>
      <c r="C1366" s="93"/>
      <c r="D1366" s="92"/>
      <c r="E1366" s="92"/>
      <c r="F1366" s="92"/>
      <c r="G1366" s="92"/>
      <c r="H1366" s="92"/>
      <c r="I1366" s="92"/>
      <c r="J1366" s="92"/>
      <c r="K1366" s="92"/>
      <c r="L1366" s="92"/>
      <c r="M1366" s="92"/>
      <c r="N1366" s="94"/>
      <c r="AG1366" s="100"/>
      <c r="AH1366" s="101"/>
      <c r="AI1366" s="101"/>
      <c r="AJ1366" s="101"/>
      <c r="AK1366" s="100"/>
      <c r="AL1366" s="100"/>
      <c r="AM1366" s="100"/>
      <c r="AN1366" s="100"/>
      <c r="AO1366" s="100"/>
      <c r="AP1366" s="100"/>
      <c r="AQ1366" s="100"/>
      <c r="AR1366" s="100"/>
      <c r="AS1366" s="100"/>
      <c r="AT1366" s="102"/>
      <c r="AX1366" s="100"/>
      <c r="AY1366" s="101"/>
      <c r="AZ1366" s="101"/>
      <c r="BA1366" s="100"/>
      <c r="BB1366" s="100"/>
      <c r="BC1366" s="100"/>
      <c r="BD1366" s="100"/>
      <c r="BE1366" s="100"/>
      <c r="BF1366" s="100"/>
      <c r="BG1366" s="100"/>
      <c r="BH1366" s="100"/>
      <c r="BI1366" s="100"/>
      <c r="BJ1366" s="100"/>
      <c r="BK1366" s="102"/>
    </row>
    <row r="1367" spans="1:63" x14ac:dyDescent="0.25">
      <c r="A1367" s="92"/>
      <c r="B1367" s="93"/>
      <c r="C1367" s="93"/>
      <c r="D1367" s="92"/>
      <c r="E1367" s="92"/>
      <c r="F1367" s="92"/>
      <c r="G1367" s="92"/>
      <c r="H1367" s="92"/>
      <c r="I1367" s="92"/>
      <c r="J1367" s="96"/>
      <c r="K1367" s="92"/>
      <c r="L1367" s="92"/>
      <c r="M1367" s="92"/>
      <c r="N1367" s="94"/>
      <c r="AG1367" s="100"/>
      <c r="AH1367" s="101"/>
      <c r="AI1367" s="101"/>
      <c r="AJ1367" s="100"/>
      <c r="AK1367" s="100"/>
      <c r="AL1367" s="100"/>
      <c r="AM1367" s="100"/>
      <c r="AN1367" s="100"/>
      <c r="AO1367" s="100"/>
      <c r="AP1367" s="100"/>
      <c r="AQ1367" s="100"/>
      <c r="AR1367" s="100"/>
      <c r="AS1367" s="100"/>
      <c r="AT1367" s="102"/>
      <c r="AX1367" s="100"/>
      <c r="AY1367" s="101"/>
      <c r="AZ1367" s="101"/>
      <c r="BA1367" s="100"/>
      <c r="BB1367" s="100"/>
      <c r="BC1367" s="100"/>
      <c r="BD1367" s="100"/>
      <c r="BE1367" s="100"/>
      <c r="BF1367" s="100"/>
      <c r="BG1367" s="100"/>
      <c r="BH1367" s="100"/>
      <c r="BI1367" s="100"/>
      <c r="BJ1367" s="100"/>
      <c r="BK1367" s="102"/>
    </row>
    <row r="1368" spans="1:63" x14ac:dyDescent="0.25">
      <c r="A1368" s="92"/>
      <c r="B1368" s="92"/>
      <c r="C1368" s="92"/>
      <c r="D1368" s="92"/>
      <c r="E1368" s="92"/>
      <c r="F1368" s="92"/>
      <c r="G1368" s="92"/>
      <c r="H1368" s="92"/>
      <c r="I1368" s="92"/>
      <c r="J1368" s="92"/>
      <c r="K1368" s="92"/>
      <c r="L1368" s="92"/>
      <c r="M1368" s="92"/>
      <c r="N1368" s="92"/>
      <c r="AG1368" s="100"/>
      <c r="AH1368" s="101"/>
      <c r="AI1368" s="101"/>
      <c r="AJ1368" s="100"/>
      <c r="AK1368" s="100"/>
      <c r="AL1368" s="100"/>
      <c r="AM1368" s="100"/>
      <c r="AN1368" s="100"/>
      <c r="AO1368" s="100"/>
      <c r="AP1368" s="100"/>
      <c r="AQ1368" s="100"/>
      <c r="AR1368" s="100"/>
      <c r="AS1368" s="100"/>
      <c r="AT1368" s="102"/>
      <c r="AX1368" s="100"/>
      <c r="AY1368" s="101"/>
      <c r="AZ1368" s="101"/>
      <c r="BA1368" s="100"/>
      <c r="BB1368" s="100"/>
      <c r="BC1368" s="100"/>
      <c r="BD1368" s="100"/>
      <c r="BE1368" s="100"/>
      <c r="BF1368" s="100"/>
      <c r="BG1368" s="100"/>
      <c r="BH1368" s="100"/>
      <c r="BI1368" s="100"/>
      <c r="BJ1368" s="100"/>
      <c r="BK1368" s="102"/>
    </row>
    <row r="1369" spans="1:63" x14ac:dyDescent="0.25">
      <c r="A1369" s="92"/>
      <c r="B1369" s="93"/>
      <c r="C1369" s="93"/>
      <c r="D1369" s="92"/>
      <c r="E1369" s="92"/>
      <c r="F1369" s="92"/>
      <c r="G1369" s="92"/>
      <c r="H1369" s="92"/>
      <c r="I1369" s="92"/>
      <c r="J1369" s="92"/>
      <c r="K1369" s="92"/>
      <c r="L1369" s="92"/>
      <c r="M1369" s="92"/>
      <c r="N1369" s="94"/>
      <c r="AG1369" s="100"/>
      <c r="AH1369" s="101"/>
      <c r="AI1369" s="101"/>
      <c r="AJ1369" s="100"/>
      <c r="AK1369" s="100"/>
      <c r="AL1369" s="100"/>
      <c r="AM1369" s="100"/>
      <c r="AN1369" s="100"/>
      <c r="AO1369" s="100"/>
      <c r="AP1369" s="100"/>
      <c r="AQ1369" s="100"/>
      <c r="AR1369" s="100"/>
      <c r="AS1369" s="100"/>
      <c r="AT1369" s="102"/>
      <c r="AX1369" s="100"/>
      <c r="AY1369" s="101"/>
      <c r="AZ1369" s="101"/>
      <c r="BA1369" s="100"/>
      <c r="BB1369" s="100"/>
      <c r="BC1369" s="100"/>
      <c r="BD1369" s="100"/>
      <c r="BE1369" s="100"/>
      <c r="BF1369" s="100"/>
      <c r="BG1369" s="100"/>
      <c r="BH1369" s="100"/>
      <c r="BI1369" s="100"/>
      <c r="BJ1369" s="100"/>
      <c r="BK1369" s="102"/>
    </row>
    <row r="1370" spans="1:63" x14ac:dyDescent="0.25">
      <c r="A1370" s="92"/>
      <c r="B1370" s="92"/>
      <c r="C1370" s="92"/>
      <c r="D1370" s="92"/>
      <c r="E1370" s="92"/>
      <c r="F1370" s="92"/>
      <c r="G1370" s="92"/>
      <c r="H1370" s="92"/>
      <c r="I1370" s="92"/>
      <c r="J1370" s="92"/>
      <c r="K1370" s="92"/>
      <c r="L1370" s="92"/>
      <c r="M1370" s="92"/>
      <c r="N1370" s="92"/>
      <c r="AG1370" s="100"/>
      <c r="AH1370" s="101"/>
      <c r="AI1370" s="101"/>
      <c r="AJ1370" s="100"/>
      <c r="AK1370" s="100"/>
      <c r="AL1370" s="100"/>
      <c r="AM1370" s="100"/>
      <c r="AN1370" s="100"/>
      <c r="AO1370" s="100"/>
      <c r="AP1370" s="100"/>
      <c r="AQ1370" s="100"/>
      <c r="AR1370" s="100"/>
      <c r="AS1370" s="100"/>
      <c r="AT1370" s="102"/>
      <c r="AX1370" s="100"/>
      <c r="AY1370" s="101"/>
      <c r="AZ1370" s="101"/>
      <c r="BA1370" s="100"/>
      <c r="BB1370" s="100"/>
      <c r="BC1370" s="100"/>
      <c r="BD1370" s="100"/>
      <c r="BE1370" s="100"/>
      <c r="BF1370" s="100"/>
      <c r="BG1370" s="100"/>
      <c r="BH1370" s="100"/>
      <c r="BI1370" s="100"/>
      <c r="BJ1370" s="100"/>
      <c r="BK1370" s="102"/>
    </row>
    <row r="1371" spans="1:63" x14ac:dyDescent="0.25">
      <c r="A1371" s="92"/>
      <c r="B1371" s="92"/>
      <c r="C1371" s="92"/>
      <c r="D1371" s="92"/>
      <c r="E1371" s="92"/>
      <c r="F1371" s="92"/>
      <c r="G1371" s="92"/>
      <c r="H1371" s="92"/>
      <c r="I1371" s="92"/>
      <c r="J1371" s="92"/>
      <c r="K1371" s="92"/>
      <c r="L1371" s="92"/>
      <c r="M1371" s="92"/>
      <c r="N1371" s="92"/>
      <c r="AG1371" s="100"/>
      <c r="AH1371" s="101"/>
      <c r="AI1371" s="101"/>
      <c r="AJ1371" s="100"/>
      <c r="AK1371" s="100"/>
      <c r="AL1371" s="100"/>
      <c r="AM1371" s="100"/>
      <c r="AN1371" s="100"/>
      <c r="AO1371" s="100"/>
      <c r="AP1371" s="100"/>
      <c r="AQ1371" s="100"/>
      <c r="AR1371" s="100"/>
      <c r="AS1371" s="100"/>
      <c r="AT1371" s="102"/>
      <c r="AX1371" s="100"/>
      <c r="AY1371" s="101"/>
      <c r="AZ1371" s="101"/>
      <c r="BA1371" s="100"/>
      <c r="BB1371" s="100"/>
      <c r="BC1371" s="100"/>
      <c r="BD1371" s="100"/>
      <c r="BE1371" s="100"/>
      <c r="BF1371" s="100"/>
      <c r="BG1371" s="100"/>
      <c r="BH1371" s="100"/>
      <c r="BI1371" s="100"/>
      <c r="BJ1371" s="100"/>
      <c r="BK1371" s="102"/>
    </row>
    <row r="1372" spans="1:63" x14ac:dyDescent="0.25">
      <c r="A1372" s="92"/>
      <c r="B1372" s="92"/>
      <c r="C1372" s="92"/>
      <c r="D1372" s="92"/>
      <c r="E1372" s="92"/>
      <c r="F1372" s="92"/>
      <c r="G1372" s="92"/>
      <c r="H1372" s="92"/>
      <c r="I1372" s="92"/>
      <c r="J1372" s="92"/>
      <c r="K1372" s="92"/>
      <c r="L1372" s="92"/>
      <c r="M1372" s="92"/>
      <c r="N1372" s="92"/>
      <c r="AG1372" s="100"/>
      <c r="AH1372" s="101"/>
      <c r="AI1372" s="101"/>
      <c r="AJ1372" s="100"/>
      <c r="AK1372" s="100"/>
      <c r="AL1372" s="100"/>
      <c r="AM1372" s="100"/>
      <c r="AN1372" s="100"/>
      <c r="AO1372" s="100"/>
      <c r="AP1372" s="100"/>
      <c r="AQ1372" s="100"/>
      <c r="AR1372" s="100"/>
      <c r="AS1372" s="100"/>
      <c r="AT1372" s="102"/>
      <c r="AX1372" s="100"/>
      <c r="AY1372" s="101"/>
      <c r="AZ1372" s="101"/>
      <c r="BA1372" s="100"/>
      <c r="BB1372" s="100"/>
      <c r="BC1372" s="100"/>
      <c r="BD1372" s="100"/>
      <c r="BE1372" s="100"/>
      <c r="BF1372" s="100"/>
      <c r="BG1372" s="100"/>
      <c r="BH1372" s="100"/>
      <c r="BI1372" s="100"/>
      <c r="BJ1372" s="100"/>
      <c r="BK1372" s="102"/>
    </row>
    <row r="1373" spans="1:63" x14ac:dyDescent="0.25">
      <c r="A1373" s="92"/>
      <c r="B1373" s="92"/>
      <c r="C1373" s="92"/>
      <c r="D1373" s="92"/>
      <c r="E1373" s="92"/>
      <c r="F1373" s="92"/>
      <c r="G1373" s="92"/>
      <c r="H1373" s="92"/>
      <c r="I1373" s="92"/>
      <c r="J1373" s="92"/>
      <c r="K1373" s="92"/>
      <c r="L1373" s="92"/>
      <c r="M1373" s="92"/>
      <c r="N1373" s="92"/>
      <c r="AG1373" s="100"/>
      <c r="AH1373" s="101"/>
      <c r="AI1373" s="101"/>
      <c r="AJ1373" s="100"/>
      <c r="AK1373" s="100"/>
      <c r="AL1373" s="100"/>
      <c r="AM1373" s="100"/>
      <c r="AN1373" s="100"/>
      <c r="AO1373" s="100"/>
      <c r="AP1373" s="100"/>
      <c r="AQ1373" s="100"/>
      <c r="AR1373" s="100"/>
      <c r="AS1373" s="100"/>
      <c r="AT1373" s="102"/>
      <c r="AX1373" s="100"/>
      <c r="AY1373" s="101"/>
      <c r="AZ1373" s="101"/>
      <c r="BA1373" s="100"/>
      <c r="BB1373" s="100"/>
      <c r="BC1373" s="100"/>
      <c r="BD1373" s="100"/>
      <c r="BE1373" s="100"/>
      <c r="BF1373" s="100"/>
      <c r="BG1373" s="100"/>
      <c r="BH1373" s="100"/>
      <c r="BI1373" s="100"/>
      <c r="BJ1373" s="100"/>
      <c r="BK1373" s="102"/>
    </row>
    <row r="1374" spans="1:63" x14ac:dyDescent="0.25">
      <c r="A1374" s="92"/>
      <c r="B1374" s="92"/>
      <c r="C1374" s="92"/>
      <c r="D1374" s="92"/>
      <c r="E1374" s="92"/>
      <c r="F1374" s="92"/>
      <c r="G1374" s="92"/>
      <c r="H1374" s="92"/>
      <c r="I1374" s="92"/>
      <c r="J1374" s="92"/>
      <c r="K1374" s="92"/>
      <c r="L1374" s="92"/>
      <c r="M1374" s="92"/>
      <c r="N1374" s="92"/>
      <c r="AG1374" s="100"/>
      <c r="AH1374" s="101"/>
      <c r="AI1374" s="101"/>
      <c r="AJ1374" s="100"/>
      <c r="AK1374" s="100"/>
      <c r="AL1374" s="100"/>
      <c r="AM1374" s="100"/>
      <c r="AN1374" s="100"/>
      <c r="AO1374" s="100"/>
      <c r="AP1374" s="100"/>
      <c r="AQ1374" s="100"/>
      <c r="AR1374" s="100"/>
      <c r="AS1374" s="100"/>
      <c r="AT1374" s="102"/>
      <c r="AX1374" s="100"/>
      <c r="AY1374" s="101"/>
      <c r="AZ1374" s="101"/>
      <c r="BA1374" s="100"/>
      <c r="BB1374" s="100"/>
      <c r="BC1374" s="100"/>
      <c r="BD1374" s="100"/>
      <c r="BE1374" s="100"/>
      <c r="BF1374" s="100"/>
      <c r="BG1374" s="100"/>
      <c r="BH1374" s="100"/>
      <c r="BI1374" s="100"/>
      <c r="BJ1374" s="100"/>
      <c r="BK1374" s="102"/>
    </row>
    <row r="1375" spans="1:63" x14ac:dyDescent="0.25">
      <c r="A1375" s="92"/>
      <c r="B1375" s="92"/>
      <c r="C1375" s="92"/>
      <c r="D1375" s="92"/>
      <c r="E1375" s="92"/>
      <c r="F1375" s="92"/>
      <c r="G1375" s="92"/>
      <c r="H1375" s="92"/>
      <c r="I1375" s="92"/>
      <c r="J1375" s="92"/>
      <c r="K1375" s="92"/>
      <c r="L1375" s="92"/>
      <c r="M1375" s="92"/>
      <c r="N1375" s="92"/>
      <c r="AG1375" s="100"/>
      <c r="AH1375" s="101"/>
      <c r="AI1375" s="101"/>
      <c r="AJ1375" s="100"/>
      <c r="AK1375" s="100"/>
      <c r="AL1375" s="100"/>
      <c r="AM1375" s="100"/>
      <c r="AN1375" s="100"/>
      <c r="AO1375" s="100"/>
      <c r="AP1375" s="100"/>
      <c r="AQ1375" s="100"/>
      <c r="AR1375" s="100"/>
      <c r="AS1375" s="100"/>
      <c r="AT1375" s="102"/>
      <c r="AX1375" s="100"/>
      <c r="AY1375" s="101"/>
      <c r="AZ1375" s="101"/>
      <c r="BA1375" s="100"/>
      <c r="BB1375" s="100"/>
      <c r="BC1375" s="100"/>
      <c r="BD1375" s="100"/>
      <c r="BE1375" s="100"/>
      <c r="BF1375" s="100"/>
      <c r="BG1375" s="100"/>
      <c r="BH1375" s="100"/>
      <c r="BI1375" s="100"/>
      <c r="BJ1375" s="100"/>
      <c r="BK1375" s="102"/>
    </row>
    <row r="1376" spans="1:63" x14ac:dyDescent="0.25">
      <c r="A1376" s="92"/>
      <c r="B1376" s="92"/>
      <c r="C1376" s="92"/>
      <c r="D1376" s="92"/>
      <c r="E1376" s="92"/>
      <c r="F1376" s="92"/>
      <c r="G1376" s="92"/>
      <c r="H1376" s="92"/>
      <c r="I1376" s="92"/>
      <c r="J1376" s="92"/>
      <c r="K1376" s="92"/>
      <c r="L1376" s="92"/>
      <c r="M1376" s="92"/>
      <c r="N1376" s="92"/>
      <c r="AG1376" s="100"/>
      <c r="AH1376" s="101"/>
      <c r="AI1376" s="101"/>
      <c r="AJ1376" s="101"/>
      <c r="AK1376" s="100"/>
      <c r="AL1376" s="100"/>
      <c r="AM1376" s="100"/>
      <c r="AN1376" s="100"/>
      <c r="AO1376" s="100"/>
      <c r="AP1376" s="100"/>
      <c r="AQ1376" s="100"/>
      <c r="AR1376" s="100"/>
      <c r="AS1376" s="100"/>
      <c r="AT1376" s="102"/>
      <c r="AX1376" s="100"/>
      <c r="AY1376" s="101"/>
      <c r="AZ1376" s="101"/>
      <c r="BA1376" s="100"/>
      <c r="BB1376" s="100"/>
      <c r="BC1376" s="100"/>
      <c r="BD1376" s="100"/>
      <c r="BE1376" s="100"/>
      <c r="BF1376" s="100"/>
      <c r="BG1376" s="100"/>
      <c r="BH1376" s="100"/>
      <c r="BI1376" s="100"/>
      <c r="BJ1376" s="100"/>
      <c r="BK1376" s="102"/>
    </row>
    <row r="1377" spans="1:63" x14ac:dyDescent="0.25">
      <c r="A1377" s="92"/>
      <c r="B1377" s="92"/>
      <c r="C1377" s="92"/>
      <c r="D1377" s="92"/>
      <c r="E1377" s="92"/>
      <c r="F1377" s="92"/>
      <c r="G1377" s="92"/>
      <c r="H1377" s="92"/>
      <c r="I1377" s="92"/>
      <c r="J1377" s="92"/>
      <c r="K1377" s="92"/>
      <c r="L1377" s="92"/>
      <c r="M1377" s="92"/>
      <c r="N1377" s="92"/>
      <c r="AG1377" s="100"/>
      <c r="AH1377" s="101"/>
      <c r="AI1377" s="101"/>
      <c r="AJ1377" s="100"/>
      <c r="AK1377" s="100"/>
      <c r="AL1377" s="100"/>
      <c r="AM1377" s="100"/>
      <c r="AN1377" s="100"/>
      <c r="AO1377" s="100"/>
      <c r="AP1377" s="100"/>
      <c r="AQ1377" s="100"/>
      <c r="AR1377" s="100"/>
      <c r="AS1377" s="100"/>
      <c r="AT1377" s="102"/>
      <c r="AX1377" s="100"/>
      <c r="AY1377" s="101"/>
      <c r="AZ1377" s="101"/>
      <c r="BA1377" s="100"/>
      <c r="BB1377" s="100"/>
      <c r="BC1377" s="100"/>
      <c r="BD1377" s="100"/>
      <c r="BE1377" s="100"/>
      <c r="BF1377" s="100"/>
      <c r="BG1377" s="100"/>
      <c r="BH1377" s="100"/>
      <c r="BI1377" s="100"/>
      <c r="BJ1377" s="100"/>
      <c r="BK1377" s="102"/>
    </row>
    <row r="1378" spans="1:63" x14ac:dyDescent="0.25">
      <c r="A1378" s="92"/>
      <c r="B1378" s="92"/>
      <c r="C1378" s="92"/>
      <c r="D1378" s="92"/>
      <c r="E1378" s="92"/>
      <c r="F1378" s="92"/>
      <c r="G1378" s="92"/>
      <c r="H1378" s="92"/>
      <c r="I1378" s="92"/>
      <c r="J1378" s="92"/>
      <c r="K1378" s="92"/>
      <c r="L1378" s="92"/>
      <c r="M1378" s="92"/>
      <c r="N1378" s="92"/>
      <c r="AG1378" s="100"/>
      <c r="AH1378" s="101"/>
      <c r="AI1378" s="101"/>
      <c r="AJ1378" s="100"/>
      <c r="AK1378" s="100"/>
      <c r="AL1378" s="100"/>
      <c r="AM1378" s="100"/>
      <c r="AN1378" s="100"/>
      <c r="AO1378" s="100"/>
      <c r="AP1378" s="100"/>
      <c r="AQ1378" s="100"/>
      <c r="AR1378" s="100"/>
      <c r="AS1378" s="100"/>
      <c r="AT1378" s="102"/>
      <c r="AX1378" s="100"/>
      <c r="AY1378" s="101"/>
      <c r="AZ1378" s="101"/>
      <c r="BA1378" s="101"/>
      <c r="BB1378" s="100"/>
      <c r="BC1378" s="100"/>
      <c r="BD1378" s="100"/>
      <c r="BE1378" s="100"/>
      <c r="BF1378" s="100"/>
      <c r="BG1378" s="100"/>
      <c r="BH1378" s="100"/>
      <c r="BI1378" s="100"/>
      <c r="BJ1378" s="100"/>
      <c r="BK1378" s="102"/>
    </row>
    <row r="1379" spans="1:63" x14ac:dyDescent="0.25">
      <c r="A1379" s="92"/>
      <c r="B1379" s="93"/>
      <c r="C1379" s="93"/>
      <c r="D1379" s="92"/>
      <c r="E1379" s="92"/>
      <c r="F1379" s="92"/>
      <c r="G1379" s="92"/>
      <c r="H1379" s="92"/>
      <c r="I1379" s="92"/>
      <c r="J1379" s="92"/>
      <c r="K1379" s="92"/>
      <c r="L1379" s="92"/>
      <c r="M1379" s="92"/>
      <c r="N1379" s="94"/>
      <c r="AG1379" s="100"/>
      <c r="AH1379" s="101"/>
      <c r="AI1379" s="101"/>
      <c r="AJ1379" s="100"/>
      <c r="AK1379" s="100"/>
      <c r="AL1379" s="100"/>
      <c r="AM1379" s="100"/>
      <c r="AN1379" s="100"/>
      <c r="AO1379" s="100"/>
      <c r="AP1379" s="100"/>
      <c r="AQ1379" s="100"/>
      <c r="AR1379" s="100"/>
      <c r="AS1379" s="100"/>
      <c r="AT1379" s="102"/>
      <c r="AX1379" s="100"/>
      <c r="AY1379" s="101"/>
      <c r="AZ1379" s="101"/>
      <c r="BA1379" s="100"/>
      <c r="BB1379" s="100"/>
      <c r="BC1379" s="100"/>
      <c r="BD1379" s="100"/>
      <c r="BE1379" s="100"/>
      <c r="BF1379" s="100"/>
      <c r="BG1379" s="100"/>
      <c r="BH1379" s="100"/>
      <c r="BI1379" s="100"/>
      <c r="BJ1379" s="100"/>
      <c r="BK1379" s="102"/>
    </row>
    <row r="1380" spans="1:63" x14ac:dyDescent="0.25">
      <c r="A1380" s="92"/>
      <c r="B1380" s="93"/>
      <c r="C1380" s="93"/>
      <c r="D1380" s="93"/>
      <c r="E1380" s="92"/>
      <c r="F1380" s="92"/>
      <c r="G1380" s="92"/>
      <c r="H1380" s="92"/>
      <c r="I1380" s="92"/>
      <c r="J1380" s="92"/>
      <c r="K1380" s="92"/>
      <c r="L1380" s="92"/>
      <c r="M1380" s="92"/>
      <c r="N1380" s="94"/>
      <c r="AG1380" s="100"/>
      <c r="AH1380" s="101"/>
      <c r="AI1380" s="101"/>
      <c r="AJ1380" s="100"/>
      <c r="AK1380" s="100"/>
      <c r="AL1380" s="100"/>
      <c r="AM1380" s="100"/>
      <c r="AN1380" s="100"/>
      <c r="AO1380" s="100"/>
      <c r="AP1380" s="100"/>
      <c r="AQ1380" s="100"/>
      <c r="AR1380" s="100"/>
      <c r="AS1380" s="100"/>
      <c r="AT1380" s="102"/>
      <c r="AX1380" s="100"/>
      <c r="AY1380" s="101"/>
      <c r="AZ1380" s="101"/>
      <c r="BA1380" s="100"/>
      <c r="BB1380" s="100"/>
      <c r="BC1380" s="100"/>
      <c r="BD1380" s="100"/>
      <c r="BE1380" s="100"/>
      <c r="BF1380" s="100"/>
      <c r="BG1380" s="100"/>
      <c r="BH1380" s="100"/>
      <c r="BI1380" s="100"/>
      <c r="BJ1380" s="100"/>
      <c r="BK1380" s="102"/>
    </row>
    <row r="1381" spans="1:63" x14ac:dyDescent="0.25">
      <c r="A1381" s="92"/>
      <c r="B1381" s="93"/>
      <c r="C1381" s="93"/>
      <c r="D1381" s="92"/>
      <c r="E1381" s="92"/>
      <c r="F1381" s="92"/>
      <c r="G1381" s="92"/>
      <c r="H1381" s="92"/>
      <c r="I1381" s="92"/>
      <c r="J1381" s="96"/>
      <c r="K1381" s="92"/>
      <c r="L1381" s="92"/>
      <c r="M1381" s="92"/>
      <c r="N1381" s="94"/>
      <c r="AG1381" s="100"/>
      <c r="AH1381" s="101"/>
      <c r="AI1381" s="101"/>
      <c r="AJ1381" s="100"/>
      <c r="AK1381" s="100"/>
      <c r="AL1381" s="100"/>
      <c r="AM1381" s="100"/>
      <c r="AN1381" s="100"/>
      <c r="AO1381" s="100"/>
      <c r="AP1381" s="100"/>
      <c r="AQ1381" s="100"/>
      <c r="AR1381" s="100"/>
      <c r="AS1381" s="100"/>
      <c r="AT1381" s="102"/>
      <c r="AX1381" s="100"/>
      <c r="AY1381" s="101"/>
      <c r="AZ1381" s="101"/>
      <c r="BA1381" s="100"/>
      <c r="BB1381" s="100"/>
      <c r="BC1381" s="100"/>
      <c r="BD1381" s="100"/>
      <c r="BE1381" s="100"/>
      <c r="BF1381" s="100"/>
      <c r="BG1381" s="100"/>
      <c r="BH1381" s="100"/>
      <c r="BI1381" s="100"/>
      <c r="BJ1381" s="100"/>
      <c r="BK1381" s="102"/>
    </row>
    <row r="1382" spans="1:63" x14ac:dyDescent="0.25">
      <c r="A1382" s="92"/>
      <c r="B1382" s="92"/>
      <c r="C1382" s="92"/>
      <c r="D1382" s="92"/>
      <c r="E1382" s="92"/>
      <c r="F1382" s="92"/>
      <c r="G1382" s="92"/>
      <c r="H1382" s="92"/>
      <c r="I1382" s="92"/>
      <c r="J1382" s="92"/>
      <c r="K1382" s="92"/>
      <c r="L1382" s="92"/>
      <c r="M1382" s="92"/>
      <c r="N1382" s="92"/>
      <c r="AG1382" s="100"/>
      <c r="AH1382" s="101"/>
      <c r="AI1382" s="101"/>
      <c r="AJ1382" s="100"/>
      <c r="AK1382" s="100"/>
      <c r="AL1382" s="100"/>
      <c r="AM1382" s="100"/>
      <c r="AN1382" s="100"/>
      <c r="AO1382" s="100"/>
      <c r="AP1382" s="100"/>
      <c r="AQ1382" s="100"/>
      <c r="AR1382" s="100"/>
      <c r="AS1382" s="100"/>
      <c r="AT1382" s="102"/>
      <c r="AX1382" s="100"/>
      <c r="AY1382" s="101"/>
      <c r="AZ1382" s="101"/>
      <c r="BA1382" s="100"/>
      <c r="BB1382" s="100"/>
      <c r="BC1382" s="100"/>
      <c r="BD1382" s="100"/>
      <c r="BE1382" s="100"/>
      <c r="BF1382" s="100"/>
      <c r="BG1382" s="100"/>
      <c r="BH1382" s="100"/>
      <c r="BI1382" s="100"/>
      <c r="BJ1382" s="100"/>
      <c r="BK1382" s="102"/>
    </row>
    <row r="1383" spans="1:63" x14ac:dyDescent="0.25">
      <c r="A1383" s="92"/>
      <c r="B1383" s="92"/>
      <c r="C1383" s="92"/>
      <c r="D1383" s="92"/>
      <c r="E1383" s="92"/>
      <c r="F1383" s="92"/>
      <c r="G1383" s="92"/>
      <c r="H1383" s="92"/>
      <c r="I1383" s="92"/>
      <c r="J1383" s="92"/>
      <c r="K1383" s="92"/>
      <c r="L1383" s="92"/>
      <c r="M1383" s="92"/>
      <c r="N1383" s="92"/>
      <c r="AG1383" s="100"/>
      <c r="AH1383" s="101"/>
      <c r="AI1383" s="101"/>
      <c r="AJ1383" s="100"/>
      <c r="AK1383" s="100"/>
      <c r="AL1383" s="100"/>
      <c r="AM1383" s="100"/>
      <c r="AN1383" s="100"/>
      <c r="AO1383" s="100"/>
      <c r="AP1383" s="100"/>
      <c r="AQ1383" s="100"/>
      <c r="AR1383" s="100"/>
      <c r="AS1383" s="100"/>
      <c r="AT1383" s="102"/>
      <c r="AX1383" s="100"/>
      <c r="AY1383" s="101"/>
      <c r="AZ1383" s="101"/>
      <c r="BA1383" s="100"/>
      <c r="BB1383" s="100"/>
      <c r="BC1383" s="100"/>
      <c r="BD1383" s="100"/>
      <c r="BE1383" s="100"/>
      <c r="BF1383" s="100"/>
      <c r="BG1383" s="100"/>
      <c r="BH1383" s="100"/>
      <c r="BI1383" s="100"/>
      <c r="BJ1383" s="100"/>
      <c r="BK1383" s="102"/>
    </row>
    <row r="1384" spans="1:63" x14ac:dyDescent="0.25">
      <c r="A1384" s="92"/>
      <c r="B1384" s="92"/>
      <c r="C1384" s="92"/>
      <c r="D1384" s="92"/>
      <c r="E1384" s="92"/>
      <c r="F1384" s="92"/>
      <c r="G1384" s="92"/>
      <c r="H1384" s="92"/>
      <c r="I1384" s="92"/>
      <c r="J1384" s="92"/>
      <c r="K1384" s="92"/>
      <c r="L1384" s="92"/>
      <c r="M1384" s="92"/>
      <c r="N1384" s="92"/>
      <c r="AG1384" s="100"/>
      <c r="AH1384" s="101"/>
      <c r="AI1384" s="101"/>
      <c r="AJ1384" s="100"/>
      <c r="AK1384" s="100"/>
      <c r="AL1384" s="100"/>
      <c r="AM1384" s="100"/>
      <c r="AN1384" s="100"/>
      <c r="AO1384" s="100"/>
      <c r="AP1384" s="100"/>
      <c r="AQ1384" s="100"/>
      <c r="AR1384" s="100"/>
      <c r="AS1384" s="100"/>
      <c r="AT1384" s="102"/>
      <c r="AX1384" s="100"/>
      <c r="AY1384" s="101"/>
      <c r="AZ1384" s="101"/>
      <c r="BA1384" s="100"/>
      <c r="BB1384" s="100"/>
      <c r="BC1384" s="100"/>
      <c r="BD1384" s="100"/>
      <c r="BE1384" s="100"/>
      <c r="BF1384" s="100"/>
      <c r="BG1384" s="100"/>
      <c r="BH1384" s="100"/>
      <c r="BI1384" s="100"/>
      <c r="BJ1384" s="100"/>
      <c r="BK1384" s="102"/>
    </row>
    <row r="1385" spans="1:63" x14ac:dyDescent="0.25">
      <c r="A1385" s="92"/>
      <c r="B1385" s="92"/>
      <c r="C1385" s="92"/>
      <c r="D1385" s="92"/>
      <c r="E1385" s="92"/>
      <c r="F1385" s="92"/>
      <c r="G1385" s="92"/>
      <c r="H1385" s="92"/>
      <c r="I1385" s="92"/>
      <c r="J1385" s="92"/>
      <c r="K1385" s="92"/>
      <c r="L1385" s="92"/>
      <c r="M1385" s="92"/>
      <c r="N1385" s="92"/>
      <c r="AG1385" s="100"/>
      <c r="AH1385" s="101"/>
      <c r="AI1385" s="101"/>
      <c r="AJ1385" s="100"/>
      <c r="AK1385" s="100"/>
      <c r="AL1385" s="100"/>
      <c r="AM1385" s="100"/>
      <c r="AN1385" s="100"/>
      <c r="AO1385" s="100"/>
      <c r="AP1385" s="100"/>
      <c r="AQ1385" s="100"/>
      <c r="AR1385" s="100"/>
      <c r="AS1385" s="100"/>
      <c r="AT1385" s="102"/>
      <c r="AX1385" s="100"/>
      <c r="AY1385" s="101"/>
      <c r="AZ1385" s="101"/>
      <c r="BA1385" s="101"/>
      <c r="BB1385" s="100"/>
      <c r="BC1385" s="100"/>
      <c r="BD1385" s="100"/>
      <c r="BE1385" s="100"/>
      <c r="BF1385" s="100"/>
      <c r="BG1385" s="100"/>
      <c r="BH1385" s="100"/>
      <c r="BI1385" s="100"/>
      <c r="BJ1385" s="100"/>
      <c r="BK1385" s="102"/>
    </row>
    <row r="1386" spans="1:63" x14ac:dyDescent="0.25">
      <c r="A1386" s="92"/>
      <c r="B1386" s="92"/>
      <c r="C1386" s="92"/>
      <c r="D1386" s="92"/>
      <c r="E1386" s="92"/>
      <c r="F1386" s="92"/>
      <c r="G1386" s="92"/>
      <c r="H1386" s="92"/>
      <c r="I1386" s="92"/>
      <c r="J1386" s="92"/>
      <c r="K1386" s="92"/>
      <c r="L1386" s="92"/>
      <c r="M1386" s="92"/>
      <c r="N1386" s="92"/>
      <c r="AG1386" s="100"/>
      <c r="AH1386" s="101"/>
      <c r="AI1386" s="101"/>
      <c r="AJ1386" s="100"/>
      <c r="AK1386" s="100"/>
      <c r="AL1386" s="100"/>
      <c r="AM1386" s="100"/>
      <c r="AN1386" s="100"/>
      <c r="AO1386" s="100"/>
      <c r="AP1386" s="100"/>
      <c r="AQ1386" s="100"/>
      <c r="AR1386" s="100"/>
      <c r="AS1386" s="100"/>
      <c r="AT1386" s="102"/>
      <c r="AX1386" s="100"/>
      <c r="AY1386" s="101"/>
      <c r="AZ1386" s="101"/>
      <c r="BA1386" s="101"/>
      <c r="BB1386" s="100"/>
      <c r="BC1386" s="100"/>
      <c r="BD1386" s="100"/>
      <c r="BE1386" s="100"/>
      <c r="BF1386" s="100"/>
      <c r="BG1386" s="100"/>
      <c r="BH1386" s="100"/>
      <c r="BI1386" s="100"/>
      <c r="BJ1386" s="100"/>
      <c r="BK1386" s="102"/>
    </row>
    <row r="1387" spans="1:63" x14ac:dyDescent="0.25">
      <c r="A1387" s="92"/>
      <c r="B1387" s="92"/>
      <c r="C1387" s="92"/>
      <c r="D1387" s="92"/>
      <c r="E1387" s="92"/>
      <c r="F1387" s="92"/>
      <c r="G1387" s="92"/>
      <c r="H1387" s="92"/>
      <c r="I1387" s="92"/>
      <c r="J1387" s="92"/>
      <c r="K1387" s="92"/>
      <c r="L1387" s="92"/>
      <c r="M1387" s="92"/>
      <c r="N1387" s="92"/>
      <c r="AG1387" s="100"/>
      <c r="AH1387" s="101"/>
      <c r="AI1387" s="101"/>
      <c r="AJ1387" s="100"/>
      <c r="AK1387" s="100"/>
      <c r="AL1387" s="100"/>
      <c r="AM1387" s="100"/>
      <c r="AN1387" s="100"/>
      <c r="AO1387" s="100"/>
      <c r="AP1387" s="100"/>
      <c r="AQ1387" s="100"/>
      <c r="AR1387" s="100"/>
      <c r="AS1387" s="100"/>
      <c r="AT1387" s="102"/>
      <c r="AX1387" s="100"/>
      <c r="AY1387" s="101"/>
      <c r="AZ1387" s="101"/>
      <c r="BA1387" s="100"/>
      <c r="BB1387" s="100"/>
      <c r="BC1387" s="100"/>
      <c r="BD1387" s="100"/>
      <c r="BE1387" s="100"/>
      <c r="BF1387" s="100"/>
      <c r="BG1387" s="100"/>
      <c r="BH1387" s="100"/>
      <c r="BI1387" s="100"/>
      <c r="BJ1387" s="100"/>
      <c r="BK1387" s="102"/>
    </row>
    <row r="1388" spans="1:63" x14ac:dyDescent="0.25">
      <c r="A1388" s="92"/>
      <c r="B1388" s="92"/>
      <c r="C1388" s="92"/>
      <c r="D1388" s="92"/>
      <c r="E1388" s="92"/>
      <c r="F1388" s="92"/>
      <c r="G1388" s="92"/>
      <c r="H1388" s="92"/>
      <c r="I1388" s="92"/>
      <c r="J1388" s="92"/>
      <c r="K1388" s="92"/>
      <c r="L1388" s="92"/>
      <c r="M1388" s="92"/>
      <c r="N1388" s="92"/>
      <c r="AG1388" s="100"/>
      <c r="AH1388" s="101"/>
      <c r="AI1388" s="101"/>
      <c r="AJ1388" s="100"/>
      <c r="AK1388" s="100"/>
      <c r="AL1388" s="100"/>
      <c r="AM1388" s="100"/>
      <c r="AN1388" s="100"/>
      <c r="AO1388" s="100"/>
      <c r="AP1388" s="100"/>
      <c r="AQ1388" s="100"/>
      <c r="AR1388" s="100"/>
      <c r="AS1388" s="100"/>
      <c r="AT1388" s="102"/>
      <c r="AX1388" s="100"/>
      <c r="AY1388" s="101"/>
      <c r="AZ1388" s="101"/>
      <c r="BA1388" s="100"/>
      <c r="BB1388" s="100"/>
      <c r="BC1388" s="100"/>
      <c r="BD1388" s="100"/>
      <c r="BE1388" s="100"/>
      <c r="BF1388" s="100"/>
      <c r="BG1388" s="100"/>
      <c r="BH1388" s="100"/>
      <c r="BI1388" s="100"/>
      <c r="BJ1388" s="100"/>
      <c r="BK1388" s="102"/>
    </row>
    <row r="1389" spans="1:63" x14ac:dyDescent="0.25">
      <c r="A1389" s="92"/>
      <c r="B1389" s="92"/>
      <c r="C1389" s="92"/>
      <c r="D1389" s="92"/>
      <c r="E1389" s="92"/>
      <c r="F1389" s="92"/>
      <c r="G1389" s="92"/>
      <c r="H1389" s="92"/>
      <c r="I1389" s="92"/>
      <c r="J1389" s="92"/>
      <c r="K1389" s="92"/>
      <c r="L1389" s="92"/>
      <c r="M1389" s="92"/>
      <c r="N1389" s="92"/>
      <c r="AG1389" s="100"/>
      <c r="AH1389" s="101"/>
      <c r="AI1389" s="101"/>
      <c r="AJ1389" s="100"/>
      <c r="AK1389" s="100"/>
      <c r="AL1389" s="100"/>
      <c r="AM1389" s="100"/>
      <c r="AN1389" s="100"/>
      <c r="AO1389" s="100"/>
      <c r="AP1389" s="100"/>
      <c r="AQ1389" s="100"/>
      <c r="AR1389" s="100"/>
      <c r="AS1389" s="100"/>
      <c r="AT1389" s="102"/>
      <c r="AX1389" s="100"/>
      <c r="AY1389" s="101"/>
      <c r="AZ1389" s="101"/>
      <c r="BA1389" s="100"/>
      <c r="BB1389" s="100"/>
      <c r="BC1389" s="100"/>
      <c r="BD1389" s="100"/>
      <c r="BE1389" s="100"/>
      <c r="BF1389" s="100"/>
      <c r="BG1389" s="100"/>
      <c r="BH1389" s="100"/>
      <c r="BI1389" s="100"/>
      <c r="BJ1389" s="100"/>
      <c r="BK1389" s="102"/>
    </row>
    <row r="1390" spans="1:63" x14ac:dyDescent="0.25">
      <c r="A1390" s="92"/>
      <c r="B1390" s="92"/>
      <c r="C1390" s="92"/>
      <c r="D1390" s="92"/>
      <c r="E1390" s="92"/>
      <c r="F1390" s="92"/>
      <c r="G1390" s="92"/>
      <c r="H1390" s="92"/>
      <c r="I1390" s="92"/>
      <c r="J1390" s="92"/>
      <c r="K1390" s="92"/>
      <c r="L1390" s="92"/>
      <c r="M1390" s="92"/>
      <c r="N1390" s="92"/>
      <c r="AG1390" s="100"/>
      <c r="AH1390" s="101"/>
      <c r="AI1390" s="101"/>
      <c r="AJ1390" s="100"/>
      <c r="AK1390" s="100"/>
      <c r="AL1390" s="100"/>
      <c r="AM1390" s="100"/>
      <c r="AN1390" s="100"/>
      <c r="AO1390" s="100"/>
      <c r="AP1390" s="100"/>
      <c r="AQ1390" s="100"/>
      <c r="AR1390" s="100"/>
      <c r="AS1390" s="100"/>
      <c r="AT1390" s="102"/>
      <c r="AX1390" s="100"/>
      <c r="AY1390" s="101"/>
      <c r="AZ1390" s="101"/>
      <c r="BA1390" s="100"/>
      <c r="BB1390" s="100"/>
      <c r="BC1390" s="100"/>
      <c r="BD1390" s="100"/>
      <c r="BE1390" s="100"/>
      <c r="BF1390" s="100"/>
      <c r="BG1390" s="100"/>
      <c r="BH1390" s="100"/>
      <c r="BI1390" s="100"/>
      <c r="BJ1390" s="100"/>
      <c r="BK1390" s="102"/>
    </row>
    <row r="1391" spans="1:63" x14ac:dyDescent="0.25">
      <c r="A1391" s="92"/>
      <c r="B1391" s="93"/>
      <c r="C1391" s="93"/>
      <c r="D1391" s="93"/>
      <c r="E1391" s="92"/>
      <c r="F1391" s="92"/>
      <c r="G1391" s="92"/>
      <c r="H1391" s="92"/>
      <c r="I1391" s="92"/>
      <c r="J1391" s="92"/>
      <c r="K1391" s="92"/>
      <c r="L1391" s="92"/>
      <c r="M1391" s="92"/>
      <c r="N1391" s="94"/>
      <c r="AG1391" s="100"/>
      <c r="AH1391" s="101"/>
      <c r="AI1391" s="101"/>
      <c r="AJ1391" s="100"/>
      <c r="AK1391" s="100"/>
      <c r="AL1391" s="100"/>
      <c r="AM1391" s="100"/>
      <c r="AN1391" s="100"/>
      <c r="AO1391" s="100"/>
      <c r="AP1391" s="100"/>
      <c r="AQ1391" s="100"/>
      <c r="AR1391" s="100"/>
      <c r="AS1391" s="100"/>
      <c r="AT1391" s="102"/>
      <c r="AX1391" s="100"/>
      <c r="AY1391" s="101"/>
      <c r="AZ1391" s="101"/>
      <c r="BA1391" s="100"/>
      <c r="BB1391" s="100"/>
      <c r="BC1391" s="100"/>
      <c r="BD1391" s="100"/>
      <c r="BE1391" s="100"/>
      <c r="BF1391" s="100"/>
      <c r="BG1391" s="100"/>
      <c r="BH1391" s="100"/>
      <c r="BI1391" s="100"/>
      <c r="BJ1391" s="100"/>
      <c r="BK1391" s="102"/>
    </row>
    <row r="1392" spans="1:63" x14ac:dyDescent="0.25">
      <c r="A1392" s="92"/>
      <c r="B1392" s="92"/>
      <c r="C1392" s="92"/>
      <c r="D1392" s="92"/>
      <c r="E1392" s="92"/>
      <c r="F1392" s="92"/>
      <c r="G1392" s="92"/>
      <c r="H1392" s="92"/>
      <c r="I1392" s="92"/>
      <c r="J1392" s="92"/>
      <c r="K1392" s="92"/>
      <c r="L1392" s="92"/>
      <c r="M1392" s="92"/>
      <c r="N1392" s="92"/>
      <c r="AG1392" s="100"/>
      <c r="AH1392" s="101"/>
      <c r="AI1392" s="101"/>
      <c r="AJ1392" s="100"/>
      <c r="AK1392" s="100"/>
      <c r="AL1392" s="100"/>
      <c r="AM1392" s="100"/>
      <c r="AN1392" s="100"/>
      <c r="AO1392" s="100"/>
      <c r="AP1392" s="100"/>
      <c r="AQ1392" s="100"/>
      <c r="AR1392" s="100"/>
      <c r="AS1392" s="100"/>
      <c r="AT1392" s="102"/>
      <c r="AX1392" s="100"/>
      <c r="AY1392" s="101"/>
      <c r="AZ1392" s="101"/>
      <c r="BA1392" s="100"/>
      <c r="BB1392" s="100"/>
      <c r="BC1392" s="100"/>
      <c r="BD1392" s="100"/>
      <c r="BE1392" s="100"/>
      <c r="BF1392" s="100"/>
      <c r="BG1392" s="100"/>
      <c r="BH1392" s="100"/>
      <c r="BI1392" s="100"/>
      <c r="BJ1392" s="100"/>
      <c r="BK1392" s="102"/>
    </row>
    <row r="1393" spans="1:63" x14ac:dyDescent="0.25">
      <c r="A1393" s="92"/>
      <c r="B1393" s="92"/>
      <c r="C1393" s="92"/>
      <c r="D1393" s="92"/>
      <c r="E1393" s="92"/>
      <c r="F1393" s="92"/>
      <c r="G1393" s="92"/>
      <c r="H1393" s="92"/>
      <c r="I1393" s="92"/>
      <c r="J1393" s="92"/>
      <c r="K1393" s="92"/>
      <c r="L1393" s="92"/>
      <c r="M1393" s="92"/>
      <c r="N1393" s="92"/>
      <c r="AG1393" s="100"/>
      <c r="AH1393" s="101"/>
      <c r="AI1393" s="101"/>
      <c r="AJ1393" s="100"/>
      <c r="AK1393" s="100"/>
      <c r="AL1393" s="100"/>
      <c r="AM1393" s="100"/>
      <c r="AN1393" s="100"/>
      <c r="AO1393" s="100"/>
      <c r="AP1393" s="100"/>
      <c r="AQ1393" s="100"/>
      <c r="AR1393" s="100"/>
      <c r="AS1393" s="100"/>
      <c r="AT1393" s="102"/>
      <c r="AX1393" s="100"/>
      <c r="AY1393" s="101"/>
      <c r="AZ1393" s="101"/>
      <c r="BA1393" s="100"/>
      <c r="BB1393" s="100"/>
      <c r="BC1393" s="100"/>
      <c r="BD1393" s="100"/>
      <c r="BE1393" s="100"/>
      <c r="BF1393" s="100"/>
      <c r="BG1393" s="100"/>
      <c r="BH1393" s="100"/>
      <c r="BI1393" s="100"/>
      <c r="BJ1393" s="100"/>
      <c r="BK1393" s="102"/>
    </row>
    <row r="1394" spans="1:63" x14ac:dyDescent="0.25">
      <c r="A1394" s="92"/>
      <c r="B1394" s="93"/>
      <c r="C1394" s="93"/>
      <c r="D1394" s="92"/>
      <c r="E1394" s="92"/>
      <c r="F1394" s="92"/>
      <c r="G1394" s="92"/>
      <c r="H1394" s="92"/>
      <c r="I1394" s="92"/>
      <c r="J1394" s="92"/>
      <c r="K1394" s="92"/>
      <c r="L1394" s="92"/>
      <c r="M1394" s="92"/>
      <c r="N1394" s="94"/>
      <c r="AG1394" s="100"/>
      <c r="AH1394" s="101"/>
      <c r="AI1394" s="101"/>
      <c r="AJ1394" s="101"/>
      <c r="AK1394" s="100"/>
      <c r="AL1394" s="100"/>
      <c r="AM1394" s="100"/>
      <c r="AN1394" s="100"/>
      <c r="AO1394" s="100"/>
      <c r="AP1394" s="100"/>
      <c r="AQ1394" s="100"/>
      <c r="AR1394" s="100"/>
      <c r="AS1394" s="100"/>
      <c r="AT1394" s="102"/>
      <c r="AX1394" s="100"/>
      <c r="AY1394" s="101"/>
      <c r="AZ1394" s="101"/>
      <c r="BA1394" s="100"/>
      <c r="BB1394" s="100"/>
      <c r="BC1394" s="100"/>
      <c r="BD1394" s="100"/>
      <c r="BE1394" s="100"/>
      <c r="BF1394" s="100"/>
      <c r="BG1394" s="100"/>
      <c r="BH1394" s="100"/>
      <c r="BI1394" s="100"/>
      <c r="BJ1394" s="100"/>
      <c r="BK1394" s="102"/>
    </row>
    <row r="1395" spans="1:63" x14ac:dyDescent="0.25">
      <c r="A1395" s="92"/>
      <c r="B1395" s="93"/>
      <c r="C1395" s="93"/>
      <c r="D1395" s="93"/>
      <c r="E1395" s="92"/>
      <c r="F1395" s="92"/>
      <c r="G1395" s="92"/>
      <c r="H1395" s="92"/>
      <c r="I1395" s="92"/>
      <c r="J1395" s="92"/>
      <c r="K1395" s="92"/>
      <c r="L1395" s="92"/>
      <c r="M1395" s="92"/>
      <c r="N1395" s="94"/>
      <c r="AG1395" s="100"/>
      <c r="AH1395" s="101"/>
      <c r="AI1395" s="101"/>
      <c r="AJ1395" s="101"/>
      <c r="AK1395" s="100"/>
      <c r="AL1395" s="100"/>
      <c r="AM1395" s="100"/>
      <c r="AN1395" s="100"/>
      <c r="AO1395" s="100"/>
      <c r="AP1395" s="100"/>
      <c r="AQ1395" s="100"/>
      <c r="AR1395" s="100"/>
      <c r="AS1395" s="100"/>
      <c r="AT1395" s="102"/>
      <c r="AX1395" s="100"/>
      <c r="AY1395" s="101"/>
      <c r="AZ1395" s="101"/>
      <c r="BA1395" s="100"/>
      <c r="BB1395" s="100"/>
      <c r="BC1395" s="100"/>
      <c r="BD1395" s="100"/>
      <c r="BE1395" s="100"/>
      <c r="BF1395" s="100"/>
      <c r="BG1395" s="100"/>
      <c r="BH1395" s="100"/>
      <c r="BI1395" s="100"/>
      <c r="BJ1395" s="100"/>
      <c r="BK1395" s="102"/>
    </row>
    <row r="1396" spans="1:63" x14ac:dyDescent="0.25">
      <c r="A1396" s="92"/>
      <c r="B1396" s="93"/>
      <c r="C1396" s="93"/>
      <c r="D1396" s="92"/>
      <c r="E1396" s="92"/>
      <c r="F1396" s="92"/>
      <c r="G1396" s="92"/>
      <c r="H1396" s="92"/>
      <c r="I1396" s="92"/>
      <c r="J1396" s="92"/>
      <c r="K1396" s="92"/>
      <c r="L1396" s="92"/>
      <c r="M1396" s="92"/>
      <c r="N1396" s="94"/>
      <c r="AG1396" s="100"/>
      <c r="AH1396" s="101"/>
      <c r="AI1396" s="101"/>
      <c r="AJ1396" s="100"/>
      <c r="AK1396" s="100"/>
      <c r="AL1396" s="100"/>
      <c r="AM1396" s="100"/>
      <c r="AN1396" s="100"/>
      <c r="AO1396" s="100"/>
      <c r="AP1396" s="100"/>
      <c r="AQ1396" s="100"/>
      <c r="AR1396" s="100"/>
      <c r="AS1396" s="100"/>
      <c r="AT1396" s="102"/>
      <c r="AX1396" s="100"/>
      <c r="AY1396" s="101"/>
      <c r="AZ1396" s="101"/>
      <c r="BA1396" s="101"/>
      <c r="BB1396" s="100"/>
      <c r="BC1396" s="100"/>
      <c r="BD1396" s="100"/>
      <c r="BE1396" s="100"/>
      <c r="BF1396" s="100"/>
      <c r="BG1396" s="100"/>
      <c r="BH1396" s="100"/>
      <c r="BI1396" s="100"/>
      <c r="BJ1396" s="100"/>
      <c r="BK1396" s="102"/>
    </row>
    <row r="1397" spans="1:63" x14ac:dyDescent="0.25">
      <c r="A1397" s="92"/>
      <c r="B1397" s="92"/>
      <c r="C1397" s="92"/>
      <c r="D1397" s="92"/>
      <c r="E1397" s="92"/>
      <c r="F1397" s="92"/>
      <c r="G1397" s="92"/>
      <c r="H1397" s="92"/>
      <c r="I1397" s="92"/>
      <c r="J1397" s="92"/>
      <c r="K1397" s="92"/>
      <c r="L1397" s="92"/>
      <c r="M1397" s="92"/>
      <c r="N1397" s="92"/>
      <c r="AG1397" s="100"/>
      <c r="AH1397" s="101"/>
      <c r="AI1397" s="101"/>
      <c r="AJ1397" s="100"/>
      <c r="AK1397" s="100"/>
      <c r="AL1397" s="100"/>
      <c r="AM1397" s="100"/>
      <c r="AN1397" s="100"/>
      <c r="AO1397" s="100"/>
      <c r="AP1397" s="100"/>
      <c r="AQ1397" s="100"/>
      <c r="AR1397" s="100"/>
      <c r="AS1397" s="100"/>
      <c r="AT1397" s="102"/>
      <c r="AX1397" s="100"/>
      <c r="AY1397" s="101"/>
      <c r="AZ1397" s="101"/>
      <c r="BA1397" s="100"/>
      <c r="BB1397" s="100"/>
      <c r="BC1397" s="100"/>
      <c r="BD1397" s="100"/>
      <c r="BE1397" s="100"/>
      <c r="BF1397" s="100"/>
      <c r="BG1397" s="100"/>
      <c r="BH1397" s="100"/>
      <c r="BI1397" s="100"/>
      <c r="BJ1397" s="100"/>
      <c r="BK1397" s="102"/>
    </row>
    <row r="1398" spans="1:63" x14ac:dyDescent="0.25">
      <c r="A1398" s="92"/>
      <c r="B1398" s="92"/>
      <c r="C1398" s="92"/>
      <c r="D1398" s="92"/>
      <c r="E1398" s="92"/>
      <c r="F1398" s="92"/>
      <c r="G1398" s="92"/>
      <c r="H1398" s="92"/>
      <c r="I1398" s="92"/>
      <c r="J1398" s="92"/>
      <c r="K1398" s="92"/>
      <c r="L1398" s="92"/>
      <c r="M1398" s="92"/>
      <c r="N1398" s="92"/>
      <c r="AG1398" s="100"/>
      <c r="AH1398" s="101"/>
      <c r="AI1398" s="101"/>
      <c r="AJ1398" s="100"/>
      <c r="AK1398" s="100"/>
      <c r="AL1398" s="100"/>
      <c r="AM1398" s="100"/>
      <c r="AN1398" s="100"/>
      <c r="AO1398" s="100"/>
      <c r="AP1398" s="100"/>
      <c r="AQ1398" s="100"/>
      <c r="AR1398" s="100"/>
      <c r="AS1398" s="100"/>
      <c r="AT1398" s="102"/>
      <c r="AX1398" s="100"/>
      <c r="AY1398" s="101"/>
      <c r="AZ1398" s="101"/>
      <c r="BA1398" s="100"/>
      <c r="BB1398" s="100"/>
      <c r="BC1398" s="100"/>
      <c r="BD1398" s="100"/>
      <c r="BE1398" s="100"/>
      <c r="BF1398" s="100"/>
      <c r="BG1398" s="100"/>
      <c r="BH1398" s="100"/>
      <c r="BI1398" s="100"/>
      <c r="BJ1398" s="100"/>
      <c r="BK1398" s="102"/>
    </row>
    <row r="1399" spans="1:63" x14ac:dyDescent="0.25">
      <c r="A1399" s="92"/>
      <c r="B1399" s="92"/>
      <c r="C1399" s="92"/>
      <c r="D1399" s="92"/>
      <c r="E1399" s="92"/>
      <c r="F1399" s="92"/>
      <c r="G1399" s="92"/>
      <c r="H1399" s="92"/>
      <c r="I1399" s="92"/>
      <c r="J1399" s="92"/>
      <c r="K1399" s="92"/>
      <c r="L1399" s="92"/>
      <c r="M1399" s="92"/>
      <c r="N1399" s="92"/>
      <c r="AG1399" s="100"/>
      <c r="AH1399" s="101"/>
      <c r="AI1399" s="101"/>
      <c r="AJ1399" s="100"/>
      <c r="AK1399" s="100"/>
      <c r="AL1399" s="100"/>
      <c r="AM1399" s="100"/>
      <c r="AN1399" s="100"/>
      <c r="AO1399" s="100"/>
      <c r="AP1399" s="100"/>
      <c r="AQ1399" s="100"/>
      <c r="AR1399" s="100"/>
      <c r="AS1399" s="100"/>
      <c r="AT1399" s="102"/>
      <c r="AX1399" s="100"/>
      <c r="AY1399" s="101"/>
      <c r="AZ1399" s="101"/>
      <c r="BA1399" s="100"/>
      <c r="BB1399" s="100"/>
      <c r="BC1399" s="100"/>
      <c r="BD1399" s="100"/>
      <c r="BE1399" s="100"/>
      <c r="BF1399" s="100"/>
      <c r="BG1399" s="100"/>
      <c r="BH1399" s="100"/>
      <c r="BI1399" s="100"/>
      <c r="BJ1399" s="100"/>
      <c r="BK1399" s="102"/>
    </row>
    <row r="1400" spans="1:63" x14ac:dyDescent="0.25">
      <c r="A1400" s="92"/>
      <c r="B1400" s="92"/>
      <c r="C1400" s="92"/>
      <c r="D1400" s="92"/>
      <c r="E1400" s="92"/>
      <c r="F1400" s="92"/>
      <c r="G1400" s="92"/>
      <c r="H1400" s="92"/>
      <c r="I1400" s="92"/>
      <c r="J1400" s="92"/>
      <c r="K1400" s="92"/>
      <c r="L1400" s="92"/>
      <c r="M1400" s="92"/>
      <c r="N1400" s="92"/>
      <c r="AG1400" s="100"/>
      <c r="AH1400" s="101"/>
      <c r="AI1400" s="101"/>
      <c r="AJ1400" s="101"/>
      <c r="AK1400" s="100"/>
      <c r="AL1400" s="100"/>
      <c r="AM1400" s="100"/>
      <c r="AN1400" s="100"/>
      <c r="AO1400" s="100"/>
      <c r="AP1400" s="100"/>
      <c r="AQ1400" s="100"/>
      <c r="AR1400" s="100"/>
      <c r="AS1400" s="100"/>
      <c r="AT1400" s="102"/>
      <c r="AX1400" s="100"/>
      <c r="AY1400" s="101"/>
      <c r="AZ1400" s="101"/>
      <c r="BA1400" s="100"/>
      <c r="BB1400" s="100"/>
      <c r="BC1400" s="100"/>
      <c r="BD1400" s="100"/>
      <c r="BE1400" s="100"/>
      <c r="BF1400" s="100"/>
      <c r="BG1400" s="100"/>
      <c r="BH1400" s="100"/>
      <c r="BI1400" s="100"/>
      <c r="BJ1400" s="100"/>
      <c r="BK1400" s="102"/>
    </row>
    <row r="1401" spans="1:63" x14ac:dyDescent="0.25">
      <c r="A1401" s="92"/>
      <c r="B1401" s="92"/>
      <c r="C1401" s="92"/>
      <c r="D1401" s="92"/>
      <c r="E1401" s="92"/>
      <c r="F1401" s="92"/>
      <c r="G1401" s="92"/>
      <c r="H1401" s="92"/>
      <c r="I1401" s="92"/>
      <c r="J1401" s="92"/>
      <c r="K1401" s="92"/>
      <c r="L1401" s="92"/>
      <c r="M1401" s="92"/>
      <c r="N1401" s="92"/>
      <c r="AG1401" s="100"/>
      <c r="AH1401" s="101"/>
      <c r="AI1401" s="101"/>
      <c r="AJ1401" s="100"/>
      <c r="AK1401" s="100"/>
      <c r="AL1401" s="100"/>
      <c r="AM1401" s="100"/>
      <c r="AN1401" s="100"/>
      <c r="AO1401" s="100"/>
      <c r="AP1401" s="100"/>
      <c r="AQ1401" s="100"/>
      <c r="AR1401" s="100"/>
      <c r="AS1401" s="100"/>
      <c r="AT1401" s="102"/>
      <c r="AX1401" s="100"/>
      <c r="AY1401" s="101"/>
      <c r="AZ1401" s="101"/>
      <c r="BA1401" s="100"/>
      <c r="BB1401" s="100"/>
      <c r="BC1401" s="100"/>
      <c r="BD1401" s="100"/>
      <c r="BE1401" s="100"/>
      <c r="BF1401" s="100"/>
      <c r="BG1401" s="100"/>
      <c r="BH1401" s="100"/>
      <c r="BI1401" s="100"/>
      <c r="BJ1401" s="100"/>
      <c r="BK1401" s="102"/>
    </row>
    <row r="1402" spans="1:63" x14ac:dyDescent="0.25">
      <c r="A1402" s="92"/>
      <c r="B1402" s="92"/>
      <c r="C1402" s="92"/>
      <c r="D1402" s="92"/>
      <c r="E1402" s="92"/>
      <c r="F1402" s="92"/>
      <c r="G1402" s="92"/>
      <c r="H1402" s="92"/>
      <c r="I1402" s="92"/>
      <c r="J1402" s="92"/>
      <c r="K1402" s="92"/>
      <c r="L1402" s="92"/>
      <c r="M1402" s="92"/>
      <c r="N1402" s="92"/>
      <c r="AG1402" s="100"/>
      <c r="AH1402" s="101"/>
      <c r="AI1402" s="101"/>
      <c r="AJ1402" s="100"/>
      <c r="AK1402" s="100"/>
      <c r="AL1402" s="100"/>
      <c r="AM1402" s="100"/>
      <c r="AN1402" s="100"/>
      <c r="AO1402" s="100"/>
      <c r="AP1402" s="100"/>
      <c r="AQ1402" s="100"/>
      <c r="AR1402" s="100"/>
      <c r="AS1402" s="100"/>
      <c r="AT1402" s="102"/>
      <c r="AX1402" s="100"/>
      <c r="AY1402" s="101"/>
      <c r="AZ1402" s="101"/>
      <c r="BA1402" s="100"/>
      <c r="BB1402" s="100"/>
      <c r="BC1402" s="100"/>
      <c r="BD1402" s="100"/>
      <c r="BE1402" s="100"/>
      <c r="BF1402" s="100"/>
      <c r="BG1402" s="100"/>
      <c r="BH1402" s="100"/>
      <c r="BI1402" s="100"/>
      <c r="BJ1402" s="100"/>
      <c r="BK1402" s="102"/>
    </row>
    <row r="1403" spans="1:63" x14ac:dyDescent="0.25">
      <c r="A1403" s="92"/>
      <c r="B1403" s="92"/>
      <c r="C1403" s="92"/>
      <c r="D1403" s="92"/>
      <c r="E1403" s="92"/>
      <c r="F1403" s="92"/>
      <c r="G1403" s="92"/>
      <c r="H1403" s="92"/>
      <c r="I1403" s="92"/>
      <c r="J1403" s="92"/>
      <c r="K1403" s="92"/>
      <c r="L1403" s="92"/>
      <c r="M1403" s="92"/>
      <c r="N1403" s="92"/>
      <c r="AG1403" s="100"/>
      <c r="AH1403" s="101"/>
      <c r="AI1403" s="101"/>
      <c r="AJ1403" s="101"/>
      <c r="AK1403" s="100"/>
      <c r="AL1403" s="100"/>
      <c r="AM1403" s="100"/>
      <c r="AN1403" s="100"/>
      <c r="AO1403" s="100"/>
      <c r="AP1403" s="100"/>
      <c r="AQ1403" s="100"/>
      <c r="AR1403" s="100"/>
      <c r="AS1403" s="100"/>
      <c r="AT1403" s="102"/>
      <c r="AX1403" s="100"/>
      <c r="AY1403" s="101"/>
      <c r="AZ1403" s="101"/>
      <c r="BA1403" s="100"/>
      <c r="BB1403" s="100"/>
      <c r="BC1403" s="100"/>
      <c r="BD1403" s="100"/>
      <c r="BE1403" s="100"/>
      <c r="BF1403" s="100"/>
      <c r="BG1403" s="100"/>
      <c r="BH1403" s="100"/>
      <c r="BI1403" s="100"/>
      <c r="BJ1403" s="100"/>
      <c r="BK1403" s="102"/>
    </row>
    <row r="1404" spans="1:63" x14ac:dyDescent="0.25">
      <c r="A1404" s="92"/>
      <c r="B1404" s="92"/>
      <c r="C1404" s="92"/>
      <c r="D1404" s="92"/>
      <c r="E1404" s="92"/>
      <c r="F1404" s="92"/>
      <c r="G1404" s="92"/>
      <c r="H1404" s="92"/>
      <c r="I1404" s="92"/>
      <c r="J1404" s="92"/>
      <c r="K1404" s="92"/>
      <c r="L1404" s="92"/>
      <c r="M1404" s="92"/>
      <c r="N1404" s="92"/>
      <c r="AG1404" s="100"/>
      <c r="AH1404" s="101"/>
      <c r="AI1404" s="101"/>
      <c r="AJ1404" s="100"/>
      <c r="AK1404" s="100"/>
      <c r="AL1404" s="100"/>
      <c r="AM1404" s="100"/>
      <c r="AN1404" s="100"/>
      <c r="AO1404" s="100"/>
      <c r="AP1404" s="100"/>
      <c r="AQ1404" s="100"/>
      <c r="AR1404" s="100"/>
      <c r="AS1404" s="100"/>
      <c r="AT1404" s="102"/>
      <c r="AX1404" s="100"/>
      <c r="AY1404" s="101"/>
      <c r="AZ1404" s="101"/>
      <c r="BA1404" s="100"/>
      <c r="BB1404" s="100"/>
      <c r="BC1404" s="100"/>
      <c r="BD1404" s="100"/>
      <c r="BE1404" s="100"/>
      <c r="BF1404" s="100"/>
      <c r="BG1404" s="100"/>
      <c r="BH1404" s="100"/>
      <c r="BI1404" s="100"/>
      <c r="BJ1404" s="100"/>
      <c r="BK1404" s="102"/>
    </row>
    <row r="1405" spans="1:63" x14ac:dyDescent="0.25">
      <c r="A1405" s="92"/>
      <c r="B1405" s="92"/>
      <c r="C1405" s="92"/>
      <c r="D1405" s="92"/>
      <c r="E1405" s="92"/>
      <c r="F1405" s="92"/>
      <c r="G1405" s="92"/>
      <c r="H1405" s="92"/>
      <c r="I1405" s="92"/>
      <c r="J1405" s="92"/>
      <c r="K1405" s="92"/>
      <c r="L1405" s="92"/>
      <c r="M1405" s="92"/>
      <c r="N1405" s="92"/>
      <c r="AG1405" s="100"/>
      <c r="AH1405" s="101"/>
      <c r="AI1405" s="101"/>
      <c r="AJ1405" s="100"/>
      <c r="AK1405" s="100"/>
      <c r="AL1405" s="100"/>
      <c r="AM1405" s="100"/>
      <c r="AN1405" s="100"/>
      <c r="AO1405" s="100"/>
      <c r="AP1405" s="100"/>
      <c r="AQ1405" s="100"/>
      <c r="AR1405" s="100"/>
      <c r="AS1405" s="100"/>
      <c r="AT1405" s="102"/>
      <c r="AX1405" s="100"/>
      <c r="AY1405" s="101"/>
      <c r="AZ1405" s="101"/>
      <c r="BA1405" s="100"/>
      <c r="BB1405" s="100"/>
      <c r="BC1405" s="100"/>
      <c r="BD1405" s="100"/>
      <c r="BE1405" s="100"/>
      <c r="BF1405" s="100"/>
      <c r="BG1405" s="100"/>
      <c r="BH1405" s="100"/>
      <c r="BI1405" s="100"/>
      <c r="BJ1405" s="100"/>
      <c r="BK1405" s="102"/>
    </row>
    <row r="1406" spans="1:63" x14ac:dyDescent="0.25">
      <c r="A1406" s="92"/>
      <c r="B1406" s="92"/>
      <c r="C1406" s="92"/>
      <c r="D1406" s="92"/>
      <c r="E1406" s="92"/>
      <c r="F1406" s="92"/>
      <c r="G1406" s="92"/>
      <c r="H1406" s="92"/>
      <c r="I1406" s="92"/>
      <c r="J1406" s="92"/>
      <c r="K1406" s="92"/>
      <c r="L1406" s="92"/>
      <c r="M1406" s="92"/>
      <c r="N1406" s="92"/>
      <c r="AG1406" s="100"/>
      <c r="AH1406" s="101"/>
      <c r="AI1406" s="101"/>
      <c r="AJ1406" s="100"/>
      <c r="AK1406" s="100"/>
      <c r="AL1406" s="100"/>
      <c r="AM1406" s="100"/>
      <c r="AN1406" s="100"/>
      <c r="AO1406" s="100"/>
      <c r="AP1406" s="100"/>
      <c r="AQ1406" s="100"/>
      <c r="AR1406" s="100"/>
      <c r="AS1406" s="100"/>
      <c r="AT1406" s="102"/>
      <c r="AX1406" s="100"/>
      <c r="AY1406" s="101"/>
      <c r="AZ1406" s="101"/>
      <c r="BA1406" s="100"/>
      <c r="BB1406" s="100"/>
      <c r="BC1406" s="100"/>
      <c r="BD1406" s="100"/>
      <c r="BE1406" s="100"/>
      <c r="BF1406" s="100"/>
      <c r="BG1406" s="100"/>
      <c r="BH1406" s="100"/>
      <c r="BI1406" s="100"/>
      <c r="BJ1406" s="100"/>
      <c r="BK1406" s="102"/>
    </row>
    <row r="1407" spans="1:63" x14ac:dyDescent="0.25">
      <c r="A1407" s="92"/>
      <c r="B1407" s="93"/>
      <c r="C1407" s="93"/>
      <c r="D1407" s="92"/>
      <c r="E1407" s="92"/>
      <c r="F1407" s="92"/>
      <c r="G1407" s="92"/>
      <c r="H1407" s="92"/>
      <c r="I1407" s="92"/>
      <c r="J1407" s="92"/>
      <c r="K1407" s="92"/>
      <c r="L1407" s="92"/>
      <c r="M1407" s="92"/>
      <c r="N1407" s="94"/>
      <c r="AG1407" s="100"/>
      <c r="AH1407" s="101"/>
      <c r="AI1407" s="101"/>
      <c r="AJ1407" s="100"/>
      <c r="AK1407" s="100"/>
      <c r="AL1407" s="100"/>
      <c r="AM1407" s="100"/>
      <c r="AN1407" s="100"/>
      <c r="AO1407" s="100"/>
      <c r="AP1407" s="100"/>
      <c r="AQ1407" s="100"/>
      <c r="AR1407" s="100"/>
      <c r="AS1407" s="100"/>
      <c r="AT1407" s="102"/>
      <c r="AX1407" s="100"/>
      <c r="AY1407" s="101"/>
      <c r="AZ1407" s="101"/>
      <c r="BA1407" s="100"/>
      <c r="BB1407" s="100"/>
      <c r="BC1407" s="100"/>
      <c r="BD1407" s="100"/>
      <c r="BE1407" s="100"/>
      <c r="BF1407" s="100"/>
      <c r="BG1407" s="100"/>
      <c r="BH1407" s="100"/>
      <c r="BI1407" s="100"/>
      <c r="BJ1407" s="100"/>
      <c r="BK1407" s="102"/>
    </row>
    <row r="1408" spans="1:63" x14ac:dyDescent="0.25">
      <c r="A1408" s="92"/>
      <c r="B1408" s="93"/>
      <c r="C1408" s="93"/>
      <c r="D1408" s="92"/>
      <c r="E1408" s="92"/>
      <c r="F1408" s="92"/>
      <c r="G1408" s="92"/>
      <c r="H1408" s="92"/>
      <c r="I1408" s="92"/>
      <c r="J1408" s="92"/>
      <c r="K1408" s="92"/>
      <c r="L1408" s="92"/>
      <c r="M1408" s="92"/>
      <c r="N1408" s="94"/>
      <c r="AG1408" s="100"/>
      <c r="AH1408" s="101"/>
      <c r="AI1408" s="101"/>
      <c r="AJ1408" s="100"/>
      <c r="AK1408" s="100"/>
      <c r="AL1408" s="100"/>
      <c r="AM1408" s="100"/>
      <c r="AN1408" s="100"/>
      <c r="AO1408" s="100"/>
      <c r="AP1408" s="100"/>
      <c r="AQ1408" s="100"/>
      <c r="AR1408" s="100"/>
      <c r="AS1408" s="100"/>
      <c r="AT1408" s="102"/>
      <c r="AX1408" s="100"/>
      <c r="AY1408" s="101"/>
      <c r="AZ1408" s="101"/>
      <c r="BA1408" s="100"/>
      <c r="BB1408" s="100"/>
      <c r="BC1408" s="100"/>
      <c r="BD1408" s="100"/>
      <c r="BE1408" s="100"/>
      <c r="BF1408" s="100"/>
      <c r="BG1408" s="100"/>
      <c r="BH1408" s="100"/>
      <c r="BI1408" s="100"/>
      <c r="BJ1408" s="100"/>
      <c r="BK1408" s="102"/>
    </row>
    <row r="1409" spans="1:63" x14ac:dyDescent="0.25">
      <c r="A1409" s="92"/>
      <c r="B1409" s="93"/>
      <c r="C1409" s="93"/>
      <c r="D1409" s="92"/>
      <c r="E1409" s="92"/>
      <c r="F1409" s="92"/>
      <c r="G1409" s="92"/>
      <c r="H1409" s="92"/>
      <c r="I1409" s="92"/>
      <c r="J1409" s="92"/>
      <c r="K1409" s="92"/>
      <c r="L1409" s="92"/>
      <c r="M1409" s="92"/>
      <c r="N1409" s="94"/>
      <c r="AG1409" s="100"/>
      <c r="AH1409" s="101"/>
      <c r="AI1409" s="101"/>
      <c r="AJ1409" s="101"/>
      <c r="AK1409" s="100"/>
      <c r="AL1409" s="100"/>
      <c r="AM1409" s="100"/>
      <c r="AN1409" s="100"/>
      <c r="AO1409" s="100"/>
      <c r="AP1409" s="100"/>
      <c r="AQ1409" s="100"/>
      <c r="AR1409" s="100"/>
      <c r="AS1409" s="100"/>
      <c r="AT1409" s="102"/>
      <c r="AX1409" s="100"/>
      <c r="AY1409" s="101"/>
      <c r="AZ1409" s="101"/>
      <c r="BA1409" s="100"/>
      <c r="BB1409" s="100"/>
      <c r="BC1409" s="100"/>
      <c r="BD1409" s="100"/>
      <c r="BE1409" s="100"/>
      <c r="BF1409" s="100"/>
      <c r="BG1409" s="100"/>
      <c r="BH1409" s="100"/>
      <c r="BI1409" s="100"/>
      <c r="BJ1409" s="100"/>
      <c r="BK1409" s="102"/>
    </row>
    <row r="1410" spans="1:63" x14ac:dyDescent="0.25">
      <c r="A1410" s="92"/>
      <c r="B1410" s="93"/>
      <c r="C1410" s="93"/>
      <c r="D1410" s="92"/>
      <c r="E1410" s="92"/>
      <c r="F1410" s="92"/>
      <c r="G1410" s="92"/>
      <c r="H1410" s="92"/>
      <c r="I1410" s="92"/>
      <c r="J1410" s="92"/>
      <c r="K1410" s="92"/>
      <c r="L1410" s="92"/>
      <c r="M1410" s="92"/>
      <c r="N1410" s="94"/>
      <c r="AG1410" s="100"/>
      <c r="AH1410" s="101"/>
      <c r="AI1410" s="101"/>
      <c r="AJ1410" s="100"/>
      <c r="AK1410" s="100"/>
      <c r="AL1410" s="100"/>
      <c r="AM1410" s="100"/>
      <c r="AN1410" s="100"/>
      <c r="AO1410" s="100"/>
      <c r="AP1410" s="100"/>
      <c r="AQ1410" s="100"/>
      <c r="AR1410" s="100"/>
      <c r="AS1410" s="100"/>
      <c r="AT1410" s="102"/>
      <c r="AX1410" s="100"/>
      <c r="AY1410" s="101"/>
      <c r="AZ1410" s="101"/>
      <c r="BA1410" s="100"/>
      <c r="BB1410" s="100"/>
      <c r="BC1410" s="100"/>
      <c r="BD1410" s="100"/>
      <c r="BE1410" s="100"/>
      <c r="BF1410" s="100"/>
      <c r="BG1410" s="100"/>
      <c r="BH1410" s="100"/>
      <c r="BI1410" s="100"/>
      <c r="BJ1410" s="100"/>
      <c r="BK1410" s="102"/>
    </row>
    <row r="1411" spans="1:63" x14ac:dyDescent="0.25">
      <c r="A1411" s="92"/>
      <c r="B1411" s="93"/>
      <c r="C1411" s="93"/>
      <c r="D1411" s="92"/>
      <c r="E1411" s="92"/>
      <c r="F1411" s="92"/>
      <c r="G1411" s="92"/>
      <c r="H1411" s="92"/>
      <c r="I1411" s="92"/>
      <c r="J1411" s="92"/>
      <c r="K1411" s="92"/>
      <c r="L1411" s="92"/>
      <c r="M1411" s="92"/>
      <c r="N1411" s="94"/>
      <c r="AG1411" s="100"/>
      <c r="AH1411" s="101"/>
      <c r="AI1411" s="101"/>
      <c r="AJ1411" s="100"/>
      <c r="AK1411" s="100"/>
      <c r="AL1411" s="100"/>
      <c r="AM1411" s="100"/>
      <c r="AN1411" s="100"/>
      <c r="AO1411" s="100"/>
      <c r="AP1411" s="100"/>
      <c r="AQ1411" s="100"/>
      <c r="AR1411" s="100"/>
      <c r="AS1411" s="100"/>
      <c r="AT1411" s="102"/>
      <c r="AX1411" s="100"/>
      <c r="AY1411" s="101"/>
      <c r="AZ1411" s="101"/>
      <c r="BA1411" s="100"/>
      <c r="BB1411" s="100"/>
      <c r="BC1411" s="100"/>
      <c r="BD1411" s="100"/>
      <c r="BE1411" s="100"/>
      <c r="BF1411" s="100"/>
      <c r="BG1411" s="100"/>
      <c r="BH1411" s="100"/>
      <c r="BI1411" s="100"/>
      <c r="BJ1411" s="100"/>
      <c r="BK1411" s="102"/>
    </row>
    <row r="1412" spans="1:63" x14ac:dyDescent="0.25">
      <c r="A1412" s="92"/>
      <c r="B1412" s="93"/>
      <c r="C1412" s="93"/>
      <c r="D1412" s="92"/>
      <c r="E1412" s="92"/>
      <c r="F1412" s="92"/>
      <c r="G1412" s="92"/>
      <c r="H1412" s="92"/>
      <c r="I1412" s="92"/>
      <c r="J1412" s="92"/>
      <c r="K1412" s="92"/>
      <c r="L1412" s="92"/>
      <c r="M1412" s="92"/>
      <c r="N1412" s="94"/>
      <c r="AG1412" s="100"/>
      <c r="AH1412" s="101"/>
      <c r="AI1412" s="101"/>
      <c r="AJ1412" s="101"/>
      <c r="AK1412" s="100"/>
      <c r="AL1412" s="100"/>
      <c r="AM1412" s="100"/>
      <c r="AN1412" s="100"/>
      <c r="AO1412" s="100"/>
      <c r="AP1412" s="100"/>
      <c r="AQ1412" s="100"/>
      <c r="AR1412" s="100"/>
      <c r="AS1412" s="100"/>
      <c r="AT1412" s="102"/>
      <c r="AX1412" s="100"/>
      <c r="AY1412" s="101"/>
      <c r="AZ1412" s="101"/>
      <c r="BA1412" s="100"/>
      <c r="BB1412" s="100"/>
      <c r="BC1412" s="100"/>
      <c r="BD1412" s="100"/>
      <c r="BE1412" s="100"/>
      <c r="BF1412" s="100"/>
      <c r="BG1412" s="100"/>
      <c r="BH1412" s="100"/>
      <c r="BI1412" s="100"/>
      <c r="BJ1412" s="100"/>
      <c r="BK1412" s="102"/>
    </row>
    <row r="1413" spans="1:63" x14ac:dyDescent="0.25">
      <c r="A1413" s="92"/>
      <c r="B1413" s="93"/>
      <c r="C1413" s="93"/>
      <c r="D1413" s="93"/>
      <c r="E1413" s="92"/>
      <c r="F1413" s="92"/>
      <c r="G1413" s="92"/>
      <c r="H1413" s="92"/>
      <c r="I1413" s="92"/>
      <c r="J1413" s="92"/>
      <c r="K1413" s="92"/>
      <c r="L1413" s="92"/>
      <c r="M1413" s="92"/>
      <c r="N1413" s="94"/>
      <c r="AG1413" s="100"/>
      <c r="AH1413" s="101"/>
      <c r="AI1413" s="101"/>
      <c r="AJ1413" s="100"/>
      <c r="AK1413" s="100"/>
      <c r="AL1413" s="100"/>
      <c r="AM1413" s="100"/>
      <c r="AN1413" s="100"/>
      <c r="AO1413" s="100"/>
      <c r="AP1413" s="100"/>
      <c r="AQ1413" s="100"/>
      <c r="AR1413" s="100"/>
      <c r="AS1413" s="100"/>
      <c r="AT1413" s="102"/>
      <c r="AX1413" s="100"/>
      <c r="AY1413" s="101"/>
      <c r="AZ1413" s="101"/>
      <c r="BA1413" s="100"/>
      <c r="BB1413" s="100"/>
      <c r="BC1413" s="100"/>
      <c r="BD1413" s="100"/>
      <c r="BE1413" s="100"/>
      <c r="BF1413" s="100"/>
      <c r="BG1413" s="100"/>
      <c r="BH1413" s="100"/>
      <c r="BI1413" s="100"/>
      <c r="BJ1413" s="100"/>
      <c r="BK1413" s="102"/>
    </row>
    <row r="1414" spans="1:63" x14ac:dyDescent="0.25">
      <c r="A1414" s="92"/>
      <c r="B1414" s="93"/>
      <c r="C1414" s="93"/>
      <c r="D1414" s="92"/>
      <c r="E1414" s="92"/>
      <c r="F1414" s="92"/>
      <c r="G1414" s="92"/>
      <c r="H1414" s="92"/>
      <c r="I1414" s="92"/>
      <c r="J1414" s="92"/>
      <c r="K1414" s="92"/>
      <c r="L1414" s="92"/>
      <c r="M1414" s="92"/>
      <c r="N1414" s="94"/>
      <c r="AG1414" s="100"/>
      <c r="AH1414" s="101"/>
      <c r="AI1414" s="101"/>
      <c r="AJ1414" s="100"/>
      <c r="AK1414" s="100"/>
      <c r="AL1414" s="100"/>
      <c r="AM1414" s="100"/>
      <c r="AN1414" s="100"/>
      <c r="AO1414" s="100"/>
      <c r="AP1414" s="100"/>
      <c r="AQ1414" s="100"/>
      <c r="AR1414" s="100"/>
      <c r="AS1414" s="100"/>
      <c r="AT1414" s="102"/>
      <c r="AX1414" s="100"/>
      <c r="AY1414" s="101"/>
      <c r="AZ1414" s="101"/>
      <c r="BA1414" s="101"/>
      <c r="BB1414" s="100"/>
      <c r="BC1414" s="100"/>
      <c r="BD1414" s="100"/>
      <c r="BE1414" s="100"/>
      <c r="BF1414" s="100"/>
      <c r="BG1414" s="100"/>
      <c r="BH1414" s="100"/>
      <c r="BI1414" s="100"/>
      <c r="BJ1414" s="100"/>
      <c r="BK1414" s="102"/>
    </row>
    <row r="1415" spans="1:63" x14ac:dyDescent="0.25">
      <c r="A1415" s="92"/>
      <c r="B1415" s="93"/>
      <c r="C1415" s="93"/>
      <c r="D1415" s="92"/>
      <c r="E1415" s="92"/>
      <c r="F1415" s="92"/>
      <c r="G1415" s="92"/>
      <c r="H1415" s="92"/>
      <c r="I1415" s="92"/>
      <c r="J1415" s="92"/>
      <c r="K1415" s="92"/>
      <c r="L1415" s="92"/>
      <c r="M1415" s="92"/>
      <c r="N1415" s="94"/>
      <c r="AG1415" s="100"/>
      <c r="AH1415" s="101"/>
      <c r="AI1415" s="101"/>
      <c r="AJ1415" s="100"/>
      <c r="AK1415" s="100"/>
      <c r="AL1415" s="100"/>
      <c r="AM1415" s="100"/>
      <c r="AN1415" s="100"/>
      <c r="AO1415" s="100"/>
      <c r="AP1415" s="100"/>
      <c r="AQ1415" s="100"/>
      <c r="AR1415" s="100"/>
      <c r="AS1415" s="100"/>
      <c r="AT1415" s="102"/>
      <c r="AX1415" s="100"/>
      <c r="AY1415" s="101"/>
      <c r="AZ1415" s="101"/>
      <c r="BA1415" s="101"/>
      <c r="BB1415" s="100"/>
      <c r="BC1415" s="100"/>
      <c r="BD1415" s="100"/>
      <c r="BE1415" s="100"/>
      <c r="BF1415" s="100"/>
      <c r="BG1415" s="100"/>
      <c r="BH1415" s="100"/>
      <c r="BI1415" s="100"/>
      <c r="BJ1415" s="100"/>
      <c r="BK1415" s="102"/>
    </row>
    <row r="1416" spans="1:63" x14ac:dyDescent="0.25">
      <c r="A1416" s="92"/>
      <c r="B1416" s="92"/>
      <c r="C1416" s="92"/>
      <c r="D1416" s="92"/>
      <c r="E1416" s="92"/>
      <c r="F1416" s="92"/>
      <c r="G1416" s="92"/>
      <c r="H1416" s="92"/>
      <c r="I1416" s="92"/>
      <c r="J1416" s="92"/>
      <c r="K1416" s="92"/>
      <c r="L1416" s="92"/>
      <c r="M1416" s="92"/>
      <c r="N1416" s="92"/>
      <c r="AG1416" s="100"/>
      <c r="AH1416" s="101"/>
      <c r="AI1416" s="101"/>
      <c r="AJ1416" s="100"/>
      <c r="AK1416" s="100"/>
      <c r="AL1416" s="100"/>
      <c r="AM1416" s="100"/>
      <c r="AN1416" s="100"/>
      <c r="AO1416" s="100"/>
      <c r="AP1416" s="100"/>
      <c r="AQ1416" s="100"/>
      <c r="AR1416" s="100"/>
      <c r="AS1416" s="100"/>
      <c r="AT1416" s="102"/>
      <c r="AX1416" s="100"/>
      <c r="AY1416" s="101"/>
      <c r="AZ1416" s="101"/>
      <c r="BA1416" s="100"/>
      <c r="BB1416" s="100"/>
      <c r="BC1416" s="100"/>
      <c r="BD1416" s="100"/>
      <c r="BE1416" s="100"/>
      <c r="BF1416" s="100"/>
      <c r="BG1416" s="100"/>
      <c r="BH1416" s="100"/>
      <c r="BI1416" s="100"/>
      <c r="BJ1416" s="100"/>
      <c r="BK1416" s="102"/>
    </row>
    <row r="1417" spans="1:63" x14ac:dyDescent="0.25">
      <c r="A1417" s="92"/>
      <c r="B1417" s="92"/>
      <c r="C1417" s="92"/>
      <c r="D1417" s="92"/>
      <c r="E1417" s="92"/>
      <c r="F1417" s="92"/>
      <c r="G1417" s="92"/>
      <c r="H1417" s="92"/>
      <c r="I1417" s="92"/>
      <c r="J1417" s="92"/>
      <c r="K1417" s="92"/>
      <c r="L1417" s="92"/>
      <c r="M1417" s="92"/>
      <c r="N1417" s="92"/>
      <c r="AG1417" s="100"/>
      <c r="AH1417" s="101"/>
      <c r="AI1417" s="101"/>
      <c r="AJ1417" s="100"/>
      <c r="AK1417" s="100"/>
      <c r="AL1417" s="100"/>
      <c r="AM1417" s="100"/>
      <c r="AN1417" s="100"/>
      <c r="AO1417" s="100"/>
      <c r="AP1417" s="100"/>
      <c r="AQ1417" s="100"/>
      <c r="AR1417" s="100"/>
      <c r="AS1417" s="100"/>
      <c r="AT1417" s="102"/>
      <c r="AX1417" s="100"/>
      <c r="AY1417" s="101"/>
      <c r="AZ1417" s="101"/>
      <c r="BA1417" s="100"/>
      <c r="BB1417" s="100"/>
      <c r="BC1417" s="100"/>
      <c r="BD1417" s="100"/>
      <c r="BE1417" s="100"/>
      <c r="BF1417" s="100"/>
      <c r="BG1417" s="100"/>
      <c r="BH1417" s="100"/>
      <c r="BI1417" s="100"/>
      <c r="BJ1417" s="100"/>
      <c r="BK1417" s="102"/>
    </row>
    <row r="1418" spans="1:63" x14ac:dyDescent="0.25">
      <c r="A1418" s="92"/>
      <c r="B1418" s="92"/>
      <c r="C1418" s="92"/>
      <c r="D1418" s="92"/>
      <c r="E1418" s="92"/>
      <c r="F1418" s="92"/>
      <c r="G1418" s="92"/>
      <c r="H1418" s="92"/>
      <c r="I1418" s="92"/>
      <c r="J1418" s="92"/>
      <c r="K1418" s="92"/>
      <c r="L1418" s="92"/>
      <c r="M1418" s="92"/>
      <c r="N1418" s="92"/>
      <c r="AG1418" s="100"/>
      <c r="AH1418" s="101"/>
      <c r="AI1418" s="101"/>
      <c r="AJ1418" s="100"/>
      <c r="AK1418" s="100"/>
      <c r="AL1418" s="100"/>
      <c r="AM1418" s="100"/>
      <c r="AN1418" s="100"/>
      <c r="AO1418" s="100"/>
      <c r="AP1418" s="100"/>
      <c r="AQ1418" s="100"/>
      <c r="AR1418" s="100"/>
      <c r="AS1418" s="100"/>
      <c r="AT1418" s="102"/>
      <c r="AX1418" s="100"/>
      <c r="AY1418" s="101"/>
      <c r="AZ1418" s="101"/>
      <c r="BA1418" s="100"/>
      <c r="BB1418" s="100"/>
      <c r="BC1418" s="100"/>
      <c r="BD1418" s="100"/>
      <c r="BE1418" s="100"/>
      <c r="BF1418" s="100"/>
      <c r="BG1418" s="100"/>
      <c r="BH1418" s="100"/>
      <c r="BI1418" s="100"/>
      <c r="BJ1418" s="100"/>
      <c r="BK1418" s="102"/>
    </row>
    <row r="1419" spans="1:63" x14ac:dyDescent="0.25">
      <c r="A1419" s="92"/>
      <c r="B1419" s="92"/>
      <c r="C1419" s="92"/>
      <c r="D1419" s="92"/>
      <c r="E1419" s="92"/>
      <c r="F1419" s="92"/>
      <c r="G1419" s="92"/>
      <c r="H1419" s="92"/>
      <c r="I1419" s="92"/>
      <c r="J1419" s="92"/>
      <c r="K1419" s="92"/>
      <c r="L1419" s="92"/>
      <c r="M1419" s="92"/>
      <c r="N1419" s="92"/>
      <c r="AG1419" s="100"/>
      <c r="AH1419" s="101"/>
      <c r="AI1419" s="101"/>
      <c r="AJ1419" s="100"/>
      <c r="AK1419" s="100"/>
      <c r="AL1419" s="100"/>
      <c r="AM1419" s="100"/>
      <c r="AN1419" s="100"/>
      <c r="AO1419" s="100"/>
      <c r="AP1419" s="100"/>
      <c r="AQ1419" s="100"/>
      <c r="AR1419" s="100"/>
      <c r="AS1419" s="100"/>
      <c r="AT1419" s="102"/>
      <c r="AX1419" s="100"/>
      <c r="AY1419" s="101"/>
      <c r="AZ1419" s="101"/>
      <c r="BA1419" s="100"/>
      <c r="BB1419" s="100"/>
      <c r="BC1419" s="100"/>
      <c r="BD1419" s="100"/>
      <c r="BE1419" s="100"/>
      <c r="BF1419" s="100"/>
      <c r="BG1419" s="100"/>
      <c r="BH1419" s="100"/>
      <c r="BI1419" s="100"/>
      <c r="BJ1419" s="100"/>
      <c r="BK1419" s="102"/>
    </row>
    <row r="1420" spans="1:63" x14ac:dyDescent="0.25">
      <c r="A1420" s="92"/>
      <c r="B1420" s="93"/>
      <c r="C1420" s="93"/>
      <c r="D1420" s="92"/>
      <c r="E1420" s="92"/>
      <c r="F1420" s="92"/>
      <c r="G1420" s="92"/>
      <c r="H1420" s="92"/>
      <c r="I1420" s="92"/>
      <c r="J1420" s="92"/>
      <c r="K1420" s="92"/>
      <c r="L1420" s="92"/>
      <c r="M1420" s="92"/>
      <c r="N1420" s="94"/>
      <c r="AG1420" s="100"/>
      <c r="AH1420" s="101"/>
      <c r="AI1420" s="101"/>
      <c r="AJ1420" s="100"/>
      <c r="AK1420" s="100"/>
      <c r="AL1420" s="100"/>
      <c r="AM1420" s="100"/>
      <c r="AN1420" s="100"/>
      <c r="AO1420" s="100"/>
      <c r="AP1420" s="100"/>
      <c r="AQ1420" s="100"/>
      <c r="AR1420" s="100"/>
      <c r="AS1420" s="100"/>
      <c r="AT1420" s="102"/>
      <c r="AX1420" s="100"/>
      <c r="AY1420" s="101"/>
      <c r="AZ1420" s="101"/>
      <c r="BA1420" s="101"/>
      <c r="BB1420" s="100"/>
      <c r="BC1420" s="100"/>
      <c r="BD1420" s="100"/>
      <c r="BE1420" s="100"/>
      <c r="BF1420" s="100"/>
      <c r="BG1420" s="100"/>
      <c r="BH1420" s="100"/>
      <c r="BI1420" s="100"/>
      <c r="BJ1420" s="100"/>
      <c r="BK1420" s="102"/>
    </row>
    <row r="1421" spans="1:63" x14ac:dyDescent="0.25">
      <c r="A1421" s="92"/>
      <c r="B1421" s="93"/>
      <c r="C1421" s="93"/>
      <c r="D1421" s="92"/>
      <c r="E1421" s="92"/>
      <c r="F1421" s="92"/>
      <c r="G1421" s="92"/>
      <c r="H1421" s="92"/>
      <c r="I1421" s="92"/>
      <c r="J1421" s="92"/>
      <c r="K1421" s="92"/>
      <c r="L1421" s="92"/>
      <c r="M1421" s="92"/>
      <c r="N1421" s="94"/>
      <c r="AG1421" s="100"/>
      <c r="AH1421" s="101"/>
      <c r="AI1421" s="101"/>
      <c r="AJ1421" s="101"/>
      <c r="AK1421" s="100"/>
      <c r="AL1421" s="100"/>
      <c r="AM1421" s="100"/>
      <c r="AN1421" s="100"/>
      <c r="AO1421" s="100"/>
      <c r="AP1421" s="100"/>
      <c r="AQ1421" s="100"/>
      <c r="AR1421" s="100"/>
      <c r="AS1421" s="100"/>
      <c r="AT1421" s="102"/>
      <c r="AX1421" s="100"/>
      <c r="AY1421" s="101"/>
      <c r="AZ1421" s="101"/>
      <c r="BA1421" s="100"/>
      <c r="BB1421" s="100"/>
      <c r="BC1421" s="100"/>
      <c r="BD1421" s="100"/>
      <c r="BE1421" s="100"/>
      <c r="BF1421" s="100"/>
      <c r="BG1421" s="100"/>
      <c r="BH1421" s="100"/>
      <c r="BI1421" s="100"/>
      <c r="BJ1421" s="100"/>
      <c r="BK1421" s="102"/>
    </row>
    <row r="1422" spans="1:63" x14ac:dyDescent="0.25">
      <c r="A1422" s="92"/>
      <c r="B1422" s="93"/>
      <c r="C1422" s="93"/>
      <c r="D1422" s="92"/>
      <c r="E1422" s="92"/>
      <c r="F1422" s="92"/>
      <c r="G1422" s="92"/>
      <c r="H1422" s="92"/>
      <c r="I1422" s="92"/>
      <c r="J1422" s="92"/>
      <c r="K1422" s="92"/>
      <c r="L1422" s="92"/>
      <c r="M1422" s="92"/>
      <c r="N1422" s="94"/>
      <c r="AG1422" s="100"/>
      <c r="AH1422" s="101"/>
      <c r="AI1422" s="101"/>
      <c r="AJ1422" s="100"/>
      <c r="AK1422" s="100"/>
      <c r="AL1422" s="100"/>
      <c r="AM1422" s="100"/>
      <c r="AN1422" s="100"/>
      <c r="AO1422" s="100"/>
      <c r="AP1422" s="100"/>
      <c r="AQ1422" s="100"/>
      <c r="AR1422" s="100"/>
      <c r="AS1422" s="100"/>
      <c r="AT1422" s="102"/>
      <c r="AX1422" s="100"/>
      <c r="AY1422" s="101"/>
      <c r="AZ1422" s="101"/>
      <c r="BA1422" s="100"/>
      <c r="BB1422" s="100"/>
      <c r="BC1422" s="100"/>
      <c r="BD1422" s="100"/>
      <c r="BE1422" s="100"/>
      <c r="BF1422" s="100"/>
      <c r="BG1422" s="100"/>
      <c r="BH1422" s="100"/>
      <c r="BI1422" s="100"/>
      <c r="BJ1422" s="100"/>
      <c r="BK1422" s="102"/>
    </row>
    <row r="1423" spans="1:63" x14ac:dyDescent="0.25">
      <c r="A1423" s="92"/>
      <c r="B1423" s="93"/>
      <c r="C1423" s="93"/>
      <c r="D1423" s="92"/>
      <c r="E1423" s="92"/>
      <c r="F1423" s="92"/>
      <c r="G1423" s="92"/>
      <c r="H1423" s="92"/>
      <c r="I1423" s="92"/>
      <c r="J1423" s="92"/>
      <c r="K1423" s="92"/>
      <c r="L1423" s="92"/>
      <c r="M1423" s="92"/>
      <c r="N1423" s="94"/>
      <c r="AG1423" s="100"/>
      <c r="AH1423" s="101"/>
      <c r="AI1423" s="101"/>
      <c r="AJ1423" s="100"/>
      <c r="AK1423" s="100"/>
      <c r="AL1423" s="100"/>
      <c r="AM1423" s="100"/>
      <c r="AN1423" s="100"/>
      <c r="AO1423" s="100"/>
      <c r="AP1423" s="100"/>
      <c r="AQ1423" s="100"/>
      <c r="AR1423" s="100"/>
      <c r="AS1423" s="100"/>
      <c r="AT1423" s="102"/>
      <c r="AX1423" s="100"/>
      <c r="AY1423" s="101"/>
      <c r="AZ1423" s="101"/>
      <c r="BA1423" s="101"/>
      <c r="BB1423" s="100"/>
      <c r="BC1423" s="100"/>
      <c r="BD1423" s="100"/>
      <c r="BE1423" s="100"/>
      <c r="BF1423" s="100"/>
      <c r="BG1423" s="100"/>
      <c r="BH1423" s="100"/>
      <c r="BI1423" s="100"/>
      <c r="BJ1423" s="100"/>
      <c r="BK1423" s="102"/>
    </row>
    <row r="1424" spans="1:63" x14ac:dyDescent="0.25">
      <c r="A1424" s="92"/>
      <c r="B1424" s="93"/>
      <c r="C1424" s="93"/>
      <c r="D1424" s="92"/>
      <c r="E1424" s="92"/>
      <c r="F1424" s="92"/>
      <c r="G1424" s="92"/>
      <c r="H1424" s="92"/>
      <c r="I1424" s="92"/>
      <c r="J1424" s="92"/>
      <c r="K1424" s="92"/>
      <c r="L1424" s="92"/>
      <c r="M1424" s="92"/>
      <c r="N1424" s="94"/>
      <c r="AG1424" s="100"/>
      <c r="AH1424" s="101"/>
      <c r="AI1424" s="101"/>
      <c r="AJ1424" s="100"/>
      <c r="AK1424" s="100"/>
      <c r="AL1424" s="100"/>
      <c r="AM1424" s="100"/>
      <c r="AN1424" s="100"/>
      <c r="AO1424" s="100"/>
      <c r="AP1424" s="100"/>
      <c r="AQ1424" s="100"/>
      <c r="AR1424" s="100"/>
      <c r="AS1424" s="100"/>
      <c r="AT1424" s="102"/>
      <c r="AX1424" s="100"/>
      <c r="AY1424" s="101"/>
      <c r="AZ1424" s="101"/>
      <c r="BA1424" s="100"/>
      <c r="BB1424" s="100"/>
      <c r="BC1424" s="100"/>
      <c r="BD1424" s="100"/>
      <c r="BE1424" s="100"/>
      <c r="BF1424" s="100"/>
      <c r="BG1424" s="100"/>
      <c r="BH1424" s="100"/>
      <c r="BI1424" s="100"/>
      <c r="BJ1424" s="100"/>
      <c r="BK1424" s="102"/>
    </row>
    <row r="1425" spans="1:63" x14ac:dyDescent="0.25">
      <c r="A1425" s="92"/>
      <c r="B1425" s="92"/>
      <c r="C1425" s="92"/>
      <c r="D1425" s="92"/>
      <c r="E1425" s="92"/>
      <c r="F1425" s="92"/>
      <c r="G1425" s="92"/>
      <c r="H1425" s="92"/>
      <c r="I1425" s="92"/>
      <c r="J1425" s="92"/>
      <c r="K1425" s="92"/>
      <c r="L1425" s="92"/>
      <c r="M1425" s="92"/>
      <c r="N1425" s="92"/>
      <c r="AG1425" s="100"/>
      <c r="AH1425" s="101"/>
      <c r="AI1425" s="101"/>
      <c r="AJ1425" s="100"/>
      <c r="AK1425" s="100"/>
      <c r="AL1425" s="100"/>
      <c r="AM1425" s="100"/>
      <c r="AN1425" s="100"/>
      <c r="AO1425" s="100"/>
      <c r="AP1425" s="100"/>
      <c r="AQ1425" s="100"/>
      <c r="AR1425" s="100"/>
      <c r="AS1425" s="100"/>
      <c r="AT1425" s="102"/>
      <c r="AX1425" s="100"/>
      <c r="AY1425" s="101"/>
      <c r="AZ1425" s="101"/>
      <c r="BA1425" s="100"/>
      <c r="BB1425" s="100"/>
      <c r="BC1425" s="100"/>
      <c r="BD1425" s="100"/>
      <c r="BE1425" s="100"/>
      <c r="BF1425" s="100"/>
      <c r="BG1425" s="100"/>
      <c r="BH1425" s="100"/>
      <c r="BI1425" s="100"/>
      <c r="BJ1425" s="100"/>
      <c r="BK1425" s="102"/>
    </row>
    <row r="1426" spans="1:63" x14ac:dyDescent="0.25">
      <c r="A1426" s="92"/>
      <c r="B1426" s="92"/>
      <c r="C1426" s="92"/>
      <c r="D1426" s="92"/>
      <c r="E1426" s="92"/>
      <c r="F1426" s="92"/>
      <c r="G1426" s="92"/>
      <c r="H1426" s="92"/>
      <c r="I1426" s="92"/>
      <c r="J1426" s="92"/>
      <c r="K1426" s="92"/>
      <c r="L1426" s="92"/>
      <c r="M1426" s="92"/>
      <c r="N1426" s="92"/>
      <c r="AG1426" s="100"/>
      <c r="AH1426" s="101"/>
      <c r="AI1426" s="101"/>
      <c r="AJ1426" s="100"/>
      <c r="AK1426" s="100"/>
      <c r="AL1426" s="100"/>
      <c r="AM1426" s="100"/>
      <c r="AN1426" s="100"/>
      <c r="AO1426" s="100"/>
      <c r="AP1426" s="100"/>
      <c r="AQ1426" s="100"/>
      <c r="AR1426" s="100"/>
      <c r="AS1426" s="100"/>
      <c r="AT1426" s="102"/>
      <c r="AX1426" s="100"/>
      <c r="AY1426" s="101"/>
      <c r="AZ1426" s="101"/>
      <c r="BA1426" s="100"/>
      <c r="BB1426" s="100"/>
      <c r="BC1426" s="100"/>
      <c r="BD1426" s="100"/>
      <c r="BE1426" s="100"/>
      <c r="BF1426" s="100"/>
      <c r="BG1426" s="100"/>
      <c r="BH1426" s="100"/>
      <c r="BI1426" s="100"/>
      <c r="BJ1426" s="100"/>
      <c r="BK1426" s="102"/>
    </row>
    <row r="1427" spans="1:63" x14ac:dyDescent="0.25">
      <c r="A1427" s="92"/>
      <c r="B1427" s="92"/>
      <c r="C1427" s="92"/>
      <c r="D1427" s="92"/>
      <c r="E1427" s="92"/>
      <c r="F1427" s="92"/>
      <c r="G1427" s="92"/>
      <c r="H1427" s="92"/>
      <c r="I1427" s="92"/>
      <c r="J1427" s="92"/>
      <c r="K1427" s="92"/>
      <c r="L1427" s="92"/>
      <c r="M1427" s="92"/>
      <c r="N1427" s="92"/>
      <c r="AG1427" s="100"/>
      <c r="AH1427" s="101"/>
      <c r="AI1427" s="101"/>
      <c r="AJ1427" s="100"/>
      <c r="AK1427" s="100"/>
      <c r="AL1427" s="100"/>
      <c r="AM1427" s="100"/>
      <c r="AN1427" s="100"/>
      <c r="AO1427" s="100"/>
      <c r="AP1427" s="100"/>
      <c r="AQ1427" s="100"/>
      <c r="AR1427" s="100"/>
      <c r="AS1427" s="100"/>
      <c r="AT1427" s="102"/>
      <c r="AX1427" s="100"/>
      <c r="AY1427" s="101"/>
      <c r="AZ1427" s="101"/>
      <c r="BA1427" s="100"/>
      <c r="BB1427" s="100"/>
      <c r="BC1427" s="100"/>
      <c r="BD1427" s="100"/>
      <c r="BE1427" s="100"/>
      <c r="BF1427" s="100"/>
      <c r="BG1427" s="100"/>
      <c r="BH1427" s="100"/>
      <c r="BI1427" s="100"/>
      <c r="BJ1427" s="100"/>
      <c r="BK1427" s="102"/>
    </row>
    <row r="1428" spans="1:63" x14ac:dyDescent="0.25">
      <c r="A1428" s="92"/>
      <c r="B1428" s="92"/>
      <c r="C1428" s="92"/>
      <c r="D1428" s="92"/>
      <c r="E1428" s="92"/>
      <c r="F1428" s="92"/>
      <c r="G1428" s="92"/>
      <c r="H1428" s="92"/>
      <c r="I1428" s="92"/>
      <c r="J1428" s="92"/>
      <c r="K1428" s="92"/>
      <c r="L1428" s="92"/>
      <c r="M1428" s="92"/>
      <c r="N1428" s="92"/>
      <c r="AG1428" s="100"/>
      <c r="AH1428" s="101"/>
      <c r="AI1428" s="101"/>
      <c r="AJ1428" s="100"/>
      <c r="AK1428" s="100"/>
      <c r="AL1428" s="100"/>
      <c r="AM1428" s="100"/>
      <c r="AN1428" s="100"/>
      <c r="AO1428" s="100"/>
      <c r="AP1428" s="100"/>
      <c r="AQ1428" s="100"/>
      <c r="AR1428" s="100"/>
      <c r="AS1428" s="100"/>
      <c r="AT1428" s="102"/>
      <c r="AX1428" s="100"/>
      <c r="AY1428" s="101"/>
      <c r="AZ1428" s="101"/>
      <c r="BA1428" s="100"/>
      <c r="BB1428" s="100"/>
      <c r="BC1428" s="100"/>
      <c r="BD1428" s="100"/>
      <c r="BE1428" s="100"/>
      <c r="BF1428" s="100"/>
      <c r="BG1428" s="100"/>
      <c r="BH1428" s="100"/>
      <c r="BI1428" s="100"/>
      <c r="BJ1428" s="100"/>
      <c r="BK1428" s="102"/>
    </row>
    <row r="1429" spans="1:63" x14ac:dyDescent="0.25">
      <c r="A1429" s="92"/>
      <c r="B1429" s="92"/>
      <c r="C1429" s="92"/>
      <c r="D1429" s="92"/>
      <c r="E1429" s="92"/>
      <c r="F1429" s="92"/>
      <c r="G1429" s="92"/>
      <c r="H1429" s="92"/>
      <c r="I1429" s="92"/>
      <c r="J1429" s="92"/>
      <c r="K1429" s="92"/>
      <c r="L1429" s="92"/>
      <c r="M1429" s="92"/>
      <c r="N1429" s="92"/>
      <c r="AG1429" s="100"/>
      <c r="AH1429" s="101"/>
      <c r="AI1429" s="101"/>
      <c r="AJ1429" s="100"/>
      <c r="AK1429" s="100"/>
      <c r="AL1429" s="100"/>
      <c r="AM1429" s="100"/>
      <c r="AN1429" s="100"/>
      <c r="AO1429" s="100"/>
      <c r="AP1429" s="100"/>
      <c r="AQ1429" s="100"/>
      <c r="AR1429" s="100"/>
      <c r="AS1429" s="100"/>
      <c r="AT1429" s="102"/>
      <c r="AX1429" s="100"/>
      <c r="AY1429" s="101"/>
      <c r="AZ1429" s="101"/>
      <c r="BA1429" s="101"/>
      <c r="BB1429" s="100"/>
      <c r="BC1429" s="100"/>
      <c r="BD1429" s="100"/>
      <c r="BE1429" s="100"/>
      <c r="BF1429" s="100"/>
      <c r="BG1429" s="100"/>
      <c r="BH1429" s="100"/>
      <c r="BI1429" s="100"/>
      <c r="BJ1429" s="100"/>
      <c r="BK1429" s="102"/>
    </row>
    <row r="1430" spans="1:63" x14ac:dyDescent="0.25">
      <c r="A1430" s="92"/>
      <c r="B1430" s="92"/>
      <c r="C1430" s="92"/>
      <c r="D1430" s="92"/>
      <c r="E1430" s="92"/>
      <c r="F1430" s="92"/>
      <c r="G1430" s="92"/>
      <c r="H1430" s="92"/>
      <c r="I1430" s="92"/>
      <c r="J1430" s="92"/>
      <c r="K1430" s="92"/>
      <c r="L1430" s="92"/>
      <c r="M1430" s="92"/>
      <c r="N1430" s="92"/>
      <c r="AG1430" s="100"/>
      <c r="AH1430" s="101"/>
      <c r="AI1430" s="101"/>
      <c r="AJ1430" s="101"/>
      <c r="AK1430" s="100"/>
      <c r="AL1430" s="100"/>
      <c r="AM1430" s="100"/>
      <c r="AN1430" s="100"/>
      <c r="AO1430" s="100"/>
      <c r="AP1430" s="100"/>
      <c r="AQ1430" s="100"/>
      <c r="AR1430" s="100"/>
      <c r="AS1430" s="100"/>
      <c r="AT1430" s="102"/>
      <c r="AX1430" s="100"/>
      <c r="AY1430" s="101"/>
      <c r="AZ1430" s="101"/>
      <c r="BA1430" s="100"/>
      <c r="BB1430" s="100"/>
      <c r="BC1430" s="100"/>
      <c r="BD1430" s="100"/>
      <c r="BE1430" s="100"/>
      <c r="BF1430" s="100"/>
      <c r="BG1430" s="100"/>
      <c r="BH1430" s="100"/>
      <c r="BI1430" s="100"/>
      <c r="BJ1430" s="100"/>
      <c r="BK1430" s="102"/>
    </row>
    <row r="1431" spans="1:63" x14ac:dyDescent="0.25">
      <c r="A1431" s="92"/>
      <c r="B1431" s="92"/>
      <c r="C1431" s="92"/>
      <c r="D1431" s="92"/>
      <c r="E1431" s="92"/>
      <c r="F1431" s="92"/>
      <c r="G1431" s="92"/>
      <c r="H1431" s="92"/>
      <c r="I1431" s="92"/>
      <c r="J1431" s="92"/>
      <c r="K1431" s="92"/>
      <c r="L1431" s="92"/>
      <c r="M1431" s="92"/>
      <c r="N1431" s="92"/>
      <c r="AG1431" s="100"/>
      <c r="AH1431" s="101"/>
      <c r="AI1431" s="100"/>
      <c r="AJ1431" s="101"/>
      <c r="AK1431" s="100"/>
      <c r="AL1431" s="100"/>
      <c r="AM1431" s="100"/>
      <c r="AN1431" s="100"/>
      <c r="AO1431" s="100"/>
      <c r="AP1431" s="100"/>
      <c r="AQ1431" s="100"/>
      <c r="AR1431" s="100"/>
      <c r="AS1431" s="100"/>
      <c r="AT1431" s="102"/>
      <c r="AX1431" s="100"/>
      <c r="AY1431" s="101"/>
      <c r="AZ1431" s="101"/>
      <c r="BA1431" s="100"/>
      <c r="BB1431" s="100"/>
      <c r="BC1431" s="100"/>
      <c r="BD1431" s="100"/>
      <c r="BE1431" s="100"/>
      <c r="BF1431" s="100"/>
      <c r="BG1431" s="100"/>
      <c r="BH1431" s="100"/>
      <c r="BI1431" s="100"/>
      <c r="BJ1431" s="100"/>
      <c r="BK1431" s="102"/>
    </row>
    <row r="1432" spans="1:63" x14ac:dyDescent="0.25">
      <c r="A1432" s="92"/>
      <c r="B1432" s="92"/>
      <c r="C1432" s="92"/>
      <c r="D1432" s="92"/>
      <c r="E1432" s="92"/>
      <c r="F1432" s="92"/>
      <c r="G1432" s="92"/>
      <c r="H1432" s="92"/>
      <c r="I1432" s="92"/>
      <c r="J1432" s="92"/>
      <c r="K1432" s="92"/>
      <c r="L1432" s="92"/>
      <c r="M1432" s="92"/>
      <c r="N1432" s="92"/>
      <c r="AG1432" s="100"/>
      <c r="AH1432" s="101"/>
      <c r="AI1432" s="100"/>
      <c r="AJ1432" s="101"/>
      <c r="AK1432" s="100"/>
      <c r="AL1432" s="100"/>
      <c r="AM1432" s="100"/>
      <c r="AN1432" s="100"/>
      <c r="AO1432" s="100"/>
      <c r="AP1432" s="100"/>
      <c r="AQ1432" s="100"/>
      <c r="AR1432" s="100"/>
      <c r="AS1432" s="100"/>
      <c r="AT1432" s="102"/>
      <c r="AX1432" s="100"/>
      <c r="AY1432" s="101"/>
      <c r="AZ1432" s="101"/>
      <c r="BA1432" s="101"/>
      <c r="BB1432" s="100"/>
      <c r="BC1432" s="100"/>
      <c r="BD1432" s="100"/>
      <c r="BE1432" s="100"/>
      <c r="BF1432" s="100"/>
      <c r="BG1432" s="100"/>
      <c r="BH1432" s="100"/>
      <c r="BI1432" s="100"/>
      <c r="BJ1432" s="100"/>
      <c r="BK1432" s="102"/>
    </row>
    <row r="1433" spans="1:63" x14ac:dyDescent="0.25">
      <c r="A1433" s="92"/>
      <c r="B1433" s="92"/>
      <c r="C1433" s="92"/>
      <c r="D1433" s="92"/>
      <c r="E1433" s="92"/>
      <c r="F1433" s="92"/>
      <c r="G1433" s="92"/>
      <c r="H1433" s="92"/>
      <c r="I1433" s="92"/>
      <c r="J1433" s="92"/>
      <c r="K1433" s="92"/>
      <c r="L1433" s="92"/>
      <c r="M1433" s="92"/>
      <c r="N1433" s="92"/>
      <c r="AG1433" s="100"/>
      <c r="AH1433" s="101"/>
      <c r="AI1433" s="100"/>
      <c r="AJ1433" s="101"/>
      <c r="AK1433" s="100"/>
      <c r="AL1433" s="100"/>
      <c r="AM1433" s="100"/>
      <c r="AN1433" s="100"/>
      <c r="AO1433" s="100"/>
      <c r="AP1433" s="100"/>
      <c r="AQ1433" s="100"/>
      <c r="AR1433" s="100"/>
      <c r="AS1433" s="100"/>
      <c r="AT1433" s="102"/>
      <c r="AX1433" s="100"/>
      <c r="AY1433" s="101"/>
      <c r="AZ1433" s="101"/>
      <c r="BA1433" s="100"/>
      <c r="BB1433" s="100"/>
      <c r="BC1433" s="100"/>
      <c r="BD1433" s="100"/>
      <c r="BE1433" s="100"/>
      <c r="BF1433" s="100"/>
      <c r="BG1433" s="100"/>
      <c r="BH1433" s="100"/>
      <c r="BI1433" s="100"/>
      <c r="BJ1433" s="100"/>
      <c r="BK1433" s="102"/>
    </row>
    <row r="1434" spans="1:63" x14ac:dyDescent="0.25">
      <c r="A1434" s="92"/>
      <c r="B1434" s="92"/>
      <c r="C1434" s="92"/>
      <c r="D1434" s="92"/>
      <c r="E1434" s="92"/>
      <c r="F1434" s="92"/>
      <c r="G1434" s="92"/>
      <c r="H1434" s="92"/>
      <c r="I1434" s="92"/>
      <c r="J1434" s="92"/>
      <c r="K1434" s="92"/>
      <c r="L1434" s="92"/>
      <c r="M1434" s="92"/>
      <c r="N1434" s="92"/>
      <c r="AG1434" s="100"/>
      <c r="AH1434" s="101"/>
      <c r="AI1434" s="101"/>
      <c r="AJ1434" s="100"/>
      <c r="AK1434" s="100"/>
      <c r="AL1434" s="100"/>
      <c r="AM1434" s="100"/>
      <c r="AN1434" s="100"/>
      <c r="AO1434" s="100"/>
      <c r="AP1434" s="100"/>
      <c r="AQ1434" s="100"/>
      <c r="AR1434" s="100"/>
      <c r="AS1434" s="100"/>
      <c r="AT1434" s="102"/>
      <c r="AX1434" s="100"/>
      <c r="AY1434" s="101"/>
      <c r="AZ1434" s="101"/>
      <c r="BA1434" s="100"/>
      <c r="BB1434" s="100"/>
      <c r="BC1434" s="100"/>
      <c r="BD1434" s="100"/>
      <c r="BE1434" s="100"/>
      <c r="BF1434" s="100"/>
      <c r="BG1434" s="100"/>
      <c r="BH1434" s="100"/>
      <c r="BI1434" s="100"/>
      <c r="BJ1434" s="100"/>
      <c r="BK1434" s="102"/>
    </row>
    <row r="1435" spans="1:63" x14ac:dyDescent="0.25">
      <c r="A1435" s="92"/>
      <c r="B1435" s="93"/>
      <c r="C1435" s="93"/>
      <c r="D1435" s="93"/>
      <c r="E1435" s="92"/>
      <c r="F1435" s="92"/>
      <c r="G1435" s="92"/>
      <c r="H1435" s="92"/>
      <c r="I1435" s="92"/>
      <c r="J1435" s="92"/>
      <c r="K1435" s="92"/>
      <c r="L1435" s="92"/>
      <c r="M1435" s="92"/>
      <c r="N1435" s="94"/>
      <c r="AG1435" s="100"/>
      <c r="AH1435" s="101"/>
      <c r="AI1435" s="101"/>
      <c r="AJ1435" s="100"/>
      <c r="AK1435" s="100"/>
      <c r="AL1435" s="100"/>
      <c r="AM1435" s="100"/>
      <c r="AN1435" s="100"/>
      <c r="AO1435" s="100"/>
      <c r="AP1435" s="100"/>
      <c r="AQ1435" s="100"/>
      <c r="AR1435" s="100"/>
      <c r="AS1435" s="100"/>
      <c r="AT1435" s="102"/>
      <c r="AX1435" s="100"/>
      <c r="AY1435" s="101"/>
      <c r="AZ1435" s="101"/>
      <c r="BA1435" s="100"/>
      <c r="BB1435" s="100"/>
      <c r="BC1435" s="100"/>
      <c r="BD1435" s="100"/>
      <c r="BE1435" s="100"/>
      <c r="BF1435" s="100"/>
      <c r="BG1435" s="100"/>
      <c r="BH1435" s="100"/>
      <c r="BI1435" s="100"/>
      <c r="BJ1435" s="100"/>
      <c r="BK1435" s="102"/>
    </row>
    <row r="1436" spans="1:63" x14ac:dyDescent="0.25">
      <c r="A1436" s="92"/>
      <c r="B1436" s="92"/>
      <c r="C1436" s="92"/>
      <c r="D1436" s="92"/>
      <c r="E1436" s="92"/>
      <c r="F1436" s="92"/>
      <c r="G1436" s="92"/>
      <c r="H1436" s="92"/>
      <c r="I1436" s="92"/>
      <c r="J1436" s="92"/>
      <c r="K1436" s="92"/>
      <c r="L1436" s="92"/>
      <c r="M1436" s="92"/>
      <c r="N1436" s="92"/>
      <c r="AG1436" s="100"/>
      <c r="AH1436" s="101"/>
      <c r="AI1436" s="101"/>
      <c r="AJ1436" s="100"/>
      <c r="AK1436" s="100"/>
      <c r="AL1436" s="100"/>
      <c r="AM1436" s="100"/>
      <c r="AN1436" s="100"/>
      <c r="AO1436" s="100"/>
      <c r="AP1436" s="100"/>
      <c r="AQ1436" s="100"/>
      <c r="AR1436" s="100"/>
      <c r="AS1436" s="100"/>
      <c r="AT1436" s="102"/>
      <c r="AX1436" s="100"/>
      <c r="AY1436" s="101"/>
      <c r="AZ1436" s="101"/>
      <c r="BA1436" s="100"/>
      <c r="BB1436" s="100"/>
      <c r="BC1436" s="100"/>
      <c r="BD1436" s="100"/>
      <c r="BE1436" s="100"/>
      <c r="BF1436" s="100"/>
      <c r="BG1436" s="100"/>
      <c r="BH1436" s="100"/>
      <c r="BI1436" s="100"/>
      <c r="BJ1436" s="100"/>
      <c r="BK1436" s="102"/>
    </row>
    <row r="1437" spans="1:63" x14ac:dyDescent="0.25">
      <c r="A1437" s="92"/>
      <c r="B1437" s="93"/>
      <c r="C1437" s="93"/>
      <c r="D1437" s="92"/>
      <c r="E1437" s="92"/>
      <c r="F1437" s="92"/>
      <c r="G1437" s="92"/>
      <c r="H1437" s="92"/>
      <c r="I1437" s="92"/>
      <c r="J1437" s="92"/>
      <c r="K1437" s="92"/>
      <c r="L1437" s="92"/>
      <c r="M1437" s="92"/>
      <c r="N1437" s="94"/>
      <c r="AG1437" s="100"/>
      <c r="AH1437" s="101"/>
      <c r="AI1437" s="101"/>
      <c r="AJ1437" s="101"/>
      <c r="AK1437" s="100"/>
      <c r="AL1437" s="100"/>
      <c r="AM1437" s="100"/>
      <c r="AN1437" s="100"/>
      <c r="AO1437" s="100"/>
      <c r="AP1437" s="100"/>
      <c r="AQ1437" s="100"/>
      <c r="AR1437" s="100"/>
      <c r="AS1437" s="100"/>
      <c r="AT1437" s="102"/>
      <c r="AX1437" s="100"/>
      <c r="AY1437" s="101"/>
      <c r="AZ1437" s="101"/>
      <c r="BA1437" s="100"/>
      <c r="BB1437" s="100"/>
      <c r="BC1437" s="100"/>
      <c r="BD1437" s="100"/>
      <c r="BE1437" s="100"/>
      <c r="BF1437" s="100"/>
      <c r="BG1437" s="100"/>
      <c r="BH1437" s="100"/>
      <c r="BI1437" s="100"/>
      <c r="BJ1437" s="100"/>
      <c r="BK1437" s="102"/>
    </row>
    <row r="1438" spans="1:63" x14ac:dyDescent="0.25">
      <c r="A1438" s="92"/>
      <c r="B1438" s="92"/>
      <c r="C1438" s="92"/>
      <c r="D1438" s="92"/>
      <c r="E1438" s="92"/>
      <c r="F1438" s="92"/>
      <c r="G1438" s="92"/>
      <c r="H1438" s="92"/>
      <c r="I1438" s="92"/>
      <c r="J1438" s="92"/>
      <c r="K1438" s="92"/>
      <c r="L1438" s="92"/>
      <c r="M1438" s="92"/>
      <c r="N1438" s="92"/>
      <c r="AG1438" s="100"/>
      <c r="AH1438" s="101"/>
      <c r="AI1438" s="101"/>
      <c r="AJ1438" s="100"/>
      <c r="AK1438" s="100"/>
      <c r="AL1438" s="100"/>
      <c r="AM1438" s="100"/>
      <c r="AN1438" s="100"/>
      <c r="AO1438" s="100"/>
      <c r="AP1438" s="100"/>
      <c r="AQ1438" s="100"/>
      <c r="AR1438" s="100"/>
      <c r="AS1438" s="100"/>
      <c r="AT1438" s="102"/>
      <c r="AX1438" s="100"/>
      <c r="AY1438" s="101"/>
      <c r="AZ1438" s="101"/>
      <c r="BA1438" s="100"/>
      <c r="BB1438" s="100"/>
      <c r="BC1438" s="100"/>
      <c r="BD1438" s="100"/>
      <c r="BE1438" s="100"/>
      <c r="BF1438" s="100"/>
      <c r="BG1438" s="100"/>
      <c r="BH1438" s="100"/>
      <c r="BI1438" s="100"/>
      <c r="BJ1438" s="100"/>
      <c r="BK1438" s="102"/>
    </row>
    <row r="1439" spans="1:63" x14ac:dyDescent="0.25">
      <c r="A1439" s="92"/>
      <c r="B1439" s="92"/>
      <c r="C1439" s="92"/>
      <c r="D1439" s="92"/>
      <c r="E1439" s="92"/>
      <c r="F1439" s="92"/>
      <c r="G1439" s="92"/>
      <c r="H1439" s="92"/>
      <c r="I1439" s="92"/>
      <c r="J1439" s="92"/>
      <c r="K1439" s="92"/>
      <c r="L1439" s="92"/>
      <c r="M1439" s="92"/>
      <c r="N1439" s="92"/>
      <c r="AG1439" s="100"/>
      <c r="AH1439" s="101"/>
      <c r="AI1439" s="101"/>
      <c r="AJ1439" s="100"/>
      <c r="AK1439" s="100"/>
      <c r="AL1439" s="100"/>
      <c r="AM1439" s="100"/>
      <c r="AN1439" s="100"/>
      <c r="AO1439" s="100"/>
      <c r="AP1439" s="100"/>
      <c r="AQ1439" s="100"/>
      <c r="AR1439" s="100"/>
      <c r="AS1439" s="100"/>
      <c r="AT1439" s="102"/>
      <c r="AX1439" s="100"/>
      <c r="AY1439" s="101"/>
      <c r="AZ1439" s="101"/>
      <c r="BA1439" s="100"/>
      <c r="BB1439" s="100"/>
      <c r="BC1439" s="100"/>
      <c r="BD1439" s="100"/>
      <c r="BE1439" s="100"/>
      <c r="BF1439" s="100"/>
      <c r="BG1439" s="100"/>
      <c r="BH1439" s="100"/>
      <c r="BI1439" s="100"/>
      <c r="BJ1439" s="100"/>
      <c r="BK1439" s="102"/>
    </row>
    <row r="1440" spans="1:63" x14ac:dyDescent="0.25">
      <c r="A1440" s="92"/>
      <c r="B1440" s="92"/>
      <c r="C1440" s="92"/>
      <c r="D1440" s="92"/>
      <c r="E1440" s="92"/>
      <c r="F1440" s="92"/>
      <c r="G1440" s="92"/>
      <c r="H1440" s="92"/>
      <c r="I1440" s="92"/>
      <c r="J1440" s="92"/>
      <c r="K1440" s="92"/>
      <c r="L1440" s="92"/>
      <c r="M1440" s="92"/>
      <c r="N1440" s="92"/>
      <c r="AG1440" s="100"/>
      <c r="AH1440" s="101"/>
      <c r="AI1440" s="101"/>
      <c r="AJ1440" s="101"/>
      <c r="AK1440" s="100"/>
      <c r="AL1440" s="100"/>
      <c r="AM1440" s="100"/>
      <c r="AN1440" s="100"/>
      <c r="AO1440" s="100"/>
      <c r="AP1440" s="100"/>
      <c r="AQ1440" s="100"/>
      <c r="AR1440" s="100"/>
      <c r="AS1440" s="100"/>
      <c r="AT1440" s="102"/>
      <c r="AX1440" s="100"/>
      <c r="AY1440" s="101"/>
      <c r="AZ1440" s="101"/>
      <c r="BA1440" s="100"/>
      <c r="BB1440" s="100"/>
      <c r="BC1440" s="100"/>
      <c r="BD1440" s="100"/>
      <c r="BE1440" s="100"/>
      <c r="BF1440" s="100"/>
      <c r="BG1440" s="100"/>
      <c r="BH1440" s="100"/>
      <c r="BI1440" s="100"/>
      <c r="BJ1440" s="100"/>
      <c r="BK1440" s="102"/>
    </row>
    <row r="1441" spans="1:63" x14ac:dyDescent="0.25">
      <c r="A1441" s="92"/>
      <c r="B1441" s="92"/>
      <c r="C1441" s="92"/>
      <c r="D1441" s="92"/>
      <c r="E1441" s="92"/>
      <c r="F1441" s="92"/>
      <c r="G1441" s="92"/>
      <c r="H1441" s="92"/>
      <c r="I1441" s="92"/>
      <c r="J1441" s="92"/>
      <c r="K1441" s="92"/>
      <c r="L1441" s="92"/>
      <c r="M1441" s="92"/>
      <c r="N1441" s="92"/>
      <c r="AG1441" s="100"/>
      <c r="AH1441" s="101"/>
      <c r="AI1441" s="101"/>
      <c r="AJ1441" s="100"/>
      <c r="AK1441" s="100"/>
      <c r="AL1441" s="100"/>
      <c r="AM1441" s="100"/>
      <c r="AN1441" s="100"/>
      <c r="AO1441" s="100"/>
      <c r="AP1441" s="100"/>
      <c r="AQ1441" s="100"/>
      <c r="AR1441" s="100"/>
      <c r="AS1441" s="100"/>
      <c r="AT1441" s="102"/>
      <c r="AX1441" s="100"/>
      <c r="AY1441" s="101"/>
      <c r="AZ1441" s="101"/>
      <c r="BA1441" s="101"/>
      <c r="BB1441" s="100"/>
      <c r="BC1441" s="100"/>
      <c r="BD1441" s="100"/>
      <c r="BE1441" s="100"/>
      <c r="BF1441" s="100"/>
      <c r="BG1441" s="100"/>
      <c r="BH1441" s="100"/>
      <c r="BI1441" s="100"/>
      <c r="BJ1441" s="100"/>
      <c r="BK1441" s="102"/>
    </row>
    <row r="1442" spans="1:63" x14ac:dyDescent="0.25">
      <c r="A1442" s="92"/>
      <c r="B1442" s="92"/>
      <c r="C1442" s="92"/>
      <c r="D1442" s="92"/>
      <c r="E1442" s="92"/>
      <c r="F1442" s="92"/>
      <c r="G1442" s="92"/>
      <c r="H1442" s="92"/>
      <c r="I1442" s="92"/>
      <c r="J1442" s="92"/>
      <c r="K1442" s="92"/>
      <c r="L1442" s="92"/>
      <c r="M1442" s="92"/>
      <c r="N1442" s="92"/>
      <c r="AG1442" s="100"/>
      <c r="AH1442" s="101"/>
      <c r="AI1442" s="101"/>
      <c r="AJ1442" s="100"/>
      <c r="AK1442" s="100"/>
      <c r="AL1442" s="100"/>
      <c r="AM1442" s="100"/>
      <c r="AN1442" s="100"/>
      <c r="AO1442" s="100"/>
      <c r="AP1442" s="100"/>
      <c r="AQ1442" s="100"/>
      <c r="AR1442" s="100"/>
      <c r="AS1442" s="100"/>
      <c r="AT1442" s="102"/>
      <c r="AX1442" s="100"/>
      <c r="AY1442" s="101"/>
      <c r="AZ1442" s="101"/>
      <c r="BA1442" s="100"/>
      <c r="BB1442" s="100"/>
      <c r="BC1442" s="100"/>
      <c r="BD1442" s="100"/>
      <c r="BE1442" s="100"/>
      <c r="BF1442" s="100"/>
      <c r="BG1442" s="100"/>
      <c r="BH1442" s="100"/>
      <c r="BI1442" s="100"/>
      <c r="BJ1442" s="100"/>
      <c r="BK1442" s="102"/>
    </row>
    <row r="1443" spans="1:63" x14ac:dyDescent="0.25">
      <c r="A1443" s="92"/>
      <c r="B1443" s="92"/>
      <c r="C1443" s="92"/>
      <c r="D1443" s="92"/>
      <c r="E1443" s="92"/>
      <c r="F1443" s="92"/>
      <c r="G1443" s="92"/>
      <c r="H1443" s="92"/>
      <c r="I1443" s="92"/>
      <c r="J1443" s="92"/>
      <c r="K1443" s="92"/>
      <c r="L1443" s="92"/>
      <c r="M1443" s="92"/>
      <c r="N1443" s="92"/>
      <c r="AG1443" s="100"/>
      <c r="AH1443" s="101"/>
      <c r="AI1443" s="101"/>
      <c r="AJ1443" s="100"/>
      <c r="AK1443" s="100"/>
      <c r="AL1443" s="100"/>
      <c r="AM1443" s="100"/>
      <c r="AN1443" s="100"/>
      <c r="AO1443" s="100"/>
      <c r="AP1443" s="100"/>
      <c r="AQ1443" s="100"/>
      <c r="AR1443" s="100"/>
      <c r="AS1443" s="100"/>
      <c r="AT1443" s="102"/>
      <c r="AX1443" s="100"/>
      <c r="AY1443" s="101"/>
      <c r="AZ1443" s="101"/>
      <c r="BA1443" s="100"/>
      <c r="BB1443" s="100"/>
      <c r="BC1443" s="100"/>
      <c r="BD1443" s="100"/>
      <c r="BE1443" s="100"/>
      <c r="BF1443" s="100"/>
      <c r="BG1443" s="100"/>
      <c r="BH1443" s="100"/>
      <c r="BI1443" s="100"/>
      <c r="BJ1443" s="100"/>
      <c r="BK1443" s="102"/>
    </row>
    <row r="1444" spans="1:63" x14ac:dyDescent="0.25">
      <c r="A1444" s="92"/>
      <c r="B1444" s="92"/>
      <c r="C1444" s="92"/>
      <c r="D1444" s="92"/>
      <c r="E1444" s="92"/>
      <c r="F1444" s="92"/>
      <c r="G1444" s="92"/>
      <c r="H1444" s="92"/>
      <c r="I1444" s="92"/>
      <c r="J1444" s="92"/>
      <c r="K1444" s="92"/>
      <c r="L1444" s="92"/>
      <c r="M1444" s="92"/>
      <c r="N1444" s="92"/>
      <c r="AG1444" s="100"/>
      <c r="AH1444" s="101"/>
      <c r="AI1444" s="101"/>
      <c r="AJ1444" s="100"/>
      <c r="AK1444" s="100"/>
      <c r="AL1444" s="100"/>
      <c r="AM1444" s="100"/>
      <c r="AN1444" s="100"/>
      <c r="AO1444" s="100"/>
      <c r="AP1444" s="100"/>
      <c r="AQ1444" s="100"/>
      <c r="AR1444" s="100"/>
      <c r="AS1444" s="100"/>
      <c r="AT1444" s="102"/>
      <c r="AX1444" s="100"/>
      <c r="AY1444" s="101"/>
      <c r="AZ1444" s="101"/>
      <c r="BA1444" s="100"/>
      <c r="BB1444" s="100"/>
      <c r="BC1444" s="100"/>
      <c r="BD1444" s="100"/>
      <c r="BE1444" s="100"/>
      <c r="BF1444" s="100"/>
      <c r="BG1444" s="100"/>
      <c r="BH1444" s="100"/>
      <c r="BI1444" s="100"/>
      <c r="BJ1444" s="100"/>
      <c r="BK1444" s="102"/>
    </row>
    <row r="1445" spans="1:63" x14ac:dyDescent="0.25">
      <c r="A1445" s="92"/>
      <c r="B1445" s="93"/>
      <c r="C1445" s="93"/>
      <c r="D1445" s="93"/>
      <c r="E1445" s="92"/>
      <c r="F1445" s="92"/>
      <c r="G1445" s="92"/>
      <c r="H1445" s="92"/>
      <c r="I1445" s="92"/>
      <c r="J1445" s="92"/>
      <c r="K1445" s="92"/>
      <c r="L1445" s="92"/>
      <c r="M1445" s="92"/>
      <c r="N1445" s="94"/>
      <c r="AG1445" s="100"/>
      <c r="AH1445" s="101"/>
      <c r="AI1445" s="101"/>
      <c r="AJ1445" s="100"/>
      <c r="AK1445" s="100"/>
      <c r="AL1445" s="100"/>
      <c r="AM1445" s="100"/>
      <c r="AN1445" s="100"/>
      <c r="AO1445" s="100"/>
      <c r="AP1445" s="100"/>
      <c r="AQ1445" s="100"/>
      <c r="AR1445" s="100"/>
      <c r="AS1445" s="100"/>
      <c r="AT1445" s="102"/>
      <c r="AX1445" s="100"/>
      <c r="AY1445" s="101"/>
      <c r="AZ1445" s="101"/>
      <c r="BA1445" s="100"/>
      <c r="BB1445" s="100"/>
      <c r="BC1445" s="100"/>
      <c r="BD1445" s="100"/>
      <c r="BE1445" s="100"/>
      <c r="BF1445" s="100"/>
      <c r="BG1445" s="100"/>
      <c r="BH1445" s="100"/>
      <c r="BI1445" s="100"/>
      <c r="BJ1445" s="100"/>
      <c r="BK1445" s="102"/>
    </row>
    <row r="1446" spans="1:63" x14ac:dyDescent="0.25">
      <c r="A1446" s="92"/>
      <c r="B1446" s="92"/>
      <c r="C1446" s="92"/>
      <c r="D1446" s="92"/>
      <c r="E1446" s="92"/>
      <c r="F1446" s="92"/>
      <c r="G1446" s="92"/>
      <c r="H1446" s="92"/>
      <c r="I1446" s="92"/>
      <c r="J1446" s="92"/>
      <c r="K1446" s="92"/>
      <c r="L1446" s="92"/>
      <c r="M1446" s="92"/>
      <c r="N1446" s="92"/>
      <c r="AG1446" s="100"/>
      <c r="AH1446" s="101"/>
      <c r="AI1446" s="101"/>
      <c r="AJ1446" s="100"/>
      <c r="AK1446" s="100"/>
      <c r="AL1446" s="100"/>
      <c r="AM1446" s="100"/>
      <c r="AN1446" s="100"/>
      <c r="AO1446" s="100"/>
      <c r="AP1446" s="100"/>
      <c r="AQ1446" s="100"/>
      <c r="AR1446" s="100"/>
      <c r="AS1446" s="100"/>
      <c r="AT1446" s="102"/>
      <c r="AX1446" s="100"/>
      <c r="AY1446" s="101"/>
      <c r="AZ1446" s="101"/>
      <c r="BA1446" s="100"/>
      <c r="BB1446" s="100"/>
      <c r="BC1446" s="100"/>
      <c r="BD1446" s="100"/>
      <c r="BE1446" s="100"/>
      <c r="BF1446" s="100"/>
      <c r="BG1446" s="100"/>
      <c r="BH1446" s="100"/>
      <c r="BI1446" s="100"/>
      <c r="BJ1446" s="100"/>
      <c r="BK1446" s="102"/>
    </row>
    <row r="1447" spans="1:63" x14ac:dyDescent="0.25">
      <c r="A1447" s="92"/>
      <c r="B1447" s="93"/>
      <c r="C1447" s="93"/>
      <c r="D1447" s="93"/>
      <c r="E1447" s="92"/>
      <c r="F1447" s="92"/>
      <c r="G1447" s="92"/>
      <c r="H1447" s="92"/>
      <c r="I1447" s="92"/>
      <c r="J1447" s="92"/>
      <c r="K1447" s="92"/>
      <c r="L1447" s="92"/>
      <c r="M1447" s="92"/>
      <c r="N1447" s="94"/>
      <c r="AG1447" s="100"/>
      <c r="AH1447" s="101"/>
      <c r="AI1447" s="101"/>
      <c r="AJ1447" s="100"/>
      <c r="AK1447" s="100"/>
      <c r="AL1447" s="100"/>
      <c r="AM1447" s="100"/>
      <c r="AN1447" s="100"/>
      <c r="AO1447" s="100"/>
      <c r="AP1447" s="100"/>
      <c r="AQ1447" s="100"/>
      <c r="AR1447" s="100"/>
      <c r="AS1447" s="100"/>
      <c r="AT1447" s="102"/>
      <c r="AX1447" s="100"/>
      <c r="AY1447" s="101"/>
      <c r="AZ1447" s="101"/>
      <c r="BA1447" s="100"/>
      <c r="BB1447" s="100"/>
      <c r="BC1447" s="100"/>
      <c r="BD1447" s="100"/>
      <c r="BE1447" s="100"/>
      <c r="BF1447" s="100"/>
      <c r="BG1447" s="100"/>
      <c r="BH1447" s="100"/>
      <c r="BI1447" s="100"/>
      <c r="BJ1447" s="100"/>
      <c r="BK1447" s="102"/>
    </row>
    <row r="1448" spans="1:63" x14ac:dyDescent="0.25">
      <c r="A1448" s="92"/>
      <c r="B1448" s="92"/>
      <c r="C1448" s="92"/>
      <c r="D1448" s="92"/>
      <c r="E1448" s="92"/>
      <c r="F1448" s="92"/>
      <c r="G1448" s="92"/>
      <c r="H1448" s="92"/>
      <c r="I1448" s="92"/>
      <c r="J1448" s="92"/>
      <c r="K1448" s="92"/>
      <c r="L1448" s="92"/>
      <c r="M1448" s="92"/>
      <c r="N1448" s="92"/>
      <c r="AG1448" s="100"/>
      <c r="AH1448" s="101"/>
      <c r="AI1448" s="101"/>
      <c r="AJ1448" s="100"/>
      <c r="AK1448" s="100"/>
      <c r="AL1448" s="100"/>
      <c r="AM1448" s="100"/>
      <c r="AN1448" s="100"/>
      <c r="AO1448" s="100"/>
      <c r="AP1448" s="100"/>
      <c r="AQ1448" s="100"/>
      <c r="AR1448" s="100"/>
      <c r="AS1448" s="100"/>
      <c r="AT1448" s="102"/>
      <c r="AX1448" s="100"/>
      <c r="AY1448" s="101"/>
      <c r="AZ1448" s="101"/>
      <c r="BA1448" s="100"/>
      <c r="BB1448" s="100"/>
      <c r="BC1448" s="100"/>
      <c r="BD1448" s="100"/>
      <c r="BE1448" s="100"/>
      <c r="BF1448" s="100"/>
      <c r="BG1448" s="100"/>
      <c r="BH1448" s="100"/>
      <c r="BI1448" s="100"/>
      <c r="BJ1448" s="100"/>
      <c r="BK1448" s="102"/>
    </row>
    <row r="1449" spans="1:63" x14ac:dyDescent="0.25">
      <c r="A1449" s="92"/>
      <c r="B1449" s="92"/>
      <c r="C1449" s="92"/>
      <c r="D1449" s="92"/>
      <c r="E1449" s="92"/>
      <c r="F1449" s="92"/>
      <c r="G1449" s="92"/>
      <c r="H1449" s="92"/>
      <c r="I1449" s="92"/>
      <c r="J1449" s="92"/>
      <c r="K1449" s="92"/>
      <c r="L1449" s="92"/>
      <c r="M1449" s="92"/>
      <c r="N1449" s="92"/>
      <c r="AG1449" s="100"/>
      <c r="AH1449" s="101"/>
      <c r="AI1449" s="101"/>
      <c r="AJ1449" s="100"/>
      <c r="AK1449" s="100"/>
      <c r="AL1449" s="100"/>
      <c r="AM1449" s="100"/>
      <c r="AN1449" s="100"/>
      <c r="AO1449" s="100"/>
      <c r="AP1449" s="100"/>
      <c r="AQ1449" s="100"/>
      <c r="AR1449" s="100"/>
      <c r="AS1449" s="100"/>
      <c r="AT1449" s="102"/>
      <c r="AX1449" s="100"/>
      <c r="AY1449" s="101"/>
      <c r="AZ1449" s="101"/>
      <c r="BA1449" s="100"/>
      <c r="BB1449" s="100"/>
      <c r="BC1449" s="100"/>
      <c r="BD1449" s="100"/>
      <c r="BE1449" s="100"/>
      <c r="BF1449" s="100"/>
      <c r="BG1449" s="100"/>
      <c r="BH1449" s="100"/>
      <c r="BI1449" s="100"/>
      <c r="BJ1449" s="100"/>
      <c r="BK1449" s="102"/>
    </row>
    <row r="1450" spans="1:63" x14ac:dyDescent="0.25">
      <c r="A1450" s="92"/>
      <c r="B1450" s="93"/>
      <c r="C1450" s="93"/>
      <c r="D1450" s="92"/>
      <c r="E1450" s="92"/>
      <c r="F1450" s="92"/>
      <c r="G1450" s="92"/>
      <c r="H1450" s="92"/>
      <c r="I1450" s="92"/>
      <c r="J1450" s="92"/>
      <c r="K1450" s="92"/>
      <c r="L1450" s="92"/>
      <c r="M1450" s="92"/>
      <c r="N1450" s="94"/>
      <c r="AG1450" s="100"/>
      <c r="AH1450" s="101"/>
      <c r="AI1450" s="101"/>
      <c r="AJ1450" s="100"/>
      <c r="AK1450" s="100"/>
      <c r="AL1450" s="100"/>
      <c r="AM1450" s="100"/>
      <c r="AN1450" s="100"/>
      <c r="AO1450" s="100"/>
      <c r="AP1450" s="100"/>
      <c r="AQ1450" s="100"/>
      <c r="AR1450" s="100"/>
      <c r="AS1450" s="100"/>
      <c r="AT1450" s="102"/>
      <c r="AX1450" s="100"/>
      <c r="AY1450" s="101"/>
      <c r="AZ1450" s="101"/>
      <c r="BA1450" s="101"/>
      <c r="BB1450" s="100"/>
      <c r="BC1450" s="100"/>
      <c r="BD1450" s="100"/>
      <c r="BE1450" s="100"/>
      <c r="BF1450" s="100"/>
      <c r="BG1450" s="100"/>
      <c r="BH1450" s="100"/>
      <c r="BI1450" s="100"/>
      <c r="BJ1450" s="100"/>
      <c r="BK1450" s="102"/>
    </row>
    <row r="1451" spans="1:63" x14ac:dyDescent="0.25">
      <c r="A1451" s="92"/>
      <c r="B1451" s="93"/>
      <c r="C1451" s="93"/>
      <c r="D1451" s="92"/>
      <c r="E1451" s="92"/>
      <c r="F1451" s="92"/>
      <c r="G1451" s="92"/>
      <c r="H1451" s="92"/>
      <c r="I1451" s="92"/>
      <c r="J1451" s="92"/>
      <c r="K1451" s="92"/>
      <c r="L1451" s="92"/>
      <c r="M1451" s="92"/>
      <c r="N1451" s="94"/>
      <c r="AG1451" s="100"/>
      <c r="AH1451" s="101"/>
      <c r="AI1451" s="101"/>
      <c r="AJ1451" s="100"/>
      <c r="AK1451" s="100"/>
      <c r="AL1451" s="100"/>
      <c r="AM1451" s="100"/>
      <c r="AN1451" s="100"/>
      <c r="AO1451" s="100"/>
      <c r="AP1451" s="100"/>
      <c r="AQ1451" s="100"/>
      <c r="AR1451" s="100"/>
      <c r="AS1451" s="100"/>
      <c r="AT1451" s="102"/>
      <c r="AX1451" s="100"/>
      <c r="AY1451" s="101"/>
      <c r="AZ1451" s="100"/>
      <c r="BA1451" s="101"/>
      <c r="BB1451" s="100"/>
      <c r="BC1451" s="100"/>
      <c r="BD1451" s="100"/>
      <c r="BE1451" s="100"/>
      <c r="BF1451" s="100"/>
      <c r="BG1451" s="100"/>
      <c r="BH1451" s="100"/>
      <c r="BI1451" s="100"/>
      <c r="BJ1451" s="100"/>
      <c r="BK1451" s="102"/>
    </row>
    <row r="1452" spans="1:63" x14ac:dyDescent="0.25">
      <c r="A1452" s="92"/>
      <c r="B1452" s="93"/>
      <c r="C1452" s="93"/>
      <c r="D1452" s="93"/>
      <c r="E1452" s="92"/>
      <c r="F1452" s="92"/>
      <c r="G1452" s="92"/>
      <c r="H1452" s="92"/>
      <c r="I1452" s="92"/>
      <c r="J1452" s="92"/>
      <c r="K1452" s="92"/>
      <c r="L1452" s="92"/>
      <c r="M1452" s="92"/>
      <c r="N1452" s="94"/>
      <c r="AG1452" s="100"/>
      <c r="AH1452" s="101"/>
      <c r="AI1452" s="101"/>
      <c r="AJ1452" s="101"/>
      <c r="AK1452" s="100"/>
      <c r="AL1452" s="100"/>
      <c r="AM1452" s="100"/>
      <c r="AN1452" s="100"/>
      <c r="AO1452" s="100"/>
      <c r="AP1452" s="100"/>
      <c r="AQ1452" s="100"/>
      <c r="AR1452" s="100"/>
      <c r="AS1452" s="100"/>
      <c r="AT1452" s="102"/>
      <c r="AX1452" s="100"/>
      <c r="AY1452" s="101"/>
      <c r="AZ1452" s="100"/>
      <c r="BA1452" s="101"/>
      <c r="BB1452" s="100"/>
      <c r="BC1452" s="100"/>
      <c r="BD1452" s="100"/>
      <c r="BE1452" s="100"/>
      <c r="BF1452" s="100"/>
      <c r="BG1452" s="100"/>
      <c r="BH1452" s="100"/>
      <c r="BI1452" s="100"/>
      <c r="BJ1452" s="100"/>
      <c r="BK1452" s="102"/>
    </row>
    <row r="1453" spans="1:63" x14ac:dyDescent="0.25">
      <c r="A1453" s="92"/>
      <c r="B1453" s="93"/>
      <c r="C1453" s="93"/>
      <c r="D1453" s="92"/>
      <c r="E1453" s="92"/>
      <c r="F1453" s="92"/>
      <c r="G1453" s="92"/>
      <c r="H1453" s="92"/>
      <c r="I1453" s="92"/>
      <c r="J1453" s="92"/>
      <c r="K1453" s="92"/>
      <c r="L1453" s="92"/>
      <c r="M1453" s="92"/>
      <c r="N1453" s="94"/>
      <c r="AG1453" s="100"/>
      <c r="AH1453" s="101"/>
      <c r="AI1453" s="101"/>
      <c r="AJ1453" s="100"/>
      <c r="AK1453" s="100"/>
      <c r="AL1453" s="100"/>
      <c r="AM1453" s="100"/>
      <c r="AN1453" s="100"/>
      <c r="AO1453" s="100"/>
      <c r="AP1453" s="100"/>
      <c r="AQ1453" s="100"/>
      <c r="AR1453" s="100"/>
      <c r="AS1453" s="100"/>
      <c r="AT1453" s="102"/>
      <c r="AX1453" s="100"/>
      <c r="AY1453" s="101"/>
      <c r="AZ1453" s="100"/>
      <c r="BA1453" s="101"/>
      <c r="BB1453" s="100"/>
      <c r="BC1453" s="100"/>
      <c r="BD1453" s="100"/>
      <c r="BE1453" s="100"/>
      <c r="BF1453" s="100"/>
      <c r="BG1453" s="100"/>
      <c r="BH1453" s="100"/>
      <c r="BI1453" s="100"/>
      <c r="BJ1453" s="100"/>
      <c r="BK1453" s="102"/>
    </row>
    <row r="1454" spans="1:63" x14ac:dyDescent="0.25">
      <c r="A1454" s="92"/>
      <c r="B1454" s="93"/>
      <c r="C1454" s="93"/>
      <c r="D1454" s="92"/>
      <c r="E1454" s="92"/>
      <c r="F1454" s="92"/>
      <c r="G1454" s="92"/>
      <c r="H1454" s="92"/>
      <c r="I1454" s="92"/>
      <c r="J1454" s="92"/>
      <c r="K1454" s="92"/>
      <c r="L1454" s="92"/>
      <c r="M1454" s="92"/>
      <c r="N1454" s="94"/>
      <c r="AG1454" s="100"/>
      <c r="AH1454" s="101"/>
      <c r="AI1454" s="101"/>
      <c r="AJ1454" s="100"/>
      <c r="AK1454" s="100"/>
      <c r="AL1454" s="100"/>
      <c r="AM1454" s="100"/>
      <c r="AN1454" s="100"/>
      <c r="AO1454" s="100"/>
      <c r="AP1454" s="100"/>
      <c r="AQ1454" s="100"/>
      <c r="AR1454" s="100"/>
      <c r="AS1454" s="100"/>
      <c r="AT1454" s="102"/>
      <c r="AX1454" s="100"/>
      <c r="AY1454" s="101"/>
      <c r="AZ1454" s="101"/>
      <c r="BA1454" s="100"/>
      <c r="BB1454" s="100"/>
      <c r="BC1454" s="100"/>
      <c r="BD1454" s="100"/>
      <c r="BE1454" s="100"/>
      <c r="BF1454" s="100"/>
      <c r="BG1454" s="100"/>
      <c r="BH1454" s="100"/>
      <c r="BI1454" s="100"/>
      <c r="BJ1454" s="100"/>
      <c r="BK1454" s="102"/>
    </row>
    <row r="1455" spans="1:63" x14ac:dyDescent="0.25">
      <c r="A1455" s="92"/>
      <c r="B1455" s="93"/>
      <c r="C1455" s="93"/>
      <c r="D1455" s="92"/>
      <c r="E1455" s="92"/>
      <c r="F1455" s="92"/>
      <c r="G1455" s="92"/>
      <c r="H1455" s="92"/>
      <c r="I1455" s="92"/>
      <c r="J1455" s="92"/>
      <c r="K1455" s="92"/>
      <c r="L1455" s="92"/>
      <c r="M1455" s="92"/>
      <c r="N1455" s="94"/>
      <c r="AG1455" s="100"/>
      <c r="AH1455" s="101"/>
      <c r="AI1455" s="101"/>
      <c r="AJ1455" s="100"/>
      <c r="AK1455" s="100"/>
      <c r="AL1455" s="100"/>
      <c r="AM1455" s="100"/>
      <c r="AN1455" s="100"/>
      <c r="AO1455" s="100"/>
      <c r="AP1455" s="100"/>
      <c r="AQ1455" s="100"/>
      <c r="AR1455" s="100"/>
      <c r="AS1455" s="100"/>
      <c r="AT1455" s="102"/>
      <c r="AX1455" s="100"/>
      <c r="AY1455" s="101"/>
      <c r="AZ1455" s="101"/>
      <c r="BA1455" s="100"/>
      <c r="BB1455" s="100"/>
      <c r="BC1455" s="100"/>
      <c r="BD1455" s="100"/>
      <c r="BE1455" s="100"/>
      <c r="BF1455" s="100"/>
      <c r="BG1455" s="100"/>
      <c r="BH1455" s="100"/>
      <c r="BI1455" s="100"/>
      <c r="BJ1455" s="100"/>
      <c r="BK1455" s="102"/>
    </row>
    <row r="1456" spans="1:63" x14ac:dyDescent="0.25">
      <c r="A1456" s="92"/>
      <c r="B1456" s="93"/>
      <c r="C1456" s="93"/>
      <c r="D1456" s="93"/>
      <c r="E1456" s="92"/>
      <c r="F1456" s="92"/>
      <c r="G1456" s="92"/>
      <c r="H1456" s="92"/>
      <c r="I1456" s="92"/>
      <c r="J1456" s="92"/>
      <c r="K1456" s="92"/>
      <c r="L1456" s="92"/>
      <c r="M1456" s="92"/>
      <c r="N1456" s="94"/>
      <c r="AG1456" s="100"/>
      <c r="AH1456" s="101"/>
      <c r="AI1456" s="101"/>
      <c r="AJ1456" s="100"/>
      <c r="AK1456" s="100"/>
      <c r="AL1456" s="100"/>
      <c r="AM1456" s="100"/>
      <c r="AN1456" s="100"/>
      <c r="AO1456" s="100"/>
      <c r="AP1456" s="100"/>
      <c r="AQ1456" s="100"/>
      <c r="AR1456" s="100"/>
      <c r="AS1456" s="100"/>
      <c r="AT1456" s="102"/>
      <c r="AX1456" s="100"/>
      <c r="AY1456" s="101"/>
      <c r="AZ1456" s="101"/>
      <c r="BA1456" s="100"/>
      <c r="BB1456" s="100"/>
      <c r="BC1456" s="100"/>
      <c r="BD1456" s="100"/>
      <c r="BE1456" s="100"/>
      <c r="BF1456" s="100"/>
      <c r="BG1456" s="100"/>
      <c r="BH1456" s="100"/>
      <c r="BI1456" s="100"/>
      <c r="BJ1456" s="100"/>
      <c r="BK1456" s="102"/>
    </row>
    <row r="1457" spans="1:63" x14ac:dyDescent="0.25">
      <c r="A1457" s="92"/>
      <c r="B1457" s="93"/>
      <c r="C1457" s="93"/>
      <c r="D1457" s="93"/>
      <c r="E1457" s="92"/>
      <c r="F1457" s="92"/>
      <c r="G1457" s="92"/>
      <c r="H1457" s="92"/>
      <c r="I1457" s="92"/>
      <c r="J1457" s="92"/>
      <c r="K1457" s="92"/>
      <c r="L1457" s="92"/>
      <c r="M1457" s="92"/>
      <c r="N1457" s="94"/>
      <c r="AG1457" s="100"/>
      <c r="AH1457" s="101"/>
      <c r="AI1457" s="101"/>
      <c r="AJ1457" s="100"/>
      <c r="AK1457" s="100"/>
      <c r="AL1457" s="100"/>
      <c r="AM1457" s="100"/>
      <c r="AN1457" s="100"/>
      <c r="AO1457" s="100"/>
      <c r="AP1457" s="100"/>
      <c r="AQ1457" s="100"/>
      <c r="AR1457" s="100"/>
      <c r="AS1457" s="100"/>
      <c r="AT1457" s="102"/>
      <c r="AX1457" s="100"/>
      <c r="AY1457" s="101"/>
      <c r="AZ1457" s="101"/>
      <c r="BA1457" s="101"/>
      <c r="BB1457" s="100"/>
      <c r="BC1457" s="100"/>
      <c r="BD1457" s="100"/>
      <c r="BE1457" s="100"/>
      <c r="BF1457" s="100"/>
      <c r="BG1457" s="100"/>
      <c r="BH1457" s="100"/>
      <c r="BI1457" s="100"/>
      <c r="BJ1457" s="100"/>
      <c r="BK1457" s="102"/>
    </row>
    <row r="1458" spans="1:63" x14ac:dyDescent="0.25">
      <c r="A1458" s="92"/>
      <c r="B1458" s="93"/>
      <c r="C1458" s="93"/>
      <c r="D1458" s="92"/>
      <c r="E1458" s="92"/>
      <c r="F1458" s="92"/>
      <c r="G1458" s="92"/>
      <c r="H1458" s="92"/>
      <c r="I1458" s="92"/>
      <c r="J1458" s="92"/>
      <c r="K1458" s="92"/>
      <c r="L1458" s="92"/>
      <c r="M1458" s="92"/>
      <c r="N1458" s="94"/>
      <c r="AG1458" s="100"/>
      <c r="AH1458" s="101"/>
      <c r="AI1458" s="101"/>
      <c r="AJ1458" s="100"/>
      <c r="AK1458" s="100"/>
      <c r="AL1458" s="100"/>
      <c r="AM1458" s="100"/>
      <c r="AN1458" s="100"/>
      <c r="AO1458" s="100"/>
      <c r="AP1458" s="100"/>
      <c r="AQ1458" s="100"/>
      <c r="AR1458" s="100"/>
      <c r="AS1458" s="100"/>
      <c r="AT1458" s="102"/>
      <c r="AX1458" s="100"/>
      <c r="AY1458" s="101"/>
      <c r="AZ1458" s="101"/>
      <c r="BA1458" s="100"/>
      <c r="BB1458" s="100"/>
      <c r="BC1458" s="100"/>
      <c r="BD1458" s="100"/>
      <c r="BE1458" s="100"/>
      <c r="BF1458" s="100"/>
      <c r="BG1458" s="100"/>
      <c r="BH1458" s="100"/>
      <c r="BI1458" s="100"/>
      <c r="BJ1458" s="100"/>
      <c r="BK1458" s="102"/>
    </row>
    <row r="1459" spans="1:63" x14ac:dyDescent="0.25">
      <c r="A1459" s="92"/>
      <c r="B1459" s="93"/>
      <c r="C1459" s="93"/>
      <c r="D1459" s="92"/>
      <c r="E1459" s="92"/>
      <c r="F1459" s="92"/>
      <c r="G1459" s="92"/>
      <c r="H1459" s="92"/>
      <c r="I1459" s="92"/>
      <c r="J1459" s="92"/>
      <c r="K1459" s="92"/>
      <c r="L1459" s="92"/>
      <c r="M1459" s="92"/>
      <c r="N1459" s="94"/>
      <c r="AG1459" s="100"/>
      <c r="AH1459" s="101"/>
      <c r="AI1459" s="101"/>
      <c r="AJ1459" s="100"/>
      <c r="AK1459" s="100"/>
      <c r="AL1459" s="100"/>
      <c r="AM1459" s="100"/>
      <c r="AN1459" s="100"/>
      <c r="AO1459" s="100"/>
      <c r="AP1459" s="100"/>
      <c r="AQ1459" s="100"/>
      <c r="AR1459" s="100"/>
      <c r="AS1459" s="100"/>
      <c r="AT1459" s="102"/>
      <c r="AX1459" s="100"/>
      <c r="AY1459" s="101"/>
      <c r="AZ1459" s="101"/>
      <c r="BA1459" s="100"/>
      <c r="BB1459" s="100"/>
      <c r="BC1459" s="100"/>
      <c r="BD1459" s="100"/>
      <c r="BE1459" s="100"/>
      <c r="BF1459" s="100"/>
      <c r="BG1459" s="100"/>
      <c r="BH1459" s="100"/>
      <c r="BI1459" s="100"/>
      <c r="BJ1459" s="100"/>
      <c r="BK1459" s="102"/>
    </row>
    <row r="1460" spans="1:63" x14ac:dyDescent="0.25">
      <c r="A1460" s="92"/>
      <c r="B1460" s="93"/>
      <c r="C1460" s="93"/>
      <c r="D1460" s="92"/>
      <c r="E1460" s="92"/>
      <c r="F1460" s="92"/>
      <c r="G1460" s="92"/>
      <c r="H1460" s="92"/>
      <c r="I1460" s="92"/>
      <c r="J1460" s="92"/>
      <c r="K1460" s="92"/>
      <c r="L1460" s="92"/>
      <c r="M1460" s="92"/>
      <c r="N1460" s="94"/>
      <c r="AG1460" s="100"/>
      <c r="AH1460" s="101"/>
      <c r="AI1460" s="101"/>
      <c r="AJ1460" s="100"/>
      <c r="AK1460" s="100"/>
      <c r="AL1460" s="100"/>
      <c r="AM1460" s="100"/>
      <c r="AN1460" s="100"/>
      <c r="AO1460" s="100"/>
      <c r="AP1460" s="100"/>
      <c r="AQ1460" s="100"/>
      <c r="AR1460" s="100"/>
      <c r="AS1460" s="100"/>
      <c r="AT1460" s="102"/>
      <c r="AX1460" s="100"/>
      <c r="AY1460" s="101"/>
      <c r="AZ1460" s="101"/>
      <c r="BA1460" s="101"/>
      <c r="BB1460" s="100"/>
      <c r="BC1460" s="100"/>
      <c r="BD1460" s="100"/>
      <c r="BE1460" s="100"/>
      <c r="BF1460" s="100"/>
      <c r="BG1460" s="100"/>
      <c r="BH1460" s="100"/>
      <c r="BI1460" s="100"/>
      <c r="BJ1460" s="100"/>
      <c r="BK1460" s="102"/>
    </row>
    <row r="1461" spans="1:63" x14ac:dyDescent="0.25">
      <c r="A1461" s="92"/>
      <c r="B1461" s="93"/>
      <c r="C1461" s="93"/>
      <c r="D1461" s="93"/>
      <c r="E1461" s="92"/>
      <c r="F1461" s="92"/>
      <c r="G1461" s="92"/>
      <c r="H1461" s="92"/>
      <c r="I1461" s="92"/>
      <c r="J1461" s="92"/>
      <c r="K1461" s="92"/>
      <c r="L1461" s="92"/>
      <c r="M1461" s="92"/>
      <c r="N1461" s="94"/>
      <c r="AG1461" s="100"/>
      <c r="AH1461" s="101"/>
      <c r="AI1461" s="101"/>
      <c r="AJ1461" s="100"/>
      <c r="AK1461" s="100"/>
      <c r="AL1461" s="100"/>
      <c r="AM1461" s="100"/>
      <c r="AN1461" s="100"/>
      <c r="AO1461" s="100"/>
      <c r="AP1461" s="100"/>
      <c r="AQ1461" s="100"/>
      <c r="AR1461" s="100"/>
      <c r="AS1461" s="100"/>
      <c r="AT1461" s="102"/>
      <c r="AX1461" s="100"/>
      <c r="AY1461" s="101"/>
      <c r="AZ1461" s="101"/>
      <c r="BA1461" s="100"/>
      <c r="BB1461" s="100"/>
      <c r="BC1461" s="100"/>
      <c r="BD1461" s="100"/>
      <c r="BE1461" s="100"/>
      <c r="BF1461" s="100"/>
      <c r="BG1461" s="100"/>
      <c r="BH1461" s="100"/>
      <c r="BI1461" s="100"/>
      <c r="BJ1461" s="100"/>
      <c r="BK1461" s="102"/>
    </row>
    <row r="1462" spans="1:63" x14ac:dyDescent="0.25">
      <c r="A1462" s="92"/>
      <c r="B1462" s="92"/>
      <c r="C1462" s="92"/>
      <c r="D1462" s="92"/>
      <c r="E1462" s="92"/>
      <c r="F1462" s="92"/>
      <c r="G1462" s="92"/>
      <c r="H1462" s="92"/>
      <c r="I1462" s="92"/>
      <c r="J1462" s="92"/>
      <c r="K1462" s="92"/>
      <c r="L1462" s="92"/>
      <c r="M1462" s="92"/>
      <c r="N1462" s="92"/>
      <c r="AG1462" s="100"/>
      <c r="AH1462" s="101"/>
      <c r="AI1462" s="101"/>
      <c r="AJ1462" s="100"/>
      <c r="AK1462" s="100"/>
      <c r="AL1462" s="100"/>
      <c r="AM1462" s="100"/>
      <c r="AN1462" s="100"/>
      <c r="AO1462" s="100"/>
      <c r="AP1462" s="100"/>
      <c r="AQ1462" s="100"/>
      <c r="AR1462" s="100"/>
      <c r="AS1462" s="100"/>
      <c r="AT1462" s="102"/>
      <c r="AX1462" s="100"/>
      <c r="AY1462" s="101"/>
      <c r="AZ1462" s="101"/>
      <c r="BA1462" s="100"/>
      <c r="BB1462" s="100"/>
      <c r="BC1462" s="100"/>
      <c r="BD1462" s="100"/>
      <c r="BE1462" s="100"/>
      <c r="BF1462" s="100"/>
      <c r="BG1462" s="100"/>
      <c r="BH1462" s="100"/>
      <c r="BI1462" s="100"/>
      <c r="BJ1462" s="100"/>
      <c r="BK1462" s="102"/>
    </row>
    <row r="1463" spans="1:63" x14ac:dyDescent="0.25">
      <c r="A1463" s="92"/>
      <c r="B1463" s="92"/>
      <c r="C1463" s="92"/>
      <c r="D1463" s="92"/>
      <c r="E1463" s="92"/>
      <c r="F1463" s="92"/>
      <c r="G1463" s="92"/>
      <c r="H1463" s="92"/>
      <c r="I1463" s="92"/>
      <c r="J1463" s="92"/>
      <c r="K1463" s="92"/>
      <c r="L1463" s="92"/>
      <c r="M1463" s="92"/>
      <c r="N1463" s="92"/>
      <c r="AG1463" s="100"/>
      <c r="AH1463" s="101"/>
      <c r="AI1463" s="101"/>
      <c r="AJ1463" s="101"/>
      <c r="AK1463" s="100"/>
      <c r="AL1463" s="100"/>
      <c r="AM1463" s="100"/>
      <c r="AN1463" s="100"/>
      <c r="AO1463" s="100"/>
      <c r="AP1463" s="100"/>
      <c r="AQ1463" s="100"/>
      <c r="AR1463" s="100"/>
      <c r="AS1463" s="100"/>
      <c r="AT1463" s="102"/>
      <c r="AX1463" s="100"/>
      <c r="AY1463" s="101"/>
      <c r="AZ1463" s="101"/>
      <c r="BA1463" s="100"/>
      <c r="BB1463" s="100"/>
      <c r="BC1463" s="100"/>
      <c r="BD1463" s="100"/>
      <c r="BE1463" s="100"/>
      <c r="BF1463" s="100"/>
      <c r="BG1463" s="100"/>
      <c r="BH1463" s="100"/>
      <c r="BI1463" s="100"/>
      <c r="BJ1463" s="100"/>
      <c r="BK1463" s="102"/>
    </row>
    <row r="1464" spans="1:63" x14ac:dyDescent="0.25">
      <c r="A1464" s="92"/>
      <c r="B1464" s="92"/>
      <c r="C1464" s="92"/>
      <c r="D1464" s="92"/>
      <c r="E1464" s="92"/>
      <c r="F1464" s="92"/>
      <c r="G1464" s="92"/>
      <c r="H1464" s="92"/>
      <c r="I1464" s="92"/>
      <c r="J1464" s="92"/>
      <c r="K1464" s="92"/>
      <c r="L1464" s="92"/>
      <c r="M1464" s="92"/>
      <c r="N1464" s="92"/>
      <c r="AG1464" s="100"/>
      <c r="AH1464" s="101"/>
      <c r="AI1464" s="101"/>
      <c r="AJ1464" s="101"/>
      <c r="AK1464" s="100"/>
      <c r="AL1464" s="100"/>
      <c r="AM1464" s="100"/>
      <c r="AN1464" s="100"/>
      <c r="AO1464" s="100"/>
      <c r="AP1464" s="100"/>
      <c r="AQ1464" s="100"/>
      <c r="AR1464" s="100"/>
      <c r="AS1464" s="100"/>
      <c r="AT1464" s="102"/>
      <c r="AX1464" s="100"/>
      <c r="AY1464" s="101"/>
      <c r="AZ1464" s="101"/>
      <c r="BA1464" s="100"/>
      <c r="BB1464" s="100"/>
      <c r="BC1464" s="100"/>
      <c r="BD1464" s="100"/>
      <c r="BE1464" s="100"/>
      <c r="BF1464" s="100"/>
      <c r="BG1464" s="100"/>
      <c r="BH1464" s="100"/>
      <c r="BI1464" s="100"/>
      <c r="BJ1464" s="100"/>
      <c r="BK1464" s="102"/>
    </row>
    <row r="1465" spans="1:63" x14ac:dyDescent="0.25">
      <c r="A1465" s="92"/>
      <c r="B1465" s="93"/>
      <c r="C1465" s="93"/>
      <c r="D1465" s="92"/>
      <c r="E1465" s="92"/>
      <c r="F1465" s="92"/>
      <c r="G1465" s="92"/>
      <c r="H1465" s="92"/>
      <c r="I1465" s="92"/>
      <c r="J1465" s="92"/>
      <c r="K1465" s="92"/>
      <c r="L1465" s="92"/>
      <c r="M1465" s="92"/>
      <c r="N1465" s="94"/>
      <c r="AG1465" s="100"/>
      <c r="AH1465" s="101"/>
      <c r="AI1465" s="101"/>
      <c r="AJ1465" s="100"/>
      <c r="AK1465" s="100"/>
      <c r="AL1465" s="100"/>
      <c r="AM1465" s="100"/>
      <c r="AN1465" s="100"/>
      <c r="AO1465" s="100"/>
      <c r="AP1465" s="100"/>
      <c r="AQ1465" s="100"/>
      <c r="AR1465" s="100"/>
      <c r="AS1465" s="100"/>
      <c r="AT1465" s="102"/>
      <c r="AX1465" s="100"/>
      <c r="AY1465" s="101"/>
      <c r="AZ1465" s="101"/>
      <c r="BA1465" s="100"/>
      <c r="BB1465" s="100"/>
      <c r="BC1465" s="100"/>
      <c r="BD1465" s="100"/>
      <c r="BE1465" s="100"/>
      <c r="BF1465" s="100"/>
      <c r="BG1465" s="100"/>
      <c r="BH1465" s="100"/>
      <c r="BI1465" s="100"/>
      <c r="BJ1465" s="100"/>
      <c r="BK1465" s="102"/>
    </row>
    <row r="1466" spans="1:63" x14ac:dyDescent="0.25">
      <c r="A1466" s="92"/>
      <c r="B1466" s="92"/>
      <c r="C1466" s="92"/>
      <c r="D1466" s="92"/>
      <c r="E1466" s="92"/>
      <c r="F1466" s="92"/>
      <c r="G1466" s="92"/>
      <c r="H1466" s="92"/>
      <c r="I1466" s="92"/>
      <c r="J1466" s="92"/>
      <c r="K1466" s="92"/>
      <c r="L1466" s="92"/>
      <c r="M1466" s="92"/>
      <c r="N1466" s="92"/>
      <c r="AG1466" s="100"/>
      <c r="AH1466" s="101"/>
      <c r="AI1466" s="101"/>
      <c r="AJ1466" s="100"/>
      <c r="AK1466" s="100"/>
      <c r="AL1466" s="100"/>
      <c r="AM1466" s="100"/>
      <c r="AN1466" s="100"/>
      <c r="AO1466" s="100"/>
      <c r="AP1466" s="100"/>
      <c r="AQ1466" s="100"/>
      <c r="AR1466" s="100"/>
      <c r="AS1466" s="100"/>
      <c r="AT1466" s="102"/>
      <c r="AX1466" s="100"/>
      <c r="AY1466" s="101"/>
      <c r="AZ1466" s="101"/>
      <c r="BA1466" s="100"/>
      <c r="BB1466" s="100"/>
      <c r="BC1466" s="100"/>
      <c r="BD1466" s="100"/>
      <c r="BE1466" s="100"/>
      <c r="BF1466" s="100"/>
      <c r="BG1466" s="100"/>
      <c r="BH1466" s="100"/>
      <c r="BI1466" s="100"/>
      <c r="BJ1466" s="100"/>
      <c r="BK1466" s="102"/>
    </row>
    <row r="1467" spans="1:63" x14ac:dyDescent="0.25">
      <c r="A1467" s="92"/>
      <c r="B1467" s="92"/>
      <c r="C1467" s="92"/>
      <c r="D1467" s="92"/>
      <c r="E1467" s="92"/>
      <c r="F1467" s="92"/>
      <c r="G1467" s="92"/>
      <c r="H1467" s="92"/>
      <c r="I1467" s="92"/>
      <c r="J1467" s="92"/>
      <c r="K1467" s="92"/>
      <c r="L1467" s="92"/>
      <c r="M1467" s="92"/>
      <c r="N1467" s="92"/>
      <c r="AG1467" s="100"/>
      <c r="AH1467" s="101"/>
      <c r="AI1467" s="101"/>
      <c r="AJ1467" s="100"/>
      <c r="AK1467" s="100"/>
      <c r="AL1467" s="100"/>
      <c r="AM1467" s="100"/>
      <c r="AN1467" s="100"/>
      <c r="AO1467" s="100"/>
      <c r="AP1467" s="100"/>
      <c r="AQ1467" s="100"/>
      <c r="AR1467" s="100"/>
      <c r="AS1467" s="100"/>
      <c r="AT1467" s="102"/>
      <c r="AX1467" s="100"/>
      <c r="AY1467" s="101"/>
      <c r="AZ1467" s="101"/>
      <c r="BA1467" s="100"/>
      <c r="BB1467" s="100"/>
      <c r="BC1467" s="100"/>
      <c r="BD1467" s="100"/>
      <c r="BE1467" s="100"/>
      <c r="BF1467" s="100"/>
      <c r="BG1467" s="100"/>
      <c r="BH1467" s="100"/>
      <c r="BI1467" s="100"/>
      <c r="BJ1467" s="100"/>
      <c r="BK1467" s="102"/>
    </row>
    <row r="1468" spans="1:63" x14ac:dyDescent="0.25">
      <c r="A1468" s="92"/>
      <c r="B1468" s="92"/>
      <c r="C1468" s="92"/>
      <c r="D1468" s="92"/>
      <c r="E1468" s="92"/>
      <c r="F1468" s="92"/>
      <c r="G1468" s="92"/>
      <c r="H1468" s="92"/>
      <c r="I1468" s="92"/>
      <c r="J1468" s="92"/>
      <c r="K1468" s="92"/>
      <c r="L1468" s="92"/>
      <c r="M1468" s="92"/>
      <c r="N1468" s="92"/>
      <c r="AG1468" s="100"/>
      <c r="AH1468" s="101"/>
      <c r="AI1468" s="101"/>
      <c r="AJ1468" s="100"/>
      <c r="AK1468" s="100"/>
      <c r="AL1468" s="100"/>
      <c r="AM1468" s="100"/>
      <c r="AN1468" s="100"/>
      <c r="AO1468" s="100"/>
      <c r="AP1468" s="100"/>
      <c r="AQ1468" s="100"/>
      <c r="AR1468" s="100"/>
      <c r="AS1468" s="100"/>
      <c r="AT1468" s="102"/>
      <c r="AX1468" s="100"/>
      <c r="AY1468" s="101"/>
      <c r="AZ1468" s="101"/>
      <c r="BA1468" s="100"/>
      <c r="BB1468" s="100"/>
      <c r="BC1468" s="100"/>
      <c r="BD1468" s="100"/>
      <c r="BE1468" s="100"/>
      <c r="BF1468" s="100"/>
      <c r="BG1468" s="100"/>
      <c r="BH1468" s="100"/>
      <c r="BI1468" s="100"/>
      <c r="BJ1468" s="100"/>
      <c r="BK1468" s="102"/>
    </row>
    <row r="1469" spans="1:63" x14ac:dyDescent="0.25">
      <c r="A1469" s="92"/>
      <c r="B1469" s="92"/>
      <c r="C1469" s="92"/>
      <c r="D1469" s="92"/>
      <c r="E1469" s="92"/>
      <c r="F1469" s="92"/>
      <c r="G1469" s="92"/>
      <c r="H1469" s="92"/>
      <c r="I1469" s="92"/>
      <c r="J1469" s="92"/>
      <c r="K1469" s="92"/>
      <c r="L1469" s="92"/>
      <c r="M1469" s="92"/>
      <c r="N1469" s="92"/>
      <c r="AG1469" s="100"/>
      <c r="AH1469" s="101"/>
      <c r="AI1469" s="101"/>
      <c r="AJ1469" s="100"/>
      <c r="AK1469" s="100"/>
      <c r="AL1469" s="100"/>
      <c r="AM1469" s="100"/>
      <c r="AN1469" s="100"/>
      <c r="AO1469" s="100"/>
      <c r="AP1469" s="100"/>
      <c r="AQ1469" s="100"/>
      <c r="AR1469" s="100"/>
      <c r="AS1469" s="100"/>
      <c r="AT1469" s="102"/>
      <c r="AX1469" s="100"/>
      <c r="AY1469" s="101"/>
      <c r="AZ1469" s="101"/>
      <c r="BA1469" s="100"/>
      <c r="BB1469" s="100"/>
      <c r="BC1469" s="100"/>
      <c r="BD1469" s="100"/>
      <c r="BE1469" s="100"/>
      <c r="BF1469" s="100"/>
      <c r="BG1469" s="100"/>
      <c r="BH1469" s="100"/>
      <c r="BI1469" s="100"/>
      <c r="BJ1469" s="100"/>
      <c r="BK1469" s="102"/>
    </row>
    <row r="1470" spans="1:63" x14ac:dyDescent="0.25">
      <c r="A1470" s="92"/>
      <c r="B1470" s="92"/>
      <c r="C1470" s="92"/>
      <c r="D1470" s="92"/>
      <c r="E1470" s="92"/>
      <c r="F1470" s="92"/>
      <c r="G1470" s="92"/>
      <c r="H1470" s="92"/>
      <c r="I1470" s="92"/>
      <c r="J1470" s="92"/>
      <c r="K1470" s="92"/>
      <c r="L1470" s="92"/>
      <c r="M1470" s="92"/>
      <c r="N1470" s="92"/>
      <c r="AG1470" s="100"/>
      <c r="AH1470" s="101"/>
      <c r="AI1470" s="101"/>
      <c r="AJ1470" s="101"/>
      <c r="AK1470" s="100"/>
      <c r="AL1470" s="100"/>
      <c r="AM1470" s="100"/>
      <c r="AN1470" s="100"/>
      <c r="AO1470" s="100"/>
      <c r="AP1470" s="100"/>
      <c r="AQ1470" s="100"/>
      <c r="AR1470" s="100"/>
      <c r="AS1470" s="100"/>
      <c r="AT1470" s="102"/>
      <c r="AX1470" s="100"/>
      <c r="AY1470" s="101"/>
      <c r="AZ1470" s="101"/>
      <c r="BA1470" s="100"/>
      <c r="BB1470" s="100"/>
      <c r="BC1470" s="100"/>
      <c r="BD1470" s="100"/>
      <c r="BE1470" s="100"/>
      <c r="BF1470" s="100"/>
      <c r="BG1470" s="100"/>
      <c r="BH1470" s="100"/>
      <c r="BI1470" s="100"/>
      <c r="BJ1470" s="100"/>
      <c r="BK1470" s="102"/>
    </row>
    <row r="1471" spans="1:63" x14ac:dyDescent="0.25">
      <c r="A1471" s="92"/>
      <c r="B1471" s="92"/>
      <c r="C1471" s="92"/>
      <c r="D1471" s="92"/>
      <c r="E1471" s="92"/>
      <c r="F1471" s="92"/>
      <c r="G1471" s="92"/>
      <c r="H1471" s="92"/>
      <c r="I1471" s="92"/>
      <c r="J1471" s="92"/>
      <c r="K1471" s="92"/>
      <c r="L1471" s="92"/>
      <c r="M1471" s="92"/>
      <c r="N1471" s="92"/>
      <c r="AG1471" s="100"/>
      <c r="AH1471" s="101"/>
      <c r="AI1471" s="101"/>
      <c r="AJ1471" s="100"/>
      <c r="AK1471" s="100"/>
      <c r="AL1471" s="100"/>
      <c r="AM1471" s="100"/>
      <c r="AN1471" s="100"/>
      <c r="AO1471" s="100"/>
      <c r="AP1471" s="100"/>
      <c r="AQ1471" s="100"/>
      <c r="AR1471" s="100"/>
      <c r="AS1471" s="100"/>
      <c r="AT1471" s="102"/>
      <c r="AX1471" s="100"/>
      <c r="AY1471" s="101"/>
      <c r="AZ1471" s="101"/>
      <c r="BA1471" s="100"/>
      <c r="BB1471" s="100"/>
      <c r="BC1471" s="100"/>
      <c r="BD1471" s="100"/>
      <c r="BE1471" s="100"/>
      <c r="BF1471" s="100"/>
      <c r="BG1471" s="100"/>
      <c r="BH1471" s="100"/>
      <c r="BI1471" s="100"/>
      <c r="BJ1471" s="100"/>
      <c r="BK1471" s="102"/>
    </row>
    <row r="1472" spans="1:63" x14ac:dyDescent="0.25">
      <c r="A1472" s="92"/>
      <c r="B1472" s="93"/>
      <c r="C1472" s="93"/>
      <c r="D1472" s="92"/>
      <c r="E1472" s="92"/>
      <c r="F1472" s="92"/>
      <c r="G1472" s="92"/>
      <c r="H1472" s="92"/>
      <c r="I1472" s="92"/>
      <c r="J1472" s="92"/>
      <c r="K1472" s="92"/>
      <c r="L1472" s="92"/>
      <c r="M1472" s="92"/>
      <c r="N1472" s="94"/>
      <c r="AG1472" s="100"/>
      <c r="AH1472" s="101"/>
      <c r="AI1472" s="101"/>
      <c r="AJ1472" s="100"/>
      <c r="AK1472" s="100"/>
      <c r="AL1472" s="100"/>
      <c r="AM1472" s="100"/>
      <c r="AN1472" s="100"/>
      <c r="AO1472" s="100"/>
      <c r="AP1472" s="100"/>
      <c r="AQ1472" s="100"/>
      <c r="AR1472" s="100"/>
      <c r="AS1472" s="100"/>
      <c r="AT1472" s="102"/>
      <c r="AX1472" s="100"/>
      <c r="AY1472" s="101"/>
      <c r="AZ1472" s="101"/>
      <c r="BA1472" s="101"/>
      <c r="BB1472" s="100"/>
      <c r="BC1472" s="100"/>
      <c r="BD1472" s="100"/>
      <c r="BE1472" s="100"/>
      <c r="BF1472" s="100"/>
      <c r="BG1472" s="100"/>
      <c r="BH1472" s="100"/>
      <c r="BI1472" s="100"/>
      <c r="BJ1472" s="100"/>
      <c r="BK1472" s="102"/>
    </row>
    <row r="1473" spans="1:63" x14ac:dyDescent="0.25">
      <c r="A1473" s="92"/>
      <c r="B1473" s="93"/>
      <c r="C1473" s="93"/>
      <c r="D1473" s="92"/>
      <c r="E1473" s="92"/>
      <c r="F1473" s="92"/>
      <c r="G1473" s="92"/>
      <c r="H1473" s="92"/>
      <c r="I1473" s="92"/>
      <c r="J1473" s="92"/>
      <c r="K1473" s="92"/>
      <c r="L1473" s="92"/>
      <c r="M1473" s="92"/>
      <c r="N1473" s="94"/>
      <c r="AG1473" s="100"/>
      <c r="AH1473" s="101"/>
      <c r="AI1473" s="101"/>
      <c r="AJ1473" s="101"/>
      <c r="AK1473" s="100"/>
      <c r="AL1473" s="100"/>
      <c r="AM1473" s="100"/>
      <c r="AN1473" s="100"/>
      <c r="AO1473" s="100"/>
      <c r="AP1473" s="100"/>
      <c r="AQ1473" s="100"/>
      <c r="AR1473" s="100"/>
      <c r="AS1473" s="100"/>
      <c r="AT1473" s="102"/>
      <c r="AX1473" s="100"/>
      <c r="AY1473" s="101"/>
      <c r="AZ1473" s="101"/>
      <c r="BA1473" s="100"/>
      <c r="BB1473" s="100"/>
      <c r="BC1473" s="100"/>
      <c r="BD1473" s="100"/>
      <c r="BE1473" s="100"/>
      <c r="BF1473" s="100"/>
      <c r="BG1473" s="100"/>
      <c r="BH1473" s="100"/>
      <c r="BI1473" s="100"/>
      <c r="BJ1473" s="100"/>
      <c r="BK1473" s="102"/>
    </row>
    <row r="1474" spans="1:63" x14ac:dyDescent="0.25">
      <c r="A1474" s="92"/>
      <c r="B1474" s="93"/>
      <c r="C1474" s="93"/>
      <c r="D1474" s="92"/>
      <c r="E1474" s="92"/>
      <c r="F1474" s="92"/>
      <c r="G1474" s="92"/>
      <c r="H1474" s="92"/>
      <c r="I1474" s="92"/>
      <c r="J1474" s="92"/>
      <c r="K1474" s="92"/>
      <c r="L1474" s="92"/>
      <c r="M1474" s="92"/>
      <c r="N1474" s="94"/>
      <c r="AG1474" s="100"/>
      <c r="AH1474" s="101"/>
      <c r="AI1474" s="101"/>
      <c r="AJ1474" s="100"/>
      <c r="AK1474" s="100"/>
      <c r="AL1474" s="100"/>
      <c r="AM1474" s="100"/>
      <c r="AN1474" s="100"/>
      <c r="AO1474" s="100"/>
      <c r="AP1474" s="100"/>
      <c r="AQ1474" s="100"/>
      <c r="AR1474" s="100"/>
      <c r="AS1474" s="100"/>
      <c r="AT1474" s="102"/>
      <c r="AX1474" s="100"/>
      <c r="AY1474" s="101"/>
      <c r="AZ1474" s="101"/>
      <c r="BA1474" s="100"/>
      <c r="BB1474" s="100"/>
      <c r="BC1474" s="100"/>
      <c r="BD1474" s="100"/>
      <c r="BE1474" s="100"/>
      <c r="BF1474" s="100"/>
      <c r="BG1474" s="100"/>
      <c r="BH1474" s="100"/>
      <c r="BI1474" s="100"/>
      <c r="BJ1474" s="100"/>
      <c r="BK1474" s="102"/>
    </row>
    <row r="1475" spans="1:63" x14ac:dyDescent="0.25">
      <c r="A1475" s="92"/>
      <c r="B1475" s="93"/>
      <c r="C1475" s="93"/>
      <c r="D1475" s="92"/>
      <c r="E1475" s="92"/>
      <c r="F1475" s="92"/>
      <c r="G1475" s="92"/>
      <c r="H1475" s="92"/>
      <c r="I1475" s="92"/>
      <c r="J1475" s="92"/>
      <c r="K1475" s="92"/>
      <c r="L1475" s="92"/>
      <c r="M1475" s="92"/>
      <c r="N1475" s="94"/>
      <c r="AG1475" s="100"/>
      <c r="AH1475" s="101"/>
      <c r="AI1475" s="101"/>
      <c r="AJ1475" s="100"/>
      <c r="AK1475" s="100"/>
      <c r="AL1475" s="100"/>
      <c r="AM1475" s="100"/>
      <c r="AN1475" s="100"/>
      <c r="AO1475" s="100"/>
      <c r="AP1475" s="100"/>
      <c r="AQ1475" s="100"/>
      <c r="AR1475" s="100"/>
      <c r="AS1475" s="100"/>
      <c r="AT1475" s="102"/>
      <c r="AX1475" s="100"/>
      <c r="AY1475" s="101"/>
      <c r="AZ1475" s="101"/>
      <c r="BA1475" s="100"/>
      <c r="BB1475" s="100"/>
      <c r="BC1475" s="100"/>
      <c r="BD1475" s="100"/>
      <c r="BE1475" s="100"/>
      <c r="BF1475" s="100"/>
      <c r="BG1475" s="100"/>
      <c r="BH1475" s="100"/>
      <c r="BI1475" s="100"/>
      <c r="BJ1475" s="100"/>
      <c r="BK1475" s="102"/>
    </row>
    <row r="1476" spans="1:63" x14ac:dyDescent="0.25">
      <c r="A1476" s="92"/>
      <c r="B1476" s="92"/>
      <c r="C1476" s="92"/>
      <c r="D1476" s="92"/>
      <c r="E1476" s="92"/>
      <c r="F1476" s="92"/>
      <c r="G1476" s="92"/>
      <c r="H1476" s="92"/>
      <c r="I1476" s="92"/>
      <c r="J1476" s="92"/>
      <c r="K1476" s="92"/>
      <c r="L1476" s="92"/>
      <c r="M1476" s="92"/>
      <c r="N1476" s="92"/>
      <c r="AG1476" s="100"/>
      <c r="AH1476" s="101"/>
      <c r="AI1476" s="101"/>
      <c r="AJ1476" s="100"/>
      <c r="AK1476" s="100"/>
      <c r="AL1476" s="100"/>
      <c r="AM1476" s="100"/>
      <c r="AN1476" s="100"/>
      <c r="AO1476" s="100"/>
      <c r="AP1476" s="100"/>
      <c r="AQ1476" s="100"/>
      <c r="AR1476" s="100"/>
      <c r="AS1476" s="100"/>
      <c r="AT1476" s="102"/>
      <c r="AX1476" s="100"/>
      <c r="AY1476" s="101"/>
      <c r="AZ1476" s="101"/>
      <c r="BA1476" s="100"/>
      <c r="BB1476" s="100"/>
      <c r="BC1476" s="100"/>
      <c r="BD1476" s="100"/>
      <c r="BE1476" s="100"/>
      <c r="BF1476" s="100"/>
      <c r="BG1476" s="100"/>
      <c r="BH1476" s="100"/>
      <c r="BI1476" s="100"/>
      <c r="BJ1476" s="100"/>
      <c r="BK1476" s="102"/>
    </row>
    <row r="1477" spans="1:63" x14ac:dyDescent="0.25">
      <c r="A1477" s="92"/>
      <c r="B1477" s="93"/>
      <c r="C1477" s="93"/>
      <c r="D1477" s="92"/>
      <c r="E1477" s="92"/>
      <c r="F1477" s="92"/>
      <c r="G1477" s="92"/>
      <c r="H1477" s="92"/>
      <c r="I1477" s="92"/>
      <c r="J1477" s="92"/>
      <c r="K1477" s="92"/>
      <c r="L1477" s="92"/>
      <c r="M1477" s="92"/>
      <c r="N1477" s="94"/>
      <c r="AG1477" s="100"/>
      <c r="AH1477" s="101"/>
      <c r="AI1477" s="101"/>
      <c r="AJ1477" s="100"/>
      <c r="AK1477" s="100"/>
      <c r="AL1477" s="100"/>
      <c r="AM1477" s="100"/>
      <c r="AN1477" s="100"/>
      <c r="AO1477" s="100"/>
      <c r="AP1477" s="100"/>
      <c r="AQ1477" s="100"/>
      <c r="AR1477" s="100"/>
      <c r="AS1477" s="100"/>
      <c r="AT1477" s="102"/>
      <c r="AX1477" s="100"/>
      <c r="AY1477" s="101"/>
      <c r="AZ1477" s="101"/>
      <c r="BA1477" s="100"/>
      <c r="BB1477" s="100"/>
      <c r="BC1477" s="100"/>
      <c r="BD1477" s="100"/>
      <c r="BE1477" s="100"/>
      <c r="BF1477" s="100"/>
      <c r="BG1477" s="100"/>
      <c r="BH1477" s="100"/>
      <c r="BI1477" s="100"/>
      <c r="BJ1477" s="100"/>
      <c r="BK1477" s="102"/>
    </row>
    <row r="1478" spans="1:63" x14ac:dyDescent="0.25">
      <c r="A1478" s="92"/>
      <c r="B1478" s="92"/>
      <c r="C1478" s="92"/>
      <c r="D1478" s="92"/>
      <c r="E1478" s="92"/>
      <c r="F1478" s="92"/>
      <c r="G1478" s="92"/>
      <c r="H1478" s="92"/>
      <c r="I1478" s="92"/>
      <c r="J1478" s="92"/>
      <c r="K1478" s="92"/>
      <c r="L1478" s="92"/>
      <c r="M1478" s="92"/>
      <c r="N1478" s="92"/>
      <c r="AG1478" s="100"/>
      <c r="AH1478" s="101"/>
      <c r="AI1478" s="101"/>
      <c r="AJ1478" s="100"/>
      <c r="AK1478" s="100"/>
      <c r="AL1478" s="100"/>
      <c r="AM1478" s="100"/>
      <c r="AN1478" s="100"/>
      <c r="AO1478" s="100"/>
      <c r="AP1478" s="100"/>
      <c r="AQ1478" s="100"/>
      <c r="AR1478" s="100"/>
      <c r="AS1478" s="100"/>
      <c r="AT1478" s="102"/>
      <c r="AX1478" s="100"/>
      <c r="AY1478" s="101"/>
      <c r="AZ1478" s="101"/>
      <c r="BA1478" s="100"/>
      <c r="BB1478" s="100"/>
      <c r="BC1478" s="100"/>
      <c r="BD1478" s="100"/>
      <c r="BE1478" s="100"/>
      <c r="BF1478" s="100"/>
      <c r="BG1478" s="100"/>
      <c r="BH1478" s="100"/>
      <c r="BI1478" s="100"/>
      <c r="BJ1478" s="100"/>
      <c r="BK1478" s="102"/>
    </row>
    <row r="1479" spans="1:63" x14ac:dyDescent="0.25">
      <c r="A1479" s="92"/>
      <c r="B1479" s="93"/>
      <c r="C1479" s="93"/>
      <c r="D1479" s="92"/>
      <c r="E1479" s="92"/>
      <c r="F1479" s="92"/>
      <c r="G1479" s="92"/>
      <c r="H1479" s="92"/>
      <c r="I1479" s="92"/>
      <c r="J1479" s="92"/>
      <c r="K1479" s="92"/>
      <c r="L1479" s="92"/>
      <c r="M1479" s="92"/>
      <c r="N1479" s="94"/>
      <c r="AG1479" s="100"/>
      <c r="AH1479" s="101"/>
      <c r="AI1479" s="101"/>
      <c r="AJ1479" s="100"/>
      <c r="AK1479" s="100"/>
      <c r="AL1479" s="100"/>
      <c r="AM1479" s="100"/>
      <c r="AN1479" s="100"/>
      <c r="AO1479" s="100"/>
      <c r="AP1479" s="100"/>
      <c r="AQ1479" s="100"/>
      <c r="AR1479" s="100"/>
      <c r="AS1479" s="100"/>
      <c r="AT1479" s="102"/>
      <c r="AX1479" s="100"/>
      <c r="AY1479" s="101"/>
      <c r="AZ1479" s="101"/>
      <c r="BA1479" s="100"/>
      <c r="BB1479" s="100"/>
      <c r="BC1479" s="100"/>
      <c r="BD1479" s="100"/>
      <c r="BE1479" s="100"/>
      <c r="BF1479" s="100"/>
      <c r="BG1479" s="100"/>
      <c r="BH1479" s="100"/>
      <c r="BI1479" s="100"/>
      <c r="BJ1479" s="100"/>
      <c r="BK1479" s="102"/>
    </row>
    <row r="1480" spans="1:63" x14ac:dyDescent="0.25">
      <c r="A1480" s="92"/>
      <c r="B1480" s="93"/>
      <c r="C1480" s="93"/>
      <c r="D1480" s="92"/>
      <c r="E1480" s="92"/>
      <c r="F1480" s="92"/>
      <c r="G1480" s="92"/>
      <c r="H1480" s="92"/>
      <c r="I1480" s="92"/>
      <c r="J1480" s="92"/>
      <c r="K1480" s="92"/>
      <c r="L1480" s="92"/>
      <c r="M1480" s="92"/>
      <c r="N1480" s="94"/>
      <c r="AG1480" s="100"/>
      <c r="AH1480" s="101"/>
      <c r="AI1480" s="101"/>
      <c r="AJ1480" s="100"/>
      <c r="AK1480" s="100"/>
      <c r="AL1480" s="100"/>
      <c r="AM1480" s="100"/>
      <c r="AN1480" s="100"/>
      <c r="AO1480" s="100"/>
      <c r="AP1480" s="100"/>
      <c r="AQ1480" s="100"/>
      <c r="AR1480" s="100"/>
      <c r="AS1480" s="100"/>
      <c r="AT1480" s="102"/>
      <c r="AX1480" s="100"/>
      <c r="AY1480" s="101"/>
      <c r="AZ1480" s="101"/>
      <c r="BA1480" s="100"/>
      <c r="BB1480" s="100"/>
      <c r="BC1480" s="100"/>
      <c r="BD1480" s="100"/>
      <c r="BE1480" s="100"/>
      <c r="BF1480" s="100"/>
      <c r="BG1480" s="100"/>
      <c r="BH1480" s="100"/>
      <c r="BI1480" s="100"/>
      <c r="BJ1480" s="100"/>
      <c r="BK1480" s="102"/>
    </row>
    <row r="1481" spans="1:63" x14ac:dyDescent="0.25">
      <c r="A1481" s="92"/>
      <c r="B1481" s="92"/>
      <c r="C1481" s="92"/>
      <c r="D1481" s="92"/>
      <c r="E1481" s="92"/>
      <c r="F1481" s="92"/>
      <c r="G1481" s="92"/>
      <c r="H1481" s="92"/>
      <c r="I1481" s="92"/>
      <c r="J1481" s="92"/>
      <c r="K1481" s="92"/>
      <c r="L1481" s="92"/>
      <c r="M1481" s="92"/>
      <c r="N1481" s="92"/>
      <c r="AG1481" s="100"/>
      <c r="AH1481" s="101"/>
      <c r="AI1481" s="101"/>
      <c r="AJ1481" s="100"/>
      <c r="AK1481" s="100"/>
      <c r="AL1481" s="100"/>
      <c r="AM1481" s="100"/>
      <c r="AN1481" s="100"/>
      <c r="AO1481" s="100"/>
      <c r="AP1481" s="100"/>
      <c r="AQ1481" s="100"/>
      <c r="AR1481" s="100"/>
      <c r="AS1481" s="100"/>
      <c r="AT1481" s="102"/>
      <c r="AX1481" s="100"/>
      <c r="AY1481" s="101"/>
      <c r="AZ1481" s="101"/>
      <c r="BA1481" s="100"/>
      <c r="BB1481" s="100"/>
      <c r="BC1481" s="100"/>
      <c r="BD1481" s="100"/>
      <c r="BE1481" s="100"/>
      <c r="BF1481" s="100"/>
      <c r="BG1481" s="100"/>
      <c r="BH1481" s="100"/>
      <c r="BI1481" s="100"/>
      <c r="BJ1481" s="100"/>
      <c r="BK1481" s="102"/>
    </row>
    <row r="1482" spans="1:63" x14ac:dyDescent="0.25">
      <c r="A1482" s="92"/>
      <c r="B1482" s="93"/>
      <c r="C1482" s="93"/>
      <c r="D1482" s="92"/>
      <c r="E1482" s="92"/>
      <c r="F1482" s="92"/>
      <c r="G1482" s="92"/>
      <c r="H1482" s="92"/>
      <c r="I1482" s="92"/>
      <c r="J1482" s="92"/>
      <c r="K1482" s="92"/>
      <c r="L1482" s="92"/>
      <c r="M1482" s="92"/>
      <c r="N1482" s="94"/>
      <c r="AG1482" s="100"/>
      <c r="AH1482" s="101"/>
      <c r="AI1482" s="101"/>
      <c r="AJ1482" s="101"/>
      <c r="AK1482" s="100"/>
      <c r="AL1482" s="100"/>
      <c r="AM1482" s="100"/>
      <c r="AN1482" s="100"/>
      <c r="AO1482" s="100"/>
      <c r="AP1482" s="100"/>
      <c r="AQ1482" s="100"/>
      <c r="AR1482" s="100"/>
      <c r="AS1482" s="100"/>
      <c r="AT1482" s="102"/>
      <c r="AX1482" s="100"/>
      <c r="AY1482" s="101"/>
      <c r="AZ1482" s="101"/>
      <c r="BA1482" s="100"/>
      <c r="BB1482" s="100"/>
      <c r="BC1482" s="100"/>
      <c r="BD1482" s="100"/>
      <c r="BE1482" s="100"/>
      <c r="BF1482" s="100"/>
      <c r="BG1482" s="100"/>
      <c r="BH1482" s="100"/>
      <c r="BI1482" s="100"/>
      <c r="BJ1482" s="100"/>
      <c r="BK1482" s="102"/>
    </row>
    <row r="1483" spans="1:63" x14ac:dyDescent="0.25">
      <c r="A1483" s="92"/>
      <c r="B1483" s="93"/>
      <c r="C1483" s="93"/>
      <c r="D1483" s="92"/>
      <c r="E1483" s="92"/>
      <c r="F1483" s="92"/>
      <c r="G1483" s="92"/>
      <c r="H1483" s="92"/>
      <c r="I1483" s="92"/>
      <c r="J1483" s="92"/>
      <c r="K1483" s="92"/>
      <c r="L1483" s="92"/>
      <c r="M1483" s="92"/>
      <c r="N1483" s="94"/>
      <c r="AG1483" s="100"/>
      <c r="AH1483" s="101"/>
      <c r="AI1483" s="101"/>
      <c r="AJ1483" s="100"/>
      <c r="AK1483" s="100"/>
      <c r="AL1483" s="100"/>
      <c r="AM1483" s="100"/>
      <c r="AN1483" s="100"/>
      <c r="AO1483" s="100"/>
      <c r="AP1483" s="100"/>
      <c r="AQ1483" s="100"/>
      <c r="AR1483" s="100"/>
      <c r="AS1483" s="100"/>
      <c r="AT1483" s="102"/>
      <c r="AX1483" s="100"/>
      <c r="AY1483" s="101"/>
      <c r="AZ1483" s="101"/>
      <c r="BA1483" s="101"/>
      <c r="BB1483" s="100"/>
      <c r="BC1483" s="100"/>
      <c r="BD1483" s="100"/>
      <c r="BE1483" s="100"/>
      <c r="BF1483" s="100"/>
      <c r="BG1483" s="100"/>
      <c r="BH1483" s="100"/>
      <c r="BI1483" s="100"/>
      <c r="BJ1483" s="100"/>
      <c r="BK1483" s="102"/>
    </row>
    <row r="1484" spans="1:63" x14ac:dyDescent="0.25">
      <c r="A1484" s="92"/>
      <c r="B1484" s="92"/>
      <c r="C1484" s="92"/>
      <c r="D1484" s="92"/>
      <c r="E1484" s="92"/>
      <c r="F1484" s="92"/>
      <c r="G1484" s="92"/>
      <c r="H1484" s="92"/>
      <c r="I1484" s="92"/>
      <c r="J1484" s="92"/>
      <c r="K1484" s="92"/>
      <c r="L1484" s="92"/>
      <c r="M1484" s="92"/>
      <c r="N1484" s="92"/>
      <c r="AG1484" s="100"/>
      <c r="AH1484" s="101"/>
      <c r="AI1484" s="101"/>
      <c r="AJ1484" s="100"/>
      <c r="AK1484" s="100"/>
      <c r="AL1484" s="100"/>
      <c r="AM1484" s="100"/>
      <c r="AN1484" s="100"/>
      <c r="AO1484" s="100"/>
      <c r="AP1484" s="100"/>
      <c r="AQ1484" s="100"/>
      <c r="AR1484" s="100"/>
      <c r="AS1484" s="100"/>
      <c r="AT1484" s="102"/>
      <c r="AX1484" s="100"/>
      <c r="AY1484" s="101"/>
      <c r="AZ1484" s="101"/>
      <c r="BA1484" s="101"/>
      <c r="BB1484" s="100"/>
      <c r="BC1484" s="100"/>
      <c r="BD1484" s="100"/>
      <c r="BE1484" s="100"/>
      <c r="BF1484" s="100"/>
      <c r="BG1484" s="100"/>
      <c r="BH1484" s="100"/>
      <c r="BI1484" s="100"/>
      <c r="BJ1484" s="100"/>
      <c r="BK1484" s="102"/>
    </row>
    <row r="1485" spans="1:63" x14ac:dyDescent="0.25">
      <c r="A1485" s="92"/>
      <c r="B1485" s="92"/>
      <c r="C1485" s="92"/>
      <c r="D1485" s="92"/>
      <c r="E1485" s="92"/>
      <c r="F1485" s="92"/>
      <c r="G1485" s="92"/>
      <c r="H1485" s="92"/>
      <c r="I1485" s="92"/>
      <c r="J1485" s="92"/>
      <c r="K1485" s="92"/>
      <c r="L1485" s="92"/>
      <c r="M1485" s="92"/>
      <c r="N1485" s="92"/>
      <c r="AG1485" s="100"/>
      <c r="AH1485" s="101"/>
      <c r="AI1485" s="101"/>
      <c r="AJ1485" s="100"/>
      <c r="AK1485" s="100"/>
      <c r="AL1485" s="100"/>
      <c r="AM1485" s="100"/>
      <c r="AN1485" s="100"/>
      <c r="AO1485" s="100"/>
      <c r="AP1485" s="100"/>
      <c r="AQ1485" s="100"/>
      <c r="AR1485" s="100"/>
      <c r="AS1485" s="100"/>
      <c r="AT1485" s="102"/>
      <c r="AX1485" s="100"/>
      <c r="AY1485" s="101"/>
      <c r="AZ1485" s="101"/>
      <c r="BA1485" s="100"/>
      <c r="BB1485" s="100"/>
      <c r="BC1485" s="100"/>
      <c r="BD1485" s="100"/>
      <c r="BE1485" s="100"/>
      <c r="BF1485" s="100"/>
      <c r="BG1485" s="100"/>
      <c r="BH1485" s="100"/>
      <c r="BI1485" s="100"/>
      <c r="BJ1485" s="100"/>
      <c r="BK1485" s="102"/>
    </row>
    <row r="1486" spans="1:63" x14ac:dyDescent="0.25">
      <c r="A1486" s="92"/>
      <c r="B1486" s="92"/>
      <c r="C1486" s="92"/>
      <c r="D1486" s="92"/>
      <c r="E1486" s="92"/>
      <c r="F1486" s="92"/>
      <c r="G1486" s="92"/>
      <c r="H1486" s="92"/>
      <c r="I1486" s="92"/>
      <c r="J1486" s="92"/>
      <c r="K1486" s="92"/>
      <c r="L1486" s="92"/>
      <c r="M1486" s="92"/>
      <c r="N1486" s="92"/>
      <c r="AG1486" s="100"/>
      <c r="AH1486" s="101"/>
      <c r="AI1486" s="101"/>
      <c r="AJ1486" s="100"/>
      <c r="AK1486" s="100"/>
      <c r="AL1486" s="100"/>
      <c r="AM1486" s="100"/>
      <c r="AN1486" s="100"/>
      <c r="AO1486" s="100"/>
      <c r="AP1486" s="100"/>
      <c r="AQ1486" s="100"/>
      <c r="AR1486" s="100"/>
      <c r="AS1486" s="100"/>
      <c r="AT1486" s="102"/>
      <c r="AX1486" s="100"/>
      <c r="AY1486" s="101"/>
      <c r="AZ1486" s="101"/>
      <c r="BA1486" s="100"/>
      <c r="BB1486" s="100"/>
      <c r="BC1486" s="100"/>
      <c r="BD1486" s="100"/>
      <c r="BE1486" s="100"/>
      <c r="BF1486" s="100"/>
      <c r="BG1486" s="100"/>
      <c r="BH1486" s="100"/>
      <c r="BI1486" s="100"/>
      <c r="BJ1486" s="100"/>
      <c r="BK1486" s="102"/>
    </row>
    <row r="1487" spans="1:63" x14ac:dyDescent="0.25">
      <c r="A1487" s="92"/>
      <c r="B1487" s="93"/>
      <c r="C1487" s="93"/>
      <c r="D1487" s="92"/>
      <c r="E1487" s="92"/>
      <c r="F1487" s="92"/>
      <c r="G1487" s="92"/>
      <c r="H1487" s="92"/>
      <c r="I1487" s="92"/>
      <c r="J1487" s="92"/>
      <c r="K1487" s="92"/>
      <c r="L1487" s="92"/>
      <c r="M1487" s="92"/>
      <c r="N1487" s="94"/>
      <c r="AG1487" s="100"/>
      <c r="AH1487" s="101"/>
      <c r="AI1487" s="101"/>
      <c r="AJ1487" s="100"/>
      <c r="AK1487" s="100"/>
      <c r="AL1487" s="100"/>
      <c r="AM1487" s="100"/>
      <c r="AN1487" s="100"/>
      <c r="AO1487" s="100"/>
      <c r="AP1487" s="100"/>
      <c r="AQ1487" s="100"/>
      <c r="AR1487" s="100"/>
      <c r="AS1487" s="100"/>
      <c r="AT1487" s="102"/>
      <c r="AX1487" s="100"/>
      <c r="AY1487" s="101"/>
      <c r="AZ1487" s="101"/>
      <c r="BA1487" s="100"/>
      <c r="BB1487" s="100"/>
      <c r="BC1487" s="100"/>
      <c r="BD1487" s="100"/>
      <c r="BE1487" s="100"/>
      <c r="BF1487" s="100"/>
      <c r="BG1487" s="100"/>
      <c r="BH1487" s="100"/>
      <c r="BI1487" s="100"/>
      <c r="BJ1487" s="100"/>
      <c r="BK1487" s="102"/>
    </row>
    <row r="1488" spans="1:63" x14ac:dyDescent="0.25">
      <c r="A1488" s="92"/>
      <c r="B1488" s="93"/>
      <c r="C1488" s="93"/>
      <c r="D1488" s="92"/>
      <c r="E1488" s="92"/>
      <c r="F1488" s="92"/>
      <c r="G1488" s="92"/>
      <c r="H1488" s="92"/>
      <c r="I1488" s="92"/>
      <c r="J1488" s="92"/>
      <c r="K1488" s="92"/>
      <c r="L1488" s="92"/>
      <c r="M1488" s="92"/>
      <c r="N1488" s="94"/>
      <c r="AG1488" s="100"/>
      <c r="AH1488" s="101"/>
      <c r="AI1488" s="101"/>
      <c r="AJ1488" s="100"/>
      <c r="AK1488" s="100"/>
      <c r="AL1488" s="100"/>
      <c r="AM1488" s="100"/>
      <c r="AN1488" s="100"/>
      <c r="AO1488" s="100"/>
      <c r="AP1488" s="100"/>
      <c r="AQ1488" s="100"/>
      <c r="AR1488" s="100"/>
      <c r="AS1488" s="100"/>
      <c r="AT1488" s="102"/>
      <c r="AX1488" s="100"/>
      <c r="AY1488" s="101"/>
      <c r="AZ1488" s="101"/>
      <c r="BA1488" s="100"/>
      <c r="BB1488" s="100"/>
      <c r="BC1488" s="100"/>
      <c r="BD1488" s="100"/>
      <c r="BE1488" s="100"/>
      <c r="BF1488" s="100"/>
      <c r="BG1488" s="100"/>
      <c r="BH1488" s="100"/>
      <c r="BI1488" s="100"/>
      <c r="BJ1488" s="100"/>
      <c r="BK1488" s="102"/>
    </row>
    <row r="1489" spans="1:63" x14ac:dyDescent="0.25">
      <c r="A1489" s="92"/>
      <c r="B1489" s="93"/>
      <c r="C1489" s="93"/>
      <c r="D1489" s="92"/>
      <c r="E1489" s="92"/>
      <c r="F1489" s="92"/>
      <c r="G1489" s="92"/>
      <c r="H1489" s="92"/>
      <c r="I1489" s="92"/>
      <c r="J1489" s="92"/>
      <c r="K1489" s="92"/>
      <c r="L1489" s="92"/>
      <c r="M1489" s="92"/>
      <c r="N1489" s="94"/>
      <c r="AG1489" s="100"/>
      <c r="AH1489" s="101"/>
      <c r="AI1489" s="101"/>
      <c r="AJ1489" s="100"/>
      <c r="AK1489" s="100"/>
      <c r="AL1489" s="100"/>
      <c r="AM1489" s="100"/>
      <c r="AN1489" s="100"/>
      <c r="AO1489" s="100"/>
      <c r="AP1489" s="100"/>
      <c r="AQ1489" s="100"/>
      <c r="AR1489" s="100"/>
      <c r="AS1489" s="100"/>
      <c r="AT1489" s="102"/>
      <c r="AX1489" s="100"/>
      <c r="AY1489" s="101"/>
      <c r="AZ1489" s="101"/>
      <c r="BA1489" s="100"/>
      <c r="BB1489" s="100"/>
      <c r="BC1489" s="100"/>
      <c r="BD1489" s="100"/>
      <c r="BE1489" s="100"/>
      <c r="BF1489" s="100"/>
      <c r="BG1489" s="100"/>
      <c r="BH1489" s="100"/>
      <c r="BI1489" s="100"/>
      <c r="BJ1489" s="100"/>
      <c r="BK1489" s="102"/>
    </row>
    <row r="1490" spans="1:63" x14ac:dyDescent="0.25">
      <c r="A1490" s="92"/>
      <c r="B1490" s="93"/>
      <c r="C1490" s="93"/>
      <c r="D1490" s="92"/>
      <c r="E1490" s="92"/>
      <c r="F1490" s="92"/>
      <c r="G1490" s="92"/>
      <c r="H1490" s="92"/>
      <c r="I1490" s="92"/>
      <c r="J1490" s="92"/>
      <c r="K1490" s="92"/>
      <c r="L1490" s="92"/>
      <c r="M1490" s="92"/>
      <c r="N1490" s="94"/>
      <c r="AG1490" s="100"/>
      <c r="AH1490" s="101"/>
      <c r="AI1490" s="101"/>
      <c r="AJ1490" s="101"/>
      <c r="AK1490" s="100"/>
      <c r="AL1490" s="100"/>
      <c r="AM1490" s="100"/>
      <c r="AN1490" s="100"/>
      <c r="AO1490" s="100"/>
      <c r="AP1490" s="100"/>
      <c r="AQ1490" s="100"/>
      <c r="AR1490" s="100"/>
      <c r="AS1490" s="100"/>
      <c r="AT1490" s="102"/>
      <c r="AX1490" s="100"/>
      <c r="AY1490" s="101"/>
      <c r="AZ1490" s="101"/>
      <c r="BA1490" s="101"/>
      <c r="BB1490" s="100"/>
      <c r="BC1490" s="100"/>
      <c r="BD1490" s="100"/>
      <c r="BE1490" s="100"/>
      <c r="BF1490" s="100"/>
      <c r="BG1490" s="100"/>
      <c r="BH1490" s="100"/>
      <c r="BI1490" s="100"/>
      <c r="BJ1490" s="100"/>
      <c r="BK1490" s="102"/>
    </row>
    <row r="1491" spans="1:63" x14ac:dyDescent="0.25">
      <c r="A1491" s="92"/>
      <c r="B1491" s="93"/>
      <c r="C1491" s="93"/>
      <c r="D1491" s="92"/>
      <c r="E1491" s="92"/>
      <c r="F1491" s="92"/>
      <c r="G1491" s="92"/>
      <c r="H1491" s="92"/>
      <c r="I1491" s="92"/>
      <c r="J1491" s="92"/>
      <c r="K1491" s="92"/>
      <c r="L1491" s="92"/>
      <c r="M1491" s="92"/>
      <c r="N1491" s="94"/>
      <c r="AG1491" s="100"/>
      <c r="AH1491" s="101"/>
      <c r="AI1491" s="101"/>
      <c r="AJ1491" s="101"/>
      <c r="AK1491" s="100"/>
      <c r="AL1491" s="100"/>
      <c r="AM1491" s="100"/>
      <c r="AN1491" s="100"/>
      <c r="AO1491" s="100"/>
      <c r="AP1491" s="100"/>
      <c r="AQ1491" s="100"/>
      <c r="AR1491" s="100"/>
      <c r="AS1491" s="100"/>
      <c r="AT1491" s="102"/>
      <c r="AX1491" s="100"/>
      <c r="AY1491" s="101"/>
      <c r="AZ1491" s="101"/>
      <c r="BA1491" s="100"/>
      <c r="BB1491" s="100"/>
      <c r="BC1491" s="100"/>
      <c r="BD1491" s="100"/>
      <c r="BE1491" s="100"/>
      <c r="BF1491" s="100"/>
      <c r="BG1491" s="100"/>
      <c r="BH1491" s="100"/>
      <c r="BI1491" s="100"/>
      <c r="BJ1491" s="100"/>
      <c r="BK1491" s="102"/>
    </row>
    <row r="1492" spans="1:63" x14ac:dyDescent="0.25">
      <c r="A1492" s="92"/>
      <c r="B1492" s="92"/>
      <c r="C1492" s="92"/>
      <c r="D1492" s="92"/>
      <c r="E1492" s="92"/>
      <c r="F1492" s="92"/>
      <c r="G1492" s="92"/>
      <c r="H1492" s="92"/>
      <c r="I1492" s="92"/>
      <c r="J1492" s="92"/>
      <c r="K1492" s="92"/>
      <c r="L1492" s="92"/>
      <c r="M1492" s="92"/>
      <c r="N1492" s="92"/>
      <c r="AG1492" s="100"/>
      <c r="AH1492" s="101"/>
      <c r="AI1492" s="101"/>
      <c r="AJ1492" s="100"/>
      <c r="AK1492" s="100"/>
      <c r="AL1492" s="100"/>
      <c r="AM1492" s="100"/>
      <c r="AN1492" s="100"/>
      <c r="AO1492" s="100"/>
      <c r="AP1492" s="100"/>
      <c r="AQ1492" s="100"/>
      <c r="AR1492" s="100"/>
      <c r="AS1492" s="100"/>
      <c r="AT1492" s="102"/>
      <c r="AX1492" s="100"/>
      <c r="AY1492" s="101"/>
      <c r="AZ1492" s="101"/>
      <c r="BA1492" s="100"/>
      <c r="BB1492" s="100"/>
      <c r="BC1492" s="100"/>
      <c r="BD1492" s="100"/>
      <c r="BE1492" s="100"/>
      <c r="BF1492" s="100"/>
      <c r="BG1492" s="100"/>
      <c r="BH1492" s="100"/>
      <c r="BI1492" s="100"/>
      <c r="BJ1492" s="100"/>
      <c r="BK1492" s="102"/>
    </row>
    <row r="1493" spans="1:63" x14ac:dyDescent="0.25">
      <c r="A1493" s="92"/>
      <c r="B1493" s="92"/>
      <c r="C1493" s="92"/>
      <c r="D1493" s="92"/>
      <c r="E1493" s="92"/>
      <c r="F1493" s="92"/>
      <c r="G1493" s="92"/>
      <c r="H1493" s="92"/>
      <c r="I1493" s="92"/>
      <c r="J1493" s="92"/>
      <c r="K1493" s="92"/>
      <c r="L1493" s="92"/>
      <c r="M1493" s="92"/>
      <c r="N1493" s="92"/>
      <c r="AG1493" s="100"/>
      <c r="AH1493" s="101"/>
      <c r="AI1493" s="101"/>
      <c r="AJ1493" s="100"/>
      <c r="AK1493" s="100"/>
      <c r="AL1493" s="100"/>
      <c r="AM1493" s="100"/>
      <c r="AN1493" s="100"/>
      <c r="AO1493" s="100"/>
      <c r="AP1493" s="100"/>
      <c r="AQ1493" s="100"/>
      <c r="AR1493" s="100"/>
      <c r="AS1493" s="100"/>
      <c r="AT1493" s="102"/>
      <c r="AX1493" s="100"/>
      <c r="AY1493" s="101"/>
      <c r="AZ1493" s="101"/>
      <c r="BA1493" s="101"/>
      <c r="BB1493" s="100"/>
      <c r="BC1493" s="100"/>
      <c r="BD1493" s="100"/>
      <c r="BE1493" s="100"/>
      <c r="BF1493" s="100"/>
      <c r="BG1493" s="100"/>
      <c r="BH1493" s="100"/>
      <c r="BI1493" s="100"/>
      <c r="BJ1493" s="100"/>
      <c r="BK1493" s="102"/>
    </row>
    <row r="1494" spans="1:63" x14ac:dyDescent="0.25">
      <c r="A1494" s="92"/>
      <c r="B1494" s="92"/>
      <c r="C1494" s="92"/>
      <c r="D1494" s="92"/>
      <c r="E1494" s="92"/>
      <c r="F1494" s="92"/>
      <c r="G1494" s="92"/>
      <c r="H1494" s="92"/>
      <c r="I1494" s="92"/>
      <c r="J1494" s="92"/>
      <c r="K1494" s="92"/>
      <c r="L1494" s="92"/>
      <c r="M1494" s="92"/>
      <c r="N1494" s="92"/>
      <c r="AG1494" s="100"/>
      <c r="AH1494" s="101"/>
      <c r="AI1494" s="101"/>
      <c r="AJ1494" s="100"/>
      <c r="AK1494" s="100"/>
      <c r="AL1494" s="100"/>
      <c r="AM1494" s="100"/>
      <c r="AN1494" s="100"/>
      <c r="AO1494" s="100"/>
      <c r="AP1494" s="100"/>
      <c r="AQ1494" s="100"/>
      <c r="AR1494" s="100"/>
      <c r="AS1494" s="100"/>
      <c r="AT1494" s="102"/>
      <c r="AX1494" s="100"/>
      <c r="AY1494" s="101"/>
      <c r="AZ1494" s="101"/>
      <c r="BA1494" s="100"/>
      <c r="BB1494" s="100"/>
      <c r="BC1494" s="100"/>
      <c r="BD1494" s="100"/>
      <c r="BE1494" s="100"/>
      <c r="BF1494" s="100"/>
      <c r="BG1494" s="100"/>
      <c r="BH1494" s="100"/>
      <c r="BI1494" s="100"/>
      <c r="BJ1494" s="100"/>
      <c r="BK1494" s="102"/>
    </row>
    <row r="1495" spans="1:63" x14ac:dyDescent="0.25">
      <c r="A1495" s="92"/>
      <c r="B1495" s="92"/>
      <c r="C1495" s="92"/>
      <c r="D1495" s="92"/>
      <c r="E1495" s="92"/>
      <c r="F1495" s="92"/>
      <c r="G1495" s="92"/>
      <c r="H1495" s="92"/>
      <c r="I1495" s="92"/>
      <c r="J1495" s="92"/>
      <c r="K1495" s="92"/>
      <c r="L1495" s="92"/>
      <c r="M1495" s="92"/>
      <c r="N1495" s="92"/>
      <c r="AG1495" s="100"/>
      <c r="AH1495" s="101"/>
      <c r="AI1495" s="101"/>
      <c r="AJ1495" s="100"/>
      <c r="AK1495" s="100"/>
      <c r="AL1495" s="100"/>
      <c r="AM1495" s="100"/>
      <c r="AN1495" s="100"/>
      <c r="AO1495" s="100"/>
      <c r="AP1495" s="100"/>
      <c r="AQ1495" s="100"/>
      <c r="AR1495" s="100"/>
      <c r="AS1495" s="100"/>
      <c r="AT1495" s="102"/>
      <c r="AX1495" s="100"/>
      <c r="AY1495" s="101"/>
      <c r="AZ1495" s="101"/>
      <c r="BA1495" s="100"/>
      <c r="BB1495" s="100"/>
      <c r="BC1495" s="100"/>
      <c r="BD1495" s="100"/>
      <c r="BE1495" s="100"/>
      <c r="BF1495" s="100"/>
      <c r="BG1495" s="100"/>
      <c r="BH1495" s="100"/>
      <c r="BI1495" s="100"/>
      <c r="BJ1495" s="100"/>
      <c r="BK1495" s="102"/>
    </row>
    <row r="1496" spans="1:63" x14ac:dyDescent="0.25">
      <c r="A1496" s="92"/>
      <c r="B1496" s="93"/>
      <c r="C1496" s="93"/>
      <c r="D1496" s="92"/>
      <c r="E1496" s="92"/>
      <c r="F1496" s="92"/>
      <c r="G1496" s="92"/>
      <c r="H1496" s="92"/>
      <c r="I1496" s="92"/>
      <c r="J1496" s="92"/>
      <c r="K1496" s="92"/>
      <c r="L1496" s="92"/>
      <c r="M1496" s="92"/>
      <c r="N1496" s="94"/>
      <c r="AG1496" s="100"/>
      <c r="AH1496" s="101"/>
      <c r="AI1496" s="101"/>
      <c r="AJ1496" s="100"/>
      <c r="AK1496" s="100"/>
      <c r="AL1496" s="100"/>
      <c r="AM1496" s="100"/>
      <c r="AN1496" s="100"/>
      <c r="AO1496" s="100"/>
      <c r="AP1496" s="100"/>
      <c r="AQ1496" s="100"/>
      <c r="AR1496" s="100"/>
      <c r="AS1496" s="100"/>
      <c r="AT1496" s="102"/>
      <c r="AX1496" s="100"/>
      <c r="AY1496" s="101"/>
      <c r="AZ1496" s="101"/>
      <c r="BA1496" s="100"/>
      <c r="BB1496" s="100"/>
      <c r="BC1496" s="100"/>
      <c r="BD1496" s="100"/>
      <c r="BE1496" s="100"/>
      <c r="BF1496" s="100"/>
      <c r="BG1496" s="100"/>
      <c r="BH1496" s="100"/>
      <c r="BI1496" s="100"/>
      <c r="BJ1496" s="100"/>
      <c r="BK1496" s="102"/>
    </row>
    <row r="1497" spans="1:63" x14ac:dyDescent="0.25">
      <c r="A1497" s="92"/>
      <c r="B1497" s="93"/>
      <c r="C1497" s="93"/>
      <c r="D1497" s="92"/>
      <c r="E1497" s="92"/>
      <c r="F1497" s="92"/>
      <c r="G1497" s="92"/>
      <c r="H1497" s="92"/>
      <c r="I1497" s="92"/>
      <c r="J1497" s="92"/>
      <c r="K1497" s="92"/>
      <c r="L1497" s="92"/>
      <c r="M1497" s="92"/>
      <c r="N1497" s="94"/>
      <c r="AG1497" s="100"/>
      <c r="AH1497" s="101"/>
      <c r="AI1497" s="101"/>
      <c r="AJ1497" s="100"/>
      <c r="AK1497" s="100"/>
      <c r="AL1497" s="100"/>
      <c r="AM1497" s="100"/>
      <c r="AN1497" s="100"/>
      <c r="AO1497" s="100"/>
      <c r="AP1497" s="100"/>
      <c r="AQ1497" s="100"/>
      <c r="AR1497" s="100"/>
      <c r="AS1497" s="100"/>
      <c r="AT1497" s="102"/>
      <c r="AX1497" s="100"/>
      <c r="AY1497" s="101"/>
      <c r="AZ1497" s="101"/>
      <c r="BA1497" s="100"/>
      <c r="BB1497" s="100"/>
      <c r="BC1497" s="100"/>
      <c r="BD1497" s="100"/>
      <c r="BE1497" s="100"/>
      <c r="BF1497" s="100"/>
      <c r="BG1497" s="100"/>
      <c r="BH1497" s="100"/>
      <c r="BI1497" s="100"/>
      <c r="BJ1497" s="100"/>
      <c r="BK1497" s="102"/>
    </row>
    <row r="1498" spans="1:63" x14ac:dyDescent="0.25">
      <c r="A1498" s="92"/>
      <c r="B1498" s="93"/>
      <c r="C1498" s="93"/>
      <c r="D1498" s="92"/>
      <c r="E1498" s="92"/>
      <c r="F1498" s="92"/>
      <c r="G1498" s="92"/>
      <c r="H1498" s="92"/>
      <c r="I1498" s="92"/>
      <c r="J1498" s="92"/>
      <c r="K1498" s="92"/>
      <c r="L1498" s="92"/>
      <c r="M1498" s="92"/>
      <c r="N1498" s="94"/>
      <c r="AG1498" s="100"/>
      <c r="AH1498" s="101"/>
      <c r="AI1498" s="101"/>
      <c r="AJ1498" s="100"/>
      <c r="AK1498" s="100"/>
      <c r="AL1498" s="100"/>
      <c r="AM1498" s="100"/>
      <c r="AN1498" s="100"/>
      <c r="AO1498" s="100"/>
      <c r="AP1498" s="100"/>
      <c r="AQ1498" s="100"/>
      <c r="AR1498" s="100"/>
      <c r="AS1498" s="100"/>
      <c r="AT1498" s="102"/>
      <c r="AX1498" s="100"/>
      <c r="AY1498" s="101"/>
      <c r="AZ1498" s="101"/>
      <c r="BA1498" s="100"/>
      <c r="BB1498" s="100"/>
      <c r="BC1498" s="100"/>
      <c r="BD1498" s="100"/>
      <c r="BE1498" s="100"/>
      <c r="BF1498" s="100"/>
      <c r="BG1498" s="100"/>
      <c r="BH1498" s="100"/>
      <c r="BI1498" s="100"/>
      <c r="BJ1498" s="100"/>
      <c r="BK1498" s="102"/>
    </row>
    <row r="1499" spans="1:63" x14ac:dyDescent="0.25">
      <c r="A1499" s="92"/>
      <c r="B1499" s="92"/>
      <c r="C1499" s="92"/>
      <c r="D1499" s="92"/>
      <c r="E1499" s="92"/>
      <c r="F1499" s="92"/>
      <c r="G1499" s="92"/>
      <c r="H1499" s="92"/>
      <c r="I1499" s="92"/>
      <c r="J1499" s="92"/>
      <c r="K1499" s="92"/>
      <c r="L1499" s="92"/>
      <c r="M1499" s="92"/>
      <c r="N1499" s="92"/>
      <c r="AG1499" s="100"/>
      <c r="AH1499" s="101"/>
      <c r="AI1499" s="101"/>
      <c r="AJ1499" s="100"/>
      <c r="AK1499" s="100"/>
      <c r="AL1499" s="100"/>
      <c r="AM1499" s="100"/>
      <c r="AN1499" s="100"/>
      <c r="AO1499" s="100"/>
      <c r="AP1499" s="100"/>
      <c r="AQ1499" s="100"/>
      <c r="AR1499" s="100"/>
      <c r="AS1499" s="100"/>
      <c r="AT1499" s="102"/>
      <c r="AX1499" s="100"/>
      <c r="AY1499" s="101"/>
      <c r="AZ1499" s="101"/>
      <c r="BA1499" s="100"/>
      <c r="BB1499" s="100"/>
      <c r="BC1499" s="100"/>
      <c r="BD1499" s="100"/>
      <c r="BE1499" s="100"/>
      <c r="BF1499" s="100"/>
      <c r="BG1499" s="100"/>
      <c r="BH1499" s="100"/>
      <c r="BI1499" s="100"/>
      <c r="BJ1499" s="100"/>
      <c r="BK1499" s="102"/>
    </row>
    <row r="1500" spans="1:63" x14ac:dyDescent="0.25">
      <c r="A1500" s="92"/>
      <c r="B1500" s="92"/>
      <c r="C1500" s="92"/>
      <c r="D1500" s="92"/>
      <c r="E1500" s="92"/>
      <c r="F1500" s="92"/>
      <c r="G1500" s="92"/>
      <c r="H1500" s="92"/>
      <c r="I1500" s="92"/>
      <c r="J1500" s="92"/>
      <c r="K1500" s="92"/>
      <c r="L1500" s="92"/>
      <c r="M1500" s="92"/>
      <c r="N1500" s="92"/>
      <c r="AG1500" s="100"/>
      <c r="AH1500" s="101"/>
      <c r="AI1500" s="101"/>
      <c r="AJ1500" s="100"/>
      <c r="AK1500" s="100"/>
      <c r="AL1500" s="100"/>
      <c r="AM1500" s="100"/>
      <c r="AN1500" s="100"/>
      <c r="AO1500" s="100"/>
      <c r="AP1500" s="100"/>
      <c r="AQ1500" s="100"/>
      <c r="AR1500" s="100"/>
      <c r="AS1500" s="100"/>
      <c r="AT1500" s="102"/>
      <c r="AX1500" s="100"/>
      <c r="AY1500" s="101"/>
      <c r="AZ1500" s="101"/>
      <c r="BA1500" s="100"/>
      <c r="BB1500" s="100"/>
      <c r="BC1500" s="100"/>
      <c r="BD1500" s="100"/>
      <c r="BE1500" s="100"/>
      <c r="BF1500" s="100"/>
      <c r="BG1500" s="100"/>
      <c r="BH1500" s="100"/>
      <c r="BI1500" s="100"/>
      <c r="BJ1500" s="100"/>
      <c r="BK1500" s="102"/>
    </row>
    <row r="1501" spans="1:63" x14ac:dyDescent="0.25">
      <c r="A1501" s="92"/>
      <c r="B1501" s="92"/>
      <c r="C1501" s="92"/>
      <c r="D1501" s="92"/>
      <c r="E1501" s="92"/>
      <c r="F1501" s="92"/>
      <c r="G1501" s="92"/>
      <c r="H1501" s="92"/>
      <c r="I1501" s="92"/>
      <c r="J1501" s="92"/>
      <c r="K1501" s="92"/>
      <c r="L1501" s="92"/>
      <c r="M1501" s="92"/>
      <c r="N1501" s="92"/>
      <c r="AG1501" s="100"/>
      <c r="AH1501" s="101"/>
      <c r="AI1501" s="101"/>
      <c r="AJ1501" s="100"/>
      <c r="AK1501" s="100"/>
      <c r="AL1501" s="100"/>
      <c r="AM1501" s="100"/>
      <c r="AN1501" s="100"/>
      <c r="AO1501" s="100"/>
      <c r="AP1501" s="100"/>
      <c r="AQ1501" s="100"/>
      <c r="AR1501" s="100"/>
      <c r="AS1501" s="100"/>
      <c r="AT1501" s="102"/>
      <c r="AX1501" s="100"/>
      <c r="AY1501" s="101"/>
      <c r="AZ1501" s="101"/>
      <c r="BA1501" s="100"/>
      <c r="BB1501" s="100"/>
      <c r="BC1501" s="100"/>
      <c r="BD1501" s="100"/>
      <c r="BE1501" s="100"/>
      <c r="BF1501" s="100"/>
      <c r="BG1501" s="100"/>
      <c r="BH1501" s="100"/>
      <c r="BI1501" s="100"/>
      <c r="BJ1501" s="100"/>
      <c r="BK1501" s="102"/>
    </row>
    <row r="1502" spans="1:63" x14ac:dyDescent="0.25">
      <c r="A1502" s="92"/>
      <c r="B1502" s="92"/>
      <c r="C1502" s="92"/>
      <c r="D1502" s="92"/>
      <c r="E1502" s="92"/>
      <c r="F1502" s="92"/>
      <c r="G1502" s="92"/>
      <c r="H1502" s="92"/>
      <c r="I1502" s="92"/>
      <c r="J1502" s="92"/>
      <c r="K1502" s="92"/>
      <c r="L1502" s="92"/>
      <c r="M1502" s="92"/>
      <c r="N1502" s="92"/>
      <c r="AG1502" s="100"/>
      <c r="AH1502" s="101"/>
      <c r="AI1502" s="101"/>
      <c r="AJ1502" s="100"/>
      <c r="AK1502" s="100"/>
      <c r="AL1502" s="100"/>
      <c r="AM1502" s="100"/>
      <c r="AN1502" s="100"/>
      <c r="AO1502" s="100"/>
      <c r="AP1502" s="100"/>
      <c r="AQ1502" s="100"/>
      <c r="AR1502" s="100"/>
      <c r="AS1502" s="100"/>
      <c r="AT1502" s="102"/>
      <c r="AX1502" s="100"/>
      <c r="AY1502" s="101"/>
      <c r="AZ1502" s="101"/>
      <c r="BA1502" s="101"/>
      <c r="BB1502" s="100"/>
      <c r="BC1502" s="100"/>
      <c r="BD1502" s="100"/>
      <c r="BE1502" s="100"/>
      <c r="BF1502" s="100"/>
      <c r="BG1502" s="100"/>
      <c r="BH1502" s="100"/>
      <c r="BI1502" s="100"/>
      <c r="BJ1502" s="100"/>
      <c r="BK1502" s="102"/>
    </row>
    <row r="1503" spans="1:63" x14ac:dyDescent="0.25">
      <c r="A1503" s="92"/>
      <c r="B1503" s="92"/>
      <c r="C1503" s="92"/>
      <c r="D1503" s="92"/>
      <c r="E1503" s="92"/>
      <c r="F1503" s="92"/>
      <c r="G1503" s="92"/>
      <c r="H1503" s="92"/>
      <c r="I1503" s="92"/>
      <c r="J1503" s="92"/>
      <c r="K1503" s="92"/>
      <c r="L1503" s="92"/>
      <c r="M1503" s="92"/>
      <c r="N1503" s="92"/>
      <c r="AG1503" s="100"/>
      <c r="AH1503" s="101"/>
      <c r="AI1503" s="101"/>
      <c r="AJ1503" s="100"/>
      <c r="AK1503" s="100"/>
      <c r="AL1503" s="100"/>
      <c r="AM1503" s="100"/>
      <c r="AN1503" s="100"/>
      <c r="AO1503" s="100"/>
      <c r="AP1503" s="100"/>
      <c r="AQ1503" s="100"/>
      <c r="AR1503" s="100"/>
      <c r="AS1503" s="100"/>
      <c r="AT1503" s="102"/>
      <c r="AX1503" s="100"/>
      <c r="AY1503" s="101"/>
      <c r="AZ1503" s="101"/>
      <c r="BA1503" s="100"/>
      <c r="BB1503" s="100"/>
      <c r="BC1503" s="100"/>
      <c r="BD1503" s="100"/>
      <c r="BE1503" s="100"/>
      <c r="BF1503" s="100"/>
      <c r="BG1503" s="100"/>
      <c r="BH1503" s="100"/>
      <c r="BI1503" s="100"/>
      <c r="BJ1503" s="100"/>
      <c r="BK1503" s="102"/>
    </row>
    <row r="1504" spans="1:63" x14ac:dyDescent="0.25">
      <c r="A1504" s="92"/>
      <c r="B1504" s="92"/>
      <c r="C1504" s="92"/>
      <c r="D1504" s="92"/>
      <c r="E1504" s="92"/>
      <c r="F1504" s="92"/>
      <c r="G1504" s="92"/>
      <c r="H1504" s="92"/>
      <c r="I1504" s="92"/>
      <c r="J1504" s="92"/>
      <c r="K1504" s="92"/>
      <c r="L1504" s="92"/>
      <c r="M1504" s="92"/>
      <c r="N1504" s="92"/>
      <c r="AG1504" s="100"/>
      <c r="AH1504" s="101"/>
      <c r="AI1504" s="101"/>
      <c r="AJ1504" s="100"/>
      <c r="AK1504" s="100"/>
      <c r="AL1504" s="100"/>
      <c r="AM1504" s="100"/>
      <c r="AN1504" s="100"/>
      <c r="AO1504" s="100"/>
      <c r="AP1504" s="100"/>
      <c r="AQ1504" s="100"/>
      <c r="AR1504" s="100"/>
      <c r="AS1504" s="100"/>
      <c r="AT1504" s="102"/>
      <c r="AX1504" s="100"/>
      <c r="AY1504" s="101"/>
      <c r="AZ1504" s="101"/>
      <c r="BA1504" s="100"/>
      <c r="BB1504" s="100"/>
      <c r="BC1504" s="100"/>
      <c r="BD1504" s="100"/>
      <c r="BE1504" s="100"/>
      <c r="BF1504" s="100"/>
      <c r="BG1504" s="100"/>
      <c r="BH1504" s="100"/>
      <c r="BI1504" s="100"/>
      <c r="BJ1504" s="100"/>
      <c r="BK1504" s="102"/>
    </row>
    <row r="1505" spans="1:63" x14ac:dyDescent="0.25">
      <c r="A1505" s="92"/>
      <c r="B1505" s="93"/>
      <c r="C1505" s="93"/>
      <c r="D1505" s="92"/>
      <c r="E1505" s="92"/>
      <c r="F1505" s="92"/>
      <c r="G1505" s="92"/>
      <c r="H1505" s="92"/>
      <c r="I1505" s="92"/>
      <c r="J1505" s="92"/>
      <c r="K1505" s="92"/>
      <c r="L1505" s="92"/>
      <c r="M1505" s="92"/>
      <c r="N1505" s="94"/>
      <c r="AG1505" s="100"/>
      <c r="AH1505" s="101"/>
      <c r="AI1505" s="101"/>
      <c r="AJ1505" s="100"/>
      <c r="AK1505" s="100"/>
      <c r="AL1505" s="100"/>
      <c r="AM1505" s="100"/>
      <c r="AN1505" s="100"/>
      <c r="AO1505" s="100"/>
      <c r="AP1505" s="100"/>
      <c r="AQ1505" s="100"/>
      <c r="AR1505" s="100"/>
      <c r="AS1505" s="100"/>
      <c r="AT1505" s="102"/>
      <c r="AX1505" s="100"/>
      <c r="AY1505" s="101"/>
      <c r="AZ1505" s="101"/>
      <c r="BA1505" s="100"/>
      <c r="BB1505" s="100"/>
      <c r="BC1505" s="100"/>
      <c r="BD1505" s="100"/>
      <c r="BE1505" s="100"/>
      <c r="BF1505" s="100"/>
      <c r="BG1505" s="100"/>
      <c r="BH1505" s="100"/>
      <c r="BI1505" s="100"/>
      <c r="BJ1505" s="100"/>
      <c r="BK1505" s="102"/>
    </row>
    <row r="1506" spans="1:63" x14ac:dyDescent="0.25">
      <c r="A1506" s="92"/>
      <c r="B1506" s="93"/>
      <c r="C1506" s="93"/>
      <c r="D1506" s="92"/>
      <c r="E1506" s="92"/>
      <c r="F1506" s="92"/>
      <c r="G1506" s="92"/>
      <c r="H1506" s="92"/>
      <c r="I1506" s="92"/>
      <c r="J1506" s="92"/>
      <c r="K1506" s="92"/>
      <c r="L1506" s="92"/>
      <c r="M1506" s="92"/>
      <c r="N1506" s="94"/>
      <c r="AG1506" s="100"/>
      <c r="AH1506" s="101"/>
      <c r="AI1506" s="101"/>
      <c r="AJ1506" s="100"/>
      <c r="AK1506" s="100"/>
      <c r="AL1506" s="100"/>
      <c r="AM1506" s="100"/>
      <c r="AN1506" s="100"/>
      <c r="AO1506" s="100"/>
      <c r="AP1506" s="100"/>
      <c r="AQ1506" s="100"/>
      <c r="AR1506" s="100"/>
      <c r="AS1506" s="100"/>
      <c r="AT1506" s="102"/>
      <c r="AX1506" s="100"/>
      <c r="AY1506" s="101"/>
      <c r="AZ1506" s="101"/>
      <c r="BA1506" s="100"/>
      <c r="BB1506" s="100"/>
      <c r="BC1506" s="100"/>
      <c r="BD1506" s="100"/>
      <c r="BE1506" s="100"/>
      <c r="BF1506" s="100"/>
      <c r="BG1506" s="100"/>
      <c r="BH1506" s="100"/>
      <c r="BI1506" s="100"/>
      <c r="BJ1506" s="100"/>
      <c r="BK1506" s="102"/>
    </row>
    <row r="1507" spans="1:63" x14ac:dyDescent="0.25">
      <c r="A1507" s="92"/>
      <c r="B1507" s="92"/>
      <c r="C1507" s="92"/>
      <c r="D1507" s="92"/>
      <c r="E1507" s="92"/>
      <c r="F1507" s="92"/>
      <c r="G1507" s="92"/>
      <c r="H1507" s="92"/>
      <c r="I1507" s="92"/>
      <c r="J1507" s="92"/>
      <c r="K1507" s="92"/>
      <c r="L1507" s="92"/>
      <c r="M1507" s="92"/>
      <c r="N1507" s="92"/>
      <c r="AG1507" s="100"/>
      <c r="AH1507" s="101"/>
      <c r="AI1507" s="101"/>
      <c r="AJ1507" s="101"/>
      <c r="AK1507" s="100"/>
      <c r="AL1507" s="100"/>
      <c r="AM1507" s="100"/>
      <c r="AN1507" s="100"/>
      <c r="AO1507" s="100"/>
      <c r="AP1507" s="100"/>
      <c r="AQ1507" s="100"/>
      <c r="AR1507" s="100"/>
      <c r="AS1507" s="100"/>
      <c r="AT1507" s="102"/>
      <c r="AX1507" s="100"/>
      <c r="AY1507" s="101"/>
      <c r="AZ1507" s="101"/>
      <c r="BA1507" s="100"/>
      <c r="BB1507" s="100"/>
      <c r="BC1507" s="100"/>
      <c r="BD1507" s="100"/>
      <c r="BE1507" s="100"/>
      <c r="BF1507" s="100"/>
      <c r="BG1507" s="100"/>
      <c r="BH1507" s="100"/>
      <c r="BI1507" s="100"/>
      <c r="BJ1507" s="100"/>
      <c r="BK1507" s="102"/>
    </row>
    <row r="1508" spans="1:63" x14ac:dyDescent="0.25">
      <c r="A1508" s="92"/>
      <c r="B1508" s="92"/>
      <c r="C1508" s="92"/>
      <c r="D1508" s="92"/>
      <c r="E1508" s="92"/>
      <c r="F1508" s="92"/>
      <c r="G1508" s="92"/>
      <c r="H1508" s="92"/>
      <c r="I1508" s="92"/>
      <c r="J1508" s="92"/>
      <c r="K1508" s="92"/>
      <c r="L1508" s="92"/>
      <c r="M1508" s="92"/>
      <c r="N1508" s="92"/>
      <c r="AG1508" s="100"/>
      <c r="AH1508" s="101"/>
      <c r="AI1508" s="101"/>
      <c r="AJ1508" s="101"/>
      <c r="AK1508" s="100"/>
      <c r="AL1508" s="100"/>
      <c r="AM1508" s="100"/>
      <c r="AN1508" s="100"/>
      <c r="AO1508" s="100"/>
      <c r="AP1508" s="100"/>
      <c r="AQ1508" s="100"/>
      <c r="AR1508" s="100"/>
      <c r="AS1508" s="100"/>
      <c r="AT1508" s="102"/>
      <c r="AX1508" s="100"/>
      <c r="AY1508" s="101"/>
      <c r="AZ1508" s="101"/>
      <c r="BA1508" s="100"/>
      <c r="BB1508" s="100"/>
      <c r="BC1508" s="100"/>
      <c r="BD1508" s="100"/>
      <c r="BE1508" s="100"/>
      <c r="BF1508" s="100"/>
      <c r="BG1508" s="100"/>
      <c r="BH1508" s="100"/>
      <c r="BI1508" s="100"/>
      <c r="BJ1508" s="100"/>
      <c r="BK1508" s="102"/>
    </row>
    <row r="1509" spans="1:63" x14ac:dyDescent="0.25">
      <c r="A1509" s="92"/>
      <c r="B1509" s="93"/>
      <c r="C1509" s="93"/>
      <c r="D1509" s="92"/>
      <c r="E1509" s="92"/>
      <c r="F1509" s="92"/>
      <c r="G1509" s="92"/>
      <c r="H1509" s="92"/>
      <c r="I1509" s="92"/>
      <c r="J1509" s="92"/>
      <c r="K1509" s="92"/>
      <c r="L1509" s="92"/>
      <c r="M1509" s="92"/>
      <c r="N1509" s="94"/>
      <c r="AG1509" s="100"/>
      <c r="AH1509" s="101"/>
      <c r="AI1509" s="101"/>
      <c r="AJ1509" s="100"/>
      <c r="AK1509" s="100"/>
      <c r="AL1509" s="100"/>
      <c r="AM1509" s="100"/>
      <c r="AN1509" s="100"/>
      <c r="AO1509" s="100"/>
      <c r="AP1509" s="100"/>
      <c r="AQ1509" s="100"/>
      <c r="AR1509" s="100"/>
      <c r="AS1509" s="100"/>
      <c r="AT1509" s="102"/>
      <c r="AX1509" s="100"/>
      <c r="AY1509" s="101"/>
      <c r="AZ1509" s="101"/>
      <c r="BA1509" s="100"/>
      <c r="BB1509" s="100"/>
      <c r="BC1509" s="100"/>
      <c r="BD1509" s="100"/>
      <c r="BE1509" s="100"/>
      <c r="BF1509" s="100"/>
      <c r="BG1509" s="100"/>
      <c r="BH1509" s="100"/>
      <c r="BI1509" s="100"/>
      <c r="BJ1509" s="100"/>
      <c r="BK1509" s="102"/>
    </row>
    <row r="1510" spans="1:63" x14ac:dyDescent="0.25">
      <c r="A1510" s="92"/>
      <c r="B1510" s="93"/>
      <c r="C1510" s="93"/>
      <c r="D1510" s="93"/>
      <c r="E1510" s="92"/>
      <c r="F1510" s="92"/>
      <c r="G1510" s="92"/>
      <c r="H1510" s="92"/>
      <c r="I1510" s="92"/>
      <c r="J1510" s="92"/>
      <c r="K1510" s="92"/>
      <c r="L1510" s="92"/>
      <c r="M1510" s="92"/>
      <c r="N1510" s="94"/>
      <c r="AG1510" s="100"/>
      <c r="AH1510" s="101"/>
      <c r="AI1510" s="101"/>
      <c r="AJ1510" s="100"/>
      <c r="AK1510" s="100"/>
      <c r="AL1510" s="100"/>
      <c r="AM1510" s="100"/>
      <c r="AN1510" s="100"/>
      <c r="AO1510" s="100"/>
      <c r="AP1510" s="100"/>
      <c r="AQ1510" s="100"/>
      <c r="AR1510" s="100"/>
      <c r="AS1510" s="100"/>
      <c r="AT1510" s="102"/>
      <c r="AX1510" s="100"/>
      <c r="AY1510" s="101"/>
      <c r="AZ1510" s="101"/>
      <c r="BA1510" s="101"/>
      <c r="BB1510" s="100"/>
      <c r="BC1510" s="100"/>
      <c r="BD1510" s="100"/>
      <c r="BE1510" s="100"/>
      <c r="BF1510" s="100"/>
      <c r="BG1510" s="100"/>
      <c r="BH1510" s="100"/>
      <c r="BI1510" s="100"/>
      <c r="BJ1510" s="100"/>
      <c r="BK1510" s="102"/>
    </row>
    <row r="1511" spans="1:63" x14ac:dyDescent="0.25">
      <c r="A1511" s="92"/>
      <c r="B1511" s="93"/>
      <c r="C1511" s="93"/>
      <c r="D1511" s="92"/>
      <c r="E1511" s="92"/>
      <c r="F1511" s="92"/>
      <c r="G1511" s="92"/>
      <c r="H1511" s="92"/>
      <c r="I1511" s="92"/>
      <c r="J1511" s="92"/>
      <c r="K1511" s="92"/>
      <c r="L1511" s="92"/>
      <c r="M1511" s="92"/>
      <c r="N1511" s="94"/>
      <c r="AG1511" s="100"/>
      <c r="AH1511" s="101"/>
      <c r="AI1511" s="101"/>
      <c r="AJ1511" s="100"/>
      <c r="AK1511" s="100"/>
      <c r="AL1511" s="100"/>
      <c r="AM1511" s="100"/>
      <c r="AN1511" s="100"/>
      <c r="AO1511" s="100"/>
      <c r="AP1511" s="100"/>
      <c r="AQ1511" s="100"/>
      <c r="AR1511" s="100"/>
      <c r="AS1511" s="100"/>
      <c r="AT1511" s="102"/>
      <c r="AX1511" s="100"/>
      <c r="AY1511" s="101"/>
      <c r="AZ1511" s="101"/>
      <c r="BA1511" s="101"/>
      <c r="BB1511" s="100"/>
      <c r="BC1511" s="100"/>
      <c r="BD1511" s="100"/>
      <c r="BE1511" s="100"/>
      <c r="BF1511" s="100"/>
      <c r="BG1511" s="100"/>
      <c r="BH1511" s="100"/>
      <c r="BI1511" s="100"/>
      <c r="BJ1511" s="100"/>
      <c r="BK1511" s="102"/>
    </row>
    <row r="1512" spans="1:63" x14ac:dyDescent="0.25">
      <c r="A1512" s="92"/>
      <c r="B1512" s="93"/>
      <c r="C1512" s="93"/>
      <c r="D1512" s="92"/>
      <c r="E1512" s="92"/>
      <c r="F1512" s="92"/>
      <c r="G1512" s="92"/>
      <c r="H1512" s="92"/>
      <c r="I1512" s="92"/>
      <c r="J1512" s="92"/>
      <c r="K1512" s="92"/>
      <c r="L1512" s="92"/>
      <c r="M1512" s="92"/>
      <c r="N1512" s="94"/>
      <c r="AG1512" s="100"/>
      <c r="AH1512" s="101"/>
      <c r="AI1512" s="101"/>
      <c r="AJ1512" s="100"/>
      <c r="AK1512" s="100"/>
      <c r="AL1512" s="100"/>
      <c r="AM1512" s="100"/>
      <c r="AN1512" s="100"/>
      <c r="AO1512" s="100"/>
      <c r="AP1512" s="100"/>
      <c r="AQ1512" s="100"/>
      <c r="AR1512" s="100"/>
      <c r="AS1512" s="100"/>
      <c r="AT1512" s="102"/>
      <c r="AX1512" s="100"/>
      <c r="AY1512" s="101"/>
      <c r="AZ1512" s="101"/>
      <c r="BA1512" s="100"/>
      <c r="BB1512" s="100"/>
      <c r="BC1512" s="100"/>
      <c r="BD1512" s="100"/>
      <c r="BE1512" s="100"/>
      <c r="BF1512" s="100"/>
      <c r="BG1512" s="100"/>
      <c r="BH1512" s="100"/>
      <c r="BI1512" s="100"/>
      <c r="BJ1512" s="100"/>
      <c r="BK1512" s="102"/>
    </row>
    <row r="1513" spans="1:63" x14ac:dyDescent="0.25">
      <c r="A1513" s="92"/>
      <c r="B1513" s="93"/>
      <c r="C1513" s="93"/>
      <c r="D1513" s="92"/>
      <c r="E1513" s="92"/>
      <c r="F1513" s="92"/>
      <c r="G1513" s="92"/>
      <c r="H1513" s="92"/>
      <c r="I1513" s="92"/>
      <c r="J1513" s="92"/>
      <c r="K1513" s="92"/>
      <c r="L1513" s="92"/>
      <c r="M1513" s="92"/>
      <c r="N1513" s="94"/>
      <c r="AG1513" s="100"/>
      <c r="AH1513" s="101"/>
      <c r="AI1513" s="101"/>
      <c r="AJ1513" s="100"/>
      <c r="AK1513" s="100"/>
      <c r="AL1513" s="100"/>
      <c r="AM1513" s="100"/>
      <c r="AN1513" s="100"/>
      <c r="AO1513" s="100"/>
      <c r="AP1513" s="100"/>
      <c r="AQ1513" s="100"/>
      <c r="AR1513" s="100"/>
      <c r="AS1513" s="100"/>
      <c r="AT1513" s="102"/>
      <c r="AX1513" s="100"/>
      <c r="AY1513" s="101"/>
      <c r="AZ1513" s="101"/>
      <c r="BA1513" s="100"/>
      <c r="BB1513" s="100"/>
      <c r="BC1513" s="100"/>
      <c r="BD1513" s="100"/>
      <c r="BE1513" s="100"/>
      <c r="BF1513" s="100"/>
      <c r="BG1513" s="100"/>
      <c r="BH1513" s="100"/>
      <c r="BI1513" s="100"/>
      <c r="BJ1513" s="100"/>
      <c r="BK1513" s="102"/>
    </row>
    <row r="1514" spans="1:63" x14ac:dyDescent="0.25">
      <c r="A1514" s="92"/>
      <c r="B1514" s="93"/>
      <c r="C1514" s="93"/>
      <c r="D1514" s="92"/>
      <c r="E1514" s="92"/>
      <c r="F1514" s="92"/>
      <c r="G1514" s="92"/>
      <c r="H1514" s="92"/>
      <c r="I1514" s="92"/>
      <c r="J1514" s="92"/>
      <c r="K1514" s="92"/>
      <c r="L1514" s="92"/>
      <c r="M1514" s="92"/>
      <c r="N1514" s="94"/>
      <c r="AG1514" s="100"/>
      <c r="AH1514" s="101"/>
      <c r="AI1514" s="101"/>
      <c r="AJ1514" s="100"/>
      <c r="AK1514" s="100"/>
      <c r="AL1514" s="100"/>
      <c r="AM1514" s="100"/>
      <c r="AN1514" s="100"/>
      <c r="AO1514" s="100"/>
      <c r="AP1514" s="100"/>
      <c r="AQ1514" s="100"/>
      <c r="AR1514" s="100"/>
      <c r="AS1514" s="100"/>
      <c r="AT1514" s="102"/>
      <c r="AX1514" s="100"/>
      <c r="AY1514" s="101"/>
      <c r="AZ1514" s="101"/>
      <c r="BA1514" s="100"/>
      <c r="BB1514" s="100"/>
      <c r="BC1514" s="100"/>
      <c r="BD1514" s="100"/>
      <c r="BE1514" s="100"/>
      <c r="BF1514" s="100"/>
      <c r="BG1514" s="100"/>
      <c r="BH1514" s="100"/>
      <c r="BI1514" s="100"/>
      <c r="BJ1514" s="100"/>
      <c r="BK1514" s="102"/>
    </row>
    <row r="1515" spans="1:63" x14ac:dyDescent="0.25">
      <c r="A1515" s="92"/>
      <c r="B1515" s="93"/>
      <c r="C1515" s="93"/>
      <c r="D1515" s="92"/>
      <c r="E1515" s="92"/>
      <c r="F1515" s="92"/>
      <c r="G1515" s="92"/>
      <c r="H1515" s="92"/>
      <c r="I1515" s="92"/>
      <c r="J1515" s="92"/>
      <c r="K1515" s="92"/>
      <c r="L1515" s="92"/>
      <c r="M1515" s="92"/>
      <c r="N1515" s="94"/>
      <c r="AG1515" s="100"/>
      <c r="AH1515" s="101"/>
      <c r="AI1515" s="101"/>
      <c r="AJ1515" s="100"/>
      <c r="AK1515" s="100"/>
      <c r="AL1515" s="100"/>
      <c r="AM1515" s="100"/>
      <c r="AN1515" s="100"/>
      <c r="AO1515" s="100"/>
      <c r="AP1515" s="100"/>
      <c r="AQ1515" s="100"/>
      <c r="AR1515" s="100"/>
      <c r="AS1515" s="100"/>
      <c r="AT1515" s="102"/>
      <c r="AX1515" s="100"/>
      <c r="AY1515" s="101"/>
      <c r="AZ1515" s="101"/>
      <c r="BA1515" s="100"/>
      <c r="BB1515" s="100"/>
      <c r="BC1515" s="100"/>
      <c r="BD1515" s="100"/>
      <c r="BE1515" s="100"/>
      <c r="BF1515" s="100"/>
      <c r="BG1515" s="100"/>
      <c r="BH1515" s="100"/>
      <c r="BI1515" s="100"/>
      <c r="BJ1515" s="100"/>
      <c r="BK1515" s="102"/>
    </row>
    <row r="1516" spans="1:63" x14ac:dyDescent="0.25">
      <c r="A1516" s="92"/>
      <c r="B1516" s="93"/>
      <c r="C1516" s="93"/>
      <c r="D1516" s="92"/>
      <c r="E1516" s="92"/>
      <c r="F1516" s="92"/>
      <c r="G1516" s="92"/>
      <c r="H1516" s="92"/>
      <c r="I1516" s="92"/>
      <c r="J1516" s="92"/>
      <c r="K1516" s="92"/>
      <c r="L1516" s="92"/>
      <c r="M1516" s="92"/>
      <c r="N1516" s="94"/>
      <c r="AG1516" s="100"/>
      <c r="AH1516" s="101"/>
      <c r="AI1516" s="101"/>
      <c r="AJ1516" s="100"/>
      <c r="AK1516" s="100"/>
      <c r="AL1516" s="100"/>
      <c r="AM1516" s="100"/>
      <c r="AN1516" s="100"/>
      <c r="AO1516" s="100"/>
      <c r="AP1516" s="100"/>
      <c r="AQ1516" s="100"/>
      <c r="AR1516" s="100"/>
      <c r="AS1516" s="100"/>
      <c r="AT1516" s="102"/>
      <c r="AX1516" s="100"/>
      <c r="AY1516" s="101"/>
      <c r="AZ1516" s="101"/>
      <c r="BA1516" s="100"/>
      <c r="BB1516" s="100"/>
      <c r="BC1516" s="100"/>
      <c r="BD1516" s="100"/>
      <c r="BE1516" s="100"/>
      <c r="BF1516" s="100"/>
      <c r="BG1516" s="100"/>
      <c r="BH1516" s="100"/>
      <c r="BI1516" s="100"/>
      <c r="BJ1516" s="100"/>
      <c r="BK1516" s="102"/>
    </row>
    <row r="1517" spans="1:63" x14ac:dyDescent="0.25">
      <c r="A1517" s="92"/>
      <c r="B1517" s="93"/>
      <c r="C1517" s="93"/>
      <c r="D1517" s="92"/>
      <c r="E1517" s="92"/>
      <c r="F1517" s="92"/>
      <c r="G1517" s="92"/>
      <c r="H1517" s="92"/>
      <c r="I1517" s="92"/>
      <c r="J1517" s="92"/>
      <c r="K1517" s="92"/>
      <c r="L1517" s="92"/>
      <c r="M1517" s="92"/>
      <c r="N1517" s="94"/>
      <c r="AG1517" s="100"/>
      <c r="AH1517" s="101"/>
      <c r="AI1517" s="101"/>
      <c r="AJ1517" s="100"/>
      <c r="AK1517" s="100"/>
      <c r="AL1517" s="100"/>
      <c r="AM1517" s="100"/>
      <c r="AN1517" s="100"/>
      <c r="AO1517" s="100"/>
      <c r="AP1517" s="100"/>
      <c r="AQ1517" s="100"/>
      <c r="AR1517" s="100"/>
      <c r="AS1517" s="100"/>
      <c r="AT1517" s="102"/>
      <c r="AX1517" s="100"/>
      <c r="AY1517" s="101"/>
      <c r="AZ1517" s="101"/>
      <c r="BA1517" s="100"/>
      <c r="BB1517" s="100"/>
      <c r="BC1517" s="100"/>
      <c r="BD1517" s="100"/>
      <c r="BE1517" s="100"/>
      <c r="BF1517" s="100"/>
      <c r="BG1517" s="100"/>
      <c r="BH1517" s="100"/>
      <c r="BI1517" s="100"/>
      <c r="BJ1517" s="100"/>
      <c r="BK1517" s="102"/>
    </row>
    <row r="1518" spans="1:63" x14ac:dyDescent="0.25">
      <c r="A1518" s="92"/>
      <c r="B1518" s="92"/>
      <c r="C1518" s="92"/>
      <c r="D1518" s="92"/>
      <c r="E1518" s="92"/>
      <c r="F1518" s="92"/>
      <c r="G1518" s="92"/>
      <c r="H1518" s="92"/>
      <c r="I1518" s="92"/>
      <c r="J1518" s="92"/>
      <c r="K1518" s="92"/>
      <c r="L1518" s="92"/>
      <c r="M1518" s="92"/>
      <c r="N1518" s="92"/>
      <c r="AG1518" s="100"/>
      <c r="AH1518" s="101"/>
      <c r="AI1518" s="101"/>
      <c r="AJ1518" s="100"/>
      <c r="AK1518" s="100"/>
      <c r="AL1518" s="100"/>
      <c r="AM1518" s="100"/>
      <c r="AN1518" s="100"/>
      <c r="AO1518" s="100"/>
      <c r="AP1518" s="100"/>
      <c r="AQ1518" s="100"/>
      <c r="AR1518" s="100"/>
      <c r="AS1518" s="100"/>
      <c r="AT1518" s="102"/>
      <c r="AX1518" s="100"/>
      <c r="AY1518" s="101"/>
      <c r="AZ1518" s="101"/>
      <c r="BA1518" s="100"/>
      <c r="BB1518" s="100"/>
      <c r="BC1518" s="100"/>
      <c r="BD1518" s="100"/>
      <c r="BE1518" s="100"/>
      <c r="BF1518" s="100"/>
      <c r="BG1518" s="100"/>
      <c r="BH1518" s="100"/>
      <c r="BI1518" s="100"/>
      <c r="BJ1518" s="100"/>
      <c r="BK1518" s="102"/>
    </row>
    <row r="1519" spans="1:63" x14ac:dyDescent="0.25">
      <c r="A1519" s="92"/>
      <c r="B1519" s="92"/>
      <c r="C1519" s="92"/>
      <c r="D1519" s="92"/>
      <c r="E1519" s="92"/>
      <c r="F1519" s="92"/>
      <c r="G1519" s="92"/>
      <c r="H1519" s="92"/>
      <c r="I1519" s="92"/>
      <c r="J1519" s="92"/>
      <c r="K1519" s="92"/>
      <c r="L1519" s="92"/>
      <c r="M1519" s="92"/>
      <c r="N1519" s="92"/>
      <c r="AG1519" s="100"/>
      <c r="AH1519" s="101"/>
      <c r="AI1519" s="101"/>
      <c r="AJ1519" s="100"/>
      <c r="AK1519" s="100"/>
      <c r="AL1519" s="100"/>
      <c r="AM1519" s="100"/>
      <c r="AN1519" s="100"/>
      <c r="AO1519" s="100"/>
      <c r="AP1519" s="100"/>
      <c r="AQ1519" s="100"/>
      <c r="AR1519" s="100"/>
      <c r="AS1519" s="100"/>
      <c r="AT1519" s="102"/>
      <c r="AX1519" s="100"/>
      <c r="AY1519" s="101"/>
      <c r="AZ1519" s="101"/>
      <c r="BA1519" s="100"/>
      <c r="BB1519" s="100"/>
      <c r="BC1519" s="100"/>
      <c r="BD1519" s="100"/>
      <c r="BE1519" s="100"/>
      <c r="BF1519" s="100"/>
      <c r="BG1519" s="100"/>
      <c r="BH1519" s="100"/>
      <c r="BI1519" s="100"/>
      <c r="BJ1519" s="100"/>
      <c r="BK1519" s="102"/>
    </row>
    <row r="1520" spans="1:63" x14ac:dyDescent="0.25">
      <c r="A1520" s="92"/>
      <c r="B1520" s="92"/>
      <c r="C1520" s="92"/>
      <c r="D1520" s="92"/>
      <c r="E1520" s="92"/>
      <c r="F1520" s="92"/>
      <c r="G1520" s="92"/>
      <c r="H1520" s="92"/>
      <c r="I1520" s="92"/>
      <c r="J1520" s="92"/>
      <c r="K1520" s="92"/>
      <c r="L1520" s="92"/>
      <c r="M1520" s="92"/>
      <c r="N1520" s="92"/>
      <c r="AG1520" s="100"/>
      <c r="AH1520" s="101"/>
      <c r="AI1520" s="101"/>
      <c r="AJ1520" s="100"/>
      <c r="AK1520" s="100"/>
      <c r="AL1520" s="100"/>
      <c r="AM1520" s="100"/>
      <c r="AN1520" s="100"/>
      <c r="AO1520" s="100"/>
      <c r="AP1520" s="100"/>
      <c r="AQ1520" s="100"/>
      <c r="AR1520" s="100"/>
      <c r="AS1520" s="100"/>
      <c r="AT1520" s="102"/>
      <c r="AX1520" s="100"/>
      <c r="AY1520" s="101"/>
      <c r="AZ1520" s="101"/>
      <c r="BA1520" s="100"/>
      <c r="BB1520" s="100"/>
      <c r="BC1520" s="100"/>
      <c r="BD1520" s="100"/>
      <c r="BE1520" s="100"/>
      <c r="BF1520" s="100"/>
      <c r="BG1520" s="100"/>
      <c r="BH1520" s="100"/>
      <c r="BI1520" s="100"/>
      <c r="BJ1520" s="100"/>
      <c r="BK1520" s="102"/>
    </row>
    <row r="1521" spans="1:63" x14ac:dyDescent="0.25">
      <c r="A1521" s="92"/>
      <c r="B1521" s="92"/>
      <c r="C1521" s="92"/>
      <c r="D1521" s="92"/>
      <c r="E1521" s="92"/>
      <c r="F1521" s="92"/>
      <c r="G1521" s="92"/>
      <c r="H1521" s="92"/>
      <c r="I1521" s="92"/>
      <c r="J1521" s="92"/>
      <c r="K1521" s="92"/>
      <c r="L1521" s="92"/>
      <c r="M1521" s="92"/>
      <c r="N1521" s="92"/>
      <c r="AG1521" s="100"/>
      <c r="AH1521" s="101"/>
      <c r="AI1521" s="101"/>
      <c r="AJ1521" s="101"/>
      <c r="AK1521" s="100"/>
      <c r="AL1521" s="100"/>
      <c r="AM1521" s="100"/>
      <c r="AN1521" s="100"/>
      <c r="AO1521" s="100"/>
      <c r="AP1521" s="100"/>
      <c r="AQ1521" s="100"/>
      <c r="AR1521" s="100"/>
      <c r="AS1521" s="100"/>
      <c r="AT1521" s="102"/>
      <c r="AX1521" s="100"/>
      <c r="AY1521" s="101"/>
      <c r="AZ1521" s="101"/>
      <c r="BA1521" s="100"/>
      <c r="BB1521" s="100"/>
      <c r="BC1521" s="100"/>
      <c r="BD1521" s="100"/>
      <c r="BE1521" s="100"/>
      <c r="BF1521" s="100"/>
      <c r="BG1521" s="100"/>
      <c r="BH1521" s="100"/>
      <c r="BI1521" s="100"/>
      <c r="BJ1521" s="100"/>
      <c r="BK1521" s="102"/>
    </row>
    <row r="1522" spans="1:63" x14ac:dyDescent="0.25">
      <c r="A1522" s="92"/>
      <c r="B1522" s="93"/>
      <c r="C1522" s="93"/>
      <c r="D1522" s="92"/>
      <c r="E1522" s="92"/>
      <c r="F1522" s="92"/>
      <c r="G1522" s="92"/>
      <c r="H1522" s="92"/>
      <c r="I1522" s="92"/>
      <c r="J1522" s="92"/>
      <c r="K1522" s="92"/>
      <c r="L1522" s="92"/>
      <c r="M1522" s="92"/>
      <c r="N1522" s="94"/>
      <c r="AG1522" s="100"/>
      <c r="AH1522" s="101"/>
      <c r="AI1522" s="101"/>
      <c r="AJ1522" s="100"/>
      <c r="AK1522" s="100"/>
      <c r="AL1522" s="100"/>
      <c r="AM1522" s="100"/>
      <c r="AN1522" s="100"/>
      <c r="AO1522" s="100"/>
      <c r="AP1522" s="100"/>
      <c r="AQ1522" s="100"/>
      <c r="AR1522" s="100"/>
      <c r="AS1522" s="100"/>
      <c r="AT1522" s="102"/>
      <c r="AX1522" s="100"/>
      <c r="AY1522" s="101"/>
      <c r="AZ1522" s="101"/>
      <c r="BA1522" s="100"/>
      <c r="BB1522" s="100"/>
      <c r="BC1522" s="100"/>
      <c r="BD1522" s="100"/>
      <c r="BE1522" s="100"/>
      <c r="BF1522" s="100"/>
      <c r="BG1522" s="100"/>
      <c r="BH1522" s="100"/>
      <c r="BI1522" s="100"/>
      <c r="BJ1522" s="100"/>
      <c r="BK1522" s="102"/>
    </row>
    <row r="1523" spans="1:63" x14ac:dyDescent="0.25">
      <c r="A1523" s="92"/>
      <c r="B1523" s="93"/>
      <c r="C1523" s="93"/>
      <c r="D1523" s="92"/>
      <c r="E1523" s="92"/>
      <c r="F1523" s="92"/>
      <c r="G1523" s="92"/>
      <c r="H1523" s="92"/>
      <c r="I1523" s="92"/>
      <c r="J1523" s="92"/>
      <c r="K1523" s="92"/>
      <c r="L1523" s="92"/>
      <c r="M1523" s="92"/>
      <c r="N1523" s="94"/>
      <c r="AG1523" s="100"/>
      <c r="AH1523" s="101"/>
      <c r="AI1523" s="101"/>
      <c r="AJ1523" s="101"/>
      <c r="AK1523" s="100"/>
      <c r="AL1523" s="100"/>
      <c r="AM1523" s="100"/>
      <c r="AN1523" s="100"/>
      <c r="AO1523" s="100"/>
      <c r="AP1523" s="100"/>
      <c r="AQ1523" s="100"/>
      <c r="AR1523" s="100"/>
      <c r="AS1523" s="100"/>
      <c r="AT1523" s="102"/>
      <c r="AX1523" s="100"/>
      <c r="AY1523" s="101"/>
      <c r="AZ1523" s="101"/>
      <c r="BA1523" s="100"/>
      <c r="BB1523" s="100"/>
      <c r="BC1523" s="100"/>
      <c r="BD1523" s="100"/>
      <c r="BE1523" s="100"/>
      <c r="BF1523" s="100"/>
      <c r="BG1523" s="100"/>
      <c r="BH1523" s="100"/>
      <c r="BI1523" s="100"/>
      <c r="BJ1523" s="100"/>
      <c r="BK1523" s="102"/>
    </row>
    <row r="1524" spans="1:63" x14ac:dyDescent="0.25">
      <c r="A1524" s="92"/>
      <c r="B1524" s="93"/>
      <c r="C1524" s="93"/>
      <c r="D1524" s="92"/>
      <c r="E1524" s="92"/>
      <c r="F1524" s="92"/>
      <c r="G1524" s="92"/>
      <c r="H1524" s="92"/>
      <c r="I1524" s="92"/>
      <c r="J1524" s="92"/>
      <c r="K1524" s="92"/>
      <c r="L1524" s="92"/>
      <c r="M1524" s="92"/>
      <c r="N1524" s="94"/>
      <c r="AG1524" s="100"/>
      <c r="AH1524" s="101"/>
      <c r="AI1524" s="101"/>
      <c r="AJ1524" s="101"/>
      <c r="AK1524" s="100"/>
      <c r="AL1524" s="100"/>
      <c r="AM1524" s="100"/>
      <c r="AN1524" s="100"/>
      <c r="AO1524" s="100"/>
      <c r="AP1524" s="100"/>
      <c r="AQ1524" s="100"/>
      <c r="AR1524" s="100"/>
      <c r="AS1524" s="100"/>
      <c r="AT1524" s="102"/>
      <c r="AX1524" s="100"/>
      <c r="AY1524" s="101"/>
      <c r="AZ1524" s="101"/>
      <c r="BA1524" s="100"/>
      <c r="BB1524" s="100"/>
      <c r="BC1524" s="100"/>
      <c r="BD1524" s="100"/>
      <c r="BE1524" s="100"/>
      <c r="BF1524" s="100"/>
      <c r="BG1524" s="100"/>
      <c r="BH1524" s="100"/>
      <c r="BI1524" s="100"/>
      <c r="BJ1524" s="100"/>
      <c r="BK1524" s="102"/>
    </row>
    <row r="1525" spans="1:63" x14ac:dyDescent="0.25">
      <c r="A1525" s="92"/>
      <c r="B1525" s="93"/>
      <c r="C1525" s="93"/>
      <c r="D1525" s="92"/>
      <c r="E1525" s="92"/>
      <c r="F1525" s="92"/>
      <c r="G1525" s="92"/>
      <c r="H1525" s="92"/>
      <c r="I1525" s="92"/>
      <c r="J1525" s="92"/>
      <c r="K1525" s="92"/>
      <c r="L1525" s="92"/>
      <c r="M1525" s="92"/>
      <c r="N1525" s="94"/>
      <c r="AG1525" s="100"/>
      <c r="AH1525" s="101"/>
      <c r="AI1525" s="101"/>
      <c r="AJ1525" s="101"/>
      <c r="AK1525" s="100"/>
      <c r="AL1525" s="100"/>
      <c r="AM1525" s="100"/>
      <c r="AN1525" s="100"/>
      <c r="AO1525" s="100"/>
      <c r="AP1525" s="100"/>
      <c r="AQ1525" s="100"/>
      <c r="AR1525" s="100"/>
      <c r="AS1525" s="100"/>
      <c r="AT1525" s="102"/>
      <c r="AX1525" s="100"/>
      <c r="AY1525" s="101"/>
      <c r="AZ1525" s="101"/>
      <c r="BA1525" s="100"/>
      <c r="BB1525" s="100"/>
      <c r="BC1525" s="100"/>
      <c r="BD1525" s="100"/>
      <c r="BE1525" s="100"/>
      <c r="BF1525" s="100"/>
      <c r="BG1525" s="100"/>
      <c r="BH1525" s="100"/>
      <c r="BI1525" s="100"/>
      <c r="BJ1525" s="100"/>
      <c r="BK1525" s="102"/>
    </row>
    <row r="1526" spans="1:63" x14ac:dyDescent="0.25">
      <c r="A1526" s="92"/>
      <c r="B1526" s="93"/>
      <c r="C1526" s="93"/>
      <c r="D1526" s="93"/>
      <c r="E1526" s="92"/>
      <c r="F1526" s="92"/>
      <c r="G1526" s="92"/>
      <c r="H1526" s="92"/>
      <c r="I1526" s="92"/>
      <c r="J1526" s="92"/>
      <c r="K1526" s="92"/>
      <c r="L1526" s="92"/>
      <c r="M1526" s="92"/>
      <c r="N1526" s="94"/>
      <c r="AG1526" s="100"/>
      <c r="AH1526" s="101"/>
      <c r="AI1526" s="101"/>
      <c r="AJ1526" s="101"/>
      <c r="AK1526" s="100"/>
      <c r="AL1526" s="100"/>
      <c r="AM1526" s="100"/>
      <c r="AN1526" s="100"/>
      <c r="AO1526" s="100"/>
      <c r="AP1526" s="100"/>
      <c r="AQ1526" s="100"/>
      <c r="AR1526" s="100"/>
      <c r="AS1526" s="100"/>
      <c r="AT1526" s="102"/>
      <c r="AX1526" s="100"/>
      <c r="AY1526" s="101"/>
      <c r="AZ1526" s="101"/>
      <c r="BA1526" s="100"/>
      <c r="BB1526" s="100"/>
      <c r="BC1526" s="100"/>
      <c r="BD1526" s="100"/>
      <c r="BE1526" s="100"/>
      <c r="BF1526" s="100"/>
      <c r="BG1526" s="100"/>
      <c r="BH1526" s="100"/>
      <c r="BI1526" s="100"/>
      <c r="BJ1526" s="100"/>
      <c r="BK1526" s="102"/>
    </row>
    <row r="1527" spans="1:63" x14ac:dyDescent="0.25">
      <c r="A1527" s="92"/>
      <c r="B1527" s="92"/>
      <c r="C1527" s="92"/>
      <c r="D1527" s="92"/>
      <c r="E1527" s="92"/>
      <c r="F1527" s="92"/>
      <c r="G1527" s="92"/>
      <c r="H1527" s="92"/>
      <c r="I1527" s="92"/>
      <c r="J1527" s="92"/>
      <c r="K1527" s="92"/>
      <c r="L1527" s="92"/>
      <c r="M1527" s="92"/>
      <c r="N1527" s="92"/>
      <c r="AG1527" s="100"/>
      <c r="AH1527" s="101"/>
      <c r="AI1527" s="101"/>
      <c r="AJ1527" s="100"/>
      <c r="AK1527" s="100"/>
      <c r="AL1527" s="100"/>
      <c r="AM1527" s="100"/>
      <c r="AN1527" s="100"/>
      <c r="AO1527" s="100"/>
      <c r="AP1527" s="100"/>
      <c r="AQ1527" s="100"/>
      <c r="AR1527" s="100"/>
      <c r="AS1527" s="100"/>
      <c r="AT1527" s="102"/>
      <c r="AX1527" s="100"/>
      <c r="AY1527" s="101"/>
      <c r="AZ1527" s="101"/>
      <c r="BA1527" s="101"/>
      <c r="BB1527" s="100"/>
      <c r="BC1527" s="100"/>
      <c r="BD1527" s="100"/>
      <c r="BE1527" s="100"/>
      <c r="BF1527" s="100"/>
      <c r="BG1527" s="100"/>
      <c r="BH1527" s="100"/>
      <c r="BI1527" s="100"/>
      <c r="BJ1527" s="100"/>
      <c r="BK1527" s="102"/>
    </row>
    <row r="1528" spans="1:63" x14ac:dyDescent="0.25">
      <c r="A1528" s="92"/>
      <c r="B1528" s="93"/>
      <c r="C1528" s="93"/>
      <c r="D1528" s="92"/>
      <c r="E1528" s="92"/>
      <c r="F1528" s="92"/>
      <c r="G1528" s="92"/>
      <c r="H1528" s="92"/>
      <c r="I1528" s="92"/>
      <c r="J1528" s="92"/>
      <c r="K1528" s="92"/>
      <c r="L1528" s="92"/>
      <c r="M1528" s="92"/>
      <c r="N1528" s="94"/>
      <c r="AG1528" s="100"/>
      <c r="AH1528" s="101"/>
      <c r="AI1528" s="101"/>
      <c r="AJ1528" s="100"/>
      <c r="AK1528" s="100"/>
      <c r="AL1528" s="100"/>
      <c r="AM1528" s="100"/>
      <c r="AN1528" s="100"/>
      <c r="AO1528" s="100"/>
      <c r="AP1528" s="100"/>
      <c r="AQ1528" s="100"/>
      <c r="AR1528" s="100"/>
      <c r="AS1528" s="100"/>
      <c r="AT1528" s="102"/>
      <c r="AX1528" s="100"/>
      <c r="AY1528" s="101"/>
      <c r="AZ1528" s="101"/>
      <c r="BA1528" s="101"/>
      <c r="BB1528" s="100"/>
      <c r="BC1528" s="100"/>
      <c r="BD1528" s="100"/>
      <c r="BE1528" s="100"/>
      <c r="BF1528" s="100"/>
      <c r="BG1528" s="100"/>
      <c r="BH1528" s="100"/>
      <c r="BI1528" s="100"/>
      <c r="BJ1528" s="100"/>
      <c r="BK1528" s="102"/>
    </row>
    <row r="1529" spans="1:63" x14ac:dyDescent="0.25">
      <c r="A1529" s="92"/>
      <c r="B1529" s="93"/>
      <c r="C1529" s="93"/>
      <c r="D1529" s="92"/>
      <c r="E1529" s="92"/>
      <c r="F1529" s="92"/>
      <c r="G1529" s="92"/>
      <c r="H1529" s="92"/>
      <c r="I1529" s="92"/>
      <c r="J1529" s="92"/>
      <c r="K1529" s="92"/>
      <c r="L1529" s="92"/>
      <c r="M1529" s="92"/>
      <c r="N1529" s="94"/>
      <c r="AG1529" s="100"/>
      <c r="AH1529" s="101"/>
      <c r="AI1529" s="101"/>
      <c r="AJ1529" s="101"/>
      <c r="AK1529" s="100"/>
      <c r="AL1529" s="100"/>
      <c r="AM1529" s="100"/>
      <c r="AN1529" s="100"/>
      <c r="AO1529" s="100"/>
      <c r="AP1529" s="100"/>
      <c r="AQ1529" s="100"/>
      <c r="AR1529" s="100"/>
      <c r="AS1529" s="100"/>
      <c r="AT1529" s="102"/>
      <c r="AX1529" s="100"/>
      <c r="AY1529" s="101"/>
      <c r="AZ1529" s="101"/>
      <c r="BA1529" s="100"/>
      <c r="BB1529" s="100"/>
      <c r="BC1529" s="100"/>
      <c r="BD1529" s="100"/>
      <c r="BE1529" s="100"/>
      <c r="BF1529" s="100"/>
      <c r="BG1529" s="100"/>
      <c r="BH1529" s="100"/>
      <c r="BI1529" s="100"/>
      <c r="BJ1529" s="100"/>
      <c r="BK1529" s="102"/>
    </row>
    <row r="1530" spans="1:63" x14ac:dyDescent="0.25">
      <c r="A1530" s="92"/>
      <c r="B1530" s="93"/>
      <c r="C1530" s="93"/>
      <c r="D1530" s="92"/>
      <c r="E1530" s="92"/>
      <c r="F1530" s="92"/>
      <c r="G1530" s="92"/>
      <c r="H1530" s="92"/>
      <c r="I1530" s="92"/>
      <c r="J1530" s="92"/>
      <c r="K1530" s="92"/>
      <c r="L1530" s="92"/>
      <c r="M1530" s="92"/>
      <c r="N1530" s="94"/>
      <c r="AG1530" s="100"/>
      <c r="AH1530" s="101"/>
      <c r="AI1530" s="101"/>
      <c r="AJ1530" s="100"/>
      <c r="AK1530" s="100"/>
      <c r="AL1530" s="100"/>
      <c r="AM1530" s="100"/>
      <c r="AN1530" s="100"/>
      <c r="AO1530" s="100"/>
      <c r="AP1530" s="100"/>
      <c r="AQ1530" s="100"/>
      <c r="AR1530" s="100"/>
      <c r="AS1530" s="100"/>
      <c r="AT1530" s="102"/>
      <c r="AX1530" s="100"/>
      <c r="AY1530" s="101"/>
      <c r="AZ1530" s="101"/>
      <c r="BA1530" s="100"/>
      <c r="BB1530" s="100"/>
      <c r="BC1530" s="100"/>
      <c r="BD1530" s="100"/>
      <c r="BE1530" s="100"/>
      <c r="BF1530" s="100"/>
      <c r="BG1530" s="100"/>
      <c r="BH1530" s="100"/>
      <c r="BI1530" s="100"/>
      <c r="BJ1530" s="100"/>
      <c r="BK1530" s="102"/>
    </row>
    <row r="1531" spans="1:63" x14ac:dyDescent="0.25">
      <c r="A1531" s="92"/>
      <c r="B1531" s="92"/>
      <c r="C1531" s="92"/>
      <c r="D1531" s="92"/>
      <c r="E1531" s="92"/>
      <c r="F1531" s="92"/>
      <c r="G1531" s="92"/>
      <c r="H1531" s="92"/>
      <c r="I1531" s="92"/>
      <c r="J1531" s="92"/>
      <c r="K1531" s="92"/>
      <c r="L1531" s="92"/>
      <c r="M1531" s="92"/>
      <c r="N1531" s="92"/>
      <c r="AG1531" s="100"/>
      <c r="AH1531" s="101"/>
      <c r="AI1531" s="101"/>
      <c r="AJ1531" s="101"/>
      <c r="AK1531" s="100"/>
      <c r="AL1531" s="100"/>
      <c r="AM1531" s="100"/>
      <c r="AN1531" s="100"/>
      <c r="AO1531" s="100"/>
      <c r="AP1531" s="100"/>
      <c r="AQ1531" s="100"/>
      <c r="AR1531" s="100"/>
      <c r="AS1531" s="100"/>
      <c r="AT1531" s="102"/>
      <c r="AX1531" s="100"/>
      <c r="AY1531" s="101"/>
      <c r="AZ1531" s="101"/>
      <c r="BA1531" s="100"/>
      <c r="BB1531" s="100"/>
      <c r="BC1531" s="100"/>
      <c r="BD1531" s="100"/>
      <c r="BE1531" s="100"/>
      <c r="BF1531" s="100"/>
      <c r="BG1531" s="100"/>
      <c r="BH1531" s="100"/>
      <c r="BI1531" s="100"/>
      <c r="BJ1531" s="100"/>
      <c r="BK1531" s="102"/>
    </row>
    <row r="1532" spans="1:63" x14ac:dyDescent="0.25">
      <c r="A1532" s="92"/>
      <c r="B1532" s="93"/>
      <c r="C1532" s="93"/>
      <c r="D1532" s="92"/>
      <c r="E1532" s="92"/>
      <c r="F1532" s="92"/>
      <c r="G1532" s="92"/>
      <c r="H1532" s="92"/>
      <c r="I1532" s="92"/>
      <c r="J1532" s="92"/>
      <c r="K1532" s="92"/>
      <c r="L1532" s="92"/>
      <c r="M1532" s="92"/>
      <c r="N1532" s="94"/>
      <c r="AG1532" s="100"/>
      <c r="AH1532" s="101"/>
      <c r="AI1532" s="101"/>
      <c r="AJ1532" s="101"/>
      <c r="AK1532" s="100"/>
      <c r="AL1532" s="100"/>
      <c r="AM1532" s="100"/>
      <c r="AN1532" s="100"/>
      <c r="AO1532" s="100"/>
      <c r="AP1532" s="100"/>
      <c r="AQ1532" s="100"/>
      <c r="AR1532" s="100"/>
      <c r="AS1532" s="100"/>
      <c r="AT1532" s="102"/>
      <c r="AX1532" s="100"/>
      <c r="AY1532" s="101"/>
      <c r="AZ1532" s="101"/>
      <c r="BA1532" s="100"/>
      <c r="BB1532" s="100"/>
      <c r="BC1532" s="100"/>
      <c r="BD1532" s="100"/>
      <c r="BE1532" s="100"/>
      <c r="BF1532" s="100"/>
      <c r="BG1532" s="100"/>
      <c r="BH1532" s="100"/>
      <c r="BI1532" s="100"/>
      <c r="BJ1532" s="100"/>
      <c r="BK1532" s="102"/>
    </row>
    <row r="1533" spans="1:63" x14ac:dyDescent="0.25">
      <c r="A1533" s="92"/>
      <c r="B1533" s="93"/>
      <c r="C1533" s="93"/>
      <c r="D1533" s="92"/>
      <c r="E1533" s="92"/>
      <c r="F1533" s="92"/>
      <c r="G1533" s="92"/>
      <c r="H1533" s="92"/>
      <c r="I1533" s="92"/>
      <c r="J1533" s="92"/>
      <c r="K1533" s="92"/>
      <c r="L1533" s="92"/>
      <c r="M1533" s="92"/>
      <c r="N1533" s="94"/>
      <c r="AG1533" s="100"/>
      <c r="AH1533" s="101"/>
      <c r="AI1533" s="101"/>
      <c r="AJ1533" s="100"/>
      <c r="AK1533" s="100"/>
      <c r="AL1533" s="100"/>
      <c r="AM1533" s="100"/>
      <c r="AN1533" s="100"/>
      <c r="AO1533" s="100"/>
      <c r="AP1533" s="100"/>
      <c r="AQ1533" s="100"/>
      <c r="AR1533" s="100"/>
      <c r="AS1533" s="100"/>
      <c r="AT1533" s="102"/>
      <c r="AX1533" s="100"/>
      <c r="AY1533" s="101"/>
      <c r="AZ1533" s="101"/>
      <c r="BA1533" s="100"/>
      <c r="BB1533" s="100"/>
      <c r="BC1533" s="100"/>
      <c r="BD1533" s="100"/>
      <c r="BE1533" s="100"/>
      <c r="BF1533" s="100"/>
      <c r="BG1533" s="100"/>
      <c r="BH1533" s="100"/>
      <c r="BI1533" s="100"/>
      <c r="BJ1533" s="100"/>
      <c r="BK1533" s="102"/>
    </row>
    <row r="1534" spans="1:63" x14ac:dyDescent="0.25">
      <c r="A1534" s="92"/>
      <c r="B1534" s="92"/>
      <c r="C1534" s="92"/>
      <c r="D1534" s="92"/>
      <c r="E1534" s="92"/>
      <c r="F1534" s="92"/>
      <c r="G1534" s="92"/>
      <c r="H1534" s="92"/>
      <c r="I1534" s="92"/>
      <c r="J1534" s="92"/>
      <c r="K1534" s="92"/>
      <c r="L1534" s="92"/>
      <c r="M1534" s="92"/>
      <c r="N1534" s="92"/>
      <c r="AG1534" s="100"/>
      <c r="AH1534" s="101"/>
      <c r="AI1534" s="101"/>
      <c r="AJ1534" s="100"/>
      <c r="AK1534" s="100"/>
      <c r="AL1534" s="100"/>
      <c r="AM1534" s="100"/>
      <c r="AN1534" s="100"/>
      <c r="AO1534" s="100"/>
      <c r="AP1534" s="100"/>
      <c r="AQ1534" s="100"/>
      <c r="AR1534" s="100"/>
      <c r="AS1534" s="100"/>
      <c r="AT1534" s="102"/>
      <c r="AX1534" s="100"/>
      <c r="AY1534" s="101"/>
      <c r="AZ1534" s="101"/>
      <c r="BA1534" s="100"/>
      <c r="BB1534" s="100"/>
      <c r="BC1534" s="100"/>
      <c r="BD1534" s="100"/>
      <c r="BE1534" s="100"/>
      <c r="BF1534" s="100"/>
      <c r="BG1534" s="100"/>
      <c r="BH1534" s="100"/>
      <c r="BI1534" s="100"/>
      <c r="BJ1534" s="100"/>
      <c r="BK1534" s="102"/>
    </row>
    <row r="1535" spans="1:63" x14ac:dyDescent="0.25">
      <c r="A1535" s="92"/>
      <c r="B1535" s="92"/>
      <c r="C1535" s="92"/>
      <c r="D1535" s="92"/>
      <c r="E1535" s="92"/>
      <c r="F1535" s="92"/>
      <c r="G1535" s="92"/>
      <c r="H1535" s="92"/>
      <c r="I1535" s="92"/>
      <c r="J1535" s="92"/>
      <c r="K1535" s="92"/>
      <c r="L1535" s="92"/>
      <c r="M1535" s="92"/>
      <c r="N1535" s="92"/>
      <c r="AG1535" s="100"/>
      <c r="AH1535" s="101"/>
      <c r="AI1535" s="101"/>
      <c r="AJ1535" s="100"/>
      <c r="AK1535" s="100"/>
      <c r="AL1535" s="100"/>
      <c r="AM1535" s="100"/>
      <c r="AN1535" s="100"/>
      <c r="AO1535" s="100"/>
      <c r="AP1535" s="100"/>
      <c r="AQ1535" s="100"/>
      <c r="AR1535" s="100"/>
      <c r="AS1535" s="100"/>
      <c r="AT1535" s="102"/>
      <c r="AX1535" s="100"/>
      <c r="AY1535" s="101"/>
      <c r="AZ1535" s="101"/>
      <c r="BA1535" s="100"/>
      <c r="BB1535" s="100"/>
      <c r="BC1535" s="100"/>
      <c r="BD1535" s="100"/>
      <c r="BE1535" s="100"/>
      <c r="BF1535" s="100"/>
      <c r="BG1535" s="100"/>
      <c r="BH1535" s="100"/>
      <c r="BI1535" s="100"/>
      <c r="BJ1535" s="100"/>
      <c r="BK1535" s="102"/>
    </row>
    <row r="1536" spans="1:63" x14ac:dyDescent="0.25">
      <c r="A1536" s="92"/>
      <c r="B1536" s="93"/>
      <c r="C1536" s="93"/>
      <c r="D1536" s="93"/>
      <c r="E1536" s="92"/>
      <c r="F1536" s="92"/>
      <c r="G1536" s="92"/>
      <c r="H1536" s="92"/>
      <c r="I1536" s="92"/>
      <c r="J1536" s="92"/>
      <c r="K1536" s="92"/>
      <c r="L1536" s="92"/>
      <c r="M1536" s="92"/>
      <c r="N1536" s="94"/>
      <c r="AG1536" s="100"/>
      <c r="AH1536" s="101"/>
      <c r="AI1536" s="101"/>
      <c r="AJ1536" s="100"/>
      <c r="AK1536" s="100"/>
      <c r="AL1536" s="100"/>
      <c r="AM1536" s="100"/>
      <c r="AN1536" s="100"/>
      <c r="AO1536" s="100"/>
      <c r="AP1536" s="100"/>
      <c r="AQ1536" s="100"/>
      <c r="AR1536" s="100"/>
      <c r="AS1536" s="100"/>
      <c r="AT1536" s="102"/>
      <c r="AX1536" s="100"/>
      <c r="AY1536" s="101"/>
      <c r="AZ1536" s="101"/>
      <c r="BA1536" s="100"/>
      <c r="BB1536" s="100"/>
      <c r="BC1536" s="100"/>
      <c r="BD1536" s="100"/>
      <c r="BE1536" s="100"/>
      <c r="BF1536" s="100"/>
      <c r="BG1536" s="100"/>
      <c r="BH1536" s="100"/>
      <c r="BI1536" s="100"/>
      <c r="BJ1536" s="100"/>
      <c r="BK1536" s="102"/>
    </row>
    <row r="1537" spans="1:63" x14ac:dyDescent="0.25">
      <c r="A1537" s="92"/>
      <c r="B1537" s="92"/>
      <c r="C1537" s="92"/>
      <c r="D1537" s="92"/>
      <c r="E1537" s="92"/>
      <c r="F1537" s="92"/>
      <c r="G1537" s="92"/>
      <c r="H1537" s="92"/>
      <c r="I1537" s="92"/>
      <c r="J1537" s="92"/>
      <c r="K1537" s="92"/>
      <c r="L1537" s="92"/>
      <c r="M1537" s="92"/>
      <c r="N1537" s="92"/>
      <c r="AG1537" s="100"/>
      <c r="AH1537" s="101"/>
      <c r="AI1537" s="101"/>
      <c r="AJ1537" s="101"/>
      <c r="AK1537" s="100"/>
      <c r="AL1537" s="100"/>
      <c r="AM1537" s="100"/>
      <c r="AN1537" s="100"/>
      <c r="AO1537" s="100"/>
      <c r="AP1537" s="100"/>
      <c r="AQ1537" s="100"/>
      <c r="AR1537" s="100"/>
      <c r="AS1537" s="100"/>
      <c r="AT1537" s="102"/>
      <c r="AX1537" s="100"/>
      <c r="AY1537" s="101"/>
      <c r="AZ1537" s="101"/>
      <c r="BA1537" s="100"/>
      <c r="BB1537" s="100"/>
      <c r="BC1537" s="100"/>
      <c r="BD1537" s="100"/>
      <c r="BE1537" s="100"/>
      <c r="BF1537" s="100"/>
      <c r="BG1537" s="100"/>
      <c r="BH1537" s="100"/>
      <c r="BI1537" s="100"/>
      <c r="BJ1537" s="100"/>
      <c r="BK1537" s="102"/>
    </row>
    <row r="1538" spans="1:63" x14ac:dyDescent="0.25">
      <c r="A1538" s="92"/>
      <c r="B1538" s="93"/>
      <c r="C1538" s="93"/>
      <c r="D1538" s="92"/>
      <c r="E1538" s="92"/>
      <c r="F1538" s="92"/>
      <c r="G1538" s="92"/>
      <c r="H1538" s="92"/>
      <c r="I1538" s="92"/>
      <c r="J1538" s="92"/>
      <c r="K1538" s="92"/>
      <c r="L1538" s="92"/>
      <c r="M1538" s="92"/>
      <c r="N1538" s="94"/>
      <c r="AG1538" s="100"/>
      <c r="AH1538" s="101"/>
      <c r="AI1538" s="101"/>
      <c r="AJ1538" s="100"/>
      <c r="AK1538" s="100"/>
      <c r="AL1538" s="100"/>
      <c r="AM1538" s="100"/>
      <c r="AN1538" s="100"/>
      <c r="AO1538" s="100"/>
      <c r="AP1538" s="100"/>
      <c r="AQ1538" s="100"/>
      <c r="AR1538" s="100"/>
      <c r="AS1538" s="100"/>
      <c r="AT1538" s="102"/>
      <c r="AX1538" s="100"/>
      <c r="AY1538" s="101"/>
      <c r="AZ1538" s="101"/>
      <c r="BA1538" s="100"/>
      <c r="BB1538" s="100"/>
      <c r="BC1538" s="100"/>
      <c r="BD1538" s="100"/>
      <c r="BE1538" s="100"/>
      <c r="BF1538" s="100"/>
      <c r="BG1538" s="100"/>
      <c r="BH1538" s="100"/>
      <c r="BI1538" s="100"/>
      <c r="BJ1538" s="100"/>
      <c r="BK1538" s="102"/>
    </row>
    <row r="1539" spans="1:63" x14ac:dyDescent="0.25">
      <c r="A1539" s="92"/>
      <c r="B1539" s="93"/>
      <c r="C1539" s="93"/>
      <c r="D1539" s="92"/>
      <c r="E1539" s="92"/>
      <c r="F1539" s="92"/>
      <c r="G1539" s="92"/>
      <c r="H1539" s="92"/>
      <c r="I1539" s="92"/>
      <c r="J1539" s="92"/>
      <c r="K1539" s="92"/>
      <c r="L1539" s="92"/>
      <c r="M1539" s="92"/>
      <c r="N1539" s="94"/>
      <c r="AG1539" s="100"/>
      <c r="AH1539" s="101"/>
      <c r="AI1539" s="101"/>
      <c r="AJ1539" s="100"/>
      <c r="AK1539" s="100"/>
      <c r="AL1539" s="100"/>
      <c r="AM1539" s="100"/>
      <c r="AN1539" s="100"/>
      <c r="AO1539" s="100"/>
      <c r="AP1539" s="100"/>
      <c r="AQ1539" s="100"/>
      <c r="AR1539" s="100"/>
      <c r="AS1539" s="100"/>
      <c r="AT1539" s="102"/>
      <c r="AX1539" s="100"/>
      <c r="AY1539" s="101"/>
      <c r="AZ1539" s="101"/>
      <c r="BA1539" s="100"/>
      <c r="BB1539" s="100"/>
      <c r="BC1539" s="100"/>
      <c r="BD1539" s="100"/>
      <c r="BE1539" s="100"/>
      <c r="BF1539" s="100"/>
      <c r="BG1539" s="100"/>
      <c r="BH1539" s="100"/>
      <c r="BI1539" s="100"/>
      <c r="BJ1539" s="100"/>
      <c r="BK1539" s="102"/>
    </row>
    <row r="1540" spans="1:63" x14ac:dyDescent="0.25">
      <c r="A1540" s="92"/>
      <c r="B1540" s="93"/>
      <c r="C1540" s="93"/>
      <c r="D1540" s="92"/>
      <c r="E1540" s="92"/>
      <c r="F1540" s="92"/>
      <c r="G1540" s="92"/>
      <c r="H1540" s="92"/>
      <c r="I1540" s="92"/>
      <c r="J1540" s="92"/>
      <c r="K1540" s="92"/>
      <c r="L1540" s="92"/>
      <c r="M1540" s="92"/>
      <c r="N1540" s="94"/>
      <c r="AG1540" s="100"/>
      <c r="AH1540" s="101"/>
      <c r="AI1540" s="101"/>
      <c r="AJ1540" s="101"/>
      <c r="AK1540" s="100"/>
      <c r="AL1540" s="100"/>
      <c r="AM1540" s="100"/>
      <c r="AN1540" s="100"/>
      <c r="AO1540" s="100"/>
      <c r="AP1540" s="100"/>
      <c r="AQ1540" s="100"/>
      <c r="AR1540" s="100"/>
      <c r="AS1540" s="100"/>
      <c r="AT1540" s="102"/>
      <c r="AX1540" s="100"/>
      <c r="AY1540" s="101"/>
      <c r="AZ1540" s="101"/>
      <c r="BA1540" s="100"/>
      <c r="BB1540" s="100"/>
      <c r="BC1540" s="100"/>
      <c r="BD1540" s="100"/>
      <c r="BE1540" s="100"/>
      <c r="BF1540" s="100"/>
      <c r="BG1540" s="100"/>
      <c r="BH1540" s="100"/>
      <c r="BI1540" s="100"/>
      <c r="BJ1540" s="100"/>
      <c r="BK1540" s="102"/>
    </row>
    <row r="1541" spans="1:63" x14ac:dyDescent="0.25">
      <c r="A1541" s="92"/>
      <c r="B1541" s="93"/>
      <c r="C1541" s="93"/>
      <c r="D1541" s="92"/>
      <c r="E1541" s="92"/>
      <c r="F1541" s="92"/>
      <c r="G1541" s="92"/>
      <c r="H1541" s="92"/>
      <c r="I1541" s="92"/>
      <c r="J1541" s="92"/>
      <c r="K1541" s="92"/>
      <c r="L1541" s="92"/>
      <c r="M1541" s="92"/>
      <c r="N1541" s="94"/>
      <c r="AG1541" s="100"/>
      <c r="AH1541" s="101"/>
      <c r="AI1541" s="101"/>
      <c r="AJ1541" s="100"/>
      <c r="AK1541" s="100"/>
      <c r="AL1541" s="100"/>
      <c r="AM1541" s="100"/>
      <c r="AN1541" s="100"/>
      <c r="AO1541" s="100"/>
      <c r="AP1541" s="100"/>
      <c r="AQ1541" s="100"/>
      <c r="AR1541" s="100"/>
      <c r="AS1541" s="100"/>
      <c r="AT1541" s="102"/>
      <c r="AX1541" s="100"/>
      <c r="AY1541" s="101"/>
      <c r="AZ1541" s="101"/>
      <c r="BA1541" s="101"/>
      <c r="BB1541" s="100"/>
      <c r="BC1541" s="100"/>
      <c r="BD1541" s="100"/>
      <c r="BE1541" s="100"/>
      <c r="BF1541" s="100"/>
      <c r="BG1541" s="100"/>
      <c r="BH1541" s="100"/>
      <c r="BI1541" s="100"/>
      <c r="BJ1541" s="100"/>
      <c r="BK1541" s="102"/>
    </row>
    <row r="1542" spans="1:63" x14ac:dyDescent="0.25">
      <c r="A1542" s="92"/>
      <c r="B1542" s="92"/>
      <c r="C1542" s="92"/>
      <c r="D1542" s="92"/>
      <c r="E1542" s="92"/>
      <c r="F1542" s="92"/>
      <c r="G1542" s="92"/>
      <c r="H1542" s="92"/>
      <c r="I1542" s="92"/>
      <c r="J1542" s="92"/>
      <c r="K1542" s="92"/>
      <c r="L1542" s="92"/>
      <c r="M1542" s="92"/>
      <c r="N1542" s="92"/>
      <c r="AG1542" s="100"/>
      <c r="AH1542" s="101"/>
      <c r="AI1542" s="101"/>
      <c r="AJ1542" s="101"/>
      <c r="AK1542" s="100"/>
      <c r="AL1542" s="100"/>
      <c r="AM1542" s="100"/>
      <c r="AN1542" s="100"/>
      <c r="AO1542" s="100"/>
      <c r="AP1542" s="100"/>
      <c r="AQ1542" s="100"/>
      <c r="AR1542" s="100"/>
      <c r="AS1542" s="100"/>
      <c r="AT1542" s="102"/>
      <c r="AX1542" s="100"/>
      <c r="AY1542" s="101"/>
      <c r="AZ1542" s="101"/>
      <c r="BA1542" s="100"/>
      <c r="BB1542" s="100"/>
      <c r="BC1542" s="100"/>
      <c r="BD1542" s="100"/>
      <c r="BE1542" s="100"/>
      <c r="BF1542" s="100"/>
      <c r="BG1542" s="100"/>
      <c r="BH1542" s="100"/>
      <c r="BI1542" s="100"/>
      <c r="BJ1542" s="100"/>
      <c r="BK1542" s="102"/>
    </row>
    <row r="1543" spans="1:63" x14ac:dyDescent="0.25">
      <c r="A1543" s="92"/>
      <c r="B1543" s="92"/>
      <c r="C1543" s="92"/>
      <c r="D1543" s="92"/>
      <c r="E1543" s="92"/>
      <c r="F1543" s="92"/>
      <c r="G1543" s="92"/>
      <c r="H1543" s="92"/>
      <c r="I1543" s="92"/>
      <c r="J1543" s="92"/>
      <c r="K1543" s="92"/>
      <c r="L1543" s="92"/>
      <c r="M1543" s="92"/>
      <c r="N1543" s="92"/>
      <c r="AG1543" s="100"/>
      <c r="AH1543" s="101"/>
      <c r="AI1543" s="101"/>
      <c r="AJ1543" s="100"/>
      <c r="AK1543" s="100"/>
      <c r="AL1543" s="100"/>
      <c r="AM1543" s="100"/>
      <c r="AN1543" s="100"/>
      <c r="AO1543" s="100"/>
      <c r="AP1543" s="100"/>
      <c r="AQ1543" s="100"/>
      <c r="AR1543" s="100"/>
      <c r="AS1543" s="100"/>
      <c r="AT1543" s="102"/>
      <c r="AX1543" s="100"/>
      <c r="AY1543" s="101"/>
      <c r="AZ1543" s="101"/>
      <c r="BA1543" s="101"/>
      <c r="BB1543" s="100"/>
      <c r="BC1543" s="100"/>
      <c r="BD1543" s="100"/>
      <c r="BE1543" s="100"/>
      <c r="BF1543" s="100"/>
      <c r="BG1543" s="100"/>
      <c r="BH1543" s="100"/>
      <c r="BI1543" s="100"/>
      <c r="BJ1543" s="100"/>
      <c r="BK1543" s="102"/>
    </row>
    <row r="1544" spans="1:63" x14ac:dyDescent="0.25">
      <c r="A1544" s="92"/>
      <c r="B1544" s="92"/>
      <c r="C1544" s="92"/>
      <c r="D1544" s="92"/>
      <c r="E1544" s="92"/>
      <c r="F1544" s="92"/>
      <c r="G1544" s="92"/>
      <c r="H1544" s="92"/>
      <c r="I1544" s="92"/>
      <c r="J1544" s="92"/>
      <c r="K1544" s="92"/>
      <c r="L1544" s="92"/>
      <c r="M1544" s="92"/>
      <c r="N1544" s="92"/>
      <c r="AG1544" s="100"/>
      <c r="AH1544" s="101"/>
      <c r="AI1544" s="101"/>
      <c r="AJ1544" s="100"/>
      <c r="AK1544" s="100"/>
      <c r="AL1544" s="100"/>
      <c r="AM1544" s="100"/>
      <c r="AN1544" s="100"/>
      <c r="AO1544" s="100"/>
      <c r="AP1544" s="100"/>
      <c r="AQ1544" s="100"/>
      <c r="AR1544" s="100"/>
      <c r="AS1544" s="100"/>
      <c r="AT1544" s="102"/>
      <c r="AX1544" s="100"/>
      <c r="AY1544" s="101"/>
      <c r="AZ1544" s="101"/>
      <c r="BA1544" s="101"/>
      <c r="BB1544" s="100"/>
      <c r="BC1544" s="100"/>
      <c r="BD1544" s="100"/>
      <c r="BE1544" s="100"/>
      <c r="BF1544" s="100"/>
      <c r="BG1544" s="100"/>
      <c r="BH1544" s="100"/>
      <c r="BI1544" s="100"/>
      <c r="BJ1544" s="100"/>
      <c r="BK1544" s="102"/>
    </row>
    <row r="1545" spans="1:63" x14ac:dyDescent="0.25">
      <c r="A1545" s="92"/>
      <c r="B1545" s="93"/>
      <c r="C1545" s="93"/>
      <c r="D1545" s="92"/>
      <c r="E1545" s="92"/>
      <c r="F1545" s="92"/>
      <c r="G1545" s="92"/>
      <c r="H1545" s="92"/>
      <c r="I1545" s="92"/>
      <c r="J1545" s="92"/>
      <c r="K1545" s="92"/>
      <c r="L1545" s="92"/>
      <c r="M1545" s="92"/>
      <c r="N1545" s="94"/>
      <c r="AG1545" s="100"/>
      <c r="AH1545" s="101"/>
      <c r="AI1545" s="101"/>
      <c r="AJ1545" s="100"/>
      <c r="AK1545" s="100"/>
      <c r="AL1545" s="100"/>
      <c r="AM1545" s="100"/>
      <c r="AN1545" s="100"/>
      <c r="AO1545" s="100"/>
      <c r="AP1545" s="100"/>
      <c r="AQ1545" s="100"/>
      <c r="AR1545" s="100"/>
      <c r="AS1545" s="100"/>
      <c r="AT1545" s="102"/>
      <c r="AX1545" s="100"/>
      <c r="AY1545" s="101"/>
      <c r="AZ1545" s="101"/>
      <c r="BA1545" s="101"/>
      <c r="BB1545" s="100"/>
      <c r="BC1545" s="100"/>
      <c r="BD1545" s="100"/>
      <c r="BE1545" s="100"/>
      <c r="BF1545" s="100"/>
      <c r="BG1545" s="100"/>
      <c r="BH1545" s="100"/>
      <c r="BI1545" s="100"/>
      <c r="BJ1545" s="100"/>
      <c r="BK1545" s="102"/>
    </row>
    <row r="1546" spans="1:63" x14ac:dyDescent="0.25">
      <c r="A1546" s="92"/>
      <c r="B1546" s="92"/>
      <c r="C1546" s="92"/>
      <c r="D1546" s="92"/>
      <c r="E1546" s="92"/>
      <c r="F1546" s="92"/>
      <c r="G1546" s="92"/>
      <c r="H1546" s="92"/>
      <c r="I1546" s="92"/>
      <c r="J1546" s="92"/>
      <c r="K1546" s="92"/>
      <c r="L1546" s="92"/>
      <c r="M1546" s="92"/>
      <c r="N1546" s="92"/>
      <c r="AG1546" s="100"/>
      <c r="AH1546" s="101"/>
      <c r="AI1546" s="101"/>
      <c r="AJ1546" s="100"/>
      <c r="AK1546" s="100"/>
      <c r="AL1546" s="100"/>
      <c r="AM1546" s="100"/>
      <c r="AN1546" s="100"/>
      <c r="AO1546" s="100"/>
      <c r="AP1546" s="100"/>
      <c r="AQ1546" s="100"/>
      <c r="AR1546" s="100"/>
      <c r="AS1546" s="100"/>
      <c r="AT1546" s="102"/>
      <c r="AX1546" s="100"/>
      <c r="AY1546" s="101"/>
      <c r="AZ1546" s="101"/>
      <c r="BA1546" s="101"/>
      <c r="BB1546" s="100"/>
      <c r="BC1546" s="100"/>
      <c r="BD1546" s="100"/>
      <c r="BE1546" s="100"/>
      <c r="BF1546" s="100"/>
      <c r="BG1546" s="100"/>
      <c r="BH1546" s="100"/>
      <c r="BI1546" s="100"/>
      <c r="BJ1546" s="100"/>
      <c r="BK1546" s="102"/>
    </row>
    <row r="1547" spans="1:63" x14ac:dyDescent="0.25">
      <c r="A1547" s="92"/>
      <c r="B1547" s="92"/>
      <c r="C1547" s="92"/>
      <c r="D1547" s="92"/>
      <c r="E1547" s="92"/>
      <c r="F1547" s="92"/>
      <c r="G1547" s="92"/>
      <c r="H1547" s="92"/>
      <c r="I1547" s="92"/>
      <c r="J1547" s="92"/>
      <c r="K1547" s="92"/>
      <c r="L1547" s="92"/>
      <c r="M1547" s="92"/>
      <c r="N1547" s="92"/>
      <c r="AG1547" s="100"/>
      <c r="AH1547" s="101"/>
      <c r="AI1547" s="101"/>
      <c r="AJ1547" s="100"/>
      <c r="AK1547" s="100"/>
      <c r="AL1547" s="100"/>
      <c r="AM1547" s="100"/>
      <c r="AN1547" s="100"/>
      <c r="AO1547" s="100"/>
      <c r="AP1547" s="100"/>
      <c r="AQ1547" s="100"/>
      <c r="AR1547" s="100"/>
      <c r="AS1547" s="100"/>
      <c r="AT1547" s="102"/>
      <c r="AX1547" s="100"/>
      <c r="AY1547" s="101"/>
      <c r="AZ1547" s="101"/>
      <c r="BA1547" s="100"/>
      <c r="BB1547" s="100"/>
      <c r="BC1547" s="100"/>
      <c r="BD1547" s="100"/>
      <c r="BE1547" s="100"/>
      <c r="BF1547" s="100"/>
      <c r="BG1547" s="100"/>
      <c r="BH1547" s="100"/>
      <c r="BI1547" s="100"/>
      <c r="BJ1547" s="100"/>
      <c r="BK1547" s="102"/>
    </row>
    <row r="1548" spans="1:63" x14ac:dyDescent="0.25">
      <c r="A1548" s="92"/>
      <c r="B1548" s="93"/>
      <c r="C1548" s="93"/>
      <c r="D1548" s="93"/>
      <c r="E1548" s="92"/>
      <c r="F1548" s="92"/>
      <c r="G1548" s="92"/>
      <c r="H1548" s="92"/>
      <c r="I1548" s="92"/>
      <c r="J1548" s="92"/>
      <c r="K1548" s="92"/>
      <c r="L1548" s="92"/>
      <c r="M1548" s="92"/>
      <c r="N1548" s="94"/>
      <c r="AG1548" s="100"/>
      <c r="AH1548" s="101"/>
      <c r="AI1548" s="101"/>
      <c r="AJ1548" s="100"/>
      <c r="AK1548" s="100"/>
      <c r="AL1548" s="100"/>
      <c r="AM1548" s="100"/>
      <c r="AN1548" s="100"/>
      <c r="AO1548" s="100"/>
      <c r="AP1548" s="100"/>
      <c r="AQ1548" s="100"/>
      <c r="AR1548" s="100"/>
      <c r="AS1548" s="100"/>
      <c r="AT1548" s="102"/>
      <c r="AX1548" s="100"/>
      <c r="AY1548" s="101"/>
      <c r="AZ1548" s="101"/>
      <c r="BA1548" s="100"/>
      <c r="BB1548" s="100"/>
      <c r="BC1548" s="100"/>
      <c r="BD1548" s="100"/>
      <c r="BE1548" s="100"/>
      <c r="BF1548" s="100"/>
      <c r="BG1548" s="100"/>
      <c r="BH1548" s="100"/>
      <c r="BI1548" s="100"/>
      <c r="BJ1548" s="100"/>
      <c r="BK1548" s="102"/>
    </row>
    <row r="1549" spans="1:63" x14ac:dyDescent="0.25">
      <c r="A1549" s="92"/>
      <c r="B1549" s="92"/>
      <c r="C1549" s="92"/>
      <c r="D1549" s="92"/>
      <c r="E1549" s="92"/>
      <c r="F1549" s="92"/>
      <c r="G1549" s="92"/>
      <c r="H1549" s="92"/>
      <c r="I1549" s="92"/>
      <c r="J1549" s="92"/>
      <c r="K1549" s="92"/>
      <c r="L1549" s="92"/>
      <c r="M1549" s="92"/>
      <c r="N1549" s="92"/>
      <c r="AG1549" s="100"/>
      <c r="AH1549" s="101"/>
      <c r="AI1549" s="101"/>
      <c r="AJ1549" s="100"/>
      <c r="AK1549" s="100"/>
      <c r="AL1549" s="100"/>
      <c r="AM1549" s="100"/>
      <c r="AN1549" s="100"/>
      <c r="AO1549" s="100"/>
      <c r="AP1549" s="100"/>
      <c r="AQ1549" s="100"/>
      <c r="AR1549" s="100"/>
      <c r="AS1549" s="100"/>
      <c r="AT1549" s="102"/>
      <c r="AX1549" s="100"/>
      <c r="AY1549" s="101"/>
      <c r="AZ1549" s="101"/>
      <c r="BA1549" s="101"/>
      <c r="BB1549" s="100"/>
      <c r="BC1549" s="100"/>
      <c r="BD1549" s="100"/>
      <c r="BE1549" s="100"/>
      <c r="BF1549" s="100"/>
      <c r="BG1549" s="100"/>
      <c r="BH1549" s="100"/>
      <c r="BI1549" s="100"/>
      <c r="BJ1549" s="100"/>
      <c r="BK1549" s="102"/>
    </row>
    <row r="1550" spans="1:63" x14ac:dyDescent="0.25">
      <c r="A1550" s="92"/>
      <c r="B1550" s="93"/>
      <c r="C1550" s="93"/>
      <c r="D1550" s="92"/>
      <c r="E1550" s="92"/>
      <c r="F1550" s="92"/>
      <c r="G1550" s="92"/>
      <c r="H1550" s="92"/>
      <c r="I1550" s="92"/>
      <c r="J1550" s="92"/>
      <c r="K1550" s="92"/>
      <c r="L1550" s="92"/>
      <c r="M1550" s="92"/>
      <c r="N1550" s="94"/>
      <c r="AG1550" s="100"/>
      <c r="AH1550" s="101"/>
      <c r="AI1550" s="101"/>
      <c r="AJ1550" s="100"/>
      <c r="AK1550" s="100"/>
      <c r="AL1550" s="100"/>
      <c r="AM1550" s="100"/>
      <c r="AN1550" s="100"/>
      <c r="AO1550" s="100"/>
      <c r="AP1550" s="100"/>
      <c r="AQ1550" s="100"/>
      <c r="AR1550" s="100"/>
      <c r="AS1550" s="100"/>
      <c r="AT1550" s="102"/>
      <c r="AX1550" s="100"/>
      <c r="AY1550" s="101"/>
      <c r="AZ1550" s="101"/>
      <c r="BA1550" s="100"/>
      <c r="BB1550" s="100"/>
      <c r="BC1550" s="100"/>
      <c r="BD1550" s="100"/>
      <c r="BE1550" s="100"/>
      <c r="BF1550" s="100"/>
      <c r="BG1550" s="100"/>
      <c r="BH1550" s="100"/>
      <c r="BI1550" s="100"/>
      <c r="BJ1550" s="100"/>
      <c r="BK1550" s="102"/>
    </row>
    <row r="1551" spans="1:63" x14ac:dyDescent="0.25">
      <c r="A1551" s="92"/>
      <c r="B1551" s="93"/>
      <c r="C1551" s="93"/>
      <c r="D1551" s="92"/>
      <c r="E1551" s="92"/>
      <c r="F1551" s="92"/>
      <c r="G1551" s="92"/>
      <c r="H1551" s="92"/>
      <c r="I1551" s="92"/>
      <c r="J1551" s="92"/>
      <c r="K1551" s="92"/>
      <c r="L1551" s="92"/>
      <c r="M1551" s="92"/>
      <c r="N1551" s="94"/>
      <c r="AG1551" s="100"/>
      <c r="AH1551" s="101"/>
      <c r="AI1551" s="101"/>
      <c r="AJ1551" s="101"/>
      <c r="AK1551" s="100"/>
      <c r="AL1551" s="100"/>
      <c r="AM1551" s="100"/>
      <c r="AN1551" s="100"/>
      <c r="AO1551" s="100"/>
      <c r="AP1551" s="100"/>
      <c r="AQ1551" s="100"/>
      <c r="AR1551" s="100"/>
      <c r="AS1551" s="100"/>
      <c r="AT1551" s="102"/>
      <c r="AX1551" s="100"/>
      <c r="AY1551" s="101"/>
      <c r="AZ1551" s="101"/>
      <c r="BA1551" s="101"/>
      <c r="BB1551" s="100"/>
      <c r="BC1551" s="100"/>
      <c r="BD1551" s="100"/>
      <c r="BE1551" s="100"/>
      <c r="BF1551" s="100"/>
      <c r="BG1551" s="100"/>
      <c r="BH1551" s="100"/>
      <c r="BI1551" s="100"/>
      <c r="BJ1551" s="100"/>
      <c r="BK1551" s="102"/>
    </row>
    <row r="1552" spans="1:63" x14ac:dyDescent="0.25">
      <c r="A1552" s="92"/>
      <c r="B1552" s="92"/>
      <c r="C1552" s="92"/>
      <c r="D1552" s="92"/>
      <c r="E1552" s="92"/>
      <c r="F1552" s="92"/>
      <c r="G1552" s="92"/>
      <c r="H1552" s="92"/>
      <c r="I1552" s="92"/>
      <c r="J1552" s="92"/>
      <c r="K1552" s="92"/>
      <c r="L1552" s="92"/>
      <c r="M1552" s="92"/>
      <c r="N1552" s="92"/>
      <c r="AG1552" s="100"/>
      <c r="AH1552" s="101"/>
      <c r="AI1552" s="101"/>
      <c r="AJ1552" s="101"/>
      <c r="AK1552" s="100"/>
      <c r="AL1552" s="100"/>
      <c r="AM1552" s="100"/>
      <c r="AN1552" s="100"/>
      <c r="AO1552" s="100"/>
      <c r="AP1552" s="100"/>
      <c r="AQ1552" s="100"/>
      <c r="AR1552" s="100"/>
      <c r="AS1552" s="100"/>
      <c r="AT1552" s="102"/>
      <c r="AX1552" s="100"/>
      <c r="AY1552" s="101"/>
      <c r="AZ1552" s="101"/>
      <c r="BA1552" s="101"/>
      <c r="BB1552" s="100"/>
      <c r="BC1552" s="100"/>
      <c r="BD1552" s="100"/>
      <c r="BE1552" s="100"/>
      <c r="BF1552" s="100"/>
      <c r="BG1552" s="100"/>
      <c r="BH1552" s="100"/>
      <c r="BI1552" s="100"/>
      <c r="BJ1552" s="100"/>
      <c r="BK1552" s="102"/>
    </row>
    <row r="1553" spans="1:63" x14ac:dyDescent="0.25">
      <c r="A1553" s="92"/>
      <c r="B1553" s="92"/>
      <c r="C1553" s="92"/>
      <c r="D1553" s="92"/>
      <c r="E1553" s="92"/>
      <c r="F1553" s="92"/>
      <c r="G1553" s="92"/>
      <c r="H1553" s="92"/>
      <c r="I1553" s="92"/>
      <c r="J1553" s="92"/>
      <c r="K1553" s="92"/>
      <c r="L1553" s="92"/>
      <c r="M1553" s="92"/>
      <c r="N1553" s="92"/>
      <c r="AG1553" s="100"/>
      <c r="AH1553" s="101"/>
      <c r="AI1553" s="101"/>
      <c r="AJ1553" s="101"/>
      <c r="AK1553" s="100"/>
      <c r="AL1553" s="100"/>
      <c r="AM1553" s="100"/>
      <c r="AN1553" s="100"/>
      <c r="AO1553" s="100"/>
      <c r="AP1553" s="100"/>
      <c r="AQ1553" s="100"/>
      <c r="AR1553" s="100"/>
      <c r="AS1553" s="100"/>
      <c r="AT1553" s="102"/>
      <c r="AX1553" s="100"/>
      <c r="AY1553" s="101"/>
      <c r="AZ1553" s="101"/>
      <c r="BA1553" s="100"/>
      <c r="BB1553" s="100"/>
      <c r="BC1553" s="100"/>
      <c r="BD1553" s="100"/>
      <c r="BE1553" s="100"/>
      <c r="BF1553" s="100"/>
      <c r="BG1553" s="100"/>
      <c r="BH1553" s="100"/>
      <c r="BI1553" s="100"/>
      <c r="BJ1553" s="100"/>
      <c r="BK1553" s="102"/>
    </row>
    <row r="1554" spans="1:63" x14ac:dyDescent="0.25">
      <c r="A1554" s="92"/>
      <c r="B1554" s="92"/>
      <c r="C1554" s="92"/>
      <c r="D1554" s="92"/>
      <c r="E1554" s="92"/>
      <c r="F1554" s="92"/>
      <c r="G1554" s="92"/>
      <c r="H1554" s="92"/>
      <c r="I1554" s="92"/>
      <c r="J1554" s="92"/>
      <c r="K1554" s="92"/>
      <c r="L1554" s="92"/>
      <c r="M1554" s="92"/>
      <c r="N1554" s="92"/>
      <c r="AG1554" s="100"/>
      <c r="AH1554" s="101"/>
      <c r="AI1554" s="101"/>
      <c r="AJ1554" s="100"/>
      <c r="AK1554" s="100"/>
      <c r="AL1554" s="100"/>
      <c r="AM1554" s="100"/>
      <c r="AN1554" s="100"/>
      <c r="AO1554" s="100"/>
      <c r="AP1554" s="100"/>
      <c r="AQ1554" s="100"/>
      <c r="AR1554" s="100"/>
      <c r="AS1554" s="100"/>
      <c r="AT1554" s="102"/>
      <c r="AX1554" s="100"/>
      <c r="AY1554" s="101"/>
      <c r="AZ1554" s="101"/>
      <c r="BA1554" s="100"/>
      <c r="BB1554" s="100"/>
      <c r="BC1554" s="100"/>
      <c r="BD1554" s="100"/>
      <c r="BE1554" s="100"/>
      <c r="BF1554" s="100"/>
      <c r="BG1554" s="100"/>
      <c r="BH1554" s="100"/>
      <c r="BI1554" s="100"/>
      <c r="BJ1554" s="100"/>
      <c r="BK1554" s="102"/>
    </row>
    <row r="1555" spans="1:63" x14ac:dyDescent="0.25">
      <c r="A1555" s="92"/>
      <c r="B1555" s="93"/>
      <c r="C1555" s="93"/>
      <c r="D1555" s="92"/>
      <c r="E1555" s="92"/>
      <c r="F1555" s="92"/>
      <c r="G1555" s="92"/>
      <c r="H1555" s="92"/>
      <c r="I1555" s="92"/>
      <c r="J1555" s="92"/>
      <c r="K1555" s="92"/>
      <c r="L1555" s="92"/>
      <c r="M1555" s="92"/>
      <c r="N1555" s="94"/>
      <c r="AG1555" s="100"/>
      <c r="AH1555" s="101"/>
      <c r="AI1555" s="101"/>
      <c r="AJ1555" s="101"/>
      <c r="AK1555" s="100"/>
      <c r="AL1555" s="100"/>
      <c r="AM1555" s="100"/>
      <c r="AN1555" s="100"/>
      <c r="AO1555" s="100"/>
      <c r="AP1555" s="100"/>
      <c r="AQ1555" s="100"/>
      <c r="AR1555" s="100"/>
      <c r="AS1555" s="100"/>
      <c r="AT1555" s="102"/>
      <c r="AX1555" s="100"/>
      <c r="AY1555" s="101"/>
      <c r="AZ1555" s="101"/>
      <c r="BA1555" s="100"/>
      <c r="BB1555" s="100"/>
      <c r="BC1555" s="100"/>
      <c r="BD1555" s="100"/>
      <c r="BE1555" s="100"/>
      <c r="BF1555" s="100"/>
      <c r="BG1555" s="100"/>
      <c r="BH1555" s="100"/>
      <c r="BI1555" s="100"/>
      <c r="BJ1555" s="100"/>
      <c r="BK1555" s="102"/>
    </row>
    <row r="1556" spans="1:63" x14ac:dyDescent="0.25">
      <c r="A1556" s="92"/>
      <c r="B1556" s="92"/>
      <c r="C1556" s="92"/>
      <c r="D1556" s="92"/>
      <c r="E1556" s="92"/>
      <c r="F1556" s="92"/>
      <c r="G1556" s="92"/>
      <c r="H1556" s="92"/>
      <c r="I1556" s="92"/>
      <c r="J1556" s="92"/>
      <c r="K1556" s="92"/>
      <c r="L1556" s="92"/>
      <c r="M1556" s="92"/>
      <c r="N1556" s="92"/>
      <c r="AG1556" s="100"/>
      <c r="AH1556" s="101"/>
      <c r="AI1556" s="101"/>
      <c r="AJ1556" s="100"/>
      <c r="AK1556" s="100"/>
      <c r="AL1556" s="100"/>
      <c r="AM1556" s="100"/>
      <c r="AN1556" s="100"/>
      <c r="AO1556" s="100"/>
      <c r="AP1556" s="100"/>
      <c r="AQ1556" s="100"/>
      <c r="AR1556" s="100"/>
      <c r="AS1556" s="100"/>
      <c r="AT1556" s="102"/>
      <c r="AX1556" s="100"/>
      <c r="AY1556" s="101"/>
      <c r="AZ1556" s="101"/>
      <c r="BA1556" s="100"/>
      <c r="BB1556" s="100"/>
      <c r="BC1556" s="100"/>
      <c r="BD1556" s="100"/>
      <c r="BE1556" s="100"/>
      <c r="BF1556" s="100"/>
      <c r="BG1556" s="100"/>
      <c r="BH1556" s="100"/>
      <c r="BI1556" s="100"/>
      <c r="BJ1556" s="100"/>
      <c r="BK1556" s="102"/>
    </row>
    <row r="1557" spans="1:63" x14ac:dyDescent="0.25">
      <c r="A1557" s="92"/>
      <c r="B1557" s="92"/>
      <c r="C1557" s="92"/>
      <c r="D1557" s="92"/>
      <c r="E1557" s="92"/>
      <c r="F1557" s="92"/>
      <c r="G1557" s="92"/>
      <c r="H1557" s="92"/>
      <c r="I1557" s="92"/>
      <c r="J1557" s="92"/>
      <c r="K1557" s="92"/>
      <c r="L1557" s="92"/>
      <c r="M1557" s="92"/>
      <c r="N1557" s="92"/>
      <c r="AG1557" s="100"/>
      <c r="AH1557" s="101"/>
      <c r="AI1557" s="101"/>
      <c r="AJ1557" s="100"/>
      <c r="AK1557" s="100"/>
      <c r="AL1557" s="100"/>
      <c r="AM1557" s="100"/>
      <c r="AN1557" s="100"/>
      <c r="AO1557" s="100"/>
      <c r="AP1557" s="100"/>
      <c r="AQ1557" s="100"/>
      <c r="AR1557" s="100"/>
      <c r="AS1557" s="100"/>
      <c r="AT1557" s="102"/>
      <c r="AX1557" s="100"/>
      <c r="AY1557" s="101"/>
      <c r="AZ1557" s="101"/>
      <c r="BA1557" s="101"/>
      <c r="BB1557" s="100"/>
      <c r="BC1557" s="100"/>
      <c r="BD1557" s="100"/>
      <c r="BE1557" s="100"/>
      <c r="BF1557" s="100"/>
      <c r="BG1557" s="100"/>
      <c r="BH1557" s="100"/>
      <c r="BI1557" s="100"/>
      <c r="BJ1557" s="100"/>
      <c r="BK1557" s="102"/>
    </row>
    <row r="1558" spans="1:63" x14ac:dyDescent="0.25">
      <c r="A1558" s="92"/>
      <c r="B1558" s="92"/>
      <c r="C1558" s="92"/>
      <c r="D1558" s="92"/>
      <c r="E1558" s="92"/>
      <c r="F1558" s="92"/>
      <c r="G1558" s="92"/>
      <c r="H1558" s="92"/>
      <c r="I1558" s="92"/>
      <c r="J1558" s="92"/>
      <c r="K1558" s="92"/>
      <c r="L1558" s="92"/>
      <c r="M1558" s="92"/>
      <c r="N1558" s="92"/>
      <c r="AG1558" s="100"/>
      <c r="AH1558" s="101"/>
      <c r="AI1558" s="101"/>
      <c r="AJ1558" s="100"/>
      <c r="AK1558" s="100"/>
      <c r="AL1558" s="100"/>
      <c r="AM1558" s="100"/>
      <c r="AN1558" s="100"/>
      <c r="AO1558" s="100"/>
      <c r="AP1558" s="100"/>
      <c r="AQ1558" s="100"/>
      <c r="AR1558" s="100"/>
      <c r="AS1558" s="100"/>
      <c r="AT1558" s="102"/>
      <c r="AX1558" s="100"/>
      <c r="AY1558" s="101"/>
      <c r="AZ1558" s="101"/>
      <c r="BA1558" s="100"/>
      <c r="BB1558" s="100"/>
      <c r="BC1558" s="100"/>
      <c r="BD1558" s="100"/>
      <c r="BE1558" s="100"/>
      <c r="BF1558" s="100"/>
      <c r="BG1558" s="100"/>
      <c r="BH1558" s="100"/>
      <c r="BI1558" s="100"/>
      <c r="BJ1558" s="100"/>
      <c r="BK1558" s="102"/>
    </row>
    <row r="1559" spans="1:63" x14ac:dyDescent="0.25">
      <c r="A1559" s="92"/>
      <c r="B1559" s="92"/>
      <c r="C1559" s="92"/>
      <c r="D1559" s="92"/>
      <c r="E1559" s="92"/>
      <c r="F1559" s="92"/>
      <c r="G1559" s="92"/>
      <c r="H1559" s="92"/>
      <c r="I1559" s="92"/>
      <c r="J1559" s="92"/>
      <c r="K1559" s="92"/>
      <c r="L1559" s="92"/>
      <c r="M1559" s="92"/>
      <c r="N1559" s="92"/>
      <c r="AG1559" s="100"/>
      <c r="AH1559" s="101"/>
      <c r="AI1559" s="101"/>
      <c r="AJ1559" s="100"/>
      <c r="AK1559" s="100"/>
      <c r="AL1559" s="100"/>
      <c r="AM1559" s="100"/>
      <c r="AN1559" s="100"/>
      <c r="AO1559" s="100"/>
      <c r="AP1559" s="100"/>
      <c r="AQ1559" s="100"/>
      <c r="AR1559" s="100"/>
      <c r="AS1559" s="100"/>
      <c r="AT1559" s="102"/>
      <c r="AX1559" s="100"/>
      <c r="AY1559" s="101"/>
      <c r="AZ1559" s="101"/>
      <c r="BA1559" s="100"/>
      <c r="BB1559" s="100"/>
      <c r="BC1559" s="100"/>
      <c r="BD1559" s="100"/>
      <c r="BE1559" s="100"/>
      <c r="BF1559" s="100"/>
      <c r="BG1559" s="100"/>
      <c r="BH1559" s="100"/>
      <c r="BI1559" s="100"/>
      <c r="BJ1559" s="100"/>
      <c r="BK1559" s="102"/>
    </row>
    <row r="1560" spans="1:63" x14ac:dyDescent="0.25">
      <c r="A1560" s="92"/>
      <c r="B1560" s="92"/>
      <c r="C1560" s="92"/>
      <c r="D1560" s="92"/>
      <c r="E1560" s="92"/>
      <c r="F1560" s="92"/>
      <c r="G1560" s="92"/>
      <c r="H1560" s="92"/>
      <c r="I1560" s="92"/>
      <c r="J1560" s="92"/>
      <c r="K1560" s="92"/>
      <c r="L1560" s="92"/>
      <c r="M1560" s="92"/>
      <c r="N1560" s="92"/>
      <c r="AG1560" s="100"/>
      <c r="AH1560" s="101"/>
      <c r="AI1560" s="101"/>
      <c r="AJ1560" s="100"/>
      <c r="AK1560" s="100"/>
      <c r="AL1560" s="100"/>
      <c r="AM1560" s="100"/>
      <c r="AN1560" s="100"/>
      <c r="AO1560" s="100"/>
      <c r="AP1560" s="100"/>
      <c r="AQ1560" s="100"/>
      <c r="AR1560" s="100"/>
      <c r="AS1560" s="100"/>
      <c r="AT1560" s="102"/>
      <c r="AX1560" s="100"/>
      <c r="AY1560" s="101"/>
      <c r="AZ1560" s="101"/>
      <c r="BA1560" s="101"/>
      <c r="BB1560" s="100"/>
      <c r="BC1560" s="100"/>
      <c r="BD1560" s="100"/>
      <c r="BE1560" s="100"/>
      <c r="BF1560" s="100"/>
      <c r="BG1560" s="100"/>
      <c r="BH1560" s="100"/>
      <c r="BI1560" s="100"/>
      <c r="BJ1560" s="100"/>
      <c r="BK1560" s="102"/>
    </row>
    <row r="1561" spans="1:63" x14ac:dyDescent="0.25">
      <c r="A1561" s="92"/>
      <c r="B1561" s="92"/>
      <c r="C1561" s="92"/>
      <c r="D1561" s="92"/>
      <c r="E1561" s="92"/>
      <c r="F1561" s="92"/>
      <c r="G1561" s="92"/>
      <c r="H1561" s="92"/>
      <c r="I1561" s="92"/>
      <c r="J1561" s="92"/>
      <c r="K1561" s="92"/>
      <c r="L1561" s="92"/>
      <c r="M1561" s="92"/>
      <c r="N1561" s="92"/>
      <c r="AG1561" s="100"/>
      <c r="AH1561" s="101"/>
      <c r="AI1561" s="101"/>
      <c r="AJ1561" s="100"/>
      <c r="AK1561" s="100"/>
      <c r="AL1561" s="100"/>
      <c r="AM1561" s="100"/>
      <c r="AN1561" s="100"/>
      <c r="AO1561" s="100"/>
      <c r="AP1561" s="100"/>
      <c r="AQ1561" s="100"/>
      <c r="AR1561" s="100"/>
      <c r="AS1561" s="100"/>
      <c r="AT1561" s="102"/>
      <c r="AX1561" s="100"/>
      <c r="AY1561" s="101"/>
      <c r="AZ1561" s="101"/>
      <c r="BA1561" s="100"/>
      <c r="BB1561" s="100"/>
      <c r="BC1561" s="100"/>
      <c r="BD1561" s="100"/>
      <c r="BE1561" s="100"/>
      <c r="BF1561" s="100"/>
      <c r="BG1561" s="100"/>
      <c r="BH1561" s="100"/>
      <c r="BI1561" s="100"/>
      <c r="BJ1561" s="100"/>
      <c r="BK1561" s="102"/>
    </row>
    <row r="1562" spans="1:63" x14ac:dyDescent="0.25">
      <c r="A1562" s="92"/>
      <c r="B1562" s="92"/>
      <c r="C1562" s="92"/>
      <c r="D1562" s="92"/>
      <c r="E1562" s="92"/>
      <c r="F1562" s="92"/>
      <c r="G1562" s="92"/>
      <c r="H1562" s="92"/>
      <c r="I1562" s="92"/>
      <c r="J1562" s="92"/>
      <c r="K1562" s="92"/>
      <c r="L1562" s="92"/>
      <c r="M1562" s="92"/>
      <c r="N1562" s="92"/>
      <c r="AG1562" s="100"/>
      <c r="AH1562" s="101"/>
      <c r="AI1562" s="101"/>
      <c r="AJ1562" s="100"/>
      <c r="AK1562" s="100"/>
      <c r="AL1562" s="100"/>
      <c r="AM1562" s="100"/>
      <c r="AN1562" s="100"/>
      <c r="AO1562" s="100"/>
      <c r="AP1562" s="100"/>
      <c r="AQ1562" s="100"/>
      <c r="AR1562" s="100"/>
      <c r="AS1562" s="100"/>
      <c r="AT1562" s="102"/>
      <c r="AX1562" s="100"/>
      <c r="AY1562" s="101"/>
      <c r="AZ1562" s="101"/>
      <c r="BA1562" s="101"/>
      <c r="BB1562" s="100"/>
      <c r="BC1562" s="100"/>
      <c r="BD1562" s="100"/>
      <c r="BE1562" s="100"/>
      <c r="BF1562" s="100"/>
      <c r="BG1562" s="100"/>
      <c r="BH1562" s="100"/>
      <c r="BI1562" s="100"/>
      <c r="BJ1562" s="100"/>
      <c r="BK1562" s="102"/>
    </row>
    <row r="1563" spans="1:63" x14ac:dyDescent="0.25">
      <c r="A1563" s="92"/>
      <c r="B1563" s="93"/>
      <c r="C1563" s="93"/>
      <c r="D1563" s="92"/>
      <c r="E1563" s="92"/>
      <c r="F1563" s="92"/>
      <c r="G1563" s="92"/>
      <c r="H1563" s="92"/>
      <c r="I1563" s="92"/>
      <c r="J1563" s="92"/>
      <c r="K1563" s="92"/>
      <c r="L1563" s="92"/>
      <c r="M1563" s="92"/>
      <c r="N1563" s="94"/>
      <c r="AG1563" s="100"/>
      <c r="AH1563" s="101"/>
      <c r="AI1563" s="101"/>
      <c r="AJ1563" s="100"/>
      <c r="AK1563" s="100"/>
      <c r="AL1563" s="100"/>
      <c r="AM1563" s="100"/>
      <c r="AN1563" s="100"/>
      <c r="AO1563" s="100"/>
      <c r="AP1563" s="100"/>
      <c r="AQ1563" s="100"/>
      <c r="AR1563" s="100"/>
      <c r="AS1563" s="100"/>
      <c r="AT1563" s="102"/>
      <c r="AX1563" s="100"/>
      <c r="AY1563" s="101"/>
      <c r="AZ1563" s="101"/>
      <c r="BA1563" s="100"/>
      <c r="BB1563" s="100"/>
      <c r="BC1563" s="100"/>
      <c r="BD1563" s="100"/>
      <c r="BE1563" s="100"/>
      <c r="BF1563" s="100"/>
      <c r="BG1563" s="100"/>
      <c r="BH1563" s="100"/>
      <c r="BI1563" s="100"/>
      <c r="BJ1563" s="100"/>
      <c r="BK1563" s="102"/>
    </row>
    <row r="1564" spans="1:63" x14ac:dyDescent="0.25">
      <c r="A1564" s="92"/>
      <c r="B1564" s="93"/>
      <c r="C1564" s="93"/>
      <c r="D1564" s="92"/>
      <c r="E1564" s="92"/>
      <c r="F1564" s="92"/>
      <c r="G1564" s="92"/>
      <c r="H1564" s="92"/>
      <c r="I1564" s="92"/>
      <c r="J1564" s="92"/>
      <c r="K1564" s="92"/>
      <c r="L1564" s="92"/>
      <c r="M1564" s="92"/>
      <c r="N1564" s="94"/>
      <c r="AG1564" s="100"/>
      <c r="AH1564" s="101"/>
      <c r="AI1564" s="101"/>
      <c r="AJ1564" s="100"/>
      <c r="AK1564" s="100"/>
      <c r="AL1564" s="100"/>
      <c r="AM1564" s="100"/>
      <c r="AN1564" s="100"/>
      <c r="AO1564" s="100"/>
      <c r="AP1564" s="100"/>
      <c r="AQ1564" s="100"/>
      <c r="AR1564" s="100"/>
      <c r="AS1564" s="100"/>
      <c r="AT1564" s="102"/>
      <c r="AX1564" s="100"/>
      <c r="AY1564" s="101"/>
      <c r="AZ1564" s="101"/>
      <c r="BA1564" s="100"/>
      <c r="BB1564" s="100"/>
      <c r="BC1564" s="100"/>
      <c r="BD1564" s="100"/>
      <c r="BE1564" s="100"/>
      <c r="BF1564" s="100"/>
      <c r="BG1564" s="100"/>
      <c r="BH1564" s="100"/>
      <c r="BI1564" s="100"/>
      <c r="BJ1564" s="100"/>
      <c r="BK1564" s="102"/>
    </row>
    <row r="1565" spans="1:63" x14ac:dyDescent="0.25">
      <c r="A1565" s="92"/>
      <c r="B1565" s="93"/>
      <c r="C1565" s="93"/>
      <c r="D1565" s="92"/>
      <c r="E1565" s="92"/>
      <c r="F1565" s="92"/>
      <c r="G1565" s="92"/>
      <c r="H1565" s="92"/>
      <c r="I1565" s="92"/>
      <c r="J1565" s="92"/>
      <c r="K1565" s="92"/>
      <c r="L1565" s="92"/>
      <c r="M1565" s="92"/>
      <c r="N1565" s="94"/>
      <c r="AG1565" s="100"/>
      <c r="AH1565" s="101"/>
      <c r="AI1565" s="101"/>
      <c r="AJ1565" s="100"/>
      <c r="AK1565" s="100"/>
      <c r="AL1565" s="100"/>
      <c r="AM1565" s="100"/>
      <c r="AN1565" s="100"/>
      <c r="AO1565" s="100"/>
      <c r="AP1565" s="100"/>
      <c r="AQ1565" s="100"/>
      <c r="AR1565" s="100"/>
      <c r="AS1565" s="100"/>
      <c r="AT1565" s="102"/>
      <c r="AX1565" s="100"/>
      <c r="AY1565" s="101"/>
      <c r="AZ1565" s="101"/>
      <c r="BA1565" s="100"/>
      <c r="BB1565" s="100"/>
      <c r="BC1565" s="100"/>
      <c r="BD1565" s="100"/>
      <c r="BE1565" s="100"/>
      <c r="BF1565" s="100"/>
      <c r="BG1565" s="100"/>
      <c r="BH1565" s="100"/>
      <c r="BI1565" s="100"/>
      <c r="BJ1565" s="100"/>
      <c r="BK1565" s="102"/>
    </row>
    <row r="1566" spans="1:63" x14ac:dyDescent="0.25">
      <c r="A1566" s="92"/>
      <c r="B1566" s="92"/>
      <c r="C1566" s="92"/>
      <c r="D1566" s="92"/>
      <c r="E1566" s="92"/>
      <c r="F1566" s="92"/>
      <c r="G1566" s="92"/>
      <c r="H1566" s="92"/>
      <c r="I1566" s="92"/>
      <c r="J1566" s="92"/>
      <c r="K1566" s="92"/>
      <c r="L1566" s="92"/>
      <c r="M1566" s="92"/>
      <c r="N1566" s="92"/>
      <c r="AG1566" s="100"/>
      <c r="AH1566" s="101"/>
      <c r="AI1566" s="101"/>
      <c r="AJ1566" s="101"/>
      <c r="AK1566" s="100"/>
      <c r="AL1566" s="100"/>
      <c r="AM1566" s="100"/>
      <c r="AN1566" s="100"/>
      <c r="AO1566" s="100"/>
      <c r="AP1566" s="100"/>
      <c r="AQ1566" s="100"/>
      <c r="AR1566" s="100"/>
      <c r="AS1566" s="100"/>
      <c r="AT1566" s="102"/>
      <c r="AX1566" s="100"/>
      <c r="AY1566" s="101"/>
      <c r="AZ1566" s="101"/>
      <c r="BA1566" s="100"/>
      <c r="BB1566" s="100"/>
      <c r="BC1566" s="100"/>
      <c r="BD1566" s="100"/>
      <c r="BE1566" s="100"/>
      <c r="BF1566" s="100"/>
      <c r="BG1566" s="100"/>
      <c r="BH1566" s="100"/>
      <c r="BI1566" s="100"/>
      <c r="BJ1566" s="100"/>
      <c r="BK1566" s="102"/>
    </row>
    <row r="1567" spans="1:63" x14ac:dyDescent="0.25">
      <c r="A1567" s="92"/>
      <c r="B1567" s="93"/>
      <c r="C1567" s="93"/>
      <c r="D1567" s="93"/>
      <c r="E1567" s="92"/>
      <c r="F1567" s="92"/>
      <c r="G1567" s="92"/>
      <c r="H1567" s="92"/>
      <c r="I1567" s="92"/>
      <c r="J1567" s="92"/>
      <c r="K1567" s="92"/>
      <c r="L1567" s="92"/>
      <c r="M1567" s="92"/>
      <c r="N1567" s="94"/>
      <c r="AG1567" s="100"/>
      <c r="AH1567" s="101"/>
      <c r="AI1567" s="101"/>
      <c r="AJ1567" s="100"/>
      <c r="AK1567" s="100"/>
      <c r="AL1567" s="100"/>
      <c r="AM1567" s="100"/>
      <c r="AN1567" s="100"/>
      <c r="AO1567" s="100"/>
      <c r="AP1567" s="100"/>
      <c r="AQ1567" s="100"/>
      <c r="AR1567" s="100"/>
      <c r="AS1567" s="100"/>
      <c r="AT1567" s="102"/>
      <c r="AX1567" s="100"/>
      <c r="AY1567" s="101"/>
      <c r="AZ1567" s="101"/>
      <c r="BA1567" s="100"/>
      <c r="BB1567" s="100"/>
      <c r="BC1567" s="100"/>
      <c r="BD1567" s="100"/>
      <c r="BE1567" s="100"/>
      <c r="BF1567" s="100"/>
      <c r="BG1567" s="100"/>
      <c r="BH1567" s="100"/>
      <c r="BI1567" s="100"/>
      <c r="BJ1567" s="100"/>
      <c r="BK1567" s="102"/>
    </row>
    <row r="1568" spans="1:63" x14ac:dyDescent="0.25">
      <c r="A1568" s="92"/>
      <c r="B1568" s="92"/>
      <c r="C1568" s="92"/>
      <c r="D1568" s="93"/>
      <c r="E1568" s="92"/>
      <c r="F1568" s="92"/>
      <c r="G1568" s="92"/>
      <c r="H1568" s="92"/>
      <c r="I1568" s="92"/>
      <c r="J1568" s="92"/>
      <c r="K1568" s="92"/>
      <c r="L1568" s="92"/>
      <c r="M1568" s="92"/>
      <c r="N1568" s="92"/>
      <c r="AG1568" s="100"/>
      <c r="AH1568" s="101"/>
      <c r="AI1568" s="101"/>
      <c r="AJ1568" s="101"/>
      <c r="AK1568" s="100"/>
      <c r="AL1568" s="100"/>
      <c r="AM1568" s="100"/>
      <c r="AN1568" s="100"/>
      <c r="AO1568" s="100"/>
      <c r="AP1568" s="100"/>
      <c r="AQ1568" s="100"/>
      <c r="AR1568" s="100"/>
      <c r="AS1568" s="100"/>
      <c r="AT1568" s="102"/>
      <c r="AX1568" s="100"/>
      <c r="AY1568" s="101"/>
      <c r="AZ1568" s="101"/>
      <c r="BA1568" s="100"/>
      <c r="BB1568" s="100"/>
      <c r="BC1568" s="100"/>
      <c r="BD1568" s="100"/>
      <c r="BE1568" s="100"/>
      <c r="BF1568" s="100"/>
      <c r="BG1568" s="100"/>
      <c r="BH1568" s="100"/>
      <c r="BI1568" s="100"/>
      <c r="BJ1568" s="100"/>
      <c r="BK1568" s="102"/>
    </row>
    <row r="1569" spans="1:63" x14ac:dyDescent="0.25">
      <c r="A1569" s="92"/>
      <c r="B1569" s="92"/>
      <c r="C1569" s="92"/>
      <c r="D1569" s="93"/>
      <c r="E1569" s="92"/>
      <c r="F1569" s="92"/>
      <c r="G1569" s="92"/>
      <c r="H1569" s="92"/>
      <c r="I1569" s="92"/>
      <c r="J1569" s="92"/>
      <c r="K1569" s="92"/>
      <c r="L1569" s="92"/>
      <c r="M1569" s="92"/>
      <c r="N1569" s="92"/>
      <c r="AG1569" s="100"/>
      <c r="AH1569" s="101"/>
      <c r="AI1569" s="101"/>
      <c r="AJ1569" s="100"/>
      <c r="AK1569" s="100"/>
      <c r="AL1569" s="100"/>
      <c r="AM1569" s="100"/>
      <c r="AN1569" s="100"/>
      <c r="AO1569" s="100"/>
      <c r="AP1569" s="100"/>
      <c r="AQ1569" s="100"/>
      <c r="AR1569" s="100"/>
      <c r="AS1569" s="100"/>
      <c r="AT1569" s="102"/>
      <c r="AX1569" s="100"/>
      <c r="AY1569" s="101"/>
      <c r="AZ1569" s="101"/>
      <c r="BA1569" s="100"/>
      <c r="BB1569" s="100"/>
      <c r="BC1569" s="100"/>
      <c r="BD1569" s="100"/>
      <c r="BE1569" s="100"/>
      <c r="BF1569" s="100"/>
      <c r="BG1569" s="100"/>
      <c r="BH1569" s="100"/>
      <c r="BI1569" s="100"/>
      <c r="BJ1569" s="100"/>
      <c r="BK1569" s="102"/>
    </row>
    <row r="1570" spans="1:63" x14ac:dyDescent="0.25">
      <c r="A1570" s="92"/>
      <c r="B1570" s="92"/>
      <c r="C1570" s="92"/>
      <c r="D1570" s="93"/>
      <c r="E1570" s="92"/>
      <c r="F1570" s="92"/>
      <c r="G1570" s="92"/>
      <c r="H1570" s="92"/>
      <c r="I1570" s="92"/>
      <c r="J1570" s="92"/>
      <c r="K1570" s="92"/>
      <c r="L1570" s="92"/>
      <c r="M1570" s="92"/>
      <c r="N1570" s="92"/>
      <c r="AG1570" s="100"/>
      <c r="AH1570" s="101"/>
      <c r="AI1570" s="101"/>
      <c r="AJ1570" s="101"/>
      <c r="AK1570" s="100"/>
      <c r="AL1570" s="100"/>
      <c r="AM1570" s="100"/>
      <c r="AN1570" s="100"/>
      <c r="AO1570" s="100"/>
      <c r="AP1570" s="100"/>
      <c r="AQ1570" s="100"/>
      <c r="AR1570" s="100"/>
      <c r="AS1570" s="100"/>
      <c r="AT1570" s="102"/>
      <c r="AX1570" s="100"/>
      <c r="AY1570" s="101"/>
      <c r="AZ1570" s="101"/>
      <c r="BA1570" s="100"/>
      <c r="BB1570" s="100"/>
      <c r="BC1570" s="100"/>
      <c r="BD1570" s="100"/>
      <c r="BE1570" s="100"/>
      <c r="BF1570" s="100"/>
      <c r="BG1570" s="100"/>
      <c r="BH1570" s="100"/>
      <c r="BI1570" s="100"/>
      <c r="BJ1570" s="100"/>
      <c r="BK1570" s="102"/>
    </row>
    <row r="1571" spans="1:63" x14ac:dyDescent="0.25">
      <c r="A1571" s="92"/>
      <c r="B1571" s="92"/>
      <c r="C1571" s="92"/>
      <c r="D1571" s="93"/>
      <c r="E1571" s="92"/>
      <c r="F1571" s="92"/>
      <c r="G1571" s="92"/>
      <c r="H1571" s="92"/>
      <c r="I1571" s="92"/>
      <c r="J1571" s="92"/>
      <c r="K1571" s="92"/>
      <c r="L1571" s="92"/>
      <c r="M1571" s="92"/>
      <c r="N1571" s="92"/>
      <c r="AG1571" s="100"/>
      <c r="AH1571" s="101"/>
      <c r="AI1571" s="101"/>
      <c r="AJ1571" s="101"/>
      <c r="AK1571" s="100"/>
      <c r="AL1571" s="100"/>
      <c r="AM1571" s="100"/>
      <c r="AN1571" s="100"/>
      <c r="AO1571" s="100"/>
      <c r="AP1571" s="100"/>
      <c r="AQ1571" s="100"/>
      <c r="AR1571" s="100"/>
      <c r="AS1571" s="100"/>
      <c r="AT1571" s="102"/>
      <c r="AX1571" s="100"/>
      <c r="AY1571" s="101"/>
      <c r="AZ1571" s="101"/>
      <c r="BA1571" s="101"/>
      <c r="BB1571" s="100"/>
      <c r="BC1571" s="100"/>
      <c r="BD1571" s="100"/>
      <c r="BE1571" s="100"/>
      <c r="BF1571" s="100"/>
      <c r="BG1571" s="100"/>
      <c r="BH1571" s="100"/>
      <c r="BI1571" s="100"/>
      <c r="BJ1571" s="100"/>
      <c r="BK1571" s="102"/>
    </row>
    <row r="1572" spans="1:63" x14ac:dyDescent="0.25">
      <c r="A1572" s="92"/>
      <c r="B1572" s="92"/>
      <c r="C1572" s="92"/>
      <c r="D1572" s="93"/>
      <c r="E1572" s="92"/>
      <c r="F1572" s="92"/>
      <c r="G1572" s="92"/>
      <c r="H1572" s="92"/>
      <c r="I1572" s="92"/>
      <c r="J1572" s="92"/>
      <c r="K1572" s="92"/>
      <c r="L1572" s="92"/>
      <c r="M1572" s="92"/>
      <c r="N1572" s="92"/>
      <c r="AG1572" s="100"/>
      <c r="AH1572" s="101"/>
      <c r="AI1572" s="101"/>
      <c r="AJ1572" s="101"/>
      <c r="AK1572" s="100"/>
      <c r="AL1572" s="100"/>
      <c r="AM1572" s="100"/>
      <c r="AN1572" s="100"/>
      <c r="AO1572" s="100"/>
      <c r="AP1572" s="100"/>
      <c r="AQ1572" s="100"/>
      <c r="AR1572" s="100"/>
      <c r="AS1572" s="100"/>
      <c r="AT1572" s="102"/>
      <c r="AX1572" s="100"/>
      <c r="AY1572" s="101"/>
      <c r="AZ1572" s="101"/>
      <c r="BA1572" s="101"/>
      <c r="BB1572" s="100"/>
      <c r="BC1572" s="100"/>
      <c r="BD1572" s="100"/>
      <c r="BE1572" s="100"/>
      <c r="BF1572" s="100"/>
      <c r="BG1572" s="100"/>
      <c r="BH1572" s="100"/>
      <c r="BI1572" s="100"/>
      <c r="BJ1572" s="100"/>
      <c r="BK1572" s="102"/>
    </row>
    <row r="1573" spans="1:63" x14ac:dyDescent="0.25">
      <c r="A1573" s="92"/>
      <c r="B1573" s="92"/>
      <c r="C1573" s="92"/>
      <c r="D1573" s="93"/>
      <c r="E1573" s="92"/>
      <c r="F1573" s="92"/>
      <c r="G1573" s="92"/>
      <c r="H1573" s="92"/>
      <c r="I1573" s="92"/>
      <c r="J1573" s="92"/>
      <c r="K1573" s="92"/>
      <c r="L1573" s="92"/>
      <c r="M1573" s="92"/>
      <c r="N1573" s="92"/>
      <c r="AG1573" s="100"/>
      <c r="AH1573" s="101"/>
      <c r="AI1573" s="101"/>
      <c r="AJ1573" s="100"/>
      <c r="AK1573" s="100"/>
      <c r="AL1573" s="100"/>
      <c r="AM1573" s="100"/>
      <c r="AN1573" s="100"/>
      <c r="AO1573" s="100"/>
      <c r="AP1573" s="100"/>
      <c r="AQ1573" s="100"/>
      <c r="AR1573" s="100"/>
      <c r="AS1573" s="100"/>
      <c r="AT1573" s="102"/>
      <c r="AX1573" s="100"/>
      <c r="AY1573" s="101"/>
      <c r="AZ1573" s="101"/>
      <c r="BA1573" s="101"/>
      <c r="BB1573" s="100"/>
      <c r="BC1573" s="100"/>
      <c r="BD1573" s="100"/>
      <c r="BE1573" s="100"/>
      <c r="BF1573" s="100"/>
      <c r="BG1573" s="100"/>
      <c r="BH1573" s="100"/>
      <c r="BI1573" s="100"/>
      <c r="BJ1573" s="100"/>
      <c r="BK1573" s="102"/>
    </row>
    <row r="1574" spans="1:63" x14ac:dyDescent="0.25">
      <c r="A1574" s="92"/>
      <c r="B1574" s="93"/>
      <c r="C1574" s="93"/>
      <c r="D1574" s="92"/>
      <c r="E1574" s="92"/>
      <c r="F1574" s="92"/>
      <c r="G1574" s="92"/>
      <c r="H1574" s="92"/>
      <c r="I1574" s="92"/>
      <c r="J1574" s="92"/>
      <c r="K1574" s="92"/>
      <c r="L1574" s="92"/>
      <c r="M1574" s="92"/>
      <c r="N1574" s="94"/>
      <c r="AG1574" s="100"/>
      <c r="AH1574" s="101"/>
      <c r="AI1574" s="101"/>
      <c r="AJ1574" s="100"/>
      <c r="AK1574" s="100"/>
      <c r="AL1574" s="100"/>
      <c r="AM1574" s="100"/>
      <c r="AN1574" s="100"/>
      <c r="AO1574" s="100"/>
      <c r="AP1574" s="100"/>
      <c r="AQ1574" s="100"/>
      <c r="AR1574" s="100"/>
      <c r="AS1574" s="100"/>
      <c r="AT1574" s="102"/>
      <c r="AX1574" s="100"/>
      <c r="AY1574" s="101"/>
      <c r="AZ1574" s="101"/>
      <c r="BA1574" s="100"/>
      <c r="BB1574" s="100"/>
      <c r="BC1574" s="100"/>
      <c r="BD1574" s="100"/>
      <c r="BE1574" s="100"/>
      <c r="BF1574" s="100"/>
      <c r="BG1574" s="100"/>
      <c r="BH1574" s="100"/>
      <c r="BI1574" s="100"/>
      <c r="BJ1574" s="100"/>
      <c r="BK1574" s="102"/>
    </row>
    <row r="1575" spans="1:63" x14ac:dyDescent="0.25">
      <c r="A1575" s="92"/>
      <c r="B1575" s="93"/>
      <c r="C1575" s="93"/>
      <c r="D1575" s="93"/>
      <c r="E1575" s="92"/>
      <c r="F1575" s="92"/>
      <c r="G1575" s="92"/>
      <c r="H1575" s="92"/>
      <c r="I1575" s="92"/>
      <c r="J1575" s="92"/>
      <c r="K1575" s="92"/>
      <c r="L1575" s="92"/>
      <c r="M1575" s="92"/>
      <c r="N1575" s="94"/>
      <c r="AG1575" s="100"/>
      <c r="AH1575" s="101"/>
      <c r="AI1575" s="101"/>
      <c r="AJ1575" s="100"/>
      <c r="AK1575" s="100"/>
      <c r="AL1575" s="100"/>
      <c r="AM1575" s="100"/>
      <c r="AN1575" s="100"/>
      <c r="AO1575" s="100"/>
      <c r="AP1575" s="100"/>
      <c r="AQ1575" s="100"/>
      <c r="AR1575" s="100"/>
      <c r="AS1575" s="100"/>
      <c r="AT1575" s="102"/>
      <c r="AX1575" s="100"/>
      <c r="AY1575" s="101"/>
      <c r="AZ1575" s="101"/>
      <c r="BA1575" s="101"/>
      <c r="BB1575" s="100"/>
      <c r="BC1575" s="100"/>
      <c r="BD1575" s="100"/>
      <c r="BE1575" s="100"/>
      <c r="BF1575" s="100"/>
      <c r="BG1575" s="100"/>
      <c r="BH1575" s="100"/>
      <c r="BI1575" s="100"/>
      <c r="BJ1575" s="100"/>
      <c r="BK1575" s="102"/>
    </row>
    <row r="1576" spans="1:63" x14ac:dyDescent="0.25">
      <c r="A1576" s="92"/>
      <c r="B1576" s="93"/>
      <c r="C1576" s="93"/>
      <c r="D1576" s="92"/>
      <c r="E1576" s="92"/>
      <c r="F1576" s="92"/>
      <c r="G1576" s="92"/>
      <c r="H1576" s="92"/>
      <c r="I1576" s="92"/>
      <c r="J1576" s="92"/>
      <c r="K1576" s="92"/>
      <c r="L1576" s="92"/>
      <c r="M1576" s="92"/>
      <c r="N1576" s="94"/>
      <c r="AG1576" s="100"/>
      <c r="AH1576" s="101"/>
      <c r="AI1576" s="101"/>
      <c r="AJ1576" s="100"/>
      <c r="AK1576" s="100"/>
      <c r="AL1576" s="100"/>
      <c r="AM1576" s="100"/>
      <c r="AN1576" s="100"/>
      <c r="AO1576" s="100"/>
      <c r="AP1576" s="100"/>
      <c r="AQ1576" s="100"/>
      <c r="AR1576" s="100"/>
      <c r="AS1576" s="100"/>
      <c r="AT1576" s="102"/>
      <c r="AX1576" s="100"/>
      <c r="AY1576" s="101"/>
      <c r="AZ1576" s="101"/>
      <c r="BA1576" s="100"/>
      <c r="BB1576" s="100"/>
      <c r="BC1576" s="100"/>
      <c r="BD1576" s="100"/>
      <c r="BE1576" s="100"/>
      <c r="BF1576" s="100"/>
      <c r="BG1576" s="100"/>
      <c r="BH1576" s="100"/>
      <c r="BI1576" s="100"/>
      <c r="BJ1576" s="100"/>
      <c r="BK1576" s="102"/>
    </row>
    <row r="1577" spans="1:63" x14ac:dyDescent="0.25">
      <c r="A1577" s="92"/>
      <c r="B1577" s="93"/>
      <c r="C1577" s="93"/>
      <c r="D1577" s="92"/>
      <c r="E1577" s="92"/>
      <c r="F1577" s="92"/>
      <c r="G1577" s="92"/>
      <c r="H1577" s="92"/>
      <c r="I1577" s="92"/>
      <c r="J1577" s="92"/>
      <c r="K1577" s="92"/>
      <c r="L1577" s="92"/>
      <c r="M1577" s="92"/>
      <c r="N1577" s="94"/>
      <c r="AG1577" s="100"/>
      <c r="AH1577" s="101"/>
      <c r="AI1577" s="101"/>
      <c r="AJ1577" s="100"/>
      <c r="AK1577" s="100"/>
      <c r="AL1577" s="100"/>
      <c r="AM1577" s="100"/>
      <c r="AN1577" s="100"/>
      <c r="AO1577" s="100"/>
      <c r="AP1577" s="100"/>
      <c r="AQ1577" s="100"/>
      <c r="AR1577" s="100"/>
      <c r="AS1577" s="100"/>
      <c r="AT1577" s="102"/>
      <c r="AX1577" s="100"/>
      <c r="AY1577" s="101"/>
      <c r="AZ1577" s="101"/>
      <c r="BA1577" s="100"/>
      <c r="BB1577" s="100"/>
      <c r="BC1577" s="100"/>
      <c r="BD1577" s="100"/>
      <c r="BE1577" s="100"/>
      <c r="BF1577" s="100"/>
      <c r="BG1577" s="100"/>
      <c r="BH1577" s="100"/>
      <c r="BI1577" s="100"/>
      <c r="BJ1577" s="100"/>
      <c r="BK1577" s="102"/>
    </row>
    <row r="1578" spans="1:63" x14ac:dyDescent="0.25">
      <c r="A1578" s="92"/>
      <c r="B1578" s="93"/>
      <c r="C1578" s="93"/>
      <c r="D1578" s="92"/>
      <c r="E1578" s="92"/>
      <c r="F1578" s="92"/>
      <c r="G1578" s="92"/>
      <c r="H1578" s="92"/>
      <c r="I1578" s="92"/>
      <c r="J1578" s="92"/>
      <c r="K1578" s="92"/>
      <c r="L1578" s="92"/>
      <c r="M1578" s="92"/>
      <c r="N1578" s="94"/>
      <c r="AG1578" s="100"/>
      <c r="AH1578" s="101"/>
      <c r="AI1578" s="101"/>
      <c r="AJ1578" s="100"/>
      <c r="AK1578" s="100"/>
      <c r="AL1578" s="100"/>
      <c r="AM1578" s="100"/>
      <c r="AN1578" s="100"/>
      <c r="AO1578" s="100"/>
      <c r="AP1578" s="100"/>
      <c r="AQ1578" s="100"/>
      <c r="AR1578" s="100"/>
      <c r="AS1578" s="100"/>
      <c r="AT1578" s="102"/>
      <c r="AX1578" s="100"/>
      <c r="AY1578" s="101"/>
      <c r="AZ1578" s="101"/>
      <c r="BA1578" s="100"/>
      <c r="BB1578" s="100"/>
      <c r="BC1578" s="100"/>
      <c r="BD1578" s="100"/>
      <c r="BE1578" s="100"/>
      <c r="BF1578" s="100"/>
      <c r="BG1578" s="100"/>
      <c r="BH1578" s="100"/>
      <c r="BI1578" s="100"/>
      <c r="BJ1578" s="100"/>
      <c r="BK1578" s="102"/>
    </row>
    <row r="1579" spans="1:63" x14ac:dyDescent="0.25">
      <c r="A1579" s="92"/>
      <c r="B1579" s="92"/>
      <c r="C1579" s="92"/>
      <c r="D1579" s="92"/>
      <c r="E1579" s="92"/>
      <c r="F1579" s="92"/>
      <c r="G1579" s="92"/>
      <c r="H1579" s="92"/>
      <c r="I1579" s="92"/>
      <c r="J1579" s="92"/>
      <c r="K1579" s="92"/>
      <c r="L1579" s="92"/>
      <c r="M1579" s="92"/>
      <c r="N1579" s="92"/>
      <c r="AG1579" s="100"/>
      <c r="AH1579" s="101"/>
      <c r="AI1579" s="101"/>
      <c r="AJ1579" s="101"/>
      <c r="AK1579" s="100"/>
      <c r="AL1579" s="100"/>
      <c r="AM1579" s="100"/>
      <c r="AN1579" s="100"/>
      <c r="AO1579" s="100"/>
      <c r="AP1579" s="100"/>
      <c r="AQ1579" s="100"/>
      <c r="AR1579" s="100"/>
      <c r="AS1579" s="100"/>
      <c r="AT1579" s="102"/>
      <c r="AX1579" s="100"/>
      <c r="AY1579" s="101"/>
      <c r="AZ1579" s="101"/>
      <c r="BA1579" s="100"/>
      <c r="BB1579" s="100"/>
      <c r="BC1579" s="100"/>
      <c r="BD1579" s="100"/>
      <c r="BE1579" s="100"/>
      <c r="BF1579" s="100"/>
      <c r="BG1579" s="100"/>
      <c r="BH1579" s="100"/>
      <c r="BI1579" s="100"/>
      <c r="BJ1579" s="100"/>
      <c r="BK1579" s="102"/>
    </row>
    <row r="1580" spans="1:63" x14ac:dyDescent="0.25">
      <c r="A1580" s="92"/>
      <c r="B1580" s="92"/>
      <c r="C1580" s="92"/>
      <c r="D1580" s="92"/>
      <c r="E1580" s="92"/>
      <c r="F1580" s="92"/>
      <c r="G1580" s="92"/>
      <c r="H1580" s="92"/>
      <c r="I1580" s="92"/>
      <c r="J1580" s="92"/>
      <c r="K1580" s="92"/>
      <c r="L1580" s="92"/>
      <c r="M1580" s="92"/>
      <c r="N1580" s="92"/>
      <c r="AG1580" s="100"/>
      <c r="AH1580" s="101"/>
      <c r="AI1580" s="101"/>
      <c r="AJ1580" s="100"/>
      <c r="AK1580" s="100"/>
      <c r="AL1580" s="100"/>
      <c r="AM1580" s="100"/>
      <c r="AN1580" s="100"/>
      <c r="AO1580" s="100"/>
      <c r="AP1580" s="100"/>
      <c r="AQ1580" s="100"/>
      <c r="AR1580" s="100"/>
      <c r="AS1580" s="100"/>
      <c r="AT1580" s="102"/>
      <c r="AX1580" s="100"/>
      <c r="AY1580" s="101"/>
      <c r="AZ1580" s="101"/>
      <c r="BA1580" s="100"/>
      <c r="BB1580" s="100"/>
      <c r="BC1580" s="100"/>
      <c r="BD1580" s="100"/>
      <c r="BE1580" s="100"/>
      <c r="BF1580" s="100"/>
      <c r="BG1580" s="100"/>
      <c r="BH1580" s="100"/>
      <c r="BI1580" s="100"/>
      <c r="BJ1580" s="100"/>
      <c r="BK1580" s="102"/>
    </row>
    <row r="1581" spans="1:63" x14ac:dyDescent="0.25">
      <c r="A1581" s="92"/>
      <c r="B1581" s="92"/>
      <c r="C1581" s="92"/>
      <c r="D1581" s="92"/>
      <c r="E1581" s="92"/>
      <c r="F1581" s="92"/>
      <c r="G1581" s="92"/>
      <c r="H1581" s="92"/>
      <c r="I1581" s="92"/>
      <c r="J1581" s="92"/>
      <c r="K1581" s="92"/>
      <c r="L1581" s="92"/>
      <c r="M1581" s="92"/>
      <c r="N1581" s="92"/>
      <c r="AG1581" s="100"/>
      <c r="AH1581" s="101"/>
      <c r="AI1581" s="101"/>
      <c r="AJ1581" s="100"/>
      <c r="AK1581" s="100"/>
      <c r="AL1581" s="100"/>
      <c r="AM1581" s="100"/>
      <c r="AN1581" s="100"/>
      <c r="AO1581" s="100"/>
      <c r="AP1581" s="100"/>
      <c r="AQ1581" s="100"/>
      <c r="AR1581" s="100"/>
      <c r="AS1581" s="100"/>
      <c r="AT1581" s="102"/>
      <c r="AX1581" s="100"/>
      <c r="AY1581" s="101"/>
      <c r="AZ1581" s="101"/>
      <c r="BA1581" s="100"/>
      <c r="BB1581" s="100"/>
      <c r="BC1581" s="100"/>
      <c r="BD1581" s="100"/>
      <c r="BE1581" s="100"/>
      <c r="BF1581" s="100"/>
      <c r="BG1581" s="100"/>
      <c r="BH1581" s="100"/>
      <c r="BI1581" s="100"/>
      <c r="BJ1581" s="100"/>
      <c r="BK1581" s="102"/>
    </row>
    <row r="1582" spans="1:63" x14ac:dyDescent="0.25">
      <c r="A1582" s="92"/>
      <c r="B1582" s="92"/>
      <c r="C1582" s="92"/>
      <c r="D1582" s="92"/>
      <c r="E1582" s="92"/>
      <c r="F1582" s="92"/>
      <c r="G1582" s="92"/>
      <c r="H1582" s="92"/>
      <c r="I1582" s="92"/>
      <c r="J1582" s="92"/>
      <c r="K1582" s="92"/>
      <c r="L1582" s="92"/>
      <c r="M1582" s="92"/>
      <c r="N1582" s="92"/>
      <c r="AG1582" s="100"/>
      <c r="AH1582" s="101"/>
      <c r="AI1582" s="101"/>
      <c r="AJ1582" s="100"/>
      <c r="AK1582" s="100"/>
      <c r="AL1582" s="100"/>
      <c r="AM1582" s="100"/>
      <c r="AN1582" s="100"/>
      <c r="AO1582" s="100"/>
      <c r="AP1582" s="100"/>
      <c r="AQ1582" s="100"/>
      <c r="AR1582" s="100"/>
      <c r="AS1582" s="100"/>
      <c r="AT1582" s="102"/>
      <c r="AX1582" s="100"/>
      <c r="AY1582" s="101"/>
      <c r="AZ1582" s="101"/>
      <c r="BA1582" s="100"/>
      <c r="BB1582" s="100"/>
      <c r="BC1582" s="100"/>
      <c r="BD1582" s="100"/>
      <c r="BE1582" s="100"/>
      <c r="BF1582" s="100"/>
      <c r="BG1582" s="100"/>
      <c r="BH1582" s="100"/>
      <c r="BI1582" s="100"/>
      <c r="BJ1582" s="100"/>
      <c r="BK1582" s="102"/>
    </row>
    <row r="1583" spans="1:63" x14ac:dyDescent="0.25">
      <c r="A1583" s="92"/>
      <c r="B1583" s="93"/>
      <c r="C1583" s="93"/>
      <c r="D1583" s="93"/>
      <c r="E1583" s="92"/>
      <c r="F1583" s="92"/>
      <c r="G1583" s="92"/>
      <c r="H1583" s="92"/>
      <c r="I1583" s="92"/>
      <c r="J1583" s="92"/>
      <c r="K1583" s="92"/>
      <c r="L1583" s="92"/>
      <c r="M1583" s="92"/>
      <c r="N1583" s="94"/>
      <c r="AG1583" s="100"/>
      <c r="AH1583" s="101"/>
      <c r="AI1583" s="101"/>
      <c r="AJ1583" s="100"/>
      <c r="AK1583" s="100"/>
      <c r="AL1583" s="100"/>
      <c r="AM1583" s="100"/>
      <c r="AN1583" s="100"/>
      <c r="AO1583" s="100"/>
      <c r="AP1583" s="100"/>
      <c r="AQ1583" s="100"/>
      <c r="AR1583" s="100"/>
      <c r="AS1583" s="100"/>
      <c r="AT1583" s="102"/>
      <c r="AX1583" s="100"/>
      <c r="AY1583" s="101"/>
      <c r="AZ1583" s="101"/>
      <c r="BA1583" s="100"/>
      <c r="BB1583" s="100"/>
      <c r="BC1583" s="100"/>
      <c r="BD1583" s="100"/>
      <c r="BE1583" s="100"/>
      <c r="BF1583" s="100"/>
      <c r="BG1583" s="100"/>
      <c r="BH1583" s="100"/>
      <c r="BI1583" s="100"/>
      <c r="BJ1583" s="100"/>
      <c r="BK1583" s="102"/>
    </row>
    <row r="1584" spans="1:63" x14ac:dyDescent="0.25">
      <c r="A1584" s="92"/>
      <c r="B1584" s="92"/>
      <c r="C1584" s="92"/>
      <c r="D1584" s="92"/>
      <c r="E1584" s="92"/>
      <c r="F1584" s="92"/>
      <c r="G1584" s="92"/>
      <c r="H1584" s="92"/>
      <c r="I1584" s="92"/>
      <c r="J1584" s="92"/>
      <c r="K1584" s="92"/>
      <c r="L1584" s="92"/>
      <c r="M1584" s="92"/>
      <c r="N1584" s="92"/>
      <c r="AG1584" s="100"/>
      <c r="AH1584" s="101"/>
      <c r="AI1584" s="101"/>
      <c r="AJ1584" s="100"/>
      <c r="AK1584" s="100"/>
      <c r="AL1584" s="100"/>
      <c r="AM1584" s="100"/>
      <c r="AN1584" s="100"/>
      <c r="AO1584" s="100"/>
      <c r="AP1584" s="100"/>
      <c r="AQ1584" s="100"/>
      <c r="AR1584" s="100"/>
      <c r="AS1584" s="100"/>
      <c r="AT1584" s="102"/>
      <c r="AX1584" s="100"/>
      <c r="AY1584" s="101"/>
      <c r="AZ1584" s="101"/>
      <c r="BA1584" s="100"/>
      <c r="BB1584" s="100"/>
      <c r="BC1584" s="100"/>
      <c r="BD1584" s="100"/>
      <c r="BE1584" s="100"/>
      <c r="BF1584" s="100"/>
      <c r="BG1584" s="100"/>
      <c r="BH1584" s="100"/>
      <c r="BI1584" s="100"/>
      <c r="BJ1584" s="100"/>
      <c r="BK1584" s="102"/>
    </row>
    <row r="1585" spans="1:63" x14ac:dyDescent="0.25">
      <c r="A1585" s="92"/>
      <c r="B1585" s="93"/>
      <c r="C1585" s="93"/>
      <c r="D1585" s="93"/>
      <c r="E1585" s="92"/>
      <c r="F1585" s="92"/>
      <c r="G1585" s="92"/>
      <c r="H1585" s="92"/>
      <c r="I1585" s="92"/>
      <c r="J1585" s="92"/>
      <c r="K1585" s="92"/>
      <c r="L1585" s="92"/>
      <c r="M1585" s="92"/>
      <c r="N1585" s="94"/>
      <c r="AG1585" s="100"/>
      <c r="AH1585" s="101"/>
      <c r="AI1585" s="101"/>
      <c r="AJ1585" s="100"/>
      <c r="AK1585" s="100"/>
      <c r="AL1585" s="100"/>
      <c r="AM1585" s="100"/>
      <c r="AN1585" s="100"/>
      <c r="AO1585" s="100"/>
      <c r="AP1585" s="100"/>
      <c r="AQ1585" s="100"/>
      <c r="AR1585" s="100"/>
      <c r="AS1585" s="100"/>
      <c r="AT1585" s="102"/>
      <c r="AX1585" s="100"/>
      <c r="AY1585" s="101"/>
      <c r="AZ1585" s="101"/>
      <c r="BA1585" s="100"/>
      <c r="BB1585" s="100"/>
      <c r="BC1585" s="100"/>
      <c r="BD1585" s="100"/>
      <c r="BE1585" s="100"/>
      <c r="BF1585" s="100"/>
      <c r="BG1585" s="100"/>
      <c r="BH1585" s="100"/>
      <c r="BI1585" s="100"/>
      <c r="BJ1585" s="100"/>
      <c r="BK1585" s="102"/>
    </row>
    <row r="1586" spans="1:63" x14ac:dyDescent="0.25">
      <c r="A1586" s="92"/>
      <c r="B1586" s="92"/>
      <c r="C1586" s="92"/>
      <c r="D1586" s="92"/>
      <c r="E1586" s="92"/>
      <c r="F1586" s="92"/>
      <c r="G1586" s="92"/>
      <c r="H1586" s="92"/>
      <c r="I1586" s="92"/>
      <c r="J1586" s="92"/>
      <c r="K1586" s="92"/>
      <c r="L1586" s="92"/>
      <c r="M1586" s="92"/>
      <c r="N1586" s="92"/>
      <c r="AG1586" s="100"/>
      <c r="AH1586" s="101"/>
      <c r="AI1586" s="101"/>
      <c r="AJ1586" s="100"/>
      <c r="AK1586" s="100"/>
      <c r="AL1586" s="100"/>
      <c r="AM1586" s="100"/>
      <c r="AN1586" s="100"/>
      <c r="AO1586" s="100"/>
      <c r="AP1586" s="100"/>
      <c r="AQ1586" s="100"/>
      <c r="AR1586" s="100"/>
      <c r="AS1586" s="100"/>
      <c r="AT1586" s="102"/>
      <c r="AX1586" s="100"/>
      <c r="AY1586" s="101"/>
      <c r="AZ1586" s="101"/>
      <c r="BA1586" s="101"/>
      <c r="BB1586" s="100"/>
      <c r="BC1586" s="100"/>
      <c r="BD1586" s="100"/>
      <c r="BE1586" s="100"/>
      <c r="BF1586" s="100"/>
      <c r="BG1586" s="100"/>
      <c r="BH1586" s="100"/>
      <c r="BI1586" s="100"/>
      <c r="BJ1586" s="100"/>
      <c r="BK1586" s="102"/>
    </row>
    <row r="1587" spans="1:63" x14ac:dyDescent="0.25">
      <c r="A1587" s="92"/>
      <c r="B1587" s="93"/>
      <c r="C1587" s="93"/>
      <c r="D1587" s="92"/>
      <c r="E1587" s="92"/>
      <c r="F1587" s="92"/>
      <c r="G1587" s="92"/>
      <c r="H1587" s="92"/>
      <c r="I1587" s="92"/>
      <c r="J1587" s="92"/>
      <c r="K1587" s="92"/>
      <c r="L1587" s="92"/>
      <c r="M1587" s="92"/>
      <c r="N1587" s="94"/>
      <c r="AG1587" s="100"/>
      <c r="AH1587" s="101"/>
      <c r="AI1587" s="101"/>
      <c r="AJ1587" s="101"/>
      <c r="AK1587" s="100"/>
      <c r="AL1587" s="100"/>
      <c r="AM1587" s="100"/>
      <c r="AN1587" s="100"/>
      <c r="AO1587" s="100"/>
      <c r="AP1587" s="100"/>
      <c r="AQ1587" s="100"/>
      <c r="AR1587" s="100"/>
      <c r="AS1587" s="100"/>
      <c r="AT1587" s="102"/>
      <c r="AX1587" s="100"/>
      <c r="AY1587" s="101"/>
      <c r="AZ1587" s="101"/>
      <c r="BA1587" s="100"/>
      <c r="BB1587" s="100"/>
      <c r="BC1587" s="100"/>
      <c r="BD1587" s="100"/>
      <c r="BE1587" s="100"/>
      <c r="BF1587" s="100"/>
      <c r="BG1587" s="100"/>
      <c r="BH1587" s="100"/>
      <c r="BI1587" s="100"/>
      <c r="BJ1587" s="100"/>
      <c r="BK1587" s="102"/>
    </row>
    <row r="1588" spans="1:63" x14ac:dyDescent="0.25">
      <c r="A1588" s="92"/>
      <c r="B1588" s="93"/>
      <c r="C1588" s="93"/>
      <c r="D1588" s="92"/>
      <c r="E1588" s="92"/>
      <c r="F1588" s="92"/>
      <c r="G1588" s="92"/>
      <c r="H1588" s="92"/>
      <c r="I1588" s="92"/>
      <c r="J1588" s="92"/>
      <c r="K1588" s="92"/>
      <c r="L1588" s="92"/>
      <c r="M1588" s="92"/>
      <c r="N1588" s="94"/>
      <c r="AG1588" s="100"/>
      <c r="AH1588" s="101"/>
      <c r="AI1588" s="101"/>
      <c r="AJ1588" s="101"/>
      <c r="AK1588" s="100"/>
      <c r="AL1588" s="100"/>
      <c r="AM1588" s="100"/>
      <c r="AN1588" s="100"/>
      <c r="AO1588" s="100"/>
      <c r="AP1588" s="100"/>
      <c r="AQ1588" s="100"/>
      <c r="AR1588" s="100"/>
      <c r="AS1588" s="100"/>
      <c r="AT1588" s="102"/>
      <c r="AX1588" s="100"/>
      <c r="AY1588" s="101"/>
      <c r="AZ1588" s="101"/>
      <c r="BA1588" s="101"/>
      <c r="BB1588" s="100"/>
      <c r="BC1588" s="100"/>
      <c r="BD1588" s="100"/>
      <c r="BE1588" s="100"/>
      <c r="BF1588" s="100"/>
      <c r="BG1588" s="100"/>
      <c r="BH1588" s="100"/>
      <c r="BI1588" s="100"/>
      <c r="BJ1588" s="100"/>
      <c r="BK1588" s="102"/>
    </row>
    <row r="1589" spans="1:63" x14ac:dyDescent="0.25">
      <c r="A1589" s="92"/>
      <c r="B1589" s="93"/>
      <c r="C1589" s="93"/>
      <c r="D1589" s="93"/>
      <c r="E1589" s="92"/>
      <c r="F1589" s="92"/>
      <c r="G1589" s="92"/>
      <c r="H1589" s="92"/>
      <c r="I1589" s="92"/>
      <c r="J1589" s="92"/>
      <c r="K1589" s="92"/>
      <c r="L1589" s="92"/>
      <c r="M1589" s="92"/>
      <c r="N1589" s="94"/>
      <c r="AG1589" s="100"/>
      <c r="AH1589" s="101"/>
      <c r="AI1589" s="101"/>
      <c r="AJ1589" s="100"/>
      <c r="AK1589" s="100"/>
      <c r="AL1589" s="100"/>
      <c r="AM1589" s="100"/>
      <c r="AN1589" s="100"/>
      <c r="AO1589" s="100"/>
      <c r="AP1589" s="100"/>
      <c r="AQ1589" s="100"/>
      <c r="AR1589" s="100"/>
      <c r="AS1589" s="100"/>
      <c r="AT1589" s="102"/>
      <c r="AX1589" s="100"/>
      <c r="AY1589" s="101"/>
      <c r="AZ1589" s="101"/>
      <c r="BA1589" s="100"/>
      <c r="BB1589" s="100"/>
      <c r="BC1589" s="100"/>
      <c r="BD1589" s="100"/>
      <c r="BE1589" s="100"/>
      <c r="BF1589" s="100"/>
      <c r="BG1589" s="100"/>
      <c r="BH1589" s="100"/>
      <c r="BI1589" s="100"/>
      <c r="BJ1589" s="100"/>
      <c r="BK1589" s="102"/>
    </row>
    <row r="1590" spans="1:63" x14ac:dyDescent="0.25">
      <c r="A1590" s="92"/>
      <c r="B1590" s="93"/>
      <c r="C1590" s="93"/>
      <c r="D1590" s="92"/>
      <c r="E1590" s="92"/>
      <c r="F1590" s="92"/>
      <c r="G1590" s="92"/>
      <c r="H1590" s="92"/>
      <c r="I1590" s="92"/>
      <c r="J1590" s="92"/>
      <c r="K1590" s="92"/>
      <c r="L1590" s="92"/>
      <c r="M1590" s="92"/>
      <c r="N1590" s="94"/>
      <c r="AG1590" s="100"/>
      <c r="AH1590" s="101"/>
      <c r="AI1590" s="101"/>
      <c r="AJ1590" s="100"/>
      <c r="AK1590" s="100"/>
      <c r="AL1590" s="100"/>
      <c r="AM1590" s="100"/>
      <c r="AN1590" s="100"/>
      <c r="AO1590" s="100"/>
      <c r="AP1590" s="100"/>
      <c r="AQ1590" s="100"/>
      <c r="AR1590" s="100"/>
      <c r="AS1590" s="100"/>
      <c r="AT1590" s="102"/>
      <c r="AX1590" s="100"/>
      <c r="AY1590" s="101"/>
      <c r="AZ1590" s="101"/>
      <c r="BA1590" s="101"/>
      <c r="BB1590" s="100"/>
      <c r="BC1590" s="100"/>
      <c r="BD1590" s="100"/>
      <c r="BE1590" s="100"/>
      <c r="BF1590" s="100"/>
      <c r="BG1590" s="100"/>
      <c r="BH1590" s="100"/>
      <c r="BI1590" s="100"/>
      <c r="BJ1590" s="100"/>
      <c r="BK1590" s="102"/>
    </row>
    <row r="1591" spans="1:63" x14ac:dyDescent="0.25">
      <c r="A1591" s="92"/>
      <c r="B1591" s="92"/>
      <c r="C1591" s="92"/>
      <c r="D1591" s="92"/>
      <c r="E1591" s="92"/>
      <c r="F1591" s="92"/>
      <c r="G1591" s="92"/>
      <c r="H1591" s="92"/>
      <c r="I1591" s="92"/>
      <c r="J1591" s="92"/>
      <c r="K1591" s="92"/>
      <c r="L1591" s="92"/>
      <c r="M1591" s="92"/>
      <c r="N1591" s="92"/>
      <c r="AG1591" s="100"/>
      <c r="AH1591" s="101"/>
      <c r="AI1591" s="101"/>
      <c r="AJ1591" s="100"/>
      <c r="AK1591" s="100"/>
      <c r="AL1591" s="100"/>
      <c r="AM1591" s="100"/>
      <c r="AN1591" s="100"/>
      <c r="AO1591" s="100"/>
      <c r="AP1591" s="100"/>
      <c r="AQ1591" s="100"/>
      <c r="AR1591" s="100"/>
      <c r="AS1591" s="100"/>
      <c r="AT1591" s="102"/>
      <c r="AX1591" s="100"/>
      <c r="AY1591" s="101"/>
      <c r="AZ1591" s="101"/>
      <c r="BA1591" s="101"/>
      <c r="BB1591" s="100"/>
      <c r="BC1591" s="100"/>
      <c r="BD1591" s="100"/>
      <c r="BE1591" s="100"/>
      <c r="BF1591" s="100"/>
      <c r="BG1591" s="100"/>
      <c r="BH1591" s="100"/>
      <c r="BI1591" s="100"/>
      <c r="BJ1591" s="100"/>
      <c r="BK1591" s="102"/>
    </row>
    <row r="1592" spans="1:63" x14ac:dyDescent="0.25">
      <c r="A1592" s="92"/>
      <c r="B1592" s="92"/>
      <c r="C1592" s="92"/>
      <c r="D1592" s="92"/>
      <c r="E1592" s="92"/>
      <c r="F1592" s="92"/>
      <c r="G1592" s="92"/>
      <c r="H1592" s="92"/>
      <c r="I1592" s="92"/>
      <c r="J1592" s="92"/>
      <c r="K1592" s="92"/>
      <c r="L1592" s="92"/>
      <c r="M1592" s="92"/>
      <c r="N1592" s="92"/>
      <c r="AG1592" s="100"/>
      <c r="AH1592" s="101"/>
      <c r="AI1592" s="101"/>
      <c r="AJ1592" s="100"/>
      <c r="AK1592" s="100"/>
      <c r="AL1592" s="100"/>
      <c r="AM1592" s="100"/>
      <c r="AN1592" s="100"/>
      <c r="AO1592" s="100"/>
      <c r="AP1592" s="100"/>
      <c r="AQ1592" s="100"/>
      <c r="AR1592" s="100"/>
      <c r="AS1592" s="100"/>
      <c r="AT1592" s="102"/>
      <c r="AX1592" s="100"/>
      <c r="AY1592" s="101"/>
      <c r="AZ1592" s="101"/>
      <c r="BA1592" s="101"/>
      <c r="BB1592" s="100"/>
      <c r="BC1592" s="100"/>
      <c r="BD1592" s="100"/>
      <c r="BE1592" s="100"/>
      <c r="BF1592" s="100"/>
      <c r="BG1592" s="100"/>
      <c r="BH1592" s="100"/>
      <c r="BI1592" s="100"/>
      <c r="BJ1592" s="100"/>
      <c r="BK1592" s="102"/>
    </row>
    <row r="1593" spans="1:63" x14ac:dyDescent="0.25">
      <c r="A1593" s="92"/>
      <c r="B1593" s="93"/>
      <c r="C1593" s="93"/>
      <c r="D1593" s="92"/>
      <c r="E1593" s="92"/>
      <c r="F1593" s="92"/>
      <c r="G1593" s="92"/>
      <c r="H1593" s="92"/>
      <c r="I1593" s="92"/>
      <c r="J1593" s="92"/>
      <c r="K1593" s="92"/>
      <c r="L1593" s="92"/>
      <c r="M1593" s="92"/>
      <c r="N1593" s="94"/>
      <c r="AG1593" s="100"/>
      <c r="AH1593" s="101"/>
      <c r="AI1593" s="101"/>
      <c r="AJ1593" s="100"/>
      <c r="AK1593" s="100"/>
      <c r="AL1593" s="100"/>
      <c r="AM1593" s="100"/>
      <c r="AN1593" s="100"/>
      <c r="AO1593" s="100"/>
      <c r="AP1593" s="100"/>
      <c r="AQ1593" s="100"/>
      <c r="AR1593" s="100"/>
      <c r="AS1593" s="100"/>
      <c r="AT1593" s="102"/>
      <c r="AX1593" s="100"/>
      <c r="AY1593" s="101"/>
      <c r="AZ1593" s="101"/>
      <c r="BA1593" s="100"/>
      <c r="BB1593" s="100"/>
      <c r="BC1593" s="100"/>
      <c r="BD1593" s="100"/>
      <c r="BE1593" s="100"/>
      <c r="BF1593" s="100"/>
      <c r="BG1593" s="100"/>
      <c r="BH1593" s="100"/>
      <c r="BI1593" s="100"/>
      <c r="BJ1593" s="100"/>
      <c r="BK1593" s="102"/>
    </row>
    <row r="1594" spans="1:63" x14ac:dyDescent="0.25">
      <c r="A1594" s="92"/>
      <c r="B1594" s="92"/>
      <c r="C1594" s="92"/>
      <c r="D1594" s="92"/>
      <c r="E1594" s="92"/>
      <c r="F1594" s="92"/>
      <c r="G1594" s="92"/>
      <c r="H1594" s="92"/>
      <c r="I1594" s="92"/>
      <c r="J1594" s="92"/>
      <c r="K1594" s="92"/>
      <c r="L1594" s="92"/>
      <c r="M1594" s="92"/>
      <c r="N1594" s="92"/>
      <c r="AG1594" s="100"/>
      <c r="AH1594" s="101"/>
      <c r="AI1594" s="101"/>
      <c r="AJ1594" s="100"/>
      <c r="AK1594" s="100"/>
      <c r="AL1594" s="100"/>
      <c r="AM1594" s="100"/>
      <c r="AN1594" s="100"/>
      <c r="AO1594" s="100"/>
      <c r="AP1594" s="100"/>
      <c r="AQ1594" s="100"/>
      <c r="AR1594" s="100"/>
      <c r="AS1594" s="100"/>
      <c r="AT1594" s="102"/>
      <c r="AX1594" s="100"/>
      <c r="AY1594" s="101"/>
      <c r="AZ1594" s="101"/>
      <c r="BA1594" s="100"/>
      <c r="BB1594" s="100"/>
      <c r="BC1594" s="100"/>
      <c r="BD1594" s="100"/>
      <c r="BE1594" s="100"/>
      <c r="BF1594" s="100"/>
      <c r="BG1594" s="100"/>
      <c r="BH1594" s="100"/>
      <c r="BI1594" s="100"/>
      <c r="BJ1594" s="100"/>
      <c r="BK1594" s="102"/>
    </row>
    <row r="1595" spans="1:63" x14ac:dyDescent="0.25">
      <c r="A1595" s="92"/>
      <c r="B1595" s="92"/>
      <c r="C1595" s="92"/>
      <c r="D1595" s="92"/>
      <c r="E1595" s="92"/>
      <c r="F1595" s="92"/>
      <c r="G1595" s="92"/>
      <c r="H1595" s="92"/>
      <c r="I1595" s="92"/>
      <c r="J1595" s="92"/>
      <c r="K1595" s="92"/>
      <c r="L1595" s="92"/>
      <c r="M1595" s="92"/>
      <c r="N1595" s="92"/>
      <c r="AG1595" s="100"/>
      <c r="AH1595" s="101"/>
      <c r="AI1595" s="101"/>
      <c r="AJ1595" s="100"/>
      <c r="AK1595" s="100"/>
      <c r="AL1595" s="100"/>
      <c r="AM1595" s="100"/>
      <c r="AN1595" s="100"/>
      <c r="AO1595" s="100"/>
      <c r="AP1595" s="100"/>
      <c r="AQ1595" s="100"/>
      <c r="AR1595" s="100"/>
      <c r="AS1595" s="100"/>
      <c r="AT1595" s="102"/>
      <c r="AX1595" s="100"/>
      <c r="AY1595" s="101"/>
      <c r="AZ1595" s="101"/>
      <c r="BA1595" s="100"/>
      <c r="BB1595" s="100"/>
      <c r="BC1595" s="100"/>
      <c r="BD1595" s="100"/>
      <c r="BE1595" s="100"/>
      <c r="BF1595" s="100"/>
      <c r="BG1595" s="100"/>
      <c r="BH1595" s="100"/>
      <c r="BI1595" s="100"/>
      <c r="BJ1595" s="100"/>
      <c r="BK1595" s="102"/>
    </row>
    <row r="1596" spans="1:63" x14ac:dyDescent="0.25">
      <c r="A1596" s="92"/>
      <c r="B1596" s="93"/>
      <c r="C1596" s="93"/>
      <c r="D1596" s="92"/>
      <c r="E1596" s="92"/>
      <c r="F1596" s="92"/>
      <c r="G1596" s="92"/>
      <c r="H1596" s="92"/>
      <c r="I1596" s="92"/>
      <c r="J1596" s="92"/>
      <c r="K1596" s="92"/>
      <c r="L1596" s="92"/>
      <c r="M1596" s="92"/>
      <c r="N1596" s="94"/>
      <c r="AG1596" s="100"/>
      <c r="AH1596" s="101"/>
      <c r="AI1596" s="101"/>
      <c r="AJ1596" s="100"/>
      <c r="AK1596" s="100"/>
      <c r="AL1596" s="100"/>
      <c r="AM1596" s="100"/>
      <c r="AN1596" s="100"/>
      <c r="AO1596" s="100"/>
      <c r="AP1596" s="100"/>
      <c r="AQ1596" s="100"/>
      <c r="AR1596" s="100"/>
      <c r="AS1596" s="100"/>
      <c r="AT1596" s="102"/>
      <c r="AX1596" s="100"/>
      <c r="AY1596" s="101"/>
      <c r="AZ1596" s="101"/>
      <c r="BA1596" s="100"/>
      <c r="BB1596" s="100"/>
      <c r="BC1596" s="100"/>
      <c r="BD1596" s="100"/>
      <c r="BE1596" s="100"/>
      <c r="BF1596" s="100"/>
      <c r="BG1596" s="100"/>
      <c r="BH1596" s="100"/>
      <c r="BI1596" s="100"/>
      <c r="BJ1596" s="100"/>
      <c r="BK1596" s="102"/>
    </row>
    <row r="1597" spans="1:63" x14ac:dyDescent="0.25">
      <c r="A1597" s="92"/>
      <c r="B1597" s="92"/>
      <c r="C1597" s="92"/>
      <c r="D1597" s="92"/>
      <c r="E1597" s="92"/>
      <c r="F1597" s="92"/>
      <c r="G1597" s="92"/>
      <c r="H1597" s="92"/>
      <c r="I1597" s="92"/>
      <c r="J1597" s="92"/>
      <c r="K1597" s="92"/>
      <c r="L1597" s="92"/>
      <c r="M1597" s="92"/>
      <c r="N1597" s="92"/>
      <c r="AG1597" s="100"/>
      <c r="AH1597" s="101"/>
      <c r="AI1597" s="101"/>
      <c r="AJ1597" s="100"/>
      <c r="AK1597" s="100"/>
      <c r="AL1597" s="100"/>
      <c r="AM1597" s="100"/>
      <c r="AN1597" s="100"/>
      <c r="AO1597" s="100"/>
      <c r="AP1597" s="100"/>
      <c r="AQ1597" s="100"/>
      <c r="AR1597" s="100"/>
      <c r="AS1597" s="100"/>
      <c r="AT1597" s="102"/>
      <c r="AX1597" s="100"/>
      <c r="AY1597" s="101"/>
      <c r="AZ1597" s="101"/>
      <c r="BA1597" s="100"/>
      <c r="BB1597" s="100"/>
      <c r="BC1597" s="100"/>
      <c r="BD1597" s="100"/>
      <c r="BE1597" s="100"/>
      <c r="BF1597" s="100"/>
      <c r="BG1597" s="100"/>
      <c r="BH1597" s="100"/>
      <c r="BI1597" s="100"/>
      <c r="BJ1597" s="100"/>
      <c r="BK1597" s="102"/>
    </row>
    <row r="1598" spans="1:63" x14ac:dyDescent="0.25">
      <c r="A1598" s="92"/>
      <c r="B1598" s="92"/>
      <c r="C1598" s="92"/>
      <c r="D1598" s="92"/>
      <c r="E1598" s="92"/>
      <c r="F1598" s="92"/>
      <c r="G1598" s="92"/>
      <c r="H1598" s="92"/>
      <c r="I1598" s="92"/>
      <c r="J1598" s="92"/>
      <c r="K1598" s="92"/>
      <c r="L1598" s="92"/>
      <c r="M1598" s="92"/>
      <c r="N1598" s="92"/>
      <c r="AG1598" s="100"/>
      <c r="AH1598" s="101"/>
      <c r="AI1598" s="101"/>
      <c r="AJ1598" s="100"/>
      <c r="AK1598" s="100"/>
      <c r="AL1598" s="100"/>
      <c r="AM1598" s="100"/>
      <c r="AN1598" s="100"/>
      <c r="AO1598" s="100"/>
      <c r="AP1598" s="100"/>
      <c r="AQ1598" s="100"/>
      <c r="AR1598" s="100"/>
      <c r="AS1598" s="100"/>
      <c r="AT1598" s="102"/>
      <c r="AX1598" s="100"/>
      <c r="AY1598" s="101"/>
      <c r="AZ1598" s="101"/>
      <c r="BA1598" s="100"/>
      <c r="BB1598" s="100"/>
      <c r="BC1598" s="100"/>
      <c r="BD1598" s="100"/>
      <c r="BE1598" s="100"/>
      <c r="BF1598" s="100"/>
      <c r="BG1598" s="100"/>
      <c r="BH1598" s="100"/>
      <c r="BI1598" s="100"/>
      <c r="BJ1598" s="100"/>
      <c r="BK1598" s="102"/>
    </row>
    <row r="1599" spans="1:63" x14ac:dyDescent="0.25">
      <c r="A1599" s="92"/>
      <c r="B1599" s="92"/>
      <c r="C1599" s="92"/>
      <c r="D1599" s="92"/>
      <c r="E1599" s="92"/>
      <c r="F1599" s="92"/>
      <c r="G1599" s="92"/>
      <c r="H1599" s="92"/>
      <c r="I1599" s="92"/>
      <c r="J1599" s="92"/>
      <c r="K1599" s="92"/>
      <c r="L1599" s="92"/>
      <c r="M1599" s="92"/>
      <c r="N1599" s="92"/>
      <c r="AG1599" s="100"/>
      <c r="AH1599" s="101"/>
      <c r="AI1599" s="101"/>
      <c r="AJ1599" s="100"/>
      <c r="AK1599" s="100"/>
      <c r="AL1599" s="100"/>
      <c r="AM1599" s="100"/>
      <c r="AN1599" s="100"/>
      <c r="AO1599" s="100"/>
      <c r="AP1599" s="100"/>
      <c r="AQ1599" s="100"/>
      <c r="AR1599" s="100"/>
      <c r="AS1599" s="100"/>
      <c r="AT1599" s="102"/>
      <c r="AX1599" s="100"/>
      <c r="AY1599" s="101"/>
      <c r="AZ1599" s="101"/>
      <c r="BA1599" s="101"/>
      <c r="BB1599" s="100"/>
      <c r="BC1599" s="100"/>
      <c r="BD1599" s="100"/>
      <c r="BE1599" s="100"/>
      <c r="BF1599" s="100"/>
      <c r="BG1599" s="100"/>
      <c r="BH1599" s="100"/>
      <c r="BI1599" s="100"/>
      <c r="BJ1599" s="100"/>
      <c r="BK1599" s="102"/>
    </row>
    <row r="1600" spans="1:63" x14ac:dyDescent="0.25">
      <c r="A1600" s="92"/>
      <c r="B1600" s="93"/>
      <c r="C1600" s="93"/>
      <c r="D1600" s="92"/>
      <c r="E1600" s="92"/>
      <c r="F1600" s="92"/>
      <c r="G1600" s="92"/>
      <c r="H1600" s="92"/>
      <c r="I1600" s="92"/>
      <c r="J1600" s="92"/>
      <c r="K1600" s="92"/>
      <c r="L1600" s="92"/>
      <c r="M1600" s="92"/>
      <c r="N1600" s="94"/>
      <c r="AG1600" s="100"/>
      <c r="AH1600" s="101"/>
      <c r="AI1600" s="101"/>
      <c r="AJ1600" s="100"/>
      <c r="AK1600" s="100"/>
      <c r="AL1600" s="100"/>
      <c r="AM1600" s="100"/>
      <c r="AN1600" s="100"/>
      <c r="AO1600" s="100"/>
      <c r="AP1600" s="100"/>
      <c r="AQ1600" s="100"/>
      <c r="AR1600" s="100"/>
      <c r="AS1600" s="100"/>
      <c r="AT1600" s="102"/>
      <c r="AX1600" s="100"/>
      <c r="AY1600" s="101"/>
      <c r="AZ1600" s="101"/>
      <c r="BA1600" s="100"/>
      <c r="BB1600" s="100"/>
      <c r="BC1600" s="100"/>
      <c r="BD1600" s="100"/>
      <c r="BE1600" s="100"/>
      <c r="BF1600" s="100"/>
      <c r="BG1600" s="100"/>
      <c r="BH1600" s="100"/>
      <c r="BI1600" s="100"/>
      <c r="BJ1600" s="100"/>
      <c r="BK1600" s="102"/>
    </row>
    <row r="1601" spans="1:63" x14ac:dyDescent="0.25">
      <c r="A1601" s="92"/>
      <c r="B1601" s="93"/>
      <c r="C1601" s="93"/>
      <c r="D1601" s="92"/>
      <c r="E1601" s="92"/>
      <c r="F1601" s="92"/>
      <c r="G1601" s="92"/>
      <c r="H1601" s="92"/>
      <c r="I1601" s="92"/>
      <c r="J1601" s="92"/>
      <c r="K1601" s="92"/>
      <c r="L1601" s="92"/>
      <c r="M1601" s="92"/>
      <c r="N1601" s="94"/>
      <c r="AG1601" s="100"/>
      <c r="AH1601" s="101"/>
      <c r="AI1601" s="101"/>
      <c r="AJ1601" s="100"/>
      <c r="AK1601" s="100"/>
      <c r="AL1601" s="100"/>
      <c r="AM1601" s="100"/>
      <c r="AN1601" s="100"/>
      <c r="AO1601" s="100"/>
      <c r="AP1601" s="100"/>
      <c r="AQ1601" s="100"/>
      <c r="AR1601" s="100"/>
      <c r="AS1601" s="100"/>
      <c r="AT1601" s="102"/>
      <c r="AX1601" s="100"/>
      <c r="AY1601" s="101"/>
      <c r="AZ1601" s="101"/>
      <c r="BA1601" s="100"/>
      <c r="BB1601" s="100"/>
      <c r="BC1601" s="100"/>
      <c r="BD1601" s="100"/>
      <c r="BE1601" s="100"/>
      <c r="BF1601" s="100"/>
      <c r="BG1601" s="100"/>
      <c r="BH1601" s="100"/>
      <c r="BI1601" s="100"/>
      <c r="BJ1601" s="100"/>
      <c r="BK1601" s="102"/>
    </row>
    <row r="1602" spans="1:63" x14ac:dyDescent="0.25">
      <c r="A1602" s="92"/>
      <c r="B1602" s="93"/>
      <c r="C1602" s="93"/>
      <c r="D1602" s="92"/>
      <c r="E1602" s="92"/>
      <c r="F1602" s="92"/>
      <c r="G1602" s="92"/>
      <c r="H1602" s="92"/>
      <c r="I1602" s="92"/>
      <c r="J1602" s="92"/>
      <c r="K1602" s="92"/>
      <c r="L1602" s="92"/>
      <c r="M1602" s="92"/>
      <c r="N1602" s="94"/>
      <c r="AG1602" s="100"/>
      <c r="AH1602" s="101"/>
      <c r="AI1602" s="101"/>
      <c r="AJ1602" s="100"/>
      <c r="AK1602" s="100"/>
      <c r="AL1602" s="100"/>
      <c r="AM1602" s="100"/>
      <c r="AN1602" s="100"/>
      <c r="AO1602" s="100"/>
      <c r="AP1602" s="100"/>
      <c r="AQ1602" s="100"/>
      <c r="AR1602" s="100"/>
      <c r="AS1602" s="100"/>
      <c r="AT1602" s="102"/>
      <c r="AX1602" s="100"/>
      <c r="AY1602" s="101"/>
      <c r="AZ1602" s="101"/>
      <c r="BA1602" s="100"/>
      <c r="BB1602" s="100"/>
      <c r="BC1602" s="100"/>
      <c r="BD1602" s="100"/>
      <c r="BE1602" s="100"/>
      <c r="BF1602" s="100"/>
      <c r="BG1602" s="100"/>
      <c r="BH1602" s="100"/>
      <c r="BI1602" s="100"/>
      <c r="BJ1602" s="100"/>
      <c r="BK1602" s="102"/>
    </row>
    <row r="1603" spans="1:63" x14ac:dyDescent="0.25">
      <c r="A1603" s="92"/>
      <c r="B1603" s="92"/>
      <c r="C1603" s="92"/>
      <c r="D1603" s="92"/>
      <c r="E1603" s="92"/>
      <c r="F1603" s="92"/>
      <c r="G1603" s="92"/>
      <c r="H1603" s="92"/>
      <c r="I1603" s="92"/>
      <c r="J1603" s="92"/>
      <c r="K1603" s="92"/>
      <c r="L1603" s="92"/>
      <c r="M1603" s="92"/>
      <c r="N1603" s="92"/>
      <c r="AG1603" s="100"/>
      <c r="AH1603" s="101"/>
      <c r="AI1603" s="101"/>
      <c r="AJ1603" s="101"/>
      <c r="AK1603" s="100"/>
      <c r="AL1603" s="100"/>
      <c r="AM1603" s="100"/>
      <c r="AN1603" s="100"/>
      <c r="AO1603" s="100"/>
      <c r="AP1603" s="100"/>
      <c r="AQ1603" s="100"/>
      <c r="AR1603" s="100"/>
      <c r="AS1603" s="100"/>
      <c r="AT1603" s="102"/>
      <c r="AX1603" s="100"/>
      <c r="AY1603" s="101"/>
      <c r="AZ1603" s="101"/>
      <c r="BA1603" s="100"/>
      <c r="BB1603" s="100"/>
      <c r="BC1603" s="100"/>
      <c r="BD1603" s="100"/>
      <c r="BE1603" s="100"/>
      <c r="BF1603" s="100"/>
      <c r="BG1603" s="100"/>
      <c r="BH1603" s="100"/>
      <c r="BI1603" s="100"/>
      <c r="BJ1603" s="100"/>
      <c r="BK1603" s="102"/>
    </row>
    <row r="1604" spans="1:63" x14ac:dyDescent="0.25">
      <c r="A1604" s="92"/>
      <c r="B1604" s="93"/>
      <c r="C1604" s="93"/>
      <c r="D1604" s="92"/>
      <c r="E1604" s="92"/>
      <c r="F1604" s="92"/>
      <c r="G1604" s="92"/>
      <c r="H1604" s="92"/>
      <c r="I1604" s="92"/>
      <c r="J1604" s="92"/>
      <c r="K1604" s="92"/>
      <c r="L1604" s="92"/>
      <c r="M1604" s="92"/>
      <c r="N1604" s="94"/>
      <c r="AG1604" s="100"/>
      <c r="AH1604" s="101"/>
      <c r="AI1604" s="101"/>
      <c r="AJ1604" s="100"/>
      <c r="AK1604" s="100"/>
      <c r="AL1604" s="100"/>
      <c r="AM1604" s="100"/>
      <c r="AN1604" s="100"/>
      <c r="AO1604" s="100"/>
      <c r="AP1604" s="100"/>
      <c r="AQ1604" s="100"/>
      <c r="AR1604" s="100"/>
      <c r="AS1604" s="100"/>
      <c r="AT1604" s="102"/>
      <c r="AX1604" s="100"/>
      <c r="AY1604" s="101"/>
      <c r="AZ1604" s="101"/>
      <c r="BA1604" s="100"/>
      <c r="BB1604" s="100"/>
      <c r="BC1604" s="100"/>
      <c r="BD1604" s="100"/>
      <c r="BE1604" s="100"/>
      <c r="BF1604" s="100"/>
      <c r="BG1604" s="100"/>
      <c r="BH1604" s="100"/>
      <c r="BI1604" s="100"/>
      <c r="BJ1604" s="100"/>
      <c r="BK1604" s="102"/>
    </row>
    <row r="1605" spans="1:63" x14ac:dyDescent="0.25">
      <c r="A1605" s="92"/>
      <c r="B1605" s="93"/>
      <c r="C1605" s="93"/>
      <c r="D1605" s="92"/>
      <c r="E1605" s="92"/>
      <c r="F1605" s="92"/>
      <c r="G1605" s="92"/>
      <c r="H1605" s="92"/>
      <c r="I1605" s="92"/>
      <c r="J1605" s="92"/>
      <c r="K1605" s="92"/>
      <c r="L1605" s="92"/>
      <c r="M1605" s="92"/>
      <c r="N1605" s="94"/>
      <c r="AG1605" s="100"/>
      <c r="AH1605" s="101"/>
      <c r="AI1605" s="101"/>
      <c r="AJ1605" s="100"/>
      <c r="AK1605" s="100"/>
      <c r="AL1605" s="100"/>
      <c r="AM1605" s="100"/>
      <c r="AN1605" s="100"/>
      <c r="AO1605" s="100"/>
      <c r="AP1605" s="100"/>
      <c r="AQ1605" s="100"/>
      <c r="AR1605" s="100"/>
      <c r="AS1605" s="100"/>
      <c r="AT1605" s="102"/>
      <c r="AX1605" s="100"/>
      <c r="AY1605" s="101"/>
      <c r="AZ1605" s="101"/>
      <c r="BA1605" s="100"/>
      <c r="BB1605" s="100"/>
      <c r="BC1605" s="100"/>
      <c r="BD1605" s="100"/>
      <c r="BE1605" s="100"/>
      <c r="BF1605" s="100"/>
      <c r="BG1605" s="100"/>
      <c r="BH1605" s="100"/>
      <c r="BI1605" s="100"/>
      <c r="BJ1605" s="100"/>
      <c r="BK1605" s="102"/>
    </row>
    <row r="1606" spans="1:63" x14ac:dyDescent="0.25">
      <c r="A1606" s="92"/>
      <c r="B1606" s="93"/>
      <c r="C1606" s="93"/>
      <c r="D1606" s="92"/>
      <c r="E1606" s="92"/>
      <c r="F1606" s="92"/>
      <c r="G1606" s="92"/>
      <c r="H1606" s="92"/>
      <c r="I1606" s="92"/>
      <c r="J1606" s="92"/>
      <c r="K1606" s="92"/>
      <c r="L1606" s="92"/>
      <c r="M1606" s="92"/>
      <c r="N1606" s="94"/>
      <c r="AG1606" s="100"/>
      <c r="AH1606" s="101"/>
      <c r="AI1606" s="101"/>
      <c r="AJ1606" s="101"/>
      <c r="AK1606" s="100"/>
      <c r="AL1606" s="100"/>
      <c r="AM1606" s="100"/>
      <c r="AN1606" s="100"/>
      <c r="AO1606" s="100"/>
      <c r="AP1606" s="100"/>
      <c r="AQ1606" s="100"/>
      <c r="AR1606" s="100"/>
      <c r="AS1606" s="100"/>
      <c r="AT1606" s="102"/>
      <c r="AX1606" s="100"/>
      <c r="AY1606" s="101"/>
      <c r="AZ1606" s="101"/>
      <c r="BA1606" s="100"/>
      <c r="BB1606" s="100"/>
      <c r="BC1606" s="100"/>
      <c r="BD1606" s="100"/>
      <c r="BE1606" s="100"/>
      <c r="BF1606" s="100"/>
      <c r="BG1606" s="100"/>
      <c r="BH1606" s="100"/>
      <c r="BI1606" s="100"/>
      <c r="BJ1606" s="100"/>
      <c r="BK1606" s="102"/>
    </row>
    <row r="1607" spans="1:63" x14ac:dyDescent="0.25">
      <c r="A1607" s="92"/>
      <c r="B1607" s="93"/>
      <c r="C1607" s="93"/>
      <c r="D1607" s="92"/>
      <c r="E1607" s="92"/>
      <c r="F1607" s="92"/>
      <c r="G1607" s="92"/>
      <c r="H1607" s="92"/>
      <c r="I1607" s="92"/>
      <c r="J1607" s="92"/>
      <c r="K1607" s="92"/>
      <c r="L1607" s="92"/>
      <c r="M1607" s="92"/>
      <c r="N1607" s="94"/>
      <c r="AG1607" s="100"/>
      <c r="AH1607" s="101"/>
      <c r="AI1607" s="101"/>
      <c r="AJ1607" s="100"/>
      <c r="AK1607" s="100"/>
      <c r="AL1607" s="100"/>
      <c r="AM1607" s="100"/>
      <c r="AN1607" s="100"/>
      <c r="AO1607" s="100"/>
      <c r="AP1607" s="100"/>
      <c r="AQ1607" s="100"/>
      <c r="AR1607" s="100"/>
      <c r="AS1607" s="100"/>
      <c r="AT1607" s="102"/>
      <c r="AX1607" s="100"/>
      <c r="AY1607" s="101"/>
      <c r="AZ1607" s="101"/>
      <c r="BA1607" s="101"/>
      <c r="BB1607" s="100"/>
      <c r="BC1607" s="100"/>
      <c r="BD1607" s="100"/>
      <c r="BE1607" s="100"/>
      <c r="BF1607" s="100"/>
      <c r="BG1607" s="100"/>
      <c r="BH1607" s="100"/>
      <c r="BI1607" s="100"/>
      <c r="BJ1607" s="100"/>
      <c r="BK1607" s="102"/>
    </row>
    <row r="1608" spans="1:63" x14ac:dyDescent="0.25">
      <c r="A1608" s="92"/>
      <c r="B1608" s="93"/>
      <c r="C1608" s="93"/>
      <c r="D1608" s="92"/>
      <c r="E1608" s="92"/>
      <c r="F1608" s="92"/>
      <c r="G1608" s="92"/>
      <c r="H1608" s="92"/>
      <c r="I1608" s="92"/>
      <c r="J1608" s="92"/>
      <c r="K1608" s="92"/>
      <c r="L1608" s="92"/>
      <c r="M1608" s="92"/>
      <c r="N1608" s="94"/>
      <c r="AG1608" s="100"/>
      <c r="AH1608" s="101"/>
      <c r="AI1608" s="101"/>
      <c r="AJ1608" s="100"/>
      <c r="AK1608" s="100"/>
      <c r="AL1608" s="100"/>
      <c r="AM1608" s="100"/>
      <c r="AN1608" s="100"/>
      <c r="AO1608" s="100"/>
      <c r="AP1608" s="100"/>
      <c r="AQ1608" s="100"/>
      <c r="AR1608" s="100"/>
      <c r="AS1608" s="100"/>
      <c r="AT1608" s="102"/>
      <c r="AX1608" s="100"/>
      <c r="AY1608" s="101"/>
      <c r="AZ1608" s="101"/>
      <c r="BA1608" s="101"/>
      <c r="BB1608" s="100"/>
      <c r="BC1608" s="100"/>
      <c r="BD1608" s="100"/>
      <c r="BE1608" s="100"/>
      <c r="BF1608" s="100"/>
      <c r="BG1608" s="100"/>
      <c r="BH1608" s="100"/>
      <c r="BI1608" s="100"/>
      <c r="BJ1608" s="100"/>
      <c r="BK1608" s="102"/>
    </row>
    <row r="1609" spans="1:63" x14ac:dyDescent="0.25">
      <c r="A1609" s="92"/>
      <c r="B1609" s="93"/>
      <c r="C1609" s="93"/>
      <c r="D1609" s="92"/>
      <c r="E1609" s="92"/>
      <c r="F1609" s="92"/>
      <c r="G1609" s="92"/>
      <c r="H1609" s="92"/>
      <c r="I1609" s="92"/>
      <c r="J1609" s="92"/>
      <c r="K1609" s="92"/>
      <c r="L1609" s="92"/>
      <c r="M1609" s="92"/>
      <c r="N1609" s="94"/>
      <c r="AG1609" s="100"/>
      <c r="AH1609" s="101"/>
      <c r="AI1609" s="101"/>
      <c r="AJ1609" s="100"/>
      <c r="AK1609" s="100"/>
      <c r="AL1609" s="100"/>
      <c r="AM1609" s="100"/>
      <c r="AN1609" s="100"/>
      <c r="AO1609" s="100"/>
      <c r="AP1609" s="100"/>
      <c r="AQ1609" s="100"/>
      <c r="AR1609" s="100"/>
      <c r="AS1609" s="100"/>
      <c r="AT1609" s="102"/>
      <c r="AX1609" s="100"/>
      <c r="AY1609" s="101"/>
      <c r="AZ1609" s="101"/>
      <c r="BA1609" s="100"/>
      <c r="BB1609" s="100"/>
      <c r="BC1609" s="100"/>
      <c r="BD1609" s="100"/>
      <c r="BE1609" s="100"/>
      <c r="BF1609" s="100"/>
      <c r="BG1609" s="100"/>
      <c r="BH1609" s="100"/>
      <c r="BI1609" s="100"/>
      <c r="BJ1609" s="100"/>
      <c r="BK1609" s="102"/>
    </row>
    <row r="1610" spans="1:63" x14ac:dyDescent="0.25">
      <c r="A1610" s="92"/>
      <c r="B1610" s="93"/>
      <c r="C1610" s="93"/>
      <c r="D1610" s="92"/>
      <c r="E1610" s="92"/>
      <c r="F1610" s="92"/>
      <c r="G1610" s="92"/>
      <c r="H1610" s="92"/>
      <c r="I1610" s="92"/>
      <c r="J1610" s="92"/>
      <c r="K1610" s="92"/>
      <c r="L1610" s="92"/>
      <c r="M1610" s="92"/>
      <c r="N1610" s="94"/>
      <c r="AG1610" s="100"/>
      <c r="AH1610" s="101"/>
      <c r="AI1610" s="101"/>
      <c r="AJ1610" s="100"/>
      <c r="AK1610" s="100"/>
      <c r="AL1610" s="100"/>
      <c r="AM1610" s="100"/>
      <c r="AN1610" s="100"/>
      <c r="AO1610" s="100"/>
      <c r="AP1610" s="100"/>
      <c r="AQ1610" s="100"/>
      <c r="AR1610" s="100"/>
      <c r="AS1610" s="100"/>
      <c r="AT1610" s="102"/>
      <c r="AX1610" s="100"/>
      <c r="AY1610" s="101"/>
      <c r="AZ1610" s="101"/>
      <c r="BA1610" s="100"/>
      <c r="BB1610" s="100"/>
      <c r="BC1610" s="100"/>
      <c r="BD1610" s="100"/>
      <c r="BE1610" s="100"/>
      <c r="BF1610" s="100"/>
      <c r="BG1610" s="100"/>
      <c r="BH1610" s="100"/>
      <c r="BI1610" s="100"/>
      <c r="BJ1610" s="100"/>
      <c r="BK1610" s="102"/>
    </row>
    <row r="1611" spans="1:63" x14ac:dyDescent="0.25">
      <c r="A1611" s="92"/>
      <c r="B1611" s="92"/>
      <c r="C1611" s="92"/>
      <c r="D1611" s="92"/>
      <c r="E1611" s="92"/>
      <c r="F1611" s="92"/>
      <c r="G1611" s="92"/>
      <c r="H1611" s="92"/>
      <c r="I1611" s="92"/>
      <c r="J1611" s="92"/>
      <c r="K1611" s="92"/>
      <c r="L1611" s="92"/>
      <c r="M1611" s="92"/>
      <c r="N1611" s="92"/>
      <c r="AG1611" s="100"/>
      <c r="AH1611" s="101"/>
      <c r="AI1611" s="101"/>
      <c r="AJ1611" s="100"/>
      <c r="AK1611" s="100"/>
      <c r="AL1611" s="100"/>
      <c r="AM1611" s="100"/>
      <c r="AN1611" s="100"/>
      <c r="AO1611" s="100"/>
      <c r="AP1611" s="100"/>
      <c r="AQ1611" s="100"/>
      <c r="AR1611" s="100"/>
      <c r="AS1611" s="100"/>
      <c r="AT1611" s="102"/>
      <c r="AX1611" s="100"/>
      <c r="AY1611" s="101"/>
      <c r="AZ1611" s="101"/>
      <c r="BA1611" s="100"/>
      <c r="BB1611" s="100"/>
      <c r="BC1611" s="100"/>
      <c r="BD1611" s="100"/>
      <c r="BE1611" s="100"/>
      <c r="BF1611" s="100"/>
      <c r="BG1611" s="100"/>
      <c r="BH1611" s="100"/>
      <c r="BI1611" s="100"/>
      <c r="BJ1611" s="100"/>
      <c r="BK1611" s="102"/>
    </row>
    <row r="1612" spans="1:63" x14ac:dyDescent="0.25">
      <c r="A1612" s="92"/>
      <c r="B1612" s="92"/>
      <c r="C1612" s="92"/>
      <c r="D1612" s="92"/>
      <c r="E1612" s="92"/>
      <c r="F1612" s="92"/>
      <c r="G1612" s="92"/>
      <c r="H1612" s="92"/>
      <c r="I1612" s="92"/>
      <c r="J1612" s="92"/>
      <c r="K1612" s="92"/>
      <c r="L1612" s="92"/>
      <c r="M1612" s="92"/>
      <c r="N1612" s="92"/>
      <c r="AG1612" s="100"/>
      <c r="AH1612" s="101"/>
      <c r="AI1612" s="101"/>
      <c r="AJ1612" s="101"/>
      <c r="AK1612" s="100"/>
      <c r="AL1612" s="100"/>
      <c r="AM1612" s="100"/>
      <c r="AN1612" s="100"/>
      <c r="AO1612" s="100"/>
      <c r="AP1612" s="100"/>
      <c r="AQ1612" s="100"/>
      <c r="AR1612" s="100"/>
      <c r="AS1612" s="100"/>
      <c r="AT1612" s="102"/>
      <c r="AX1612" s="100"/>
      <c r="AY1612" s="101"/>
      <c r="AZ1612" s="101"/>
      <c r="BA1612" s="100"/>
      <c r="BB1612" s="100"/>
      <c r="BC1612" s="100"/>
      <c r="BD1612" s="100"/>
      <c r="BE1612" s="100"/>
      <c r="BF1612" s="100"/>
      <c r="BG1612" s="100"/>
      <c r="BH1612" s="100"/>
      <c r="BI1612" s="100"/>
      <c r="BJ1612" s="100"/>
      <c r="BK1612" s="102"/>
    </row>
    <row r="1613" spans="1:63" x14ac:dyDescent="0.25">
      <c r="A1613" s="92"/>
      <c r="B1613" s="92"/>
      <c r="C1613" s="92"/>
      <c r="D1613" s="92"/>
      <c r="E1613" s="92"/>
      <c r="F1613" s="92"/>
      <c r="G1613" s="92"/>
      <c r="H1613" s="92"/>
      <c r="I1613" s="92"/>
      <c r="J1613" s="92"/>
      <c r="K1613" s="92"/>
      <c r="L1613" s="92"/>
      <c r="M1613" s="92"/>
      <c r="N1613" s="92"/>
      <c r="AG1613" s="100"/>
      <c r="AH1613" s="101"/>
      <c r="AI1613" s="101"/>
      <c r="AJ1613" s="100"/>
      <c r="AK1613" s="100"/>
      <c r="AL1613" s="100"/>
      <c r="AM1613" s="100"/>
      <c r="AN1613" s="100"/>
      <c r="AO1613" s="100"/>
      <c r="AP1613" s="100"/>
      <c r="AQ1613" s="100"/>
      <c r="AR1613" s="100"/>
      <c r="AS1613" s="100"/>
      <c r="AT1613" s="102"/>
      <c r="AX1613" s="100"/>
      <c r="AY1613" s="101"/>
      <c r="AZ1613" s="101"/>
      <c r="BA1613" s="100"/>
      <c r="BB1613" s="100"/>
      <c r="BC1613" s="100"/>
      <c r="BD1613" s="100"/>
      <c r="BE1613" s="100"/>
      <c r="BF1613" s="100"/>
      <c r="BG1613" s="100"/>
      <c r="BH1613" s="100"/>
      <c r="BI1613" s="100"/>
      <c r="BJ1613" s="100"/>
      <c r="BK1613" s="102"/>
    </row>
    <row r="1614" spans="1:63" x14ac:dyDescent="0.25">
      <c r="A1614" s="92"/>
      <c r="B1614" s="93"/>
      <c r="C1614" s="93"/>
      <c r="D1614" s="92"/>
      <c r="E1614" s="92"/>
      <c r="F1614" s="92"/>
      <c r="G1614" s="92"/>
      <c r="H1614" s="92"/>
      <c r="I1614" s="92"/>
      <c r="J1614" s="92"/>
      <c r="K1614" s="92"/>
      <c r="L1614" s="92"/>
      <c r="M1614" s="92"/>
      <c r="N1614" s="94"/>
      <c r="AG1614" s="100"/>
      <c r="AH1614" s="101"/>
      <c r="AI1614" s="101"/>
      <c r="AJ1614" s="100"/>
      <c r="AK1614" s="100"/>
      <c r="AL1614" s="100"/>
      <c r="AM1614" s="100"/>
      <c r="AN1614" s="100"/>
      <c r="AO1614" s="100"/>
      <c r="AP1614" s="100"/>
      <c r="AQ1614" s="100"/>
      <c r="AR1614" s="100"/>
      <c r="AS1614" s="100"/>
      <c r="AT1614" s="102"/>
      <c r="AX1614" s="100"/>
      <c r="AY1614" s="101"/>
      <c r="AZ1614" s="101"/>
      <c r="BA1614" s="100"/>
      <c r="BB1614" s="100"/>
      <c r="BC1614" s="100"/>
      <c r="BD1614" s="100"/>
      <c r="BE1614" s="100"/>
      <c r="BF1614" s="100"/>
      <c r="BG1614" s="100"/>
      <c r="BH1614" s="100"/>
      <c r="BI1614" s="100"/>
      <c r="BJ1614" s="100"/>
      <c r="BK1614" s="102"/>
    </row>
    <row r="1615" spans="1:63" x14ac:dyDescent="0.25">
      <c r="A1615" s="92"/>
      <c r="B1615" s="92"/>
      <c r="C1615" s="92"/>
      <c r="D1615" s="92"/>
      <c r="E1615" s="92"/>
      <c r="F1615" s="92"/>
      <c r="G1615" s="92"/>
      <c r="H1615" s="92"/>
      <c r="I1615" s="92"/>
      <c r="J1615" s="92"/>
      <c r="K1615" s="92"/>
      <c r="L1615" s="92"/>
      <c r="M1615" s="92"/>
      <c r="N1615" s="92"/>
      <c r="AG1615" s="100"/>
      <c r="AH1615" s="101"/>
      <c r="AI1615" s="101"/>
      <c r="AJ1615" s="100"/>
      <c r="AK1615" s="100"/>
      <c r="AL1615" s="100"/>
      <c r="AM1615" s="100"/>
      <c r="AN1615" s="100"/>
      <c r="AO1615" s="100"/>
      <c r="AP1615" s="100"/>
      <c r="AQ1615" s="100"/>
      <c r="AR1615" s="100"/>
      <c r="AS1615" s="100"/>
      <c r="AT1615" s="102"/>
      <c r="AX1615" s="100"/>
      <c r="AY1615" s="101"/>
      <c r="AZ1615" s="101"/>
      <c r="BA1615" s="100"/>
      <c r="BB1615" s="100"/>
      <c r="BC1615" s="100"/>
      <c r="BD1615" s="100"/>
      <c r="BE1615" s="100"/>
      <c r="BF1615" s="100"/>
      <c r="BG1615" s="100"/>
      <c r="BH1615" s="100"/>
      <c r="BI1615" s="100"/>
      <c r="BJ1615" s="100"/>
      <c r="BK1615" s="102"/>
    </row>
    <row r="1616" spans="1:63" x14ac:dyDescent="0.25">
      <c r="A1616" s="92"/>
      <c r="B1616" s="93"/>
      <c r="C1616" s="93"/>
      <c r="D1616" s="92"/>
      <c r="E1616" s="92"/>
      <c r="F1616" s="92"/>
      <c r="G1616" s="92"/>
      <c r="H1616" s="92"/>
      <c r="I1616" s="92"/>
      <c r="J1616" s="92"/>
      <c r="K1616" s="92"/>
      <c r="L1616" s="92"/>
      <c r="M1616" s="92"/>
      <c r="N1616" s="94"/>
      <c r="AG1616" s="100"/>
      <c r="AH1616" s="101"/>
      <c r="AI1616" s="101"/>
      <c r="AJ1616" s="100"/>
      <c r="AK1616" s="100"/>
      <c r="AL1616" s="100"/>
      <c r="AM1616" s="100"/>
      <c r="AN1616" s="100"/>
      <c r="AO1616" s="100"/>
      <c r="AP1616" s="100"/>
      <c r="AQ1616" s="100"/>
      <c r="AR1616" s="100"/>
      <c r="AS1616" s="100"/>
      <c r="AT1616" s="102"/>
      <c r="AX1616" s="100"/>
      <c r="AY1616" s="101"/>
      <c r="AZ1616" s="101"/>
      <c r="BA1616" s="100"/>
      <c r="BB1616" s="100"/>
      <c r="BC1616" s="100"/>
      <c r="BD1616" s="100"/>
      <c r="BE1616" s="100"/>
      <c r="BF1616" s="100"/>
      <c r="BG1616" s="100"/>
      <c r="BH1616" s="100"/>
      <c r="BI1616" s="100"/>
      <c r="BJ1616" s="100"/>
      <c r="BK1616" s="102"/>
    </row>
    <row r="1617" spans="1:63" x14ac:dyDescent="0.25">
      <c r="A1617" s="92"/>
      <c r="B1617" s="93"/>
      <c r="C1617" s="93"/>
      <c r="D1617" s="93"/>
      <c r="E1617" s="92"/>
      <c r="F1617" s="92"/>
      <c r="G1617" s="92"/>
      <c r="H1617" s="92"/>
      <c r="I1617" s="92"/>
      <c r="J1617" s="92"/>
      <c r="K1617" s="92"/>
      <c r="L1617" s="92"/>
      <c r="M1617" s="92"/>
      <c r="N1617" s="94"/>
      <c r="AG1617" s="100"/>
      <c r="AH1617" s="101"/>
      <c r="AI1617" s="101"/>
      <c r="AJ1617" s="100"/>
      <c r="AK1617" s="100"/>
      <c r="AL1617" s="100"/>
      <c r="AM1617" s="100"/>
      <c r="AN1617" s="100"/>
      <c r="AO1617" s="100"/>
      <c r="AP1617" s="100"/>
      <c r="AQ1617" s="100"/>
      <c r="AR1617" s="100"/>
      <c r="AS1617" s="100"/>
      <c r="AT1617" s="102"/>
      <c r="AX1617" s="100"/>
      <c r="AY1617" s="101"/>
      <c r="AZ1617" s="101"/>
      <c r="BA1617" s="100"/>
      <c r="BB1617" s="100"/>
      <c r="BC1617" s="100"/>
      <c r="BD1617" s="100"/>
      <c r="BE1617" s="100"/>
      <c r="BF1617" s="100"/>
      <c r="BG1617" s="100"/>
      <c r="BH1617" s="100"/>
      <c r="BI1617" s="100"/>
      <c r="BJ1617" s="100"/>
      <c r="BK1617" s="102"/>
    </row>
    <row r="1618" spans="1:63" x14ac:dyDescent="0.25">
      <c r="A1618" s="92"/>
      <c r="B1618" s="93"/>
      <c r="C1618" s="93"/>
      <c r="D1618" s="92"/>
      <c r="E1618" s="92"/>
      <c r="F1618" s="92"/>
      <c r="G1618" s="92"/>
      <c r="H1618" s="92"/>
      <c r="I1618" s="92"/>
      <c r="J1618" s="92"/>
      <c r="K1618" s="92"/>
      <c r="L1618" s="92"/>
      <c r="M1618" s="92"/>
      <c r="N1618" s="94"/>
      <c r="AG1618" s="100"/>
      <c r="AH1618" s="101"/>
      <c r="AI1618" s="101"/>
      <c r="AJ1618" s="100"/>
      <c r="AK1618" s="100"/>
      <c r="AL1618" s="100"/>
      <c r="AM1618" s="100"/>
      <c r="AN1618" s="100"/>
      <c r="AO1618" s="100"/>
      <c r="AP1618" s="100"/>
      <c r="AQ1618" s="100"/>
      <c r="AR1618" s="100"/>
      <c r="AS1618" s="100"/>
      <c r="AT1618" s="102"/>
      <c r="AX1618" s="100"/>
      <c r="AY1618" s="101"/>
      <c r="AZ1618" s="101"/>
      <c r="BA1618" s="100"/>
      <c r="BB1618" s="100"/>
      <c r="BC1618" s="100"/>
      <c r="BD1618" s="100"/>
      <c r="BE1618" s="100"/>
      <c r="BF1618" s="100"/>
      <c r="BG1618" s="100"/>
      <c r="BH1618" s="100"/>
      <c r="BI1618" s="100"/>
      <c r="BJ1618" s="100"/>
      <c r="BK1618" s="102"/>
    </row>
    <row r="1619" spans="1:63" x14ac:dyDescent="0.25">
      <c r="A1619" s="92"/>
      <c r="B1619" s="93"/>
      <c r="C1619" s="93"/>
      <c r="D1619" s="92"/>
      <c r="E1619" s="92"/>
      <c r="F1619" s="92"/>
      <c r="G1619" s="92"/>
      <c r="H1619" s="92"/>
      <c r="I1619" s="92"/>
      <c r="J1619" s="92"/>
      <c r="K1619" s="92"/>
      <c r="L1619" s="92"/>
      <c r="M1619" s="92"/>
      <c r="N1619" s="94"/>
      <c r="AG1619" s="100"/>
      <c r="AH1619" s="101"/>
      <c r="AI1619" s="101"/>
      <c r="AJ1619" s="100"/>
      <c r="AK1619" s="100"/>
      <c r="AL1619" s="100"/>
      <c r="AM1619" s="100"/>
      <c r="AN1619" s="100"/>
      <c r="AO1619" s="100"/>
      <c r="AP1619" s="100"/>
      <c r="AQ1619" s="100"/>
      <c r="AR1619" s="100"/>
      <c r="AS1619" s="100"/>
      <c r="AT1619" s="102"/>
      <c r="AX1619" s="100"/>
      <c r="AY1619" s="101"/>
      <c r="AZ1619" s="101"/>
      <c r="BA1619" s="100"/>
      <c r="BB1619" s="100"/>
      <c r="BC1619" s="100"/>
      <c r="BD1619" s="100"/>
      <c r="BE1619" s="100"/>
      <c r="BF1619" s="100"/>
      <c r="BG1619" s="100"/>
      <c r="BH1619" s="100"/>
      <c r="BI1619" s="100"/>
      <c r="BJ1619" s="100"/>
      <c r="BK1619" s="102"/>
    </row>
    <row r="1620" spans="1:63" x14ac:dyDescent="0.25">
      <c r="A1620" s="92"/>
      <c r="B1620" s="93"/>
      <c r="C1620" s="93"/>
      <c r="D1620" s="92"/>
      <c r="E1620" s="92"/>
      <c r="F1620" s="92"/>
      <c r="G1620" s="92"/>
      <c r="H1620" s="92"/>
      <c r="I1620" s="92"/>
      <c r="J1620" s="92"/>
      <c r="K1620" s="92"/>
      <c r="L1620" s="92"/>
      <c r="M1620" s="92"/>
      <c r="N1620" s="94"/>
      <c r="AG1620" s="100"/>
      <c r="AH1620" s="101"/>
      <c r="AI1620" s="101"/>
      <c r="AJ1620" s="101"/>
      <c r="AK1620" s="100"/>
      <c r="AL1620" s="100"/>
      <c r="AM1620" s="100"/>
      <c r="AN1620" s="100"/>
      <c r="AO1620" s="100"/>
      <c r="AP1620" s="100"/>
      <c r="AQ1620" s="100"/>
      <c r="AR1620" s="100"/>
      <c r="AS1620" s="100"/>
      <c r="AT1620" s="102"/>
      <c r="AX1620" s="100"/>
      <c r="AY1620" s="101"/>
      <c r="AZ1620" s="101"/>
      <c r="BA1620" s="100"/>
      <c r="BB1620" s="100"/>
      <c r="BC1620" s="100"/>
      <c r="BD1620" s="100"/>
      <c r="BE1620" s="100"/>
      <c r="BF1620" s="100"/>
      <c r="BG1620" s="100"/>
      <c r="BH1620" s="100"/>
      <c r="BI1620" s="100"/>
      <c r="BJ1620" s="100"/>
      <c r="BK1620" s="102"/>
    </row>
    <row r="1621" spans="1:63" x14ac:dyDescent="0.25">
      <c r="A1621" s="92"/>
      <c r="B1621" s="93"/>
      <c r="C1621" s="93"/>
      <c r="D1621" s="92"/>
      <c r="E1621" s="92"/>
      <c r="F1621" s="92"/>
      <c r="G1621" s="92"/>
      <c r="H1621" s="92"/>
      <c r="I1621" s="92"/>
      <c r="J1621" s="92"/>
      <c r="K1621" s="92"/>
      <c r="L1621" s="92"/>
      <c r="M1621" s="92"/>
      <c r="N1621" s="94"/>
      <c r="AG1621" s="100"/>
      <c r="AH1621" s="101"/>
      <c r="AI1621" s="101"/>
      <c r="AJ1621" s="100"/>
      <c r="AK1621" s="100"/>
      <c r="AL1621" s="100"/>
      <c r="AM1621" s="100"/>
      <c r="AN1621" s="100"/>
      <c r="AO1621" s="100"/>
      <c r="AP1621" s="100"/>
      <c r="AQ1621" s="100"/>
      <c r="AR1621" s="100"/>
      <c r="AS1621" s="100"/>
      <c r="AT1621" s="102"/>
      <c r="AX1621" s="100"/>
      <c r="AY1621" s="101"/>
      <c r="AZ1621" s="101"/>
      <c r="BA1621" s="100"/>
      <c r="BB1621" s="100"/>
      <c r="BC1621" s="100"/>
      <c r="BD1621" s="100"/>
      <c r="BE1621" s="100"/>
      <c r="BF1621" s="100"/>
      <c r="BG1621" s="100"/>
      <c r="BH1621" s="100"/>
      <c r="BI1621" s="100"/>
      <c r="BJ1621" s="100"/>
      <c r="BK1621" s="102"/>
    </row>
    <row r="1622" spans="1:63" x14ac:dyDescent="0.25">
      <c r="A1622" s="92"/>
      <c r="B1622" s="92"/>
      <c r="C1622" s="92"/>
      <c r="D1622" s="92"/>
      <c r="E1622" s="92"/>
      <c r="F1622" s="92"/>
      <c r="G1622" s="92"/>
      <c r="H1622" s="92"/>
      <c r="I1622" s="92"/>
      <c r="J1622" s="92"/>
      <c r="K1622" s="92"/>
      <c r="L1622" s="92"/>
      <c r="M1622" s="92"/>
      <c r="N1622" s="92"/>
      <c r="AG1622" s="100"/>
      <c r="AH1622" s="101"/>
      <c r="AI1622" s="101"/>
      <c r="AJ1622" s="100"/>
      <c r="AK1622" s="100"/>
      <c r="AL1622" s="100"/>
      <c r="AM1622" s="100"/>
      <c r="AN1622" s="100"/>
      <c r="AO1622" s="100"/>
      <c r="AP1622" s="100"/>
      <c r="AQ1622" s="100"/>
      <c r="AR1622" s="100"/>
      <c r="AS1622" s="100"/>
      <c r="AT1622" s="102"/>
      <c r="AX1622" s="100"/>
      <c r="AY1622" s="101"/>
      <c r="AZ1622" s="101"/>
      <c r="BA1622" s="100"/>
      <c r="BB1622" s="100"/>
      <c r="BC1622" s="100"/>
      <c r="BD1622" s="100"/>
      <c r="BE1622" s="100"/>
      <c r="BF1622" s="100"/>
      <c r="BG1622" s="100"/>
      <c r="BH1622" s="100"/>
      <c r="BI1622" s="100"/>
      <c r="BJ1622" s="100"/>
      <c r="BK1622" s="102"/>
    </row>
    <row r="1623" spans="1:63" x14ac:dyDescent="0.25">
      <c r="A1623" s="92"/>
      <c r="B1623" s="92"/>
      <c r="C1623" s="92"/>
      <c r="D1623" s="92"/>
      <c r="E1623" s="92"/>
      <c r="F1623" s="92"/>
      <c r="G1623" s="92"/>
      <c r="H1623" s="92"/>
      <c r="I1623" s="92"/>
      <c r="J1623" s="92"/>
      <c r="K1623" s="92"/>
      <c r="L1623" s="92"/>
      <c r="M1623" s="92"/>
      <c r="N1623" s="92"/>
      <c r="AG1623" s="100"/>
      <c r="AH1623" s="101"/>
      <c r="AI1623" s="101"/>
      <c r="AJ1623" s="100"/>
      <c r="AK1623" s="100"/>
      <c r="AL1623" s="100"/>
      <c r="AM1623" s="100"/>
      <c r="AN1623" s="100"/>
      <c r="AO1623" s="100"/>
      <c r="AP1623" s="100"/>
      <c r="AQ1623" s="100"/>
      <c r="AR1623" s="100"/>
      <c r="AS1623" s="100"/>
      <c r="AT1623" s="102"/>
      <c r="AX1623" s="100"/>
      <c r="AY1623" s="101"/>
      <c r="AZ1623" s="101"/>
      <c r="BA1623" s="101"/>
      <c r="BB1623" s="100"/>
      <c r="BC1623" s="100"/>
      <c r="BD1623" s="100"/>
      <c r="BE1623" s="100"/>
      <c r="BF1623" s="100"/>
      <c r="BG1623" s="100"/>
      <c r="BH1623" s="100"/>
      <c r="BI1623" s="100"/>
      <c r="BJ1623" s="100"/>
      <c r="BK1623" s="102"/>
    </row>
    <row r="1624" spans="1:63" x14ac:dyDescent="0.25">
      <c r="A1624" s="92"/>
      <c r="B1624" s="92"/>
      <c r="C1624" s="92"/>
      <c r="D1624" s="92"/>
      <c r="E1624" s="92"/>
      <c r="F1624" s="92"/>
      <c r="G1624" s="92"/>
      <c r="H1624" s="92"/>
      <c r="I1624" s="92"/>
      <c r="J1624" s="92"/>
      <c r="K1624" s="92"/>
      <c r="L1624" s="92"/>
      <c r="M1624" s="92"/>
      <c r="N1624" s="92"/>
      <c r="AG1624" s="100"/>
      <c r="AH1624" s="101"/>
      <c r="AI1624" s="101"/>
      <c r="AJ1624" s="100"/>
      <c r="AK1624" s="100"/>
      <c r="AL1624" s="100"/>
      <c r="AM1624" s="100"/>
      <c r="AN1624" s="100"/>
      <c r="AO1624" s="100"/>
      <c r="AP1624" s="100"/>
      <c r="AQ1624" s="100"/>
      <c r="AR1624" s="100"/>
      <c r="AS1624" s="100"/>
      <c r="AT1624" s="102"/>
      <c r="AX1624" s="100"/>
      <c r="AY1624" s="101"/>
      <c r="AZ1624" s="101"/>
      <c r="BA1624" s="100"/>
      <c r="BB1624" s="100"/>
      <c r="BC1624" s="100"/>
      <c r="BD1624" s="100"/>
      <c r="BE1624" s="100"/>
      <c r="BF1624" s="100"/>
      <c r="BG1624" s="100"/>
      <c r="BH1624" s="100"/>
      <c r="BI1624" s="100"/>
      <c r="BJ1624" s="100"/>
      <c r="BK1624" s="102"/>
    </row>
    <row r="1625" spans="1:63" x14ac:dyDescent="0.25">
      <c r="A1625" s="92"/>
      <c r="B1625" s="92"/>
      <c r="C1625" s="92"/>
      <c r="D1625" s="92"/>
      <c r="E1625" s="92"/>
      <c r="F1625" s="92"/>
      <c r="G1625" s="92"/>
      <c r="H1625" s="92"/>
      <c r="I1625" s="92"/>
      <c r="J1625" s="92"/>
      <c r="K1625" s="92"/>
      <c r="L1625" s="92"/>
      <c r="M1625" s="92"/>
      <c r="N1625" s="92"/>
      <c r="AG1625" s="100"/>
      <c r="AH1625" s="101"/>
      <c r="AI1625" s="101"/>
      <c r="AJ1625" s="100"/>
      <c r="AK1625" s="100"/>
      <c r="AL1625" s="100"/>
      <c r="AM1625" s="100"/>
      <c r="AN1625" s="100"/>
      <c r="AO1625" s="100"/>
      <c r="AP1625" s="100"/>
      <c r="AQ1625" s="100"/>
      <c r="AR1625" s="100"/>
      <c r="AS1625" s="100"/>
      <c r="AT1625" s="102"/>
      <c r="AX1625" s="100"/>
      <c r="AY1625" s="101"/>
      <c r="AZ1625" s="101"/>
      <c r="BA1625" s="100"/>
      <c r="BB1625" s="100"/>
      <c r="BC1625" s="100"/>
      <c r="BD1625" s="100"/>
      <c r="BE1625" s="100"/>
      <c r="BF1625" s="100"/>
      <c r="BG1625" s="100"/>
      <c r="BH1625" s="100"/>
      <c r="BI1625" s="100"/>
      <c r="BJ1625" s="100"/>
      <c r="BK1625" s="102"/>
    </row>
    <row r="1626" spans="1:63" x14ac:dyDescent="0.25">
      <c r="A1626" s="92"/>
      <c r="B1626" s="92"/>
      <c r="C1626" s="92"/>
      <c r="D1626" s="92"/>
      <c r="E1626" s="92"/>
      <c r="F1626" s="92"/>
      <c r="G1626" s="92"/>
      <c r="H1626" s="92"/>
      <c r="I1626" s="92"/>
      <c r="J1626" s="92"/>
      <c r="K1626" s="92"/>
      <c r="L1626" s="92"/>
      <c r="M1626" s="92"/>
      <c r="N1626" s="92"/>
      <c r="AG1626" s="100"/>
      <c r="AH1626" s="101"/>
      <c r="AI1626" s="101"/>
      <c r="AJ1626" s="100"/>
      <c r="AK1626" s="100"/>
      <c r="AL1626" s="100"/>
      <c r="AM1626" s="100"/>
      <c r="AN1626" s="100"/>
      <c r="AO1626" s="100"/>
      <c r="AP1626" s="100"/>
      <c r="AQ1626" s="100"/>
      <c r="AR1626" s="100"/>
      <c r="AS1626" s="100"/>
      <c r="AT1626" s="102"/>
      <c r="AX1626" s="100"/>
      <c r="AY1626" s="101"/>
      <c r="AZ1626" s="101"/>
      <c r="BA1626" s="101"/>
      <c r="BB1626" s="100"/>
      <c r="BC1626" s="100"/>
      <c r="BD1626" s="100"/>
      <c r="BE1626" s="100"/>
      <c r="BF1626" s="100"/>
      <c r="BG1626" s="100"/>
      <c r="BH1626" s="100"/>
      <c r="BI1626" s="100"/>
      <c r="BJ1626" s="100"/>
      <c r="BK1626" s="102"/>
    </row>
    <row r="1627" spans="1:63" x14ac:dyDescent="0.25">
      <c r="A1627" s="92"/>
      <c r="B1627" s="93"/>
      <c r="C1627" s="93"/>
      <c r="D1627" s="92"/>
      <c r="E1627" s="92"/>
      <c r="F1627" s="92"/>
      <c r="G1627" s="92"/>
      <c r="H1627" s="92"/>
      <c r="I1627" s="92"/>
      <c r="J1627" s="92"/>
      <c r="K1627" s="92"/>
      <c r="L1627" s="92"/>
      <c r="M1627" s="92"/>
      <c r="N1627" s="94"/>
      <c r="AG1627" s="100"/>
      <c r="AH1627" s="101"/>
      <c r="AI1627" s="101"/>
      <c r="AJ1627" s="101"/>
      <c r="AK1627" s="100"/>
      <c r="AL1627" s="100"/>
      <c r="AM1627" s="100"/>
      <c r="AN1627" s="100"/>
      <c r="AO1627" s="100"/>
      <c r="AP1627" s="100"/>
      <c r="AQ1627" s="100"/>
      <c r="AR1627" s="100"/>
      <c r="AS1627" s="100"/>
      <c r="AT1627" s="102"/>
      <c r="AX1627" s="100"/>
      <c r="AY1627" s="101"/>
      <c r="AZ1627" s="101"/>
      <c r="BA1627" s="100"/>
      <c r="BB1627" s="100"/>
      <c r="BC1627" s="100"/>
      <c r="BD1627" s="100"/>
      <c r="BE1627" s="100"/>
      <c r="BF1627" s="100"/>
      <c r="BG1627" s="100"/>
      <c r="BH1627" s="100"/>
      <c r="BI1627" s="100"/>
      <c r="BJ1627" s="100"/>
      <c r="BK1627" s="102"/>
    </row>
    <row r="1628" spans="1:63" x14ac:dyDescent="0.25">
      <c r="A1628" s="92"/>
      <c r="B1628" s="93"/>
      <c r="C1628" s="93"/>
      <c r="D1628" s="92"/>
      <c r="E1628" s="92"/>
      <c r="F1628" s="92"/>
      <c r="G1628" s="92"/>
      <c r="H1628" s="92"/>
      <c r="I1628" s="92"/>
      <c r="J1628" s="92"/>
      <c r="K1628" s="92"/>
      <c r="L1628" s="92"/>
      <c r="M1628" s="92"/>
      <c r="N1628" s="94"/>
      <c r="AG1628" s="100"/>
      <c r="AH1628" s="101"/>
      <c r="AI1628" s="101"/>
      <c r="AJ1628" s="100"/>
      <c r="AK1628" s="100"/>
      <c r="AL1628" s="100"/>
      <c r="AM1628" s="100"/>
      <c r="AN1628" s="100"/>
      <c r="AO1628" s="100"/>
      <c r="AP1628" s="100"/>
      <c r="AQ1628" s="100"/>
      <c r="AR1628" s="100"/>
      <c r="AS1628" s="100"/>
      <c r="AT1628" s="102"/>
      <c r="AX1628" s="100"/>
      <c r="AY1628" s="101"/>
      <c r="AZ1628" s="101"/>
      <c r="BA1628" s="100"/>
      <c r="BB1628" s="100"/>
      <c r="BC1628" s="100"/>
      <c r="BD1628" s="100"/>
      <c r="BE1628" s="100"/>
      <c r="BF1628" s="100"/>
      <c r="BG1628" s="100"/>
      <c r="BH1628" s="100"/>
      <c r="BI1628" s="100"/>
      <c r="BJ1628" s="100"/>
      <c r="BK1628" s="102"/>
    </row>
    <row r="1629" spans="1:63" x14ac:dyDescent="0.25">
      <c r="A1629" s="92"/>
      <c r="B1629" s="92"/>
      <c r="C1629" s="92"/>
      <c r="D1629" s="92"/>
      <c r="E1629" s="92"/>
      <c r="F1629" s="92"/>
      <c r="G1629" s="92"/>
      <c r="H1629" s="92"/>
      <c r="I1629" s="92"/>
      <c r="J1629" s="92"/>
      <c r="K1629" s="92"/>
      <c r="L1629" s="92"/>
      <c r="M1629" s="92"/>
      <c r="N1629" s="92"/>
      <c r="AG1629" s="100"/>
      <c r="AH1629" s="101"/>
      <c r="AI1629" s="101"/>
      <c r="AJ1629" s="101"/>
      <c r="AK1629" s="100"/>
      <c r="AL1629" s="100"/>
      <c r="AM1629" s="100"/>
      <c r="AN1629" s="100"/>
      <c r="AO1629" s="100"/>
      <c r="AP1629" s="100"/>
      <c r="AQ1629" s="100"/>
      <c r="AR1629" s="100"/>
      <c r="AS1629" s="100"/>
      <c r="AT1629" s="102"/>
      <c r="AX1629" s="100"/>
      <c r="AY1629" s="101"/>
      <c r="AZ1629" s="101"/>
      <c r="BA1629" s="100"/>
      <c r="BB1629" s="100"/>
      <c r="BC1629" s="100"/>
      <c r="BD1629" s="100"/>
      <c r="BE1629" s="100"/>
      <c r="BF1629" s="100"/>
      <c r="BG1629" s="100"/>
      <c r="BH1629" s="100"/>
      <c r="BI1629" s="100"/>
      <c r="BJ1629" s="100"/>
      <c r="BK1629" s="102"/>
    </row>
    <row r="1630" spans="1:63" x14ac:dyDescent="0.25">
      <c r="A1630" s="92"/>
      <c r="B1630" s="92"/>
      <c r="C1630" s="92"/>
      <c r="D1630" s="92"/>
      <c r="E1630" s="92"/>
      <c r="F1630" s="92"/>
      <c r="G1630" s="92"/>
      <c r="H1630" s="92"/>
      <c r="I1630" s="92"/>
      <c r="J1630" s="92"/>
      <c r="K1630" s="92"/>
      <c r="L1630" s="92"/>
      <c r="M1630" s="92"/>
      <c r="N1630" s="92"/>
      <c r="AG1630" s="100"/>
      <c r="AH1630" s="101"/>
      <c r="AI1630" s="101"/>
      <c r="AJ1630" s="101"/>
      <c r="AK1630" s="100"/>
      <c r="AL1630" s="100"/>
      <c r="AM1630" s="100"/>
      <c r="AN1630" s="100"/>
      <c r="AO1630" s="100"/>
      <c r="AP1630" s="100"/>
      <c r="AQ1630" s="100"/>
      <c r="AR1630" s="100"/>
      <c r="AS1630" s="100"/>
      <c r="AT1630" s="102"/>
      <c r="AX1630" s="100"/>
      <c r="AY1630" s="101"/>
      <c r="AZ1630" s="101"/>
      <c r="BA1630" s="100"/>
      <c r="BB1630" s="100"/>
      <c r="BC1630" s="100"/>
      <c r="BD1630" s="100"/>
      <c r="BE1630" s="100"/>
      <c r="BF1630" s="100"/>
      <c r="BG1630" s="100"/>
      <c r="BH1630" s="100"/>
      <c r="BI1630" s="100"/>
      <c r="BJ1630" s="100"/>
      <c r="BK1630" s="102"/>
    </row>
    <row r="1631" spans="1:63" x14ac:dyDescent="0.25">
      <c r="A1631" s="92"/>
      <c r="B1631" s="92"/>
      <c r="C1631" s="92"/>
      <c r="D1631" s="92"/>
      <c r="E1631" s="92"/>
      <c r="F1631" s="92"/>
      <c r="G1631" s="92"/>
      <c r="H1631" s="92"/>
      <c r="I1631" s="92"/>
      <c r="J1631" s="92"/>
      <c r="K1631" s="92"/>
      <c r="L1631" s="92"/>
      <c r="M1631" s="92"/>
      <c r="N1631" s="92"/>
      <c r="AG1631" s="100"/>
      <c r="AH1631" s="101"/>
      <c r="AI1631" s="101"/>
      <c r="AJ1631" s="100"/>
      <c r="AK1631" s="100"/>
      <c r="AL1631" s="100"/>
      <c r="AM1631" s="100"/>
      <c r="AN1631" s="100"/>
      <c r="AO1631" s="100"/>
      <c r="AP1631" s="100"/>
      <c r="AQ1631" s="100"/>
      <c r="AR1631" s="100"/>
      <c r="AS1631" s="100"/>
      <c r="AT1631" s="102"/>
      <c r="AX1631" s="100"/>
      <c r="AY1631" s="101"/>
      <c r="AZ1631" s="101"/>
      <c r="BA1631" s="100"/>
      <c r="BB1631" s="100"/>
      <c r="BC1631" s="100"/>
      <c r="BD1631" s="100"/>
      <c r="BE1631" s="100"/>
      <c r="BF1631" s="100"/>
      <c r="BG1631" s="100"/>
      <c r="BH1631" s="100"/>
      <c r="BI1631" s="100"/>
      <c r="BJ1631" s="100"/>
      <c r="BK1631" s="102"/>
    </row>
    <row r="1632" spans="1:63" x14ac:dyDescent="0.25">
      <c r="A1632" s="92"/>
      <c r="B1632" s="92"/>
      <c r="C1632" s="92"/>
      <c r="D1632" s="92"/>
      <c r="E1632" s="92"/>
      <c r="F1632" s="92"/>
      <c r="G1632" s="92"/>
      <c r="H1632" s="92"/>
      <c r="I1632" s="92"/>
      <c r="J1632" s="92"/>
      <c r="K1632" s="92"/>
      <c r="L1632" s="92"/>
      <c r="M1632" s="92"/>
      <c r="N1632" s="92"/>
      <c r="AG1632" s="100"/>
      <c r="AH1632" s="101"/>
      <c r="AI1632" s="101"/>
      <c r="AJ1632" s="100"/>
      <c r="AK1632" s="100"/>
      <c r="AL1632" s="100"/>
      <c r="AM1632" s="100"/>
      <c r="AN1632" s="100"/>
      <c r="AO1632" s="100"/>
      <c r="AP1632" s="100"/>
      <c r="AQ1632" s="100"/>
      <c r="AR1632" s="100"/>
      <c r="AS1632" s="100"/>
      <c r="AT1632" s="102"/>
      <c r="AX1632" s="100"/>
      <c r="AY1632" s="101"/>
      <c r="AZ1632" s="101"/>
      <c r="BA1632" s="101"/>
      <c r="BB1632" s="100"/>
      <c r="BC1632" s="100"/>
      <c r="BD1632" s="100"/>
      <c r="BE1632" s="100"/>
      <c r="BF1632" s="100"/>
      <c r="BG1632" s="100"/>
      <c r="BH1632" s="100"/>
      <c r="BI1632" s="100"/>
      <c r="BJ1632" s="100"/>
      <c r="BK1632" s="102"/>
    </row>
    <row r="1633" spans="1:63" x14ac:dyDescent="0.25">
      <c r="A1633" s="92"/>
      <c r="B1633" s="92"/>
      <c r="C1633" s="92"/>
      <c r="D1633" s="92"/>
      <c r="E1633" s="92"/>
      <c r="F1633" s="92"/>
      <c r="G1633" s="92"/>
      <c r="H1633" s="92"/>
      <c r="I1633" s="92"/>
      <c r="J1633" s="92"/>
      <c r="K1633" s="92"/>
      <c r="L1633" s="92"/>
      <c r="M1633" s="92"/>
      <c r="N1633" s="92"/>
      <c r="AG1633" s="100"/>
      <c r="AH1633" s="101"/>
      <c r="AI1633" s="101"/>
      <c r="AJ1633" s="100"/>
      <c r="AK1633" s="100"/>
      <c r="AL1633" s="100"/>
      <c r="AM1633" s="100"/>
      <c r="AN1633" s="100"/>
      <c r="AO1633" s="100"/>
      <c r="AP1633" s="100"/>
      <c r="AQ1633" s="100"/>
      <c r="AR1633" s="100"/>
      <c r="AS1633" s="100"/>
      <c r="AT1633" s="102"/>
      <c r="AX1633" s="100"/>
      <c r="AY1633" s="101"/>
      <c r="AZ1633" s="101"/>
      <c r="BA1633" s="100"/>
      <c r="BB1633" s="100"/>
      <c r="BC1633" s="100"/>
      <c r="BD1633" s="100"/>
      <c r="BE1633" s="100"/>
      <c r="BF1633" s="100"/>
      <c r="BG1633" s="100"/>
      <c r="BH1633" s="100"/>
      <c r="BI1633" s="100"/>
      <c r="BJ1633" s="100"/>
      <c r="BK1633" s="102"/>
    </row>
    <row r="1634" spans="1:63" x14ac:dyDescent="0.25">
      <c r="A1634" s="92"/>
      <c r="B1634" s="92"/>
      <c r="C1634" s="92"/>
      <c r="D1634" s="92"/>
      <c r="E1634" s="92"/>
      <c r="F1634" s="92"/>
      <c r="G1634" s="92"/>
      <c r="H1634" s="92"/>
      <c r="I1634" s="92"/>
      <c r="J1634" s="92"/>
      <c r="K1634" s="92"/>
      <c r="L1634" s="92"/>
      <c r="M1634" s="92"/>
      <c r="N1634" s="92"/>
      <c r="AG1634" s="100"/>
      <c r="AH1634" s="101"/>
      <c r="AI1634" s="101"/>
      <c r="AJ1634" s="100"/>
      <c r="AK1634" s="100"/>
      <c r="AL1634" s="100"/>
      <c r="AM1634" s="100"/>
      <c r="AN1634" s="100"/>
      <c r="AO1634" s="100"/>
      <c r="AP1634" s="100"/>
      <c r="AQ1634" s="100"/>
      <c r="AR1634" s="100"/>
      <c r="AS1634" s="100"/>
      <c r="AT1634" s="102"/>
      <c r="AX1634" s="100"/>
      <c r="AY1634" s="101"/>
      <c r="AZ1634" s="101"/>
      <c r="BA1634" s="100"/>
      <c r="BB1634" s="100"/>
      <c r="BC1634" s="100"/>
      <c r="BD1634" s="100"/>
      <c r="BE1634" s="100"/>
      <c r="BF1634" s="100"/>
      <c r="BG1634" s="100"/>
      <c r="BH1634" s="100"/>
      <c r="BI1634" s="100"/>
      <c r="BJ1634" s="100"/>
      <c r="BK1634" s="102"/>
    </row>
    <row r="1635" spans="1:63" x14ac:dyDescent="0.25">
      <c r="A1635" s="92"/>
      <c r="B1635" s="92"/>
      <c r="C1635" s="92"/>
      <c r="D1635" s="92"/>
      <c r="E1635" s="92"/>
      <c r="F1635" s="92"/>
      <c r="G1635" s="92"/>
      <c r="H1635" s="92"/>
      <c r="I1635" s="92"/>
      <c r="J1635" s="92"/>
      <c r="K1635" s="92"/>
      <c r="L1635" s="92"/>
      <c r="M1635" s="92"/>
      <c r="N1635" s="92"/>
      <c r="AG1635" s="100"/>
      <c r="AH1635" s="101"/>
      <c r="AI1635" s="101"/>
      <c r="AJ1635" s="101"/>
      <c r="AK1635" s="100"/>
      <c r="AL1635" s="100"/>
      <c r="AM1635" s="100"/>
      <c r="AN1635" s="100"/>
      <c r="AO1635" s="100"/>
      <c r="AP1635" s="100"/>
      <c r="AQ1635" s="100"/>
      <c r="AR1635" s="100"/>
      <c r="AS1635" s="100"/>
      <c r="AT1635" s="102"/>
      <c r="AX1635" s="100"/>
      <c r="AY1635" s="101"/>
      <c r="AZ1635" s="101"/>
      <c r="BA1635" s="100"/>
      <c r="BB1635" s="100"/>
      <c r="BC1635" s="100"/>
      <c r="BD1635" s="100"/>
      <c r="BE1635" s="100"/>
      <c r="BF1635" s="100"/>
      <c r="BG1635" s="100"/>
      <c r="BH1635" s="100"/>
      <c r="BI1635" s="100"/>
      <c r="BJ1635" s="100"/>
      <c r="BK1635" s="102"/>
    </row>
    <row r="1636" spans="1:63" x14ac:dyDescent="0.25">
      <c r="A1636" s="92"/>
      <c r="B1636" s="93"/>
      <c r="C1636" s="93"/>
      <c r="D1636" s="93"/>
      <c r="E1636" s="92"/>
      <c r="F1636" s="92"/>
      <c r="G1636" s="92"/>
      <c r="H1636" s="92"/>
      <c r="I1636" s="92"/>
      <c r="J1636" s="92"/>
      <c r="K1636" s="92"/>
      <c r="L1636" s="92"/>
      <c r="M1636" s="92"/>
      <c r="N1636" s="94"/>
      <c r="AG1636" s="100"/>
      <c r="AH1636" s="101"/>
      <c r="AI1636" s="101"/>
      <c r="AJ1636" s="100"/>
      <c r="AK1636" s="100"/>
      <c r="AL1636" s="100"/>
      <c r="AM1636" s="100"/>
      <c r="AN1636" s="100"/>
      <c r="AO1636" s="100"/>
      <c r="AP1636" s="100"/>
      <c r="AQ1636" s="100"/>
      <c r="AR1636" s="100"/>
      <c r="AS1636" s="100"/>
      <c r="AT1636" s="102"/>
      <c r="AX1636" s="100"/>
      <c r="AY1636" s="101"/>
      <c r="AZ1636" s="101"/>
      <c r="BA1636" s="100"/>
      <c r="BB1636" s="100"/>
      <c r="BC1636" s="100"/>
      <c r="BD1636" s="100"/>
      <c r="BE1636" s="100"/>
      <c r="BF1636" s="100"/>
      <c r="BG1636" s="100"/>
      <c r="BH1636" s="100"/>
      <c r="BI1636" s="100"/>
      <c r="BJ1636" s="100"/>
      <c r="BK1636" s="102"/>
    </row>
    <row r="1637" spans="1:63" x14ac:dyDescent="0.25">
      <c r="A1637" s="92"/>
      <c r="B1637" s="92"/>
      <c r="C1637" s="92"/>
      <c r="D1637" s="92"/>
      <c r="E1637" s="92"/>
      <c r="F1637" s="92"/>
      <c r="G1637" s="92"/>
      <c r="H1637" s="92"/>
      <c r="I1637" s="92"/>
      <c r="J1637" s="92"/>
      <c r="K1637" s="92"/>
      <c r="L1637" s="92"/>
      <c r="M1637" s="92"/>
      <c r="N1637" s="92"/>
      <c r="AG1637" s="100"/>
      <c r="AH1637" s="101"/>
      <c r="AI1637" s="101"/>
      <c r="AJ1637" s="100"/>
      <c r="AK1637" s="100"/>
      <c r="AL1637" s="100"/>
      <c r="AM1637" s="100"/>
      <c r="AN1637" s="100"/>
      <c r="AO1637" s="100"/>
      <c r="AP1637" s="100"/>
      <c r="AQ1637" s="100"/>
      <c r="AR1637" s="100"/>
      <c r="AS1637" s="100"/>
      <c r="AT1637" s="102"/>
      <c r="AX1637" s="100"/>
      <c r="AY1637" s="101"/>
      <c r="AZ1637" s="101"/>
      <c r="BA1637" s="100"/>
      <c r="BB1637" s="100"/>
      <c r="BC1637" s="100"/>
      <c r="BD1637" s="100"/>
      <c r="BE1637" s="100"/>
      <c r="BF1637" s="100"/>
      <c r="BG1637" s="100"/>
      <c r="BH1637" s="100"/>
      <c r="BI1637" s="100"/>
      <c r="BJ1637" s="100"/>
      <c r="BK1637" s="102"/>
    </row>
    <row r="1638" spans="1:63" x14ac:dyDescent="0.25">
      <c r="A1638" s="92"/>
      <c r="B1638" s="93"/>
      <c r="C1638" s="93"/>
      <c r="D1638" s="92"/>
      <c r="E1638" s="92"/>
      <c r="F1638" s="92"/>
      <c r="G1638" s="92"/>
      <c r="H1638" s="92"/>
      <c r="I1638" s="92"/>
      <c r="J1638" s="92"/>
      <c r="K1638" s="92"/>
      <c r="L1638" s="92"/>
      <c r="M1638" s="92"/>
      <c r="N1638" s="94"/>
      <c r="AG1638" s="100"/>
      <c r="AH1638" s="101"/>
      <c r="AI1638" s="101"/>
      <c r="AJ1638" s="101"/>
      <c r="AK1638" s="100"/>
      <c r="AL1638" s="100"/>
      <c r="AM1638" s="100"/>
      <c r="AN1638" s="100"/>
      <c r="AO1638" s="100"/>
      <c r="AP1638" s="100"/>
      <c r="AQ1638" s="100"/>
      <c r="AR1638" s="100"/>
      <c r="AS1638" s="100"/>
      <c r="AT1638" s="102"/>
      <c r="AX1638" s="100"/>
      <c r="AY1638" s="101"/>
      <c r="AZ1638" s="101"/>
      <c r="BA1638" s="100"/>
      <c r="BB1638" s="100"/>
      <c r="BC1638" s="100"/>
      <c r="BD1638" s="100"/>
      <c r="BE1638" s="100"/>
      <c r="BF1638" s="100"/>
      <c r="BG1638" s="100"/>
      <c r="BH1638" s="100"/>
      <c r="BI1638" s="100"/>
      <c r="BJ1638" s="100"/>
      <c r="BK1638" s="102"/>
    </row>
    <row r="1639" spans="1:63" x14ac:dyDescent="0.25">
      <c r="A1639" s="92"/>
      <c r="B1639" s="93"/>
      <c r="C1639" s="93"/>
      <c r="D1639" s="92"/>
      <c r="E1639" s="92"/>
      <c r="F1639" s="92"/>
      <c r="G1639" s="92"/>
      <c r="H1639" s="92"/>
      <c r="I1639" s="92"/>
      <c r="J1639" s="92"/>
      <c r="K1639" s="92"/>
      <c r="L1639" s="92"/>
      <c r="M1639" s="92"/>
      <c r="N1639" s="94"/>
      <c r="AG1639" s="100"/>
      <c r="AH1639" s="101"/>
      <c r="AI1639" s="101"/>
      <c r="AJ1639" s="100"/>
      <c r="AK1639" s="100"/>
      <c r="AL1639" s="100"/>
      <c r="AM1639" s="100"/>
      <c r="AN1639" s="100"/>
      <c r="AO1639" s="100"/>
      <c r="AP1639" s="100"/>
      <c r="AQ1639" s="100"/>
      <c r="AR1639" s="100"/>
      <c r="AS1639" s="100"/>
      <c r="AT1639" s="102"/>
      <c r="AX1639" s="100"/>
      <c r="AY1639" s="101"/>
      <c r="AZ1639" s="101"/>
      <c r="BA1639" s="100"/>
      <c r="BB1639" s="100"/>
      <c r="BC1639" s="100"/>
      <c r="BD1639" s="100"/>
      <c r="BE1639" s="100"/>
      <c r="BF1639" s="100"/>
      <c r="BG1639" s="100"/>
      <c r="BH1639" s="100"/>
      <c r="BI1639" s="100"/>
      <c r="BJ1639" s="100"/>
      <c r="BK1639" s="102"/>
    </row>
    <row r="1640" spans="1:63" x14ac:dyDescent="0.25">
      <c r="A1640" s="92"/>
      <c r="B1640" s="93"/>
      <c r="C1640" s="93"/>
      <c r="D1640" s="92"/>
      <c r="E1640" s="92"/>
      <c r="F1640" s="92"/>
      <c r="G1640" s="92"/>
      <c r="H1640" s="92"/>
      <c r="I1640" s="92"/>
      <c r="J1640" s="92"/>
      <c r="K1640" s="92"/>
      <c r="L1640" s="92"/>
      <c r="M1640" s="92"/>
      <c r="N1640" s="94"/>
      <c r="AG1640" s="100"/>
      <c r="AH1640" s="101"/>
      <c r="AI1640" s="101"/>
      <c r="AJ1640" s="100"/>
      <c r="AK1640" s="100"/>
      <c r="AL1640" s="100"/>
      <c r="AM1640" s="100"/>
      <c r="AN1640" s="100"/>
      <c r="AO1640" s="100"/>
      <c r="AP1640" s="100"/>
      <c r="AQ1640" s="100"/>
      <c r="AR1640" s="100"/>
      <c r="AS1640" s="100"/>
      <c r="AT1640" s="102"/>
      <c r="AX1640" s="100"/>
      <c r="AY1640" s="101"/>
      <c r="AZ1640" s="101"/>
      <c r="BA1640" s="101"/>
      <c r="BB1640" s="100"/>
      <c r="BC1640" s="100"/>
      <c r="BD1640" s="100"/>
      <c r="BE1640" s="100"/>
      <c r="BF1640" s="100"/>
      <c r="BG1640" s="100"/>
      <c r="BH1640" s="100"/>
      <c r="BI1640" s="100"/>
      <c r="BJ1640" s="100"/>
      <c r="BK1640" s="102"/>
    </row>
    <row r="1641" spans="1:63" x14ac:dyDescent="0.25">
      <c r="A1641" s="92"/>
      <c r="B1641" s="93"/>
      <c r="C1641" s="93"/>
      <c r="D1641" s="92"/>
      <c r="E1641" s="92"/>
      <c r="F1641" s="92"/>
      <c r="G1641" s="92"/>
      <c r="H1641" s="92"/>
      <c r="I1641" s="92"/>
      <c r="J1641" s="92"/>
      <c r="K1641" s="92"/>
      <c r="L1641" s="92"/>
      <c r="M1641" s="92"/>
      <c r="N1641" s="94"/>
      <c r="AG1641" s="100"/>
      <c r="AH1641" s="101"/>
      <c r="AI1641" s="101"/>
      <c r="AJ1641" s="100"/>
      <c r="AK1641" s="100"/>
      <c r="AL1641" s="100"/>
      <c r="AM1641" s="100"/>
      <c r="AN1641" s="100"/>
      <c r="AO1641" s="100"/>
      <c r="AP1641" s="100"/>
      <c r="AQ1641" s="100"/>
      <c r="AR1641" s="100"/>
      <c r="AS1641" s="100"/>
      <c r="AT1641" s="102"/>
      <c r="AX1641" s="100"/>
      <c r="AY1641" s="101"/>
      <c r="AZ1641" s="101"/>
      <c r="BA1641" s="100"/>
      <c r="BB1641" s="100"/>
      <c r="BC1641" s="100"/>
      <c r="BD1641" s="100"/>
      <c r="BE1641" s="100"/>
      <c r="BF1641" s="100"/>
      <c r="BG1641" s="100"/>
      <c r="BH1641" s="100"/>
      <c r="BI1641" s="100"/>
      <c r="BJ1641" s="100"/>
      <c r="BK1641" s="102"/>
    </row>
    <row r="1642" spans="1:63" x14ac:dyDescent="0.25">
      <c r="A1642" s="92"/>
      <c r="B1642" s="92"/>
      <c r="C1642" s="92"/>
      <c r="D1642" s="92"/>
      <c r="E1642" s="92"/>
      <c r="F1642" s="92"/>
      <c r="G1642" s="92"/>
      <c r="H1642" s="92"/>
      <c r="I1642" s="92"/>
      <c r="J1642" s="92"/>
      <c r="K1642" s="92"/>
      <c r="L1642" s="92"/>
      <c r="M1642" s="92"/>
      <c r="N1642" s="92"/>
      <c r="AG1642" s="100"/>
      <c r="AH1642" s="101"/>
      <c r="AI1642" s="101"/>
      <c r="AJ1642" s="100"/>
      <c r="AK1642" s="100"/>
      <c r="AL1642" s="100"/>
      <c r="AM1642" s="100"/>
      <c r="AN1642" s="100"/>
      <c r="AO1642" s="100"/>
      <c r="AP1642" s="100"/>
      <c r="AQ1642" s="100"/>
      <c r="AR1642" s="100"/>
      <c r="AS1642" s="100"/>
      <c r="AT1642" s="102"/>
      <c r="AX1642" s="100"/>
      <c r="AY1642" s="101"/>
      <c r="AZ1642" s="101"/>
      <c r="BA1642" s="100"/>
      <c r="BB1642" s="100"/>
      <c r="BC1642" s="100"/>
      <c r="BD1642" s="100"/>
      <c r="BE1642" s="100"/>
      <c r="BF1642" s="100"/>
      <c r="BG1642" s="100"/>
      <c r="BH1642" s="100"/>
      <c r="BI1642" s="100"/>
      <c r="BJ1642" s="100"/>
      <c r="BK1642" s="102"/>
    </row>
    <row r="1643" spans="1:63" x14ac:dyDescent="0.25">
      <c r="A1643" s="92"/>
      <c r="B1643" s="92"/>
      <c r="C1643" s="92"/>
      <c r="D1643" s="92"/>
      <c r="E1643" s="92"/>
      <c r="F1643" s="92"/>
      <c r="G1643" s="92"/>
      <c r="H1643" s="92"/>
      <c r="I1643" s="92"/>
      <c r="J1643" s="92"/>
      <c r="K1643" s="92"/>
      <c r="L1643" s="92"/>
      <c r="M1643" s="92"/>
      <c r="N1643" s="92"/>
      <c r="AG1643" s="100"/>
      <c r="AH1643" s="101"/>
      <c r="AI1643" s="101"/>
      <c r="AJ1643" s="100"/>
      <c r="AK1643" s="100"/>
      <c r="AL1643" s="100"/>
      <c r="AM1643" s="100"/>
      <c r="AN1643" s="100"/>
      <c r="AO1643" s="100"/>
      <c r="AP1643" s="100"/>
      <c r="AQ1643" s="100"/>
      <c r="AR1643" s="100"/>
      <c r="AS1643" s="100"/>
      <c r="AT1643" s="102"/>
      <c r="AX1643" s="100"/>
      <c r="AY1643" s="101"/>
      <c r="AZ1643" s="101"/>
      <c r="BA1643" s="100"/>
      <c r="BB1643" s="100"/>
      <c r="BC1643" s="100"/>
      <c r="BD1643" s="100"/>
      <c r="BE1643" s="100"/>
      <c r="BF1643" s="100"/>
      <c r="BG1643" s="100"/>
      <c r="BH1643" s="100"/>
      <c r="BI1643" s="100"/>
      <c r="BJ1643" s="100"/>
      <c r="BK1643" s="102"/>
    </row>
    <row r="1644" spans="1:63" x14ac:dyDescent="0.25">
      <c r="A1644" s="92"/>
      <c r="B1644" s="92"/>
      <c r="C1644" s="92"/>
      <c r="D1644" s="92"/>
      <c r="E1644" s="92"/>
      <c r="F1644" s="92"/>
      <c r="G1644" s="92"/>
      <c r="H1644" s="92"/>
      <c r="I1644" s="92"/>
      <c r="J1644" s="92"/>
      <c r="K1644" s="92"/>
      <c r="L1644" s="92"/>
      <c r="M1644" s="92"/>
      <c r="N1644" s="92"/>
      <c r="AG1644" s="100"/>
      <c r="AH1644" s="101"/>
      <c r="AI1644" s="101"/>
      <c r="AJ1644" s="100"/>
      <c r="AK1644" s="100"/>
      <c r="AL1644" s="100"/>
      <c r="AM1644" s="100"/>
      <c r="AN1644" s="100"/>
      <c r="AO1644" s="100"/>
      <c r="AP1644" s="100"/>
      <c r="AQ1644" s="100"/>
      <c r="AR1644" s="100"/>
      <c r="AS1644" s="100"/>
      <c r="AT1644" s="102"/>
      <c r="AX1644" s="100"/>
      <c r="AY1644" s="101"/>
      <c r="AZ1644" s="101"/>
      <c r="BA1644" s="100"/>
      <c r="BB1644" s="100"/>
      <c r="BC1644" s="100"/>
      <c r="BD1644" s="100"/>
      <c r="BE1644" s="100"/>
      <c r="BF1644" s="100"/>
      <c r="BG1644" s="100"/>
      <c r="BH1644" s="100"/>
      <c r="BI1644" s="100"/>
      <c r="BJ1644" s="100"/>
      <c r="BK1644" s="102"/>
    </row>
    <row r="1645" spans="1:63" x14ac:dyDescent="0.25">
      <c r="A1645" s="92"/>
      <c r="B1645" s="93"/>
      <c r="C1645" s="93"/>
      <c r="D1645" s="92"/>
      <c r="E1645" s="92"/>
      <c r="F1645" s="92"/>
      <c r="G1645" s="92"/>
      <c r="H1645" s="92"/>
      <c r="I1645" s="92"/>
      <c r="J1645" s="92"/>
      <c r="K1645" s="92"/>
      <c r="L1645" s="92"/>
      <c r="M1645" s="92"/>
      <c r="N1645" s="94"/>
      <c r="AG1645" s="100"/>
      <c r="AH1645" s="101"/>
      <c r="AI1645" s="101"/>
      <c r="AJ1645" s="100"/>
      <c r="AK1645" s="100"/>
      <c r="AL1645" s="100"/>
      <c r="AM1645" s="100"/>
      <c r="AN1645" s="100"/>
      <c r="AO1645" s="100"/>
      <c r="AP1645" s="100"/>
      <c r="AQ1645" s="100"/>
      <c r="AR1645" s="100"/>
      <c r="AS1645" s="100"/>
      <c r="AT1645" s="102"/>
      <c r="AX1645" s="100"/>
      <c r="AY1645" s="101"/>
      <c r="AZ1645" s="101"/>
      <c r="BA1645" s="100"/>
      <c r="BB1645" s="100"/>
      <c r="BC1645" s="100"/>
      <c r="BD1645" s="100"/>
      <c r="BE1645" s="100"/>
      <c r="BF1645" s="100"/>
      <c r="BG1645" s="100"/>
      <c r="BH1645" s="100"/>
      <c r="BI1645" s="100"/>
      <c r="BJ1645" s="100"/>
      <c r="BK1645" s="102"/>
    </row>
    <row r="1646" spans="1:63" x14ac:dyDescent="0.25">
      <c r="A1646" s="92"/>
      <c r="B1646" s="93"/>
      <c r="C1646" s="93"/>
      <c r="D1646" s="92"/>
      <c r="E1646" s="92"/>
      <c r="F1646" s="92"/>
      <c r="G1646" s="92"/>
      <c r="H1646" s="92"/>
      <c r="I1646" s="92"/>
      <c r="J1646" s="92"/>
      <c r="K1646" s="92"/>
      <c r="L1646" s="92"/>
      <c r="M1646" s="92"/>
      <c r="N1646" s="94"/>
      <c r="AG1646" s="100"/>
      <c r="AH1646" s="101"/>
      <c r="AI1646" s="101"/>
      <c r="AJ1646" s="100"/>
      <c r="AK1646" s="100"/>
      <c r="AL1646" s="100"/>
      <c r="AM1646" s="100"/>
      <c r="AN1646" s="100"/>
      <c r="AO1646" s="100"/>
      <c r="AP1646" s="100"/>
      <c r="AQ1646" s="100"/>
      <c r="AR1646" s="100"/>
      <c r="AS1646" s="100"/>
      <c r="AT1646" s="102"/>
      <c r="AX1646" s="100"/>
      <c r="AY1646" s="101"/>
      <c r="AZ1646" s="101"/>
      <c r="BA1646" s="100"/>
      <c r="BB1646" s="100"/>
      <c r="BC1646" s="100"/>
      <c r="BD1646" s="100"/>
      <c r="BE1646" s="100"/>
      <c r="BF1646" s="100"/>
      <c r="BG1646" s="100"/>
      <c r="BH1646" s="100"/>
      <c r="BI1646" s="100"/>
      <c r="BJ1646" s="100"/>
      <c r="BK1646" s="102"/>
    </row>
    <row r="1647" spans="1:63" x14ac:dyDescent="0.25">
      <c r="A1647" s="92"/>
      <c r="B1647" s="93"/>
      <c r="C1647" s="93"/>
      <c r="D1647" s="93"/>
      <c r="E1647" s="92"/>
      <c r="F1647" s="92"/>
      <c r="G1647" s="92"/>
      <c r="H1647" s="92"/>
      <c r="I1647" s="92"/>
      <c r="J1647" s="92"/>
      <c r="K1647" s="92"/>
      <c r="L1647" s="92"/>
      <c r="M1647" s="92"/>
      <c r="N1647" s="94"/>
      <c r="AG1647" s="100"/>
      <c r="AH1647" s="101"/>
      <c r="AI1647" s="101"/>
      <c r="AJ1647" s="100"/>
      <c r="AK1647" s="100"/>
      <c r="AL1647" s="100"/>
      <c r="AM1647" s="100"/>
      <c r="AN1647" s="100"/>
      <c r="AO1647" s="100"/>
      <c r="AP1647" s="100"/>
      <c r="AQ1647" s="100"/>
      <c r="AR1647" s="100"/>
      <c r="AS1647" s="100"/>
      <c r="AT1647" s="102"/>
      <c r="AX1647" s="100"/>
      <c r="AY1647" s="101"/>
      <c r="AZ1647" s="101"/>
      <c r="BA1647" s="101"/>
      <c r="BB1647" s="100"/>
      <c r="BC1647" s="100"/>
      <c r="BD1647" s="100"/>
      <c r="BE1647" s="100"/>
      <c r="BF1647" s="100"/>
      <c r="BG1647" s="100"/>
      <c r="BH1647" s="100"/>
      <c r="BI1647" s="100"/>
      <c r="BJ1647" s="100"/>
      <c r="BK1647" s="102"/>
    </row>
    <row r="1648" spans="1:63" x14ac:dyDescent="0.25">
      <c r="A1648" s="92"/>
      <c r="B1648" s="92"/>
      <c r="C1648" s="92"/>
      <c r="D1648" s="93"/>
      <c r="E1648" s="92"/>
      <c r="F1648" s="92"/>
      <c r="G1648" s="92"/>
      <c r="H1648" s="92"/>
      <c r="I1648" s="92"/>
      <c r="J1648" s="92"/>
      <c r="K1648" s="92"/>
      <c r="L1648" s="92"/>
      <c r="M1648" s="92"/>
      <c r="N1648" s="92"/>
      <c r="AG1648" s="100"/>
      <c r="AH1648" s="101"/>
      <c r="AI1648" s="101"/>
      <c r="AJ1648" s="101"/>
      <c r="AK1648" s="100"/>
      <c r="AL1648" s="100"/>
      <c r="AM1648" s="100"/>
      <c r="AN1648" s="100"/>
      <c r="AO1648" s="100"/>
      <c r="AP1648" s="100"/>
      <c r="AQ1648" s="100"/>
      <c r="AR1648" s="100"/>
      <c r="AS1648" s="100"/>
      <c r="AT1648" s="102"/>
      <c r="AX1648" s="100"/>
      <c r="AY1648" s="101"/>
      <c r="AZ1648" s="101"/>
      <c r="BA1648" s="100"/>
      <c r="BB1648" s="100"/>
      <c r="BC1648" s="100"/>
      <c r="BD1648" s="100"/>
      <c r="BE1648" s="100"/>
      <c r="BF1648" s="100"/>
      <c r="BG1648" s="100"/>
      <c r="BH1648" s="100"/>
      <c r="BI1648" s="100"/>
      <c r="BJ1648" s="100"/>
      <c r="BK1648" s="102"/>
    </row>
    <row r="1649" spans="1:63" x14ac:dyDescent="0.25">
      <c r="A1649" s="92"/>
      <c r="B1649" s="93"/>
      <c r="C1649" s="93"/>
      <c r="D1649" s="93"/>
      <c r="E1649" s="92"/>
      <c r="F1649" s="92"/>
      <c r="G1649" s="92"/>
      <c r="H1649" s="92"/>
      <c r="I1649" s="92"/>
      <c r="J1649" s="92"/>
      <c r="K1649" s="92"/>
      <c r="L1649" s="92"/>
      <c r="M1649" s="92"/>
      <c r="N1649" s="94"/>
      <c r="AG1649" s="100"/>
      <c r="AH1649" s="101"/>
      <c r="AI1649" s="101"/>
      <c r="AJ1649" s="100"/>
      <c r="AK1649" s="100"/>
      <c r="AL1649" s="100"/>
      <c r="AM1649" s="100"/>
      <c r="AN1649" s="100"/>
      <c r="AO1649" s="100"/>
      <c r="AP1649" s="100"/>
      <c r="AQ1649" s="100"/>
      <c r="AR1649" s="100"/>
      <c r="AS1649" s="100"/>
      <c r="AT1649" s="102"/>
      <c r="AX1649" s="100"/>
      <c r="AY1649" s="101"/>
      <c r="AZ1649" s="101"/>
      <c r="BA1649" s="101"/>
      <c r="BB1649" s="100"/>
      <c r="BC1649" s="100"/>
      <c r="BD1649" s="100"/>
      <c r="BE1649" s="100"/>
      <c r="BF1649" s="100"/>
      <c r="BG1649" s="100"/>
      <c r="BH1649" s="100"/>
      <c r="BI1649" s="100"/>
      <c r="BJ1649" s="100"/>
      <c r="BK1649" s="102"/>
    </row>
    <row r="1650" spans="1:63" x14ac:dyDescent="0.25">
      <c r="A1650" s="92"/>
      <c r="B1650" s="92"/>
      <c r="C1650" s="92"/>
      <c r="D1650" s="92"/>
      <c r="E1650" s="92"/>
      <c r="F1650" s="92"/>
      <c r="G1650" s="92"/>
      <c r="H1650" s="92"/>
      <c r="I1650" s="92"/>
      <c r="J1650" s="92"/>
      <c r="K1650" s="92"/>
      <c r="L1650" s="92"/>
      <c r="M1650" s="92"/>
      <c r="N1650" s="92"/>
      <c r="AG1650" s="100"/>
      <c r="AH1650" s="101"/>
      <c r="AI1650" s="101"/>
      <c r="AJ1650" s="101"/>
      <c r="AK1650" s="100"/>
      <c r="AL1650" s="100"/>
      <c r="AM1650" s="100"/>
      <c r="AN1650" s="100"/>
      <c r="AO1650" s="100"/>
      <c r="AP1650" s="100"/>
      <c r="AQ1650" s="100"/>
      <c r="AR1650" s="100"/>
      <c r="AS1650" s="100"/>
      <c r="AT1650" s="102"/>
      <c r="AX1650" s="100"/>
      <c r="AY1650" s="101"/>
      <c r="AZ1650" s="101"/>
      <c r="BA1650" s="101"/>
      <c r="BB1650" s="100"/>
      <c r="BC1650" s="100"/>
      <c r="BD1650" s="100"/>
      <c r="BE1650" s="100"/>
      <c r="BF1650" s="100"/>
      <c r="BG1650" s="100"/>
      <c r="BH1650" s="100"/>
      <c r="BI1650" s="100"/>
      <c r="BJ1650" s="100"/>
      <c r="BK1650" s="102"/>
    </row>
    <row r="1651" spans="1:63" x14ac:dyDescent="0.25">
      <c r="A1651" s="92"/>
      <c r="B1651" s="92"/>
      <c r="C1651" s="92"/>
      <c r="D1651" s="92"/>
      <c r="E1651" s="92"/>
      <c r="F1651" s="92"/>
      <c r="G1651" s="92"/>
      <c r="H1651" s="92"/>
      <c r="I1651" s="92"/>
      <c r="J1651" s="92"/>
      <c r="K1651" s="92"/>
      <c r="L1651" s="92"/>
      <c r="M1651" s="92"/>
      <c r="N1651" s="92"/>
      <c r="AG1651" s="100"/>
      <c r="AH1651" s="101"/>
      <c r="AI1651" s="101"/>
      <c r="AJ1651" s="101"/>
      <c r="AK1651" s="100"/>
      <c r="AL1651" s="100"/>
      <c r="AM1651" s="100"/>
      <c r="AN1651" s="100"/>
      <c r="AO1651" s="100"/>
      <c r="AP1651" s="100"/>
      <c r="AQ1651" s="100"/>
      <c r="AR1651" s="100"/>
      <c r="AS1651" s="100"/>
      <c r="AT1651" s="102"/>
      <c r="AX1651" s="100"/>
      <c r="AY1651" s="101"/>
      <c r="AZ1651" s="101"/>
      <c r="BA1651" s="100"/>
      <c r="BB1651" s="100"/>
      <c r="BC1651" s="100"/>
      <c r="BD1651" s="100"/>
      <c r="BE1651" s="100"/>
      <c r="BF1651" s="100"/>
      <c r="BG1651" s="100"/>
      <c r="BH1651" s="100"/>
      <c r="BI1651" s="100"/>
      <c r="BJ1651" s="100"/>
      <c r="BK1651" s="102"/>
    </row>
    <row r="1652" spans="1:63" x14ac:dyDescent="0.25">
      <c r="A1652" s="92"/>
      <c r="B1652" s="92"/>
      <c r="C1652" s="92"/>
      <c r="D1652" s="92"/>
      <c r="E1652" s="92"/>
      <c r="F1652" s="92"/>
      <c r="G1652" s="92"/>
      <c r="H1652" s="92"/>
      <c r="I1652" s="92"/>
      <c r="J1652" s="92"/>
      <c r="K1652" s="92"/>
      <c r="L1652" s="92"/>
      <c r="M1652" s="92"/>
      <c r="N1652" s="92"/>
      <c r="AG1652" s="100"/>
      <c r="AH1652" s="101"/>
      <c r="AI1652" s="101"/>
      <c r="AJ1652" s="101"/>
      <c r="AK1652" s="100"/>
      <c r="AL1652" s="100"/>
      <c r="AM1652" s="100"/>
      <c r="AN1652" s="100"/>
      <c r="AO1652" s="100"/>
      <c r="AP1652" s="100"/>
      <c r="AQ1652" s="100"/>
      <c r="AR1652" s="100"/>
      <c r="AS1652" s="100"/>
      <c r="AT1652" s="102"/>
      <c r="AX1652" s="100"/>
      <c r="AY1652" s="101"/>
      <c r="AZ1652" s="101"/>
      <c r="BA1652" s="100"/>
      <c r="BB1652" s="100"/>
      <c r="BC1652" s="100"/>
      <c r="BD1652" s="100"/>
      <c r="BE1652" s="100"/>
      <c r="BF1652" s="100"/>
      <c r="BG1652" s="100"/>
      <c r="BH1652" s="100"/>
      <c r="BI1652" s="100"/>
      <c r="BJ1652" s="100"/>
      <c r="BK1652" s="102"/>
    </row>
    <row r="1653" spans="1:63" x14ac:dyDescent="0.25">
      <c r="A1653" s="92"/>
      <c r="B1653" s="92"/>
      <c r="C1653" s="92"/>
      <c r="D1653" s="92"/>
      <c r="E1653" s="92"/>
      <c r="F1653" s="92"/>
      <c r="G1653" s="92"/>
      <c r="H1653" s="92"/>
      <c r="I1653" s="92"/>
      <c r="J1653" s="92"/>
      <c r="K1653" s="92"/>
      <c r="L1653" s="92"/>
      <c r="M1653" s="92"/>
      <c r="N1653" s="92"/>
      <c r="AG1653" s="100"/>
      <c r="AH1653" s="101"/>
      <c r="AI1653" s="101"/>
      <c r="AJ1653" s="100"/>
      <c r="AK1653" s="100"/>
      <c r="AL1653" s="100"/>
      <c r="AM1653" s="100"/>
      <c r="AN1653" s="100"/>
      <c r="AO1653" s="100"/>
      <c r="AP1653" s="100"/>
      <c r="AQ1653" s="100"/>
      <c r="AR1653" s="100"/>
      <c r="AS1653" s="100"/>
      <c r="AT1653" s="102"/>
      <c r="AX1653" s="100"/>
      <c r="AY1653" s="101"/>
      <c r="AZ1653" s="101"/>
      <c r="BA1653" s="100"/>
      <c r="BB1653" s="100"/>
      <c r="BC1653" s="100"/>
      <c r="BD1653" s="100"/>
      <c r="BE1653" s="100"/>
      <c r="BF1653" s="100"/>
      <c r="BG1653" s="100"/>
      <c r="BH1653" s="100"/>
      <c r="BI1653" s="100"/>
      <c r="BJ1653" s="100"/>
      <c r="BK1653" s="102"/>
    </row>
    <row r="1654" spans="1:63" x14ac:dyDescent="0.25">
      <c r="A1654" s="92"/>
      <c r="B1654" s="92"/>
      <c r="C1654" s="92"/>
      <c r="D1654" s="92"/>
      <c r="E1654" s="92"/>
      <c r="F1654" s="92"/>
      <c r="G1654" s="92"/>
      <c r="H1654" s="92"/>
      <c r="I1654" s="92"/>
      <c r="J1654" s="92"/>
      <c r="K1654" s="92"/>
      <c r="L1654" s="92"/>
      <c r="M1654" s="92"/>
      <c r="N1654" s="92"/>
      <c r="AG1654" s="100"/>
      <c r="AH1654" s="101"/>
      <c r="AI1654" s="101"/>
      <c r="AJ1654" s="101"/>
      <c r="AK1654" s="100"/>
      <c r="AL1654" s="100"/>
      <c r="AM1654" s="100"/>
      <c r="AN1654" s="100"/>
      <c r="AO1654" s="100"/>
      <c r="AP1654" s="100"/>
      <c r="AQ1654" s="100"/>
      <c r="AR1654" s="100"/>
      <c r="AS1654" s="100"/>
      <c r="AT1654" s="102"/>
      <c r="AX1654" s="100"/>
      <c r="AY1654" s="101"/>
      <c r="AZ1654" s="101"/>
      <c r="BA1654" s="100"/>
      <c r="BB1654" s="100"/>
      <c r="BC1654" s="100"/>
      <c r="BD1654" s="100"/>
      <c r="BE1654" s="100"/>
      <c r="BF1654" s="100"/>
      <c r="BG1654" s="100"/>
      <c r="BH1654" s="100"/>
      <c r="BI1654" s="100"/>
      <c r="BJ1654" s="100"/>
      <c r="BK1654" s="102"/>
    </row>
    <row r="1655" spans="1:63" x14ac:dyDescent="0.25">
      <c r="A1655" s="92"/>
      <c r="B1655" s="92"/>
      <c r="C1655" s="92"/>
      <c r="D1655" s="92"/>
      <c r="E1655" s="92"/>
      <c r="F1655" s="92"/>
      <c r="G1655" s="92"/>
      <c r="H1655" s="92"/>
      <c r="I1655" s="92"/>
      <c r="J1655" s="92"/>
      <c r="K1655" s="92"/>
      <c r="L1655" s="92"/>
      <c r="M1655" s="92"/>
      <c r="N1655" s="92"/>
      <c r="AG1655" s="100"/>
      <c r="AH1655" s="101"/>
      <c r="AI1655" s="101"/>
      <c r="AJ1655" s="100"/>
      <c r="AK1655" s="100"/>
      <c r="AL1655" s="100"/>
      <c r="AM1655" s="100"/>
      <c r="AN1655" s="100"/>
      <c r="AO1655" s="100"/>
      <c r="AP1655" s="100"/>
      <c r="AQ1655" s="100"/>
      <c r="AR1655" s="100"/>
      <c r="AS1655" s="100"/>
      <c r="AT1655" s="102"/>
      <c r="AX1655" s="100"/>
      <c r="AY1655" s="101"/>
      <c r="AZ1655" s="101"/>
      <c r="BA1655" s="101"/>
      <c r="BB1655" s="100"/>
      <c r="BC1655" s="100"/>
      <c r="BD1655" s="100"/>
      <c r="BE1655" s="100"/>
      <c r="BF1655" s="100"/>
      <c r="BG1655" s="100"/>
      <c r="BH1655" s="100"/>
      <c r="BI1655" s="100"/>
      <c r="BJ1655" s="100"/>
      <c r="BK1655" s="102"/>
    </row>
    <row r="1656" spans="1:63" x14ac:dyDescent="0.25">
      <c r="A1656" s="92"/>
      <c r="B1656" s="92"/>
      <c r="C1656" s="92"/>
      <c r="D1656" s="92"/>
      <c r="E1656" s="92"/>
      <c r="F1656" s="92"/>
      <c r="G1656" s="92"/>
      <c r="H1656" s="92"/>
      <c r="I1656" s="92"/>
      <c r="J1656" s="92"/>
      <c r="K1656" s="92"/>
      <c r="L1656" s="92"/>
      <c r="M1656" s="92"/>
      <c r="N1656" s="92"/>
      <c r="AG1656" s="100"/>
      <c r="AH1656" s="101"/>
      <c r="AI1656" s="101"/>
      <c r="AJ1656" s="101"/>
      <c r="AK1656" s="100"/>
      <c r="AL1656" s="100"/>
      <c r="AM1656" s="100"/>
      <c r="AN1656" s="100"/>
      <c r="AO1656" s="100"/>
      <c r="AP1656" s="100"/>
      <c r="AQ1656" s="100"/>
      <c r="AR1656" s="100"/>
      <c r="AS1656" s="100"/>
      <c r="AT1656" s="102"/>
      <c r="AX1656" s="100"/>
      <c r="AY1656" s="101"/>
      <c r="AZ1656" s="101"/>
      <c r="BA1656" s="100"/>
      <c r="BB1656" s="100"/>
      <c r="BC1656" s="100"/>
      <c r="BD1656" s="100"/>
      <c r="BE1656" s="100"/>
      <c r="BF1656" s="100"/>
      <c r="BG1656" s="100"/>
      <c r="BH1656" s="100"/>
      <c r="BI1656" s="100"/>
      <c r="BJ1656" s="100"/>
      <c r="BK1656" s="102"/>
    </row>
    <row r="1657" spans="1:63" x14ac:dyDescent="0.25">
      <c r="A1657" s="92"/>
      <c r="B1657" s="92"/>
      <c r="C1657" s="92"/>
      <c r="D1657" s="92"/>
      <c r="E1657" s="92"/>
      <c r="F1657" s="92"/>
      <c r="G1657" s="92"/>
      <c r="H1657" s="92"/>
      <c r="I1657" s="92"/>
      <c r="J1657" s="92"/>
      <c r="K1657" s="92"/>
      <c r="L1657" s="92"/>
      <c r="M1657" s="92"/>
      <c r="N1657" s="92"/>
      <c r="AG1657" s="100"/>
      <c r="AH1657" s="101"/>
      <c r="AI1657" s="101"/>
      <c r="AJ1657" s="101"/>
      <c r="AK1657" s="100"/>
      <c r="AL1657" s="100"/>
      <c r="AM1657" s="100"/>
      <c r="AN1657" s="100"/>
      <c r="AO1657" s="100"/>
      <c r="AP1657" s="100"/>
      <c r="AQ1657" s="100"/>
      <c r="AR1657" s="100"/>
      <c r="AS1657" s="100"/>
      <c r="AT1657" s="102"/>
      <c r="AX1657" s="100"/>
      <c r="AY1657" s="101"/>
      <c r="AZ1657" s="101"/>
      <c r="BA1657" s="100"/>
      <c r="BB1657" s="100"/>
      <c r="BC1657" s="100"/>
      <c r="BD1657" s="100"/>
      <c r="BE1657" s="100"/>
      <c r="BF1657" s="100"/>
      <c r="BG1657" s="100"/>
      <c r="BH1657" s="100"/>
      <c r="BI1657" s="100"/>
      <c r="BJ1657" s="100"/>
      <c r="BK1657" s="102"/>
    </row>
    <row r="1658" spans="1:63" x14ac:dyDescent="0.25">
      <c r="A1658" s="92"/>
      <c r="B1658" s="92"/>
      <c r="C1658" s="92"/>
      <c r="D1658" s="92"/>
      <c r="E1658" s="92"/>
      <c r="F1658" s="92"/>
      <c r="G1658" s="92"/>
      <c r="H1658" s="92"/>
      <c r="I1658" s="92"/>
      <c r="J1658" s="92"/>
      <c r="K1658" s="92"/>
      <c r="L1658" s="92"/>
      <c r="M1658" s="92"/>
      <c r="N1658" s="92"/>
      <c r="AG1658" s="100"/>
      <c r="AH1658" s="101"/>
      <c r="AI1658" s="101"/>
      <c r="AJ1658" s="101"/>
      <c r="AK1658" s="100"/>
      <c r="AL1658" s="100"/>
      <c r="AM1658" s="100"/>
      <c r="AN1658" s="100"/>
      <c r="AO1658" s="100"/>
      <c r="AP1658" s="100"/>
      <c r="AQ1658" s="100"/>
      <c r="AR1658" s="100"/>
      <c r="AS1658" s="100"/>
      <c r="AT1658" s="102"/>
      <c r="AX1658" s="100"/>
      <c r="AY1658" s="101"/>
      <c r="AZ1658" s="101"/>
      <c r="BA1658" s="101"/>
      <c r="BB1658" s="100"/>
      <c r="BC1658" s="100"/>
      <c r="BD1658" s="100"/>
      <c r="BE1658" s="100"/>
      <c r="BF1658" s="100"/>
      <c r="BG1658" s="100"/>
      <c r="BH1658" s="100"/>
      <c r="BI1658" s="100"/>
      <c r="BJ1658" s="100"/>
      <c r="BK1658" s="102"/>
    </row>
    <row r="1659" spans="1:63" x14ac:dyDescent="0.25">
      <c r="A1659" s="92"/>
      <c r="B1659" s="92"/>
      <c r="C1659" s="92"/>
      <c r="D1659" s="92"/>
      <c r="E1659" s="92"/>
      <c r="F1659" s="92"/>
      <c r="G1659" s="92"/>
      <c r="H1659" s="92"/>
      <c r="I1659" s="92"/>
      <c r="J1659" s="92"/>
      <c r="K1659" s="92"/>
      <c r="L1659" s="92"/>
      <c r="M1659" s="92"/>
      <c r="N1659" s="92"/>
      <c r="AG1659" s="100"/>
      <c r="AH1659" s="101"/>
      <c r="AI1659" s="101"/>
      <c r="AJ1659" s="101"/>
      <c r="AK1659" s="100"/>
      <c r="AL1659" s="100"/>
      <c r="AM1659" s="100"/>
      <c r="AN1659" s="100"/>
      <c r="AO1659" s="100"/>
      <c r="AP1659" s="100"/>
      <c r="AQ1659" s="100"/>
      <c r="AR1659" s="100"/>
      <c r="AS1659" s="100"/>
      <c r="AT1659" s="102"/>
      <c r="AX1659" s="100"/>
      <c r="AY1659" s="101"/>
      <c r="AZ1659" s="101"/>
      <c r="BA1659" s="100"/>
      <c r="BB1659" s="100"/>
      <c r="BC1659" s="100"/>
      <c r="BD1659" s="100"/>
      <c r="BE1659" s="100"/>
      <c r="BF1659" s="100"/>
      <c r="BG1659" s="100"/>
      <c r="BH1659" s="100"/>
      <c r="BI1659" s="100"/>
      <c r="BJ1659" s="100"/>
      <c r="BK1659" s="102"/>
    </row>
    <row r="1660" spans="1:63" x14ac:dyDescent="0.25">
      <c r="A1660" s="92"/>
      <c r="B1660" s="93"/>
      <c r="C1660" s="93"/>
      <c r="D1660" s="92"/>
      <c r="E1660" s="92"/>
      <c r="F1660" s="92"/>
      <c r="G1660" s="92"/>
      <c r="H1660" s="92"/>
      <c r="I1660" s="92"/>
      <c r="J1660" s="92"/>
      <c r="K1660" s="92"/>
      <c r="L1660" s="92"/>
      <c r="M1660" s="92"/>
      <c r="N1660" s="94"/>
      <c r="AG1660" s="100"/>
      <c r="AH1660" s="101"/>
      <c r="AI1660" s="101"/>
      <c r="AJ1660" s="100"/>
      <c r="AK1660" s="100"/>
      <c r="AL1660" s="100"/>
      <c r="AM1660" s="100"/>
      <c r="AN1660" s="100"/>
      <c r="AO1660" s="100"/>
      <c r="AP1660" s="100"/>
      <c r="AQ1660" s="100"/>
      <c r="AR1660" s="100"/>
      <c r="AS1660" s="100"/>
      <c r="AT1660" s="102"/>
      <c r="AX1660" s="100"/>
      <c r="AY1660" s="101"/>
      <c r="AZ1660" s="101"/>
      <c r="BA1660" s="100"/>
      <c r="BB1660" s="100"/>
      <c r="BC1660" s="100"/>
      <c r="BD1660" s="100"/>
      <c r="BE1660" s="100"/>
      <c r="BF1660" s="100"/>
      <c r="BG1660" s="100"/>
      <c r="BH1660" s="100"/>
      <c r="BI1660" s="100"/>
      <c r="BJ1660" s="100"/>
      <c r="BK1660" s="102"/>
    </row>
    <row r="1661" spans="1:63" x14ac:dyDescent="0.25">
      <c r="A1661" s="92"/>
      <c r="B1661" s="92"/>
      <c r="C1661" s="92"/>
      <c r="D1661" s="92"/>
      <c r="E1661" s="92"/>
      <c r="F1661" s="92"/>
      <c r="G1661" s="92"/>
      <c r="H1661" s="92"/>
      <c r="I1661" s="92"/>
      <c r="J1661" s="92"/>
      <c r="K1661" s="92"/>
      <c r="L1661" s="92"/>
      <c r="M1661" s="92"/>
      <c r="N1661" s="92"/>
      <c r="AG1661" s="100"/>
      <c r="AH1661" s="101"/>
      <c r="AI1661" s="101"/>
      <c r="AJ1661" s="100"/>
      <c r="AK1661" s="100"/>
      <c r="AL1661" s="100"/>
      <c r="AM1661" s="100"/>
      <c r="AN1661" s="100"/>
      <c r="AO1661" s="100"/>
      <c r="AP1661" s="100"/>
      <c r="AQ1661" s="100"/>
      <c r="AR1661" s="100"/>
      <c r="AS1661" s="100"/>
      <c r="AT1661" s="102"/>
      <c r="AX1661" s="100"/>
      <c r="AY1661" s="101"/>
      <c r="AZ1661" s="101"/>
      <c r="BA1661" s="100"/>
      <c r="BB1661" s="100"/>
      <c r="BC1661" s="100"/>
      <c r="BD1661" s="100"/>
      <c r="BE1661" s="100"/>
      <c r="BF1661" s="100"/>
      <c r="BG1661" s="100"/>
      <c r="BH1661" s="100"/>
      <c r="BI1661" s="100"/>
      <c r="BJ1661" s="100"/>
      <c r="BK1661" s="102"/>
    </row>
    <row r="1662" spans="1:63" x14ac:dyDescent="0.25">
      <c r="A1662" s="92"/>
      <c r="B1662" s="92"/>
      <c r="C1662" s="92"/>
      <c r="D1662" s="92"/>
      <c r="E1662" s="92"/>
      <c r="F1662" s="92"/>
      <c r="G1662" s="92"/>
      <c r="H1662" s="92"/>
      <c r="I1662" s="92"/>
      <c r="J1662" s="92"/>
      <c r="K1662" s="92"/>
      <c r="L1662" s="92"/>
      <c r="M1662" s="92"/>
      <c r="N1662" s="92"/>
      <c r="AG1662" s="100"/>
      <c r="AH1662" s="101"/>
      <c r="AI1662" s="101"/>
      <c r="AJ1662" s="100"/>
      <c r="AK1662" s="100"/>
      <c r="AL1662" s="100"/>
      <c r="AM1662" s="100"/>
      <c r="AN1662" s="100"/>
      <c r="AO1662" s="100"/>
      <c r="AP1662" s="100"/>
      <c r="AQ1662" s="100"/>
      <c r="AR1662" s="100"/>
      <c r="AS1662" s="100"/>
      <c r="AT1662" s="102"/>
      <c r="AX1662" s="100"/>
      <c r="AY1662" s="101"/>
      <c r="AZ1662" s="101"/>
      <c r="BA1662" s="100"/>
      <c r="BB1662" s="100"/>
      <c r="BC1662" s="100"/>
      <c r="BD1662" s="100"/>
      <c r="BE1662" s="100"/>
      <c r="BF1662" s="100"/>
      <c r="BG1662" s="100"/>
      <c r="BH1662" s="100"/>
      <c r="BI1662" s="100"/>
      <c r="BJ1662" s="100"/>
      <c r="BK1662" s="102"/>
    </row>
    <row r="1663" spans="1:63" x14ac:dyDescent="0.25">
      <c r="A1663" s="92"/>
      <c r="B1663" s="92"/>
      <c r="C1663" s="92"/>
      <c r="D1663" s="92"/>
      <c r="E1663" s="92"/>
      <c r="F1663" s="92"/>
      <c r="G1663" s="92"/>
      <c r="H1663" s="92"/>
      <c r="I1663" s="92"/>
      <c r="J1663" s="92"/>
      <c r="K1663" s="92"/>
      <c r="L1663" s="92"/>
      <c r="M1663" s="92"/>
      <c r="N1663" s="92"/>
      <c r="AG1663" s="100"/>
      <c r="AH1663" s="101"/>
      <c r="AI1663" s="101"/>
      <c r="AJ1663" s="100"/>
      <c r="AK1663" s="100"/>
      <c r="AL1663" s="100"/>
      <c r="AM1663" s="100"/>
      <c r="AN1663" s="100"/>
      <c r="AO1663" s="100"/>
      <c r="AP1663" s="100"/>
      <c r="AQ1663" s="100"/>
      <c r="AR1663" s="100"/>
      <c r="AS1663" s="100"/>
      <c r="AT1663" s="102"/>
      <c r="AX1663" s="100"/>
      <c r="AY1663" s="101"/>
      <c r="AZ1663" s="101"/>
      <c r="BA1663" s="100"/>
      <c r="BB1663" s="100"/>
      <c r="BC1663" s="100"/>
      <c r="BD1663" s="100"/>
      <c r="BE1663" s="100"/>
      <c r="BF1663" s="100"/>
      <c r="BG1663" s="100"/>
      <c r="BH1663" s="100"/>
      <c r="BI1663" s="100"/>
      <c r="BJ1663" s="100"/>
      <c r="BK1663" s="102"/>
    </row>
    <row r="1664" spans="1:63" x14ac:dyDescent="0.25">
      <c r="A1664" s="92"/>
      <c r="B1664" s="92"/>
      <c r="C1664" s="92"/>
      <c r="D1664" s="92"/>
      <c r="E1664" s="92"/>
      <c r="F1664" s="92"/>
      <c r="G1664" s="92"/>
      <c r="H1664" s="92"/>
      <c r="I1664" s="92"/>
      <c r="J1664" s="92"/>
      <c r="K1664" s="92"/>
      <c r="L1664" s="92"/>
      <c r="M1664" s="92"/>
      <c r="N1664" s="92"/>
      <c r="AG1664" s="100"/>
      <c r="AH1664" s="101"/>
      <c r="AI1664" s="101"/>
      <c r="AJ1664" s="100"/>
      <c r="AK1664" s="100"/>
      <c r="AL1664" s="100"/>
      <c r="AM1664" s="100"/>
      <c r="AN1664" s="100"/>
      <c r="AO1664" s="100"/>
      <c r="AP1664" s="100"/>
      <c r="AQ1664" s="100"/>
      <c r="AR1664" s="100"/>
      <c r="AS1664" s="100"/>
      <c r="AT1664" s="102"/>
      <c r="AX1664" s="100"/>
      <c r="AY1664" s="101"/>
      <c r="AZ1664" s="101"/>
      <c r="BA1664" s="100"/>
      <c r="BB1664" s="100"/>
      <c r="BC1664" s="100"/>
      <c r="BD1664" s="100"/>
      <c r="BE1664" s="100"/>
      <c r="BF1664" s="100"/>
      <c r="BG1664" s="100"/>
      <c r="BH1664" s="100"/>
      <c r="BI1664" s="100"/>
      <c r="BJ1664" s="100"/>
      <c r="BK1664" s="102"/>
    </row>
    <row r="1665" spans="1:63" x14ac:dyDescent="0.25">
      <c r="A1665" s="92"/>
      <c r="B1665" s="92"/>
      <c r="C1665" s="92"/>
      <c r="D1665" s="92"/>
      <c r="E1665" s="92"/>
      <c r="F1665" s="92"/>
      <c r="G1665" s="92"/>
      <c r="H1665" s="92"/>
      <c r="I1665" s="92"/>
      <c r="J1665" s="92"/>
      <c r="K1665" s="92"/>
      <c r="L1665" s="92"/>
      <c r="M1665" s="92"/>
      <c r="N1665" s="92"/>
      <c r="AG1665" s="100"/>
      <c r="AH1665" s="101"/>
      <c r="AI1665" s="101"/>
      <c r="AJ1665" s="101"/>
      <c r="AK1665" s="100"/>
      <c r="AL1665" s="100"/>
      <c r="AM1665" s="100"/>
      <c r="AN1665" s="100"/>
      <c r="AO1665" s="100"/>
      <c r="AP1665" s="100"/>
      <c r="AQ1665" s="100"/>
      <c r="AR1665" s="100"/>
      <c r="AS1665" s="100"/>
      <c r="AT1665" s="102"/>
      <c r="AX1665" s="100"/>
      <c r="AY1665" s="101"/>
      <c r="AZ1665" s="101"/>
      <c r="BA1665" s="100"/>
      <c r="BB1665" s="100"/>
      <c r="BC1665" s="100"/>
      <c r="BD1665" s="100"/>
      <c r="BE1665" s="100"/>
      <c r="BF1665" s="100"/>
      <c r="BG1665" s="100"/>
      <c r="BH1665" s="100"/>
      <c r="BI1665" s="100"/>
      <c r="BJ1665" s="100"/>
      <c r="BK1665" s="102"/>
    </row>
    <row r="1666" spans="1:63" x14ac:dyDescent="0.25">
      <c r="A1666" s="92"/>
      <c r="B1666" s="92"/>
      <c r="C1666" s="92"/>
      <c r="D1666" s="92"/>
      <c r="E1666" s="92"/>
      <c r="F1666" s="92"/>
      <c r="G1666" s="92"/>
      <c r="H1666" s="92"/>
      <c r="I1666" s="92"/>
      <c r="J1666" s="92"/>
      <c r="K1666" s="92"/>
      <c r="L1666" s="92"/>
      <c r="M1666" s="92"/>
      <c r="N1666" s="92"/>
      <c r="AG1666" s="100"/>
      <c r="AH1666" s="101"/>
      <c r="AI1666" s="101"/>
      <c r="AJ1666" s="100"/>
      <c r="AK1666" s="100"/>
      <c r="AL1666" s="100"/>
      <c r="AM1666" s="100"/>
      <c r="AN1666" s="100"/>
      <c r="AO1666" s="100"/>
      <c r="AP1666" s="100"/>
      <c r="AQ1666" s="100"/>
      <c r="AR1666" s="100"/>
      <c r="AS1666" s="100"/>
      <c r="AT1666" s="102"/>
      <c r="AX1666" s="100"/>
      <c r="AY1666" s="101"/>
      <c r="AZ1666" s="101"/>
      <c r="BA1666" s="100"/>
      <c r="BB1666" s="100"/>
      <c r="BC1666" s="100"/>
      <c r="BD1666" s="100"/>
      <c r="BE1666" s="100"/>
      <c r="BF1666" s="100"/>
      <c r="BG1666" s="100"/>
      <c r="BH1666" s="100"/>
      <c r="BI1666" s="100"/>
      <c r="BJ1666" s="100"/>
      <c r="BK1666" s="102"/>
    </row>
    <row r="1667" spans="1:63" x14ac:dyDescent="0.25">
      <c r="A1667" s="92"/>
      <c r="B1667" s="92"/>
      <c r="C1667" s="92"/>
      <c r="D1667" s="92"/>
      <c r="E1667" s="92"/>
      <c r="F1667" s="92"/>
      <c r="G1667" s="92"/>
      <c r="H1667" s="92"/>
      <c r="I1667" s="92"/>
      <c r="J1667" s="92"/>
      <c r="K1667" s="92"/>
      <c r="L1667" s="92"/>
      <c r="M1667" s="92"/>
      <c r="N1667" s="92"/>
      <c r="AG1667" s="100"/>
      <c r="AH1667" s="101"/>
      <c r="AI1667" s="101"/>
      <c r="AJ1667" s="100"/>
      <c r="AK1667" s="100"/>
      <c r="AL1667" s="100"/>
      <c r="AM1667" s="100"/>
      <c r="AN1667" s="100"/>
      <c r="AO1667" s="100"/>
      <c r="AP1667" s="100"/>
      <c r="AQ1667" s="100"/>
      <c r="AR1667" s="100"/>
      <c r="AS1667" s="100"/>
      <c r="AT1667" s="102"/>
      <c r="AX1667" s="100"/>
      <c r="AY1667" s="101"/>
      <c r="AZ1667" s="101"/>
      <c r="BA1667" s="100"/>
      <c r="BB1667" s="100"/>
      <c r="BC1667" s="100"/>
      <c r="BD1667" s="100"/>
      <c r="BE1667" s="100"/>
      <c r="BF1667" s="100"/>
      <c r="BG1667" s="100"/>
      <c r="BH1667" s="100"/>
      <c r="BI1667" s="100"/>
      <c r="BJ1667" s="100"/>
      <c r="BK1667" s="102"/>
    </row>
    <row r="1668" spans="1:63" x14ac:dyDescent="0.25">
      <c r="A1668" s="92"/>
      <c r="B1668" s="93"/>
      <c r="C1668" s="93"/>
      <c r="D1668" s="92"/>
      <c r="E1668" s="92"/>
      <c r="F1668" s="92"/>
      <c r="G1668" s="92"/>
      <c r="H1668" s="92"/>
      <c r="I1668" s="92"/>
      <c r="J1668" s="92"/>
      <c r="K1668" s="92"/>
      <c r="L1668" s="92"/>
      <c r="M1668" s="92"/>
      <c r="N1668" s="94"/>
      <c r="AG1668" s="100"/>
      <c r="AH1668" s="101"/>
      <c r="AI1668" s="101"/>
      <c r="AJ1668" s="101"/>
      <c r="AK1668" s="100"/>
      <c r="AL1668" s="100"/>
      <c r="AM1668" s="100"/>
      <c r="AN1668" s="100"/>
      <c r="AO1668" s="100"/>
      <c r="AP1668" s="100"/>
      <c r="AQ1668" s="100"/>
      <c r="AR1668" s="100"/>
      <c r="AS1668" s="100"/>
      <c r="AT1668" s="102"/>
      <c r="AX1668" s="100"/>
      <c r="AY1668" s="101"/>
      <c r="AZ1668" s="101"/>
      <c r="BA1668" s="101"/>
      <c r="BB1668" s="100"/>
      <c r="BC1668" s="100"/>
      <c r="BD1668" s="100"/>
      <c r="BE1668" s="100"/>
      <c r="BF1668" s="100"/>
      <c r="BG1668" s="100"/>
      <c r="BH1668" s="100"/>
      <c r="BI1668" s="100"/>
      <c r="BJ1668" s="100"/>
      <c r="BK1668" s="102"/>
    </row>
    <row r="1669" spans="1:63" x14ac:dyDescent="0.25">
      <c r="A1669" s="92"/>
      <c r="B1669" s="93"/>
      <c r="C1669" s="93"/>
      <c r="D1669" s="93"/>
      <c r="E1669" s="92"/>
      <c r="F1669" s="92"/>
      <c r="G1669" s="92"/>
      <c r="H1669" s="92"/>
      <c r="I1669" s="92"/>
      <c r="J1669" s="92"/>
      <c r="K1669" s="92"/>
      <c r="L1669" s="92"/>
      <c r="M1669" s="92"/>
      <c r="N1669" s="94"/>
      <c r="AG1669" s="100"/>
      <c r="AH1669" s="101"/>
      <c r="AI1669" s="101"/>
      <c r="AJ1669" s="100"/>
      <c r="AK1669" s="100"/>
      <c r="AL1669" s="100"/>
      <c r="AM1669" s="100"/>
      <c r="AN1669" s="100"/>
      <c r="AO1669" s="100"/>
      <c r="AP1669" s="100"/>
      <c r="AQ1669" s="100"/>
      <c r="AR1669" s="100"/>
      <c r="AS1669" s="100"/>
      <c r="AT1669" s="102"/>
      <c r="AX1669" s="100"/>
      <c r="AY1669" s="101"/>
      <c r="AZ1669" s="101"/>
      <c r="BA1669" s="100"/>
      <c r="BB1669" s="100"/>
      <c r="BC1669" s="100"/>
      <c r="BD1669" s="100"/>
      <c r="BE1669" s="100"/>
      <c r="BF1669" s="100"/>
      <c r="BG1669" s="100"/>
      <c r="BH1669" s="100"/>
      <c r="BI1669" s="100"/>
      <c r="BJ1669" s="100"/>
      <c r="BK1669" s="102"/>
    </row>
    <row r="1670" spans="1:63" x14ac:dyDescent="0.25">
      <c r="A1670" s="92"/>
      <c r="B1670" s="92"/>
      <c r="C1670" s="92"/>
      <c r="D1670" s="92"/>
      <c r="E1670" s="92"/>
      <c r="F1670" s="92"/>
      <c r="G1670" s="92"/>
      <c r="H1670" s="92"/>
      <c r="I1670" s="92"/>
      <c r="J1670" s="92"/>
      <c r="K1670" s="92"/>
      <c r="L1670" s="92"/>
      <c r="M1670" s="92"/>
      <c r="N1670" s="92"/>
      <c r="AG1670" s="100"/>
      <c r="AH1670" s="101"/>
      <c r="AI1670" s="101"/>
      <c r="AJ1670" s="100"/>
      <c r="AK1670" s="100"/>
      <c r="AL1670" s="100"/>
      <c r="AM1670" s="100"/>
      <c r="AN1670" s="100"/>
      <c r="AO1670" s="100"/>
      <c r="AP1670" s="100"/>
      <c r="AQ1670" s="100"/>
      <c r="AR1670" s="100"/>
      <c r="AS1670" s="100"/>
      <c r="AT1670" s="102"/>
      <c r="AX1670" s="100"/>
      <c r="AY1670" s="101"/>
      <c r="AZ1670" s="101"/>
      <c r="BA1670" s="101"/>
      <c r="BB1670" s="100"/>
      <c r="BC1670" s="100"/>
      <c r="BD1670" s="100"/>
      <c r="BE1670" s="100"/>
      <c r="BF1670" s="100"/>
      <c r="BG1670" s="100"/>
      <c r="BH1670" s="100"/>
      <c r="BI1670" s="100"/>
      <c r="BJ1670" s="100"/>
      <c r="BK1670" s="102"/>
    </row>
    <row r="1671" spans="1:63" x14ac:dyDescent="0.25">
      <c r="A1671" s="92"/>
      <c r="B1671" s="92"/>
      <c r="C1671" s="92"/>
      <c r="D1671" s="92"/>
      <c r="E1671" s="92"/>
      <c r="F1671" s="92"/>
      <c r="G1671" s="92"/>
      <c r="H1671" s="92"/>
      <c r="I1671" s="92"/>
      <c r="J1671" s="92"/>
      <c r="K1671" s="92"/>
      <c r="L1671" s="92"/>
      <c r="M1671" s="92"/>
      <c r="N1671" s="92"/>
      <c r="AG1671" s="100"/>
      <c r="AH1671" s="101"/>
      <c r="AI1671" s="101"/>
      <c r="AJ1671" s="100"/>
      <c r="AK1671" s="100"/>
      <c r="AL1671" s="100"/>
      <c r="AM1671" s="100"/>
      <c r="AN1671" s="100"/>
      <c r="AO1671" s="100"/>
      <c r="AP1671" s="100"/>
      <c r="AQ1671" s="100"/>
      <c r="AR1671" s="100"/>
      <c r="AS1671" s="100"/>
      <c r="AT1671" s="102"/>
      <c r="AX1671" s="100"/>
      <c r="AY1671" s="101"/>
      <c r="AZ1671" s="101"/>
      <c r="BA1671" s="101"/>
      <c r="BB1671" s="100"/>
      <c r="BC1671" s="100"/>
      <c r="BD1671" s="100"/>
      <c r="BE1671" s="100"/>
      <c r="BF1671" s="100"/>
      <c r="BG1671" s="100"/>
      <c r="BH1671" s="100"/>
      <c r="BI1671" s="100"/>
      <c r="BJ1671" s="100"/>
      <c r="BK1671" s="102"/>
    </row>
    <row r="1672" spans="1:63" x14ac:dyDescent="0.25">
      <c r="A1672" s="92"/>
      <c r="B1672" s="92"/>
      <c r="C1672" s="92"/>
      <c r="D1672" s="92"/>
      <c r="E1672" s="92"/>
      <c r="F1672" s="92"/>
      <c r="G1672" s="92"/>
      <c r="H1672" s="92"/>
      <c r="I1672" s="92"/>
      <c r="J1672" s="92"/>
      <c r="K1672" s="92"/>
      <c r="L1672" s="92"/>
      <c r="M1672" s="92"/>
      <c r="N1672" s="92"/>
      <c r="AG1672" s="100"/>
      <c r="AH1672" s="101"/>
      <c r="AI1672" s="101"/>
      <c r="AJ1672" s="101"/>
      <c r="AK1672" s="100"/>
      <c r="AL1672" s="100"/>
      <c r="AM1672" s="100"/>
      <c r="AN1672" s="100"/>
      <c r="AO1672" s="100"/>
      <c r="AP1672" s="100"/>
      <c r="AQ1672" s="100"/>
      <c r="AR1672" s="100"/>
      <c r="AS1672" s="100"/>
      <c r="AT1672" s="102"/>
      <c r="AX1672" s="100"/>
      <c r="AY1672" s="101"/>
      <c r="AZ1672" s="101"/>
      <c r="BA1672" s="101"/>
      <c r="BB1672" s="100"/>
      <c r="BC1672" s="100"/>
      <c r="BD1672" s="100"/>
      <c r="BE1672" s="100"/>
      <c r="BF1672" s="100"/>
      <c r="BG1672" s="100"/>
      <c r="BH1672" s="100"/>
      <c r="BI1672" s="100"/>
      <c r="BJ1672" s="100"/>
      <c r="BK1672" s="102"/>
    </row>
    <row r="1673" spans="1:63" x14ac:dyDescent="0.25">
      <c r="A1673" s="92"/>
      <c r="B1673" s="92"/>
      <c r="C1673" s="92"/>
      <c r="D1673" s="92"/>
      <c r="E1673" s="92"/>
      <c r="F1673" s="92"/>
      <c r="G1673" s="92"/>
      <c r="H1673" s="92"/>
      <c r="I1673" s="92"/>
      <c r="J1673" s="92"/>
      <c r="K1673" s="92"/>
      <c r="L1673" s="92"/>
      <c r="M1673" s="92"/>
      <c r="N1673" s="92"/>
      <c r="AG1673" s="100"/>
      <c r="AH1673" s="101"/>
      <c r="AI1673" s="101"/>
      <c r="AJ1673" s="100"/>
      <c r="AK1673" s="100"/>
      <c r="AL1673" s="100"/>
      <c r="AM1673" s="100"/>
      <c r="AN1673" s="100"/>
      <c r="AO1673" s="100"/>
      <c r="AP1673" s="100"/>
      <c r="AQ1673" s="100"/>
      <c r="AR1673" s="100"/>
      <c r="AS1673" s="100"/>
      <c r="AT1673" s="102"/>
      <c r="AX1673" s="100"/>
      <c r="AY1673" s="101"/>
      <c r="AZ1673" s="101"/>
      <c r="BA1673" s="100"/>
      <c r="BB1673" s="100"/>
      <c r="BC1673" s="100"/>
      <c r="BD1673" s="100"/>
      <c r="BE1673" s="100"/>
      <c r="BF1673" s="100"/>
      <c r="BG1673" s="100"/>
      <c r="BH1673" s="100"/>
      <c r="BI1673" s="100"/>
      <c r="BJ1673" s="100"/>
      <c r="BK1673" s="102"/>
    </row>
    <row r="1674" spans="1:63" x14ac:dyDescent="0.25">
      <c r="A1674" s="92"/>
      <c r="B1674" s="93"/>
      <c r="C1674" s="93"/>
      <c r="D1674" s="92"/>
      <c r="E1674" s="92"/>
      <c r="F1674" s="92"/>
      <c r="G1674" s="92"/>
      <c r="H1674" s="92"/>
      <c r="I1674" s="92"/>
      <c r="J1674" s="92"/>
      <c r="K1674" s="92"/>
      <c r="L1674" s="92"/>
      <c r="M1674" s="92"/>
      <c r="N1674" s="94"/>
      <c r="AG1674" s="100"/>
      <c r="AH1674" s="101"/>
      <c r="AI1674" s="101"/>
      <c r="AJ1674" s="100"/>
      <c r="AK1674" s="100"/>
      <c r="AL1674" s="100"/>
      <c r="AM1674" s="100"/>
      <c r="AN1674" s="100"/>
      <c r="AO1674" s="100"/>
      <c r="AP1674" s="100"/>
      <c r="AQ1674" s="100"/>
      <c r="AR1674" s="100"/>
      <c r="AS1674" s="100"/>
      <c r="AT1674" s="102"/>
      <c r="AX1674" s="100"/>
      <c r="AY1674" s="101"/>
      <c r="AZ1674" s="101"/>
      <c r="BA1674" s="101"/>
      <c r="BB1674" s="100"/>
      <c r="BC1674" s="100"/>
      <c r="BD1674" s="100"/>
      <c r="BE1674" s="100"/>
      <c r="BF1674" s="100"/>
      <c r="BG1674" s="100"/>
      <c r="BH1674" s="100"/>
      <c r="BI1674" s="100"/>
      <c r="BJ1674" s="100"/>
      <c r="BK1674" s="102"/>
    </row>
    <row r="1675" spans="1:63" x14ac:dyDescent="0.25">
      <c r="A1675" s="92"/>
      <c r="B1675" s="92"/>
      <c r="C1675" s="92"/>
      <c r="D1675" s="92"/>
      <c r="E1675" s="92"/>
      <c r="F1675" s="92"/>
      <c r="G1675" s="92"/>
      <c r="H1675" s="92"/>
      <c r="I1675" s="92"/>
      <c r="J1675" s="92"/>
      <c r="K1675" s="92"/>
      <c r="L1675" s="92"/>
      <c r="M1675" s="92"/>
      <c r="N1675" s="92"/>
      <c r="AG1675" s="100"/>
      <c r="AH1675" s="101"/>
      <c r="AI1675" s="101"/>
      <c r="AJ1675" s="100"/>
      <c r="AK1675" s="100"/>
      <c r="AL1675" s="100"/>
      <c r="AM1675" s="100"/>
      <c r="AN1675" s="100"/>
      <c r="AO1675" s="100"/>
      <c r="AP1675" s="100"/>
      <c r="AQ1675" s="100"/>
      <c r="AR1675" s="100"/>
      <c r="AS1675" s="100"/>
      <c r="AT1675" s="102"/>
      <c r="AX1675" s="100"/>
      <c r="AY1675" s="101"/>
      <c r="AZ1675" s="101"/>
      <c r="BA1675" s="100"/>
      <c r="BB1675" s="100"/>
      <c r="BC1675" s="100"/>
      <c r="BD1675" s="100"/>
      <c r="BE1675" s="100"/>
      <c r="BF1675" s="100"/>
      <c r="BG1675" s="100"/>
      <c r="BH1675" s="100"/>
      <c r="BI1675" s="100"/>
      <c r="BJ1675" s="100"/>
      <c r="BK1675" s="102"/>
    </row>
    <row r="1676" spans="1:63" x14ac:dyDescent="0.25">
      <c r="A1676" s="92"/>
      <c r="B1676" s="93"/>
      <c r="C1676" s="93"/>
      <c r="D1676" s="92"/>
      <c r="E1676" s="92"/>
      <c r="F1676" s="92"/>
      <c r="G1676" s="92"/>
      <c r="H1676" s="92"/>
      <c r="I1676" s="92"/>
      <c r="J1676" s="92"/>
      <c r="K1676" s="92"/>
      <c r="L1676" s="92"/>
      <c r="M1676" s="92"/>
      <c r="N1676" s="94"/>
      <c r="AG1676" s="100"/>
      <c r="AH1676" s="101"/>
      <c r="AI1676" s="101"/>
      <c r="AJ1676" s="100"/>
      <c r="AK1676" s="100"/>
      <c r="AL1676" s="100"/>
      <c r="AM1676" s="100"/>
      <c r="AN1676" s="100"/>
      <c r="AO1676" s="100"/>
      <c r="AP1676" s="100"/>
      <c r="AQ1676" s="100"/>
      <c r="AR1676" s="100"/>
      <c r="AS1676" s="100"/>
      <c r="AT1676" s="102"/>
      <c r="AX1676" s="100"/>
      <c r="AY1676" s="101"/>
      <c r="AZ1676" s="101"/>
      <c r="BA1676" s="101"/>
      <c r="BB1676" s="100"/>
      <c r="BC1676" s="100"/>
      <c r="BD1676" s="100"/>
      <c r="BE1676" s="100"/>
      <c r="BF1676" s="100"/>
      <c r="BG1676" s="100"/>
      <c r="BH1676" s="100"/>
      <c r="BI1676" s="100"/>
      <c r="BJ1676" s="100"/>
      <c r="BK1676" s="102"/>
    </row>
    <row r="1677" spans="1:63" x14ac:dyDescent="0.25">
      <c r="A1677" s="92"/>
      <c r="B1677" s="93"/>
      <c r="C1677" s="93"/>
      <c r="D1677" s="92"/>
      <c r="E1677" s="92"/>
      <c r="F1677" s="92"/>
      <c r="G1677" s="92"/>
      <c r="H1677" s="92"/>
      <c r="I1677" s="92"/>
      <c r="J1677" s="92"/>
      <c r="K1677" s="92"/>
      <c r="L1677" s="92"/>
      <c r="M1677" s="92"/>
      <c r="N1677" s="94"/>
      <c r="AG1677" s="100"/>
      <c r="AH1677" s="101"/>
      <c r="AI1677" s="101"/>
      <c r="AJ1677" s="100"/>
      <c r="AK1677" s="100"/>
      <c r="AL1677" s="100"/>
      <c r="AM1677" s="100"/>
      <c r="AN1677" s="100"/>
      <c r="AO1677" s="100"/>
      <c r="AP1677" s="100"/>
      <c r="AQ1677" s="100"/>
      <c r="AR1677" s="100"/>
      <c r="AS1677" s="100"/>
      <c r="AT1677" s="102"/>
      <c r="AX1677" s="100"/>
      <c r="AY1677" s="101"/>
      <c r="AZ1677" s="101"/>
      <c r="BA1677" s="101"/>
      <c r="BB1677" s="100"/>
      <c r="BC1677" s="100"/>
      <c r="BD1677" s="100"/>
      <c r="BE1677" s="100"/>
      <c r="BF1677" s="100"/>
      <c r="BG1677" s="100"/>
      <c r="BH1677" s="100"/>
      <c r="BI1677" s="100"/>
      <c r="BJ1677" s="100"/>
      <c r="BK1677" s="102"/>
    </row>
    <row r="1678" spans="1:63" x14ac:dyDescent="0.25">
      <c r="A1678" s="92"/>
      <c r="B1678" s="92"/>
      <c r="C1678" s="92"/>
      <c r="D1678" s="92"/>
      <c r="E1678" s="92"/>
      <c r="F1678" s="92"/>
      <c r="G1678" s="92"/>
      <c r="H1678" s="92"/>
      <c r="I1678" s="92"/>
      <c r="J1678" s="92"/>
      <c r="K1678" s="92"/>
      <c r="L1678" s="92"/>
      <c r="M1678" s="92"/>
      <c r="N1678" s="92"/>
      <c r="AG1678" s="100"/>
      <c r="AH1678" s="101"/>
      <c r="AI1678" s="101"/>
      <c r="AJ1678" s="100"/>
      <c r="AK1678" s="100"/>
      <c r="AL1678" s="100"/>
      <c r="AM1678" s="100"/>
      <c r="AN1678" s="100"/>
      <c r="AO1678" s="100"/>
      <c r="AP1678" s="100"/>
      <c r="AQ1678" s="100"/>
      <c r="AR1678" s="100"/>
      <c r="AS1678" s="100"/>
      <c r="AT1678" s="102"/>
      <c r="AX1678" s="100"/>
      <c r="AY1678" s="101"/>
      <c r="AZ1678" s="101"/>
      <c r="BA1678" s="101"/>
      <c r="BB1678" s="100"/>
      <c r="BC1678" s="100"/>
      <c r="BD1678" s="100"/>
      <c r="BE1678" s="100"/>
      <c r="BF1678" s="100"/>
      <c r="BG1678" s="100"/>
      <c r="BH1678" s="100"/>
      <c r="BI1678" s="100"/>
      <c r="BJ1678" s="100"/>
      <c r="BK1678" s="102"/>
    </row>
    <row r="1679" spans="1:63" x14ac:dyDescent="0.25">
      <c r="A1679" s="92"/>
      <c r="B1679" s="92"/>
      <c r="C1679" s="92"/>
      <c r="D1679" s="92"/>
      <c r="E1679" s="92"/>
      <c r="F1679" s="92"/>
      <c r="G1679" s="92"/>
      <c r="H1679" s="92"/>
      <c r="I1679" s="92"/>
      <c r="J1679" s="92"/>
      <c r="K1679" s="92"/>
      <c r="L1679" s="92"/>
      <c r="M1679" s="92"/>
      <c r="N1679" s="92"/>
      <c r="AG1679" s="100"/>
      <c r="AH1679" s="101"/>
      <c r="AI1679" s="101"/>
      <c r="AJ1679" s="101"/>
      <c r="AK1679" s="100"/>
      <c r="AL1679" s="100"/>
      <c r="AM1679" s="100"/>
      <c r="AN1679" s="100"/>
      <c r="AO1679" s="100"/>
      <c r="AP1679" s="100"/>
      <c r="AQ1679" s="100"/>
      <c r="AR1679" s="100"/>
      <c r="AS1679" s="100"/>
      <c r="AT1679" s="102"/>
      <c r="AX1679" s="100"/>
      <c r="AY1679" s="101"/>
      <c r="AZ1679" s="101"/>
      <c r="BA1679" s="101"/>
      <c r="BB1679" s="100"/>
      <c r="BC1679" s="100"/>
      <c r="BD1679" s="100"/>
      <c r="BE1679" s="100"/>
      <c r="BF1679" s="100"/>
      <c r="BG1679" s="100"/>
      <c r="BH1679" s="100"/>
      <c r="BI1679" s="100"/>
      <c r="BJ1679" s="100"/>
      <c r="BK1679" s="102"/>
    </row>
    <row r="1680" spans="1:63" x14ac:dyDescent="0.25">
      <c r="A1680" s="92"/>
      <c r="B1680" s="92"/>
      <c r="C1680" s="92"/>
      <c r="D1680" s="92"/>
      <c r="E1680" s="92"/>
      <c r="F1680" s="92"/>
      <c r="G1680" s="92"/>
      <c r="H1680" s="92"/>
      <c r="I1680" s="92"/>
      <c r="J1680" s="92"/>
      <c r="K1680" s="92"/>
      <c r="L1680" s="92"/>
      <c r="M1680" s="92"/>
      <c r="N1680" s="92"/>
      <c r="AG1680" s="100"/>
      <c r="AH1680" s="101"/>
      <c r="AI1680" s="101"/>
      <c r="AJ1680" s="100"/>
      <c r="AK1680" s="100"/>
      <c r="AL1680" s="100"/>
      <c r="AM1680" s="100"/>
      <c r="AN1680" s="100"/>
      <c r="AO1680" s="100"/>
      <c r="AP1680" s="100"/>
      <c r="AQ1680" s="100"/>
      <c r="AR1680" s="100"/>
      <c r="AS1680" s="100"/>
      <c r="AT1680" s="102"/>
      <c r="AX1680" s="100"/>
      <c r="AY1680" s="101"/>
      <c r="AZ1680" s="101"/>
      <c r="BA1680" s="100"/>
      <c r="BB1680" s="100"/>
      <c r="BC1680" s="100"/>
      <c r="BD1680" s="100"/>
      <c r="BE1680" s="100"/>
      <c r="BF1680" s="100"/>
      <c r="BG1680" s="100"/>
      <c r="BH1680" s="100"/>
      <c r="BI1680" s="100"/>
      <c r="BJ1680" s="100"/>
      <c r="BK1680" s="102"/>
    </row>
    <row r="1681" spans="1:63" x14ac:dyDescent="0.25">
      <c r="A1681" s="92"/>
      <c r="B1681" s="93"/>
      <c r="C1681" s="93"/>
      <c r="D1681" s="92"/>
      <c r="E1681" s="92"/>
      <c r="F1681" s="92"/>
      <c r="G1681" s="92"/>
      <c r="H1681" s="92"/>
      <c r="I1681" s="92"/>
      <c r="J1681" s="92"/>
      <c r="K1681" s="92"/>
      <c r="L1681" s="92"/>
      <c r="M1681" s="92"/>
      <c r="N1681" s="94"/>
      <c r="AG1681" s="100"/>
      <c r="AH1681" s="101"/>
      <c r="AI1681" s="101"/>
      <c r="AJ1681" s="100"/>
      <c r="AK1681" s="100"/>
      <c r="AL1681" s="100"/>
      <c r="AM1681" s="100"/>
      <c r="AN1681" s="100"/>
      <c r="AO1681" s="100"/>
      <c r="AP1681" s="100"/>
      <c r="AQ1681" s="100"/>
      <c r="AR1681" s="100"/>
      <c r="AS1681" s="100"/>
      <c r="AT1681" s="102"/>
      <c r="AX1681" s="100"/>
      <c r="AY1681" s="101"/>
      <c r="AZ1681" s="101"/>
      <c r="BA1681" s="100"/>
      <c r="BB1681" s="100"/>
      <c r="BC1681" s="100"/>
      <c r="BD1681" s="100"/>
      <c r="BE1681" s="100"/>
      <c r="BF1681" s="100"/>
      <c r="BG1681" s="100"/>
      <c r="BH1681" s="100"/>
      <c r="BI1681" s="100"/>
      <c r="BJ1681" s="100"/>
      <c r="BK1681" s="102"/>
    </row>
    <row r="1682" spans="1:63" x14ac:dyDescent="0.25">
      <c r="A1682" s="92"/>
      <c r="B1682" s="93"/>
      <c r="C1682" s="93"/>
      <c r="D1682" s="92"/>
      <c r="E1682" s="92"/>
      <c r="F1682" s="92"/>
      <c r="G1682" s="92"/>
      <c r="H1682" s="92"/>
      <c r="I1682" s="92"/>
      <c r="J1682" s="92"/>
      <c r="K1682" s="92"/>
      <c r="L1682" s="92"/>
      <c r="M1682" s="92"/>
      <c r="N1682" s="94"/>
      <c r="AG1682" s="100"/>
      <c r="AH1682" s="101"/>
      <c r="AI1682" s="101"/>
      <c r="AJ1682" s="100"/>
      <c r="AK1682" s="100"/>
      <c r="AL1682" s="100"/>
      <c r="AM1682" s="100"/>
      <c r="AN1682" s="100"/>
      <c r="AO1682" s="100"/>
      <c r="AP1682" s="100"/>
      <c r="AQ1682" s="100"/>
      <c r="AR1682" s="100"/>
      <c r="AS1682" s="100"/>
      <c r="AT1682" s="102"/>
      <c r="AX1682" s="100"/>
      <c r="AY1682" s="101"/>
      <c r="AZ1682" s="101"/>
      <c r="BA1682" s="100"/>
      <c r="BB1682" s="100"/>
      <c r="BC1682" s="100"/>
      <c r="BD1682" s="100"/>
      <c r="BE1682" s="100"/>
      <c r="BF1682" s="100"/>
      <c r="BG1682" s="100"/>
      <c r="BH1682" s="100"/>
      <c r="BI1682" s="100"/>
      <c r="BJ1682" s="100"/>
      <c r="BK1682" s="102"/>
    </row>
    <row r="1683" spans="1:63" x14ac:dyDescent="0.25">
      <c r="A1683" s="92"/>
      <c r="B1683" s="92"/>
      <c r="C1683" s="92"/>
      <c r="D1683" s="92"/>
      <c r="E1683" s="92"/>
      <c r="F1683" s="92"/>
      <c r="G1683" s="92"/>
      <c r="H1683" s="92"/>
      <c r="I1683" s="92"/>
      <c r="J1683" s="92"/>
      <c r="K1683" s="92"/>
      <c r="L1683" s="92"/>
      <c r="M1683" s="92"/>
      <c r="N1683" s="92"/>
      <c r="AG1683" s="100"/>
      <c r="AH1683" s="101"/>
      <c r="AI1683" s="101"/>
      <c r="AJ1683" s="101"/>
      <c r="AK1683" s="100"/>
      <c r="AL1683" s="100"/>
      <c r="AM1683" s="100"/>
      <c r="AN1683" s="100"/>
      <c r="AO1683" s="100"/>
      <c r="AP1683" s="100"/>
      <c r="AQ1683" s="100"/>
      <c r="AR1683" s="100"/>
      <c r="AS1683" s="100"/>
      <c r="AT1683" s="102"/>
      <c r="AX1683" s="100"/>
      <c r="AY1683" s="101"/>
      <c r="AZ1683" s="101"/>
      <c r="BA1683" s="100"/>
      <c r="BB1683" s="100"/>
      <c r="BC1683" s="100"/>
      <c r="BD1683" s="100"/>
      <c r="BE1683" s="100"/>
      <c r="BF1683" s="100"/>
      <c r="BG1683" s="100"/>
      <c r="BH1683" s="100"/>
      <c r="BI1683" s="100"/>
      <c r="BJ1683" s="100"/>
      <c r="BK1683" s="102"/>
    </row>
    <row r="1684" spans="1:63" x14ac:dyDescent="0.25">
      <c r="A1684" s="92"/>
      <c r="B1684" s="92"/>
      <c r="C1684" s="92"/>
      <c r="D1684" s="92"/>
      <c r="E1684" s="92"/>
      <c r="F1684" s="92"/>
      <c r="G1684" s="92"/>
      <c r="H1684" s="92"/>
      <c r="I1684" s="92"/>
      <c r="J1684" s="92"/>
      <c r="K1684" s="92"/>
      <c r="L1684" s="92"/>
      <c r="M1684" s="92"/>
      <c r="N1684" s="92"/>
      <c r="AG1684" s="100"/>
      <c r="AH1684" s="101"/>
      <c r="AI1684" s="101"/>
      <c r="AJ1684" s="100"/>
      <c r="AK1684" s="100"/>
      <c r="AL1684" s="100"/>
      <c r="AM1684" s="100"/>
      <c r="AN1684" s="100"/>
      <c r="AO1684" s="100"/>
      <c r="AP1684" s="100"/>
      <c r="AQ1684" s="100"/>
      <c r="AR1684" s="100"/>
      <c r="AS1684" s="100"/>
      <c r="AT1684" s="102"/>
      <c r="AX1684" s="100"/>
      <c r="AY1684" s="101"/>
      <c r="AZ1684" s="101"/>
      <c r="BA1684" s="100"/>
      <c r="BB1684" s="100"/>
      <c r="BC1684" s="100"/>
      <c r="BD1684" s="100"/>
      <c r="BE1684" s="100"/>
      <c r="BF1684" s="100"/>
      <c r="BG1684" s="100"/>
      <c r="BH1684" s="100"/>
      <c r="BI1684" s="100"/>
      <c r="BJ1684" s="100"/>
      <c r="BK1684" s="102"/>
    </row>
    <row r="1685" spans="1:63" x14ac:dyDescent="0.25">
      <c r="A1685" s="92"/>
      <c r="B1685" s="92"/>
      <c r="C1685" s="92"/>
      <c r="D1685" s="92"/>
      <c r="E1685" s="92"/>
      <c r="F1685" s="92"/>
      <c r="G1685" s="92"/>
      <c r="H1685" s="92"/>
      <c r="I1685" s="92"/>
      <c r="J1685" s="92"/>
      <c r="K1685" s="92"/>
      <c r="L1685" s="92"/>
      <c r="M1685" s="92"/>
      <c r="N1685" s="92"/>
      <c r="AG1685" s="100"/>
      <c r="AH1685" s="101"/>
      <c r="AI1685" s="101"/>
      <c r="AJ1685" s="100"/>
      <c r="AK1685" s="100"/>
      <c r="AL1685" s="100"/>
      <c r="AM1685" s="100"/>
      <c r="AN1685" s="100"/>
      <c r="AO1685" s="100"/>
      <c r="AP1685" s="100"/>
      <c r="AQ1685" s="100"/>
      <c r="AR1685" s="100"/>
      <c r="AS1685" s="100"/>
      <c r="AT1685" s="102"/>
      <c r="AX1685" s="100"/>
      <c r="AY1685" s="101"/>
      <c r="AZ1685" s="101"/>
      <c r="BA1685" s="101"/>
      <c r="BB1685" s="100"/>
      <c r="BC1685" s="100"/>
      <c r="BD1685" s="100"/>
      <c r="BE1685" s="100"/>
      <c r="BF1685" s="100"/>
      <c r="BG1685" s="100"/>
      <c r="BH1685" s="100"/>
      <c r="BI1685" s="100"/>
      <c r="BJ1685" s="100"/>
      <c r="BK1685" s="102"/>
    </row>
    <row r="1686" spans="1:63" x14ac:dyDescent="0.25">
      <c r="A1686" s="92"/>
      <c r="B1686" s="92"/>
      <c r="C1686" s="92"/>
      <c r="D1686" s="92"/>
      <c r="E1686" s="92"/>
      <c r="F1686" s="92"/>
      <c r="G1686" s="92"/>
      <c r="H1686" s="92"/>
      <c r="I1686" s="92"/>
      <c r="J1686" s="92"/>
      <c r="K1686" s="92"/>
      <c r="L1686" s="92"/>
      <c r="M1686" s="92"/>
      <c r="N1686" s="92"/>
      <c r="AG1686" s="100"/>
      <c r="AH1686" s="101"/>
      <c r="AI1686" s="101"/>
      <c r="AJ1686" s="100"/>
      <c r="AK1686" s="100"/>
      <c r="AL1686" s="100"/>
      <c r="AM1686" s="100"/>
      <c r="AN1686" s="100"/>
      <c r="AO1686" s="100"/>
      <c r="AP1686" s="100"/>
      <c r="AQ1686" s="100"/>
      <c r="AR1686" s="100"/>
      <c r="AS1686" s="100"/>
      <c r="AT1686" s="102"/>
      <c r="AX1686" s="100"/>
      <c r="AY1686" s="101"/>
      <c r="AZ1686" s="101"/>
      <c r="BA1686" s="100"/>
      <c r="BB1686" s="100"/>
      <c r="BC1686" s="100"/>
      <c r="BD1686" s="100"/>
      <c r="BE1686" s="100"/>
      <c r="BF1686" s="100"/>
      <c r="BG1686" s="100"/>
      <c r="BH1686" s="100"/>
      <c r="BI1686" s="100"/>
      <c r="BJ1686" s="100"/>
      <c r="BK1686" s="102"/>
    </row>
    <row r="1687" spans="1:63" x14ac:dyDescent="0.25">
      <c r="A1687" s="92"/>
      <c r="B1687" s="92"/>
      <c r="C1687" s="92"/>
      <c r="D1687" s="92"/>
      <c r="E1687" s="92"/>
      <c r="F1687" s="92"/>
      <c r="G1687" s="92"/>
      <c r="H1687" s="92"/>
      <c r="I1687" s="92"/>
      <c r="J1687" s="92"/>
      <c r="K1687" s="92"/>
      <c r="L1687" s="92"/>
      <c r="M1687" s="92"/>
      <c r="N1687" s="92"/>
      <c r="AG1687" s="100"/>
      <c r="AH1687" s="101"/>
      <c r="AI1687" s="101"/>
      <c r="AJ1687" s="100"/>
      <c r="AK1687" s="100"/>
      <c r="AL1687" s="100"/>
      <c r="AM1687" s="100"/>
      <c r="AN1687" s="100"/>
      <c r="AO1687" s="100"/>
      <c r="AP1687" s="100"/>
      <c r="AQ1687" s="100"/>
      <c r="AR1687" s="100"/>
      <c r="AS1687" s="100"/>
      <c r="AT1687" s="102"/>
      <c r="AX1687" s="100"/>
      <c r="AY1687" s="101"/>
      <c r="AZ1687" s="101"/>
      <c r="BA1687" s="100"/>
      <c r="BB1687" s="100"/>
      <c r="BC1687" s="100"/>
      <c r="BD1687" s="100"/>
      <c r="BE1687" s="100"/>
      <c r="BF1687" s="100"/>
      <c r="BG1687" s="100"/>
      <c r="BH1687" s="100"/>
      <c r="BI1687" s="100"/>
      <c r="BJ1687" s="100"/>
      <c r="BK1687" s="102"/>
    </row>
    <row r="1688" spans="1:63" x14ac:dyDescent="0.25">
      <c r="A1688" s="92"/>
      <c r="B1688" s="92"/>
      <c r="C1688" s="92"/>
      <c r="D1688" s="92"/>
      <c r="E1688" s="92"/>
      <c r="F1688" s="92"/>
      <c r="G1688" s="92"/>
      <c r="H1688" s="92"/>
      <c r="I1688" s="92"/>
      <c r="J1688" s="92"/>
      <c r="K1688" s="92"/>
      <c r="L1688" s="92"/>
      <c r="M1688" s="92"/>
      <c r="N1688" s="92"/>
      <c r="AG1688" s="100"/>
      <c r="AH1688" s="101"/>
      <c r="AI1688" s="101"/>
      <c r="AJ1688" s="100"/>
      <c r="AK1688" s="100"/>
      <c r="AL1688" s="100"/>
      <c r="AM1688" s="100"/>
      <c r="AN1688" s="100"/>
      <c r="AO1688" s="100"/>
      <c r="AP1688" s="100"/>
      <c r="AQ1688" s="100"/>
      <c r="AR1688" s="100"/>
      <c r="AS1688" s="100"/>
      <c r="AT1688" s="102"/>
      <c r="AX1688" s="100"/>
      <c r="AY1688" s="101"/>
      <c r="AZ1688" s="101"/>
      <c r="BA1688" s="101"/>
      <c r="BB1688" s="100"/>
      <c r="BC1688" s="100"/>
      <c r="BD1688" s="100"/>
      <c r="BE1688" s="100"/>
      <c r="BF1688" s="100"/>
      <c r="BG1688" s="100"/>
      <c r="BH1688" s="100"/>
      <c r="BI1688" s="100"/>
      <c r="BJ1688" s="100"/>
      <c r="BK1688" s="102"/>
    </row>
    <row r="1689" spans="1:63" x14ac:dyDescent="0.25">
      <c r="A1689" s="92"/>
      <c r="B1689" s="93"/>
      <c r="C1689" s="93"/>
      <c r="D1689" s="92"/>
      <c r="E1689" s="92"/>
      <c r="F1689" s="92"/>
      <c r="G1689" s="92"/>
      <c r="H1689" s="92"/>
      <c r="I1689" s="92"/>
      <c r="J1689" s="92"/>
      <c r="K1689" s="92"/>
      <c r="L1689" s="92"/>
      <c r="M1689" s="92"/>
      <c r="N1689" s="94"/>
      <c r="AG1689" s="100"/>
      <c r="AH1689" s="101"/>
      <c r="AI1689" s="101"/>
      <c r="AJ1689" s="100"/>
      <c r="AK1689" s="100"/>
      <c r="AL1689" s="100"/>
      <c r="AM1689" s="100"/>
      <c r="AN1689" s="100"/>
      <c r="AO1689" s="100"/>
      <c r="AP1689" s="100"/>
      <c r="AQ1689" s="100"/>
      <c r="AR1689" s="100"/>
      <c r="AS1689" s="100"/>
      <c r="AT1689" s="102"/>
      <c r="AX1689" s="100"/>
      <c r="AY1689" s="101"/>
      <c r="AZ1689" s="101"/>
      <c r="BA1689" s="100"/>
      <c r="BB1689" s="100"/>
      <c r="BC1689" s="100"/>
      <c r="BD1689" s="100"/>
      <c r="BE1689" s="100"/>
      <c r="BF1689" s="100"/>
      <c r="BG1689" s="100"/>
      <c r="BH1689" s="100"/>
      <c r="BI1689" s="100"/>
      <c r="BJ1689" s="100"/>
      <c r="BK1689" s="102"/>
    </row>
    <row r="1690" spans="1:63" x14ac:dyDescent="0.25">
      <c r="A1690" s="92"/>
      <c r="B1690" s="93"/>
      <c r="C1690" s="93"/>
      <c r="D1690" s="92"/>
      <c r="E1690" s="92"/>
      <c r="F1690" s="92"/>
      <c r="G1690" s="92"/>
      <c r="H1690" s="92"/>
      <c r="I1690" s="92"/>
      <c r="J1690" s="92"/>
      <c r="K1690" s="92"/>
      <c r="L1690" s="92"/>
      <c r="M1690" s="92"/>
      <c r="N1690" s="94"/>
      <c r="AG1690" s="100"/>
      <c r="AH1690" s="101"/>
      <c r="AI1690" s="101"/>
      <c r="AJ1690" s="100"/>
      <c r="AK1690" s="100"/>
      <c r="AL1690" s="100"/>
      <c r="AM1690" s="100"/>
      <c r="AN1690" s="100"/>
      <c r="AO1690" s="100"/>
      <c r="AP1690" s="100"/>
      <c r="AQ1690" s="100"/>
      <c r="AR1690" s="100"/>
      <c r="AS1690" s="100"/>
      <c r="AT1690" s="102"/>
      <c r="AX1690" s="100"/>
      <c r="AY1690" s="101"/>
      <c r="AZ1690" s="101"/>
      <c r="BA1690" s="100"/>
      <c r="BB1690" s="100"/>
      <c r="BC1690" s="100"/>
      <c r="BD1690" s="100"/>
      <c r="BE1690" s="100"/>
      <c r="BF1690" s="100"/>
      <c r="BG1690" s="100"/>
      <c r="BH1690" s="100"/>
      <c r="BI1690" s="100"/>
      <c r="BJ1690" s="100"/>
      <c r="BK1690" s="102"/>
    </row>
    <row r="1691" spans="1:63" x14ac:dyDescent="0.25">
      <c r="A1691" s="92"/>
      <c r="B1691" s="92"/>
      <c r="C1691" s="92"/>
      <c r="D1691" s="92"/>
      <c r="E1691" s="92"/>
      <c r="F1691" s="92"/>
      <c r="G1691" s="92"/>
      <c r="H1691" s="92"/>
      <c r="I1691" s="92"/>
      <c r="J1691" s="92"/>
      <c r="K1691" s="92"/>
      <c r="L1691" s="92"/>
      <c r="M1691" s="92"/>
      <c r="N1691" s="92"/>
      <c r="AG1691" s="100"/>
      <c r="AH1691" s="101"/>
      <c r="AI1691" s="101"/>
      <c r="AJ1691" s="100"/>
      <c r="AK1691" s="100"/>
      <c r="AL1691" s="100"/>
      <c r="AM1691" s="100"/>
      <c r="AN1691" s="100"/>
      <c r="AO1691" s="100"/>
      <c r="AP1691" s="100"/>
      <c r="AQ1691" s="100"/>
      <c r="AR1691" s="100"/>
      <c r="AS1691" s="100"/>
      <c r="AT1691" s="102"/>
      <c r="AX1691" s="100"/>
      <c r="AY1691" s="101"/>
      <c r="AZ1691" s="101"/>
      <c r="BA1691" s="100"/>
      <c r="BB1691" s="100"/>
      <c r="BC1691" s="100"/>
      <c r="BD1691" s="100"/>
      <c r="BE1691" s="100"/>
      <c r="BF1691" s="100"/>
      <c r="BG1691" s="100"/>
      <c r="BH1691" s="100"/>
      <c r="BI1691" s="100"/>
      <c r="BJ1691" s="100"/>
      <c r="BK1691" s="102"/>
    </row>
    <row r="1692" spans="1:63" x14ac:dyDescent="0.25">
      <c r="A1692" s="92"/>
      <c r="B1692" s="92"/>
      <c r="C1692" s="92"/>
      <c r="D1692" s="92"/>
      <c r="E1692" s="92"/>
      <c r="F1692" s="92"/>
      <c r="G1692" s="92"/>
      <c r="H1692" s="92"/>
      <c r="I1692" s="92"/>
      <c r="J1692" s="92"/>
      <c r="K1692" s="92"/>
      <c r="L1692" s="92"/>
      <c r="M1692" s="92"/>
      <c r="N1692" s="92"/>
      <c r="AG1692" s="100"/>
      <c r="AH1692" s="101"/>
      <c r="AI1692" s="101"/>
      <c r="AJ1692" s="100"/>
      <c r="AK1692" s="100"/>
      <c r="AL1692" s="100"/>
      <c r="AM1692" s="100"/>
      <c r="AN1692" s="100"/>
      <c r="AO1692" s="100"/>
      <c r="AP1692" s="100"/>
      <c r="AQ1692" s="100"/>
      <c r="AR1692" s="100"/>
      <c r="AS1692" s="100"/>
      <c r="AT1692" s="102"/>
      <c r="AX1692" s="100"/>
      <c r="AY1692" s="101"/>
      <c r="AZ1692" s="101"/>
      <c r="BA1692" s="101"/>
      <c r="BB1692" s="100"/>
      <c r="BC1692" s="100"/>
      <c r="BD1692" s="100"/>
      <c r="BE1692" s="100"/>
      <c r="BF1692" s="100"/>
      <c r="BG1692" s="100"/>
      <c r="BH1692" s="100"/>
      <c r="BI1692" s="100"/>
      <c r="BJ1692" s="100"/>
      <c r="BK1692" s="102"/>
    </row>
    <row r="1693" spans="1:63" x14ac:dyDescent="0.25">
      <c r="A1693" s="92"/>
      <c r="B1693" s="93"/>
      <c r="C1693" s="93"/>
      <c r="D1693" s="92"/>
      <c r="E1693" s="92"/>
      <c r="F1693" s="92"/>
      <c r="G1693" s="92"/>
      <c r="H1693" s="92"/>
      <c r="I1693" s="92"/>
      <c r="J1693" s="92"/>
      <c r="K1693" s="92"/>
      <c r="L1693" s="92"/>
      <c r="M1693" s="92"/>
      <c r="N1693" s="94"/>
      <c r="AG1693" s="100"/>
      <c r="AH1693" s="101"/>
      <c r="AI1693" s="101"/>
      <c r="AJ1693" s="100"/>
      <c r="AK1693" s="100"/>
      <c r="AL1693" s="100"/>
      <c r="AM1693" s="100"/>
      <c r="AN1693" s="100"/>
      <c r="AO1693" s="100"/>
      <c r="AP1693" s="100"/>
      <c r="AQ1693" s="100"/>
      <c r="AR1693" s="100"/>
      <c r="AS1693" s="100"/>
      <c r="AT1693" s="102"/>
      <c r="AX1693" s="100"/>
      <c r="AY1693" s="101"/>
      <c r="AZ1693" s="101"/>
      <c r="BA1693" s="100"/>
      <c r="BB1693" s="100"/>
      <c r="BC1693" s="100"/>
      <c r="BD1693" s="100"/>
      <c r="BE1693" s="100"/>
      <c r="BF1693" s="100"/>
      <c r="BG1693" s="100"/>
      <c r="BH1693" s="100"/>
      <c r="BI1693" s="100"/>
      <c r="BJ1693" s="100"/>
      <c r="BK1693" s="102"/>
    </row>
    <row r="1694" spans="1:63" x14ac:dyDescent="0.25">
      <c r="A1694" s="92"/>
      <c r="B1694" s="93"/>
      <c r="C1694" s="93"/>
      <c r="D1694" s="92"/>
      <c r="E1694" s="92"/>
      <c r="F1694" s="92"/>
      <c r="G1694" s="92"/>
      <c r="H1694" s="92"/>
      <c r="I1694" s="92"/>
      <c r="J1694" s="92"/>
      <c r="K1694" s="92"/>
      <c r="L1694" s="92"/>
      <c r="M1694" s="92"/>
      <c r="N1694" s="94"/>
      <c r="AG1694" s="100"/>
      <c r="AH1694" s="101"/>
      <c r="AI1694" s="101"/>
      <c r="AJ1694" s="100"/>
      <c r="AK1694" s="100"/>
      <c r="AL1694" s="100"/>
      <c r="AM1694" s="100"/>
      <c r="AN1694" s="100"/>
      <c r="AO1694" s="100"/>
      <c r="AP1694" s="100"/>
      <c r="AQ1694" s="100"/>
      <c r="AR1694" s="100"/>
      <c r="AS1694" s="100"/>
      <c r="AT1694" s="102"/>
      <c r="AX1694" s="100"/>
      <c r="AY1694" s="101"/>
      <c r="AZ1694" s="101"/>
      <c r="BA1694" s="100"/>
      <c r="BB1694" s="100"/>
      <c r="BC1694" s="100"/>
      <c r="BD1694" s="100"/>
      <c r="BE1694" s="100"/>
      <c r="BF1694" s="100"/>
      <c r="BG1694" s="100"/>
      <c r="BH1694" s="100"/>
      <c r="BI1694" s="100"/>
      <c r="BJ1694" s="100"/>
      <c r="BK1694" s="102"/>
    </row>
    <row r="1695" spans="1:63" x14ac:dyDescent="0.25">
      <c r="A1695" s="92"/>
      <c r="B1695" s="93"/>
      <c r="C1695" s="93"/>
      <c r="D1695" s="92"/>
      <c r="E1695" s="92"/>
      <c r="F1695" s="92"/>
      <c r="G1695" s="92"/>
      <c r="H1695" s="92"/>
      <c r="I1695" s="92"/>
      <c r="J1695" s="92"/>
      <c r="K1695" s="92"/>
      <c r="L1695" s="92"/>
      <c r="M1695" s="92"/>
      <c r="N1695" s="94"/>
      <c r="AG1695" s="100"/>
      <c r="AH1695" s="101"/>
      <c r="AI1695" s="101"/>
      <c r="AJ1695" s="100"/>
      <c r="AK1695" s="100"/>
      <c r="AL1695" s="100"/>
      <c r="AM1695" s="100"/>
      <c r="AN1695" s="100"/>
      <c r="AO1695" s="100"/>
      <c r="AP1695" s="100"/>
      <c r="AQ1695" s="100"/>
      <c r="AR1695" s="100"/>
      <c r="AS1695" s="100"/>
      <c r="AT1695" s="102"/>
      <c r="AX1695" s="100"/>
      <c r="AY1695" s="101"/>
      <c r="AZ1695" s="101"/>
      <c r="BA1695" s="100"/>
      <c r="BB1695" s="100"/>
      <c r="BC1695" s="100"/>
      <c r="BD1695" s="100"/>
      <c r="BE1695" s="100"/>
      <c r="BF1695" s="100"/>
      <c r="BG1695" s="100"/>
      <c r="BH1695" s="100"/>
      <c r="BI1695" s="100"/>
      <c r="BJ1695" s="100"/>
      <c r="BK1695" s="102"/>
    </row>
    <row r="1696" spans="1:63" x14ac:dyDescent="0.25">
      <c r="A1696" s="92"/>
      <c r="B1696" s="92"/>
      <c r="C1696" s="92"/>
      <c r="D1696" s="92"/>
      <c r="E1696" s="92"/>
      <c r="F1696" s="92"/>
      <c r="G1696" s="92"/>
      <c r="H1696" s="92"/>
      <c r="I1696" s="92"/>
      <c r="J1696" s="92"/>
      <c r="K1696" s="92"/>
      <c r="L1696" s="92"/>
      <c r="M1696" s="92"/>
      <c r="N1696" s="92"/>
      <c r="AG1696" s="100"/>
      <c r="AH1696" s="101"/>
      <c r="AI1696" s="101"/>
      <c r="AJ1696" s="100"/>
      <c r="AK1696" s="100"/>
      <c r="AL1696" s="100"/>
      <c r="AM1696" s="100"/>
      <c r="AN1696" s="100"/>
      <c r="AO1696" s="100"/>
      <c r="AP1696" s="100"/>
      <c r="AQ1696" s="100"/>
      <c r="AR1696" s="100"/>
      <c r="AS1696" s="100"/>
      <c r="AT1696" s="102"/>
      <c r="AX1696" s="100"/>
      <c r="AY1696" s="101"/>
      <c r="AZ1696" s="101"/>
      <c r="BA1696" s="100"/>
      <c r="BB1696" s="100"/>
      <c r="BC1696" s="100"/>
      <c r="BD1696" s="100"/>
      <c r="BE1696" s="100"/>
      <c r="BF1696" s="100"/>
      <c r="BG1696" s="100"/>
      <c r="BH1696" s="100"/>
      <c r="BI1696" s="100"/>
      <c r="BJ1696" s="100"/>
      <c r="BK1696" s="102"/>
    </row>
    <row r="1697" spans="1:63" x14ac:dyDescent="0.25">
      <c r="A1697" s="92"/>
      <c r="B1697" s="92"/>
      <c r="C1697" s="92"/>
      <c r="D1697" s="92"/>
      <c r="E1697" s="92"/>
      <c r="F1697" s="92"/>
      <c r="G1697" s="92"/>
      <c r="H1697" s="92"/>
      <c r="I1697" s="92"/>
      <c r="J1697" s="92"/>
      <c r="K1697" s="92"/>
      <c r="L1697" s="92"/>
      <c r="M1697" s="92"/>
      <c r="N1697" s="92"/>
      <c r="AG1697" s="100"/>
      <c r="AH1697" s="101"/>
      <c r="AI1697" s="101"/>
      <c r="AJ1697" s="101"/>
      <c r="AK1697" s="100"/>
      <c r="AL1697" s="100"/>
      <c r="AM1697" s="100"/>
      <c r="AN1697" s="100"/>
      <c r="AO1697" s="100"/>
      <c r="AP1697" s="100"/>
      <c r="AQ1697" s="100"/>
      <c r="AR1697" s="100"/>
      <c r="AS1697" s="100"/>
      <c r="AT1697" s="102"/>
      <c r="AX1697" s="100"/>
      <c r="AY1697" s="101"/>
      <c r="AZ1697" s="101"/>
      <c r="BA1697" s="100"/>
      <c r="BB1697" s="100"/>
      <c r="BC1697" s="100"/>
      <c r="BD1697" s="100"/>
      <c r="BE1697" s="100"/>
      <c r="BF1697" s="100"/>
      <c r="BG1697" s="100"/>
      <c r="BH1697" s="100"/>
      <c r="BI1697" s="100"/>
      <c r="BJ1697" s="100"/>
      <c r="BK1697" s="102"/>
    </row>
    <row r="1698" spans="1:63" x14ac:dyDescent="0.25">
      <c r="A1698" s="92"/>
      <c r="B1698" s="92"/>
      <c r="C1698" s="92"/>
      <c r="D1698" s="92"/>
      <c r="E1698" s="92"/>
      <c r="F1698" s="92"/>
      <c r="G1698" s="92"/>
      <c r="H1698" s="92"/>
      <c r="I1698" s="92"/>
      <c r="J1698" s="92"/>
      <c r="K1698" s="92"/>
      <c r="L1698" s="92"/>
      <c r="M1698" s="92"/>
      <c r="N1698" s="92"/>
      <c r="AG1698" s="100"/>
      <c r="AH1698" s="101"/>
      <c r="AI1698" s="101"/>
      <c r="AJ1698" s="100"/>
      <c r="AK1698" s="100"/>
      <c r="AL1698" s="100"/>
      <c r="AM1698" s="100"/>
      <c r="AN1698" s="100"/>
      <c r="AO1698" s="100"/>
      <c r="AP1698" s="100"/>
      <c r="AQ1698" s="100"/>
      <c r="AR1698" s="100"/>
      <c r="AS1698" s="100"/>
      <c r="AT1698" s="102"/>
      <c r="AX1698" s="100"/>
      <c r="AY1698" s="101"/>
      <c r="AZ1698" s="101"/>
      <c r="BA1698" s="100"/>
      <c r="BB1698" s="100"/>
      <c r="BC1698" s="100"/>
      <c r="BD1698" s="100"/>
      <c r="BE1698" s="100"/>
      <c r="BF1698" s="100"/>
      <c r="BG1698" s="100"/>
      <c r="BH1698" s="100"/>
      <c r="BI1698" s="100"/>
      <c r="BJ1698" s="100"/>
      <c r="BK1698" s="102"/>
    </row>
    <row r="1699" spans="1:63" x14ac:dyDescent="0.25">
      <c r="A1699" s="92"/>
      <c r="B1699" s="93"/>
      <c r="C1699" s="93"/>
      <c r="D1699" s="92"/>
      <c r="E1699" s="92"/>
      <c r="F1699" s="92"/>
      <c r="G1699" s="92"/>
      <c r="H1699" s="92"/>
      <c r="I1699" s="92"/>
      <c r="J1699" s="92"/>
      <c r="K1699" s="92"/>
      <c r="L1699" s="92"/>
      <c r="M1699" s="92"/>
      <c r="N1699" s="94"/>
      <c r="AG1699" s="100"/>
      <c r="AH1699" s="101"/>
      <c r="AI1699" s="101"/>
      <c r="AJ1699" s="100"/>
      <c r="AK1699" s="100"/>
      <c r="AL1699" s="100"/>
      <c r="AM1699" s="100"/>
      <c r="AN1699" s="100"/>
      <c r="AO1699" s="100"/>
      <c r="AP1699" s="100"/>
      <c r="AQ1699" s="100"/>
      <c r="AR1699" s="100"/>
      <c r="AS1699" s="100"/>
      <c r="AT1699" s="102"/>
      <c r="AX1699" s="100"/>
      <c r="AY1699" s="101"/>
      <c r="AZ1699" s="101"/>
      <c r="BA1699" s="101"/>
      <c r="BB1699" s="100"/>
      <c r="BC1699" s="100"/>
      <c r="BD1699" s="100"/>
      <c r="BE1699" s="100"/>
      <c r="BF1699" s="100"/>
      <c r="BG1699" s="100"/>
      <c r="BH1699" s="100"/>
      <c r="BI1699" s="100"/>
      <c r="BJ1699" s="100"/>
      <c r="BK1699" s="102"/>
    </row>
    <row r="1700" spans="1:63" x14ac:dyDescent="0.25">
      <c r="A1700" s="92"/>
      <c r="B1700" s="93"/>
      <c r="C1700" s="93"/>
      <c r="D1700" s="92"/>
      <c r="E1700" s="92"/>
      <c r="F1700" s="92"/>
      <c r="G1700" s="92"/>
      <c r="H1700" s="92"/>
      <c r="I1700" s="92"/>
      <c r="J1700" s="92"/>
      <c r="K1700" s="92"/>
      <c r="L1700" s="92"/>
      <c r="M1700" s="92"/>
      <c r="N1700" s="94"/>
      <c r="AG1700" s="100"/>
      <c r="AH1700" s="101"/>
      <c r="AI1700" s="101"/>
      <c r="AJ1700" s="101"/>
      <c r="AK1700" s="100"/>
      <c r="AL1700" s="100"/>
      <c r="AM1700" s="100"/>
      <c r="AN1700" s="100"/>
      <c r="AO1700" s="100"/>
      <c r="AP1700" s="100"/>
      <c r="AQ1700" s="100"/>
      <c r="AR1700" s="100"/>
      <c r="AS1700" s="100"/>
      <c r="AT1700" s="102"/>
      <c r="AX1700" s="100"/>
      <c r="AY1700" s="101"/>
      <c r="AZ1700" s="101"/>
      <c r="BA1700" s="100"/>
      <c r="BB1700" s="100"/>
      <c r="BC1700" s="100"/>
      <c r="BD1700" s="100"/>
      <c r="BE1700" s="100"/>
      <c r="BF1700" s="100"/>
      <c r="BG1700" s="100"/>
      <c r="BH1700" s="100"/>
      <c r="BI1700" s="100"/>
      <c r="BJ1700" s="100"/>
      <c r="BK1700" s="102"/>
    </row>
    <row r="1701" spans="1:63" x14ac:dyDescent="0.25">
      <c r="A1701" s="92"/>
      <c r="B1701" s="93"/>
      <c r="C1701" s="93"/>
      <c r="D1701" s="92"/>
      <c r="E1701" s="92"/>
      <c r="F1701" s="92"/>
      <c r="G1701" s="92"/>
      <c r="H1701" s="92"/>
      <c r="I1701" s="92"/>
      <c r="J1701" s="92"/>
      <c r="K1701" s="92"/>
      <c r="L1701" s="92"/>
      <c r="M1701" s="92"/>
      <c r="N1701" s="94"/>
      <c r="AG1701" s="100"/>
      <c r="AH1701" s="101"/>
      <c r="AI1701" s="101"/>
      <c r="AJ1701" s="100"/>
      <c r="AK1701" s="100"/>
      <c r="AL1701" s="100"/>
      <c r="AM1701" s="100"/>
      <c r="AN1701" s="100"/>
      <c r="AO1701" s="100"/>
      <c r="AP1701" s="100"/>
      <c r="AQ1701" s="100"/>
      <c r="AR1701" s="100"/>
      <c r="AS1701" s="100"/>
      <c r="AT1701" s="102"/>
      <c r="AX1701" s="100"/>
      <c r="AY1701" s="101"/>
      <c r="AZ1701" s="101"/>
      <c r="BA1701" s="100"/>
      <c r="BB1701" s="100"/>
      <c r="BC1701" s="100"/>
      <c r="BD1701" s="100"/>
      <c r="BE1701" s="100"/>
      <c r="BF1701" s="100"/>
      <c r="BG1701" s="100"/>
      <c r="BH1701" s="100"/>
      <c r="BI1701" s="100"/>
      <c r="BJ1701" s="100"/>
      <c r="BK1701" s="102"/>
    </row>
    <row r="1702" spans="1:63" x14ac:dyDescent="0.25">
      <c r="A1702" s="92"/>
      <c r="B1702" s="93"/>
      <c r="C1702" s="93"/>
      <c r="D1702" s="92"/>
      <c r="E1702" s="92"/>
      <c r="F1702" s="92"/>
      <c r="G1702" s="92"/>
      <c r="H1702" s="92"/>
      <c r="I1702" s="92"/>
      <c r="J1702" s="92"/>
      <c r="K1702" s="92"/>
      <c r="L1702" s="92"/>
      <c r="M1702" s="92"/>
      <c r="N1702" s="94"/>
      <c r="AG1702" s="100"/>
      <c r="AH1702" s="101"/>
      <c r="AI1702" s="101"/>
      <c r="AJ1702" s="100"/>
      <c r="AK1702" s="100"/>
      <c r="AL1702" s="100"/>
      <c r="AM1702" s="100"/>
      <c r="AN1702" s="100"/>
      <c r="AO1702" s="100"/>
      <c r="AP1702" s="100"/>
      <c r="AQ1702" s="100"/>
      <c r="AR1702" s="100"/>
      <c r="AS1702" s="100"/>
      <c r="AT1702" s="102"/>
      <c r="AX1702" s="100"/>
      <c r="AY1702" s="101"/>
      <c r="AZ1702" s="101"/>
      <c r="BA1702" s="100"/>
      <c r="BB1702" s="100"/>
      <c r="BC1702" s="100"/>
      <c r="BD1702" s="100"/>
      <c r="BE1702" s="100"/>
      <c r="BF1702" s="100"/>
      <c r="BG1702" s="100"/>
      <c r="BH1702" s="100"/>
      <c r="BI1702" s="100"/>
      <c r="BJ1702" s="100"/>
      <c r="BK1702" s="102"/>
    </row>
    <row r="1703" spans="1:63" x14ac:dyDescent="0.25">
      <c r="A1703" s="92"/>
      <c r="B1703" s="93"/>
      <c r="C1703" s="93"/>
      <c r="D1703" s="92"/>
      <c r="E1703" s="92"/>
      <c r="F1703" s="92"/>
      <c r="G1703" s="92"/>
      <c r="H1703" s="92"/>
      <c r="I1703" s="92"/>
      <c r="J1703" s="92"/>
      <c r="K1703" s="92"/>
      <c r="L1703" s="92"/>
      <c r="M1703" s="92"/>
      <c r="N1703" s="94"/>
      <c r="AG1703" s="100"/>
      <c r="AH1703" s="101"/>
      <c r="AI1703" s="101"/>
      <c r="AJ1703" s="100"/>
      <c r="AK1703" s="100"/>
      <c r="AL1703" s="100"/>
      <c r="AM1703" s="100"/>
      <c r="AN1703" s="100"/>
      <c r="AO1703" s="100"/>
      <c r="AP1703" s="100"/>
      <c r="AQ1703" s="100"/>
      <c r="AR1703" s="100"/>
      <c r="AS1703" s="100"/>
      <c r="AT1703" s="102"/>
      <c r="AX1703" s="100"/>
      <c r="AY1703" s="101"/>
      <c r="AZ1703" s="101"/>
      <c r="BA1703" s="101"/>
      <c r="BB1703" s="100"/>
      <c r="BC1703" s="100"/>
      <c r="BD1703" s="100"/>
      <c r="BE1703" s="100"/>
      <c r="BF1703" s="100"/>
      <c r="BG1703" s="100"/>
      <c r="BH1703" s="100"/>
      <c r="BI1703" s="100"/>
      <c r="BJ1703" s="100"/>
      <c r="BK1703" s="102"/>
    </row>
    <row r="1704" spans="1:63" x14ac:dyDescent="0.25">
      <c r="A1704" s="92"/>
      <c r="B1704" s="93"/>
      <c r="C1704" s="93"/>
      <c r="D1704" s="92"/>
      <c r="E1704" s="92"/>
      <c r="F1704" s="92"/>
      <c r="G1704" s="92"/>
      <c r="H1704" s="92"/>
      <c r="I1704" s="92"/>
      <c r="J1704" s="92"/>
      <c r="K1704" s="92"/>
      <c r="L1704" s="92"/>
      <c r="M1704" s="92"/>
      <c r="N1704" s="94"/>
      <c r="AG1704" s="100"/>
      <c r="AH1704" s="101"/>
      <c r="AI1704" s="101"/>
      <c r="AJ1704" s="100"/>
      <c r="AK1704" s="100"/>
      <c r="AL1704" s="100"/>
      <c r="AM1704" s="100"/>
      <c r="AN1704" s="100"/>
      <c r="AO1704" s="100"/>
      <c r="AP1704" s="100"/>
      <c r="AQ1704" s="100"/>
      <c r="AR1704" s="100"/>
      <c r="AS1704" s="100"/>
      <c r="AT1704" s="102"/>
      <c r="AX1704" s="100"/>
      <c r="AY1704" s="101"/>
      <c r="AZ1704" s="101"/>
      <c r="BA1704" s="100"/>
      <c r="BB1704" s="100"/>
      <c r="BC1704" s="100"/>
      <c r="BD1704" s="100"/>
      <c r="BE1704" s="100"/>
      <c r="BF1704" s="100"/>
      <c r="BG1704" s="100"/>
      <c r="BH1704" s="100"/>
      <c r="BI1704" s="100"/>
      <c r="BJ1704" s="100"/>
      <c r="BK1704" s="102"/>
    </row>
    <row r="1705" spans="1:63" x14ac:dyDescent="0.25">
      <c r="A1705" s="92"/>
      <c r="B1705" s="93"/>
      <c r="C1705" s="93"/>
      <c r="D1705" s="93"/>
      <c r="E1705" s="92"/>
      <c r="F1705" s="92"/>
      <c r="G1705" s="92"/>
      <c r="H1705" s="92"/>
      <c r="I1705" s="92"/>
      <c r="J1705" s="92"/>
      <c r="K1705" s="92"/>
      <c r="L1705" s="92"/>
      <c r="M1705" s="92"/>
      <c r="N1705" s="94"/>
      <c r="AG1705" s="100"/>
      <c r="AH1705" s="101"/>
      <c r="AI1705" s="101"/>
      <c r="AJ1705" s="100"/>
      <c r="AK1705" s="100"/>
      <c r="AL1705" s="100"/>
      <c r="AM1705" s="100"/>
      <c r="AN1705" s="100"/>
      <c r="AO1705" s="100"/>
      <c r="AP1705" s="100"/>
      <c r="AQ1705" s="100"/>
      <c r="AR1705" s="100"/>
      <c r="AS1705" s="100"/>
      <c r="AT1705" s="102"/>
      <c r="AX1705" s="100"/>
      <c r="AY1705" s="101"/>
      <c r="AZ1705" s="101"/>
      <c r="BA1705" s="100"/>
      <c r="BB1705" s="100"/>
      <c r="BC1705" s="100"/>
      <c r="BD1705" s="100"/>
      <c r="BE1705" s="100"/>
      <c r="BF1705" s="100"/>
      <c r="BG1705" s="100"/>
      <c r="BH1705" s="100"/>
      <c r="BI1705" s="100"/>
      <c r="BJ1705" s="100"/>
      <c r="BK1705" s="102"/>
    </row>
    <row r="1706" spans="1:63" x14ac:dyDescent="0.25">
      <c r="A1706" s="92"/>
      <c r="B1706" s="92"/>
      <c r="C1706" s="92"/>
      <c r="D1706" s="92"/>
      <c r="E1706" s="92"/>
      <c r="F1706" s="92"/>
      <c r="G1706" s="92"/>
      <c r="H1706" s="92"/>
      <c r="I1706" s="92"/>
      <c r="J1706" s="92"/>
      <c r="K1706" s="92"/>
      <c r="L1706" s="92"/>
      <c r="M1706" s="92"/>
      <c r="N1706" s="92"/>
      <c r="AG1706" s="100"/>
      <c r="AH1706" s="101"/>
      <c r="AI1706" s="101"/>
      <c r="AJ1706" s="100"/>
      <c r="AK1706" s="100"/>
      <c r="AL1706" s="100"/>
      <c r="AM1706" s="100"/>
      <c r="AN1706" s="100"/>
      <c r="AO1706" s="100"/>
      <c r="AP1706" s="100"/>
      <c r="AQ1706" s="100"/>
      <c r="AR1706" s="100"/>
      <c r="AS1706" s="100"/>
      <c r="AT1706" s="102"/>
      <c r="AX1706" s="100"/>
      <c r="AY1706" s="101"/>
      <c r="AZ1706" s="101"/>
      <c r="BA1706" s="100"/>
      <c r="BB1706" s="100"/>
      <c r="BC1706" s="100"/>
      <c r="BD1706" s="100"/>
      <c r="BE1706" s="100"/>
      <c r="BF1706" s="100"/>
      <c r="BG1706" s="100"/>
      <c r="BH1706" s="100"/>
      <c r="BI1706" s="100"/>
      <c r="BJ1706" s="100"/>
      <c r="BK1706" s="102"/>
    </row>
    <row r="1707" spans="1:63" x14ac:dyDescent="0.25">
      <c r="A1707" s="92"/>
      <c r="B1707" s="93"/>
      <c r="C1707" s="93"/>
      <c r="D1707" s="92"/>
      <c r="E1707" s="92"/>
      <c r="F1707" s="92"/>
      <c r="G1707" s="92"/>
      <c r="H1707" s="92"/>
      <c r="I1707" s="92"/>
      <c r="J1707" s="92"/>
      <c r="K1707" s="92"/>
      <c r="L1707" s="92"/>
      <c r="M1707" s="92"/>
      <c r="N1707" s="94"/>
      <c r="AG1707" s="100"/>
      <c r="AH1707" s="101"/>
      <c r="AI1707" s="101"/>
      <c r="AJ1707" s="100"/>
      <c r="AK1707" s="100"/>
      <c r="AL1707" s="100"/>
      <c r="AM1707" s="100"/>
      <c r="AN1707" s="100"/>
      <c r="AO1707" s="100"/>
      <c r="AP1707" s="100"/>
      <c r="AQ1707" s="100"/>
      <c r="AR1707" s="100"/>
      <c r="AS1707" s="100"/>
      <c r="AT1707" s="102"/>
      <c r="AX1707" s="100"/>
      <c r="AY1707" s="101"/>
      <c r="AZ1707" s="101"/>
      <c r="BA1707" s="100"/>
      <c r="BB1707" s="100"/>
      <c r="BC1707" s="100"/>
      <c r="BD1707" s="100"/>
      <c r="BE1707" s="100"/>
      <c r="BF1707" s="100"/>
      <c r="BG1707" s="100"/>
      <c r="BH1707" s="100"/>
      <c r="BI1707" s="100"/>
      <c r="BJ1707" s="100"/>
      <c r="BK1707" s="102"/>
    </row>
    <row r="1708" spans="1:63" x14ac:dyDescent="0.25">
      <c r="A1708" s="92"/>
      <c r="B1708" s="93"/>
      <c r="C1708" s="93"/>
      <c r="D1708" s="92"/>
      <c r="E1708" s="92"/>
      <c r="F1708" s="92"/>
      <c r="G1708" s="92"/>
      <c r="H1708" s="92"/>
      <c r="I1708" s="92"/>
      <c r="J1708" s="92"/>
      <c r="K1708" s="92"/>
      <c r="L1708" s="92"/>
      <c r="M1708" s="92"/>
      <c r="N1708" s="94"/>
      <c r="AG1708" s="100"/>
      <c r="AH1708" s="101"/>
      <c r="AI1708" s="101"/>
      <c r="AJ1708" s="100"/>
      <c r="AK1708" s="100"/>
      <c r="AL1708" s="100"/>
      <c r="AM1708" s="100"/>
      <c r="AN1708" s="100"/>
      <c r="AO1708" s="100"/>
      <c r="AP1708" s="100"/>
      <c r="AQ1708" s="100"/>
      <c r="AR1708" s="100"/>
      <c r="AS1708" s="100"/>
      <c r="AT1708" s="102"/>
      <c r="AX1708" s="100"/>
      <c r="AY1708" s="101"/>
      <c r="AZ1708" s="101"/>
      <c r="BA1708" s="100"/>
      <c r="BB1708" s="100"/>
      <c r="BC1708" s="100"/>
      <c r="BD1708" s="100"/>
      <c r="BE1708" s="100"/>
      <c r="BF1708" s="100"/>
      <c r="BG1708" s="100"/>
      <c r="BH1708" s="100"/>
      <c r="BI1708" s="100"/>
      <c r="BJ1708" s="100"/>
      <c r="BK1708" s="102"/>
    </row>
    <row r="1709" spans="1:63" x14ac:dyDescent="0.25">
      <c r="A1709" s="92"/>
      <c r="B1709" s="93"/>
      <c r="C1709" s="93"/>
      <c r="D1709" s="92"/>
      <c r="E1709" s="92"/>
      <c r="F1709" s="92"/>
      <c r="G1709" s="92"/>
      <c r="H1709" s="92"/>
      <c r="I1709" s="92"/>
      <c r="J1709" s="92"/>
      <c r="K1709" s="92"/>
      <c r="L1709" s="92"/>
      <c r="M1709" s="92"/>
      <c r="N1709" s="94"/>
      <c r="AG1709" s="100"/>
      <c r="AH1709" s="101"/>
      <c r="AI1709" s="101"/>
      <c r="AJ1709" s="101"/>
      <c r="AK1709" s="100"/>
      <c r="AL1709" s="100"/>
      <c r="AM1709" s="100"/>
      <c r="AN1709" s="100"/>
      <c r="AO1709" s="100"/>
      <c r="AP1709" s="100"/>
      <c r="AQ1709" s="100"/>
      <c r="AR1709" s="100"/>
      <c r="AS1709" s="100"/>
      <c r="AT1709" s="102"/>
      <c r="AX1709" s="100"/>
      <c r="AY1709" s="101"/>
      <c r="AZ1709" s="101"/>
      <c r="BA1709" s="100"/>
      <c r="BB1709" s="100"/>
      <c r="BC1709" s="100"/>
      <c r="BD1709" s="100"/>
      <c r="BE1709" s="100"/>
      <c r="BF1709" s="100"/>
      <c r="BG1709" s="100"/>
      <c r="BH1709" s="100"/>
      <c r="BI1709" s="100"/>
      <c r="BJ1709" s="100"/>
      <c r="BK1709" s="102"/>
    </row>
    <row r="1710" spans="1:63" x14ac:dyDescent="0.25">
      <c r="A1710" s="92"/>
      <c r="B1710" s="93"/>
      <c r="C1710" s="93"/>
      <c r="D1710" s="92"/>
      <c r="E1710" s="92"/>
      <c r="F1710" s="92"/>
      <c r="G1710" s="92"/>
      <c r="H1710" s="92"/>
      <c r="I1710" s="92"/>
      <c r="J1710" s="92"/>
      <c r="K1710" s="92"/>
      <c r="L1710" s="92"/>
      <c r="M1710" s="92"/>
      <c r="N1710" s="94"/>
      <c r="AG1710" s="100"/>
      <c r="AH1710" s="101"/>
      <c r="AI1710" s="101"/>
      <c r="AJ1710" s="100"/>
      <c r="AK1710" s="100"/>
      <c r="AL1710" s="100"/>
      <c r="AM1710" s="100"/>
      <c r="AN1710" s="100"/>
      <c r="AO1710" s="100"/>
      <c r="AP1710" s="100"/>
      <c r="AQ1710" s="100"/>
      <c r="AR1710" s="100"/>
      <c r="AS1710" s="100"/>
      <c r="AT1710" s="102"/>
      <c r="AX1710" s="100"/>
      <c r="AY1710" s="101"/>
      <c r="AZ1710" s="101"/>
      <c r="BA1710" s="100"/>
      <c r="BB1710" s="100"/>
      <c r="BC1710" s="100"/>
      <c r="BD1710" s="100"/>
      <c r="BE1710" s="100"/>
      <c r="BF1710" s="100"/>
      <c r="BG1710" s="100"/>
      <c r="BH1710" s="100"/>
      <c r="BI1710" s="100"/>
      <c r="BJ1710" s="100"/>
      <c r="BK1710" s="102"/>
    </row>
    <row r="1711" spans="1:63" x14ac:dyDescent="0.25">
      <c r="A1711" s="92"/>
      <c r="B1711" s="92"/>
      <c r="C1711" s="92"/>
      <c r="D1711" s="92"/>
      <c r="E1711" s="92"/>
      <c r="F1711" s="92"/>
      <c r="G1711" s="92"/>
      <c r="H1711" s="92"/>
      <c r="I1711" s="92"/>
      <c r="J1711" s="92"/>
      <c r="K1711" s="92"/>
      <c r="L1711" s="92"/>
      <c r="M1711" s="92"/>
      <c r="N1711" s="92"/>
      <c r="AG1711" s="100"/>
      <c r="AH1711" s="101"/>
      <c r="AI1711" s="101"/>
      <c r="AJ1711" s="100"/>
      <c r="AK1711" s="100"/>
      <c r="AL1711" s="100"/>
      <c r="AM1711" s="100"/>
      <c r="AN1711" s="100"/>
      <c r="AO1711" s="100"/>
      <c r="AP1711" s="100"/>
      <c r="AQ1711" s="100"/>
      <c r="AR1711" s="100"/>
      <c r="AS1711" s="100"/>
      <c r="AT1711" s="102"/>
      <c r="AX1711" s="100"/>
      <c r="AY1711" s="101"/>
      <c r="AZ1711" s="101"/>
      <c r="BA1711" s="100"/>
      <c r="BB1711" s="100"/>
      <c r="BC1711" s="100"/>
      <c r="BD1711" s="100"/>
      <c r="BE1711" s="100"/>
      <c r="BF1711" s="100"/>
      <c r="BG1711" s="100"/>
      <c r="BH1711" s="100"/>
      <c r="BI1711" s="100"/>
      <c r="BJ1711" s="100"/>
      <c r="BK1711" s="102"/>
    </row>
    <row r="1712" spans="1:63" x14ac:dyDescent="0.25">
      <c r="A1712" s="92"/>
      <c r="B1712" s="93"/>
      <c r="C1712" s="93"/>
      <c r="D1712" s="93"/>
      <c r="E1712" s="92"/>
      <c r="F1712" s="92"/>
      <c r="G1712" s="92"/>
      <c r="H1712" s="92"/>
      <c r="I1712" s="92"/>
      <c r="J1712" s="92"/>
      <c r="K1712" s="92"/>
      <c r="L1712" s="92"/>
      <c r="M1712" s="92"/>
      <c r="N1712" s="94"/>
      <c r="AG1712" s="100"/>
      <c r="AH1712" s="101"/>
      <c r="AI1712" s="101"/>
      <c r="AJ1712" s="100"/>
      <c r="AK1712" s="100"/>
      <c r="AL1712" s="100"/>
      <c r="AM1712" s="100"/>
      <c r="AN1712" s="100"/>
      <c r="AO1712" s="100"/>
      <c r="AP1712" s="100"/>
      <c r="AQ1712" s="100"/>
      <c r="AR1712" s="100"/>
      <c r="AS1712" s="100"/>
      <c r="AT1712" s="102"/>
      <c r="AX1712" s="100"/>
      <c r="AY1712" s="101"/>
      <c r="AZ1712" s="101"/>
      <c r="BA1712" s="100"/>
      <c r="BB1712" s="100"/>
      <c r="BC1712" s="100"/>
      <c r="BD1712" s="100"/>
      <c r="BE1712" s="100"/>
      <c r="BF1712" s="100"/>
      <c r="BG1712" s="100"/>
      <c r="BH1712" s="100"/>
      <c r="BI1712" s="100"/>
      <c r="BJ1712" s="100"/>
      <c r="BK1712" s="102"/>
    </row>
    <row r="1713" spans="1:63" x14ac:dyDescent="0.25">
      <c r="A1713" s="92"/>
      <c r="B1713" s="93"/>
      <c r="C1713" s="93"/>
      <c r="D1713" s="92"/>
      <c r="E1713" s="92"/>
      <c r="F1713" s="92"/>
      <c r="G1713" s="92"/>
      <c r="H1713" s="92"/>
      <c r="I1713" s="92"/>
      <c r="J1713" s="92"/>
      <c r="K1713" s="92"/>
      <c r="L1713" s="92"/>
      <c r="M1713" s="92"/>
      <c r="N1713" s="94"/>
      <c r="AG1713" s="100"/>
      <c r="AH1713" s="101"/>
      <c r="AI1713" s="101"/>
      <c r="AJ1713" s="100"/>
      <c r="AK1713" s="100"/>
      <c r="AL1713" s="100"/>
      <c r="AM1713" s="100"/>
      <c r="AN1713" s="100"/>
      <c r="AO1713" s="100"/>
      <c r="AP1713" s="100"/>
      <c r="AQ1713" s="100"/>
      <c r="AR1713" s="100"/>
      <c r="AS1713" s="100"/>
      <c r="AT1713" s="102"/>
      <c r="AX1713" s="100"/>
      <c r="AY1713" s="101"/>
      <c r="AZ1713" s="101"/>
      <c r="BA1713" s="100"/>
      <c r="BB1713" s="100"/>
      <c r="BC1713" s="100"/>
      <c r="BD1713" s="100"/>
      <c r="BE1713" s="100"/>
      <c r="BF1713" s="100"/>
      <c r="BG1713" s="100"/>
      <c r="BH1713" s="100"/>
      <c r="BI1713" s="100"/>
      <c r="BJ1713" s="100"/>
      <c r="BK1713" s="102"/>
    </row>
    <row r="1714" spans="1:63" x14ac:dyDescent="0.25">
      <c r="A1714" s="92"/>
      <c r="B1714" s="92"/>
      <c r="C1714" s="92"/>
      <c r="D1714" s="92"/>
      <c r="E1714" s="92"/>
      <c r="F1714" s="92"/>
      <c r="G1714" s="92"/>
      <c r="H1714" s="92"/>
      <c r="I1714" s="92"/>
      <c r="J1714" s="92"/>
      <c r="K1714" s="92"/>
      <c r="L1714" s="92"/>
      <c r="M1714" s="92"/>
      <c r="N1714" s="92"/>
      <c r="AG1714" s="100"/>
      <c r="AH1714" s="101"/>
      <c r="AI1714" s="101"/>
      <c r="AJ1714" s="100"/>
      <c r="AK1714" s="100"/>
      <c r="AL1714" s="100"/>
      <c r="AM1714" s="100"/>
      <c r="AN1714" s="100"/>
      <c r="AO1714" s="100"/>
      <c r="AP1714" s="100"/>
      <c r="AQ1714" s="100"/>
      <c r="AR1714" s="100"/>
      <c r="AS1714" s="100"/>
      <c r="AT1714" s="102"/>
      <c r="AX1714" s="100"/>
      <c r="AY1714" s="101"/>
      <c r="AZ1714" s="101"/>
      <c r="BA1714" s="100"/>
      <c r="BB1714" s="100"/>
      <c r="BC1714" s="100"/>
      <c r="BD1714" s="100"/>
      <c r="BE1714" s="100"/>
      <c r="BF1714" s="100"/>
      <c r="BG1714" s="100"/>
      <c r="BH1714" s="100"/>
      <c r="BI1714" s="100"/>
      <c r="BJ1714" s="100"/>
      <c r="BK1714" s="102"/>
    </row>
    <row r="1715" spans="1:63" x14ac:dyDescent="0.25">
      <c r="A1715" s="92"/>
      <c r="B1715" s="92"/>
      <c r="C1715" s="92"/>
      <c r="D1715" s="92"/>
      <c r="E1715" s="92"/>
      <c r="F1715" s="92"/>
      <c r="G1715" s="92"/>
      <c r="H1715" s="92"/>
      <c r="I1715" s="92"/>
      <c r="J1715" s="92"/>
      <c r="K1715" s="92"/>
      <c r="L1715" s="92"/>
      <c r="M1715" s="92"/>
      <c r="N1715" s="92"/>
      <c r="AG1715" s="100"/>
      <c r="AH1715" s="101"/>
      <c r="AI1715" s="101"/>
      <c r="AJ1715" s="100"/>
      <c r="AK1715" s="100"/>
      <c r="AL1715" s="100"/>
      <c r="AM1715" s="100"/>
      <c r="AN1715" s="100"/>
      <c r="AO1715" s="100"/>
      <c r="AP1715" s="100"/>
      <c r="AQ1715" s="100"/>
      <c r="AR1715" s="100"/>
      <c r="AS1715" s="100"/>
      <c r="AT1715" s="102"/>
      <c r="AX1715" s="100"/>
      <c r="AY1715" s="101"/>
      <c r="AZ1715" s="101"/>
      <c r="BA1715" s="100"/>
      <c r="BB1715" s="100"/>
      <c r="BC1715" s="100"/>
      <c r="BD1715" s="100"/>
      <c r="BE1715" s="100"/>
      <c r="BF1715" s="100"/>
      <c r="BG1715" s="100"/>
      <c r="BH1715" s="100"/>
      <c r="BI1715" s="100"/>
      <c r="BJ1715" s="100"/>
      <c r="BK1715" s="102"/>
    </row>
    <row r="1716" spans="1:63" x14ac:dyDescent="0.25">
      <c r="A1716" s="92"/>
      <c r="B1716" s="93"/>
      <c r="C1716" s="93"/>
      <c r="D1716" s="92"/>
      <c r="E1716" s="92"/>
      <c r="F1716" s="92"/>
      <c r="G1716" s="92"/>
      <c r="H1716" s="92"/>
      <c r="I1716" s="92"/>
      <c r="J1716" s="92"/>
      <c r="K1716" s="92"/>
      <c r="L1716" s="92"/>
      <c r="M1716" s="92"/>
      <c r="N1716" s="94"/>
      <c r="AG1716" s="100"/>
      <c r="AH1716" s="101"/>
      <c r="AI1716" s="101"/>
      <c r="AJ1716" s="100"/>
      <c r="AK1716" s="100"/>
      <c r="AL1716" s="100"/>
      <c r="AM1716" s="100"/>
      <c r="AN1716" s="100"/>
      <c r="AO1716" s="100"/>
      <c r="AP1716" s="100"/>
      <c r="AQ1716" s="100"/>
      <c r="AR1716" s="100"/>
      <c r="AS1716" s="100"/>
      <c r="AT1716" s="102"/>
      <c r="AX1716" s="100"/>
      <c r="AY1716" s="101"/>
      <c r="AZ1716" s="101"/>
      <c r="BA1716" s="100"/>
      <c r="BB1716" s="100"/>
      <c r="BC1716" s="100"/>
      <c r="BD1716" s="100"/>
      <c r="BE1716" s="100"/>
      <c r="BF1716" s="100"/>
      <c r="BG1716" s="100"/>
      <c r="BH1716" s="100"/>
      <c r="BI1716" s="100"/>
      <c r="BJ1716" s="100"/>
      <c r="BK1716" s="102"/>
    </row>
    <row r="1717" spans="1:63" x14ac:dyDescent="0.25">
      <c r="A1717" s="92"/>
      <c r="B1717" s="93"/>
      <c r="C1717" s="93"/>
      <c r="D1717" s="92"/>
      <c r="E1717" s="92"/>
      <c r="F1717" s="92"/>
      <c r="G1717" s="92"/>
      <c r="H1717" s="92"/>
      <c r="I1717" s="92"/>
      <c r="J1717" s="92"/>
      <c r="K1717" s="92"/>
      <c r="L1717" s="92"/>
      <c r="M1717" s="92"/>
      <c r="N1717" s="94"/>
      <c r="AG1717" s="100"/>
      <c r="AH1717" s="101"/>
      <c r="AI1717" s="101"/>
      <c r="AJ1717" s="100"/>
      <c r="AK1717" s="100"/>
      <c r="AL1717" s="100"/>
      <c r="AM1717" s="100"/>
      <c r="AN1717" s="100"/>
      <c r="AO1717" s="100"/>
      <c r="AP1717" s="100"/>
      <c r="AQ1717" s="100"/>
      <c r="AR1717" s="100"/>
      <c r="AS1717" s="100"/>
      <c r="AT1717" s="102"/>
      <c r="AX1717" s="100"/>
      <c r="AY1717" s="101"/>
      <c r="AZ1717" s="101"/>
      <c r="BA1717" s="101"/>
      <c r="BB1717" s="100"/>
      <c r="BC1717" s="100"/>
      <c r="BD1717" s="100"/>
      <c r="BE1717" s="100"/>
      <c r="BF1717" s="100"/>
      <c r="BG1717" s="100"/>
      <c r="BH1717" s="100"/>
      <c r="BI1717" s="100"/>
      <c r="BJ1717" s="100"/>
      <c r="BK1717" s="102"/>
    </row>
    <row r="1718" spans="1:63" x14ac:dyDescent="0.25">
      <c r="A1718" s="92"/>
      <c r="B1718" s="93"/>
      <c r="C1718" s="93"/>
      <c r="D1718" s="92"/>
      <c r="E1718" s="92"/>
      <c r="F1718" s="92"/>
      <c r="G1718" s="92"/>
      <c r="H1718" s="92"/>
      <c r="I1718" s="92"/>
      <c r="J1718" s="92"/>
      <c r="K1718" s="92"/>
      <c r="L1718" s="92"/>
      <c r="M1718" s="92"/>
      <c r="N1718" s="94"/>
      <c r="AG1718" s="100"/>
      <c r="AH1718" s="101"/>
      <c r="AI1718" s="101"/>
      <c r="AJ1718" s="100"/>
      <c r="AK1718" s="100"/>
      <c r="AL1718" s="100"/>
      <c r="AM1718" s="100"/>
      <c r="AN1718" s="100"/>
      <c r="AO1718" s="100"/>
      <c r="AP1718" s="100"/>
      <c r="AQ1718" s="100"/>
      <c r="AR1718" s="100"/>
      <c r="AS1718" s="100"/>
      <c r="AT1718" s="102"/>
      <c r="AX1718" s="100"/>
      <c r="AY1718" s="101"/>
      <c r="AZ1718" s="101"/>
      <c r="BA1718" s="100"/>
      <c r="BB1718" s="100"/>
      <c r="BC1718" s="100"/>
      <c r="BD1718" s="100"/>
      <c r="BE1718" s="100"/>
      <c r="BF1718" s="100"/>
      <c r="BG1718" s="100"/>
      <c r="BH1718" s="100"/>
      <c r="BI1718" s="100"/>
      <c r="BJ1718" s="100"/>
      <c r="BK1718" s="102"/>
    </row>
    <row r="1719" spans="1:63" x14ac:dyDescent="0.25">
      <c r="A1719" s="92"/>
      <c r="B1719" s="92"/>
      <c r="C1719" s="92"/>
      <c r="D1719" s="92"/>
      <c r="E1719" s="92"/>
      <c r="F1719" s="92"/>
      <c r="G1719" s="92"/>
      <c r="H1719" s="92"/>
      <c r="I1719" s="92"/>
      <c r="J1719" s="92"/>
      <c r="K1719" s="92"/>
      <c r="L1719" s="92"/>
      <c r="M1719" s="92"/>
      <c r="N1719" s="92"/>
      <c r="AG1719" s="100"/>
      <c r="AH1719" s="101"/>
      <c r="AI1719" s="101"/>
      <c r="AJ1719" s="100"/>
      <c r="AK1719" s="100"/>
      <c r="AL1719" s="100"/>
      <c r="AM1719" s="100"/>
      <c r="AN1719" s="100"/>
      <c r="AO1719" s="100"/>
      <c r="AP1719" s="100"/>
      <c r="AQ1719" s="100"/>
      <c r="AR1719" s="100"/>
      <c r="AS1719" s="100"/>
      <c r="AT1719" s="102"/>
      <c r="AX1719" s="100"/>
      <c r="AY1719" s="101"/>
      <c r="AZ1719" s="101"/>
      <c r="BA1719" s="100"/>
      <c r="BB1719" s="100"/>
      <c r="BC1719" s="100"/>
      <c r="BD1719" s="100"/>
      <c r="BE1719" s="100"/>
      <c r="BF1719" s="100"/>
      <c r="BG1719" s="100"/>
      <c r="BH1719" s="100"/>
      <c r="BI1719" s="100"/>
      <c r="BJ1719" s="100"/>
      <c r="BK1719" s="102"/>
    </row>
    <row r="1720" spans="1:63" x14ac:dyDescent="0.25">
      <c r="A1720" s="92"/>
      <c r="B1720" s="93"/>
      <c r="C1720" s="93"/>
      <c r="D1720" s="93"/>
      <c r="E1720" s="92"/>
      <c r="F1720" s="92"/>
      <c r="G1720" s="92"/>
      <c r="H1720" s="92"/>
      <c r="I1720" s="92"/>
      <c r="J1720" s="92"/>
      <c r="K1720" s="92"/>
      <c r="L1720" s="92"/>
      <c r="M1720" s="92"/>
      <c r="N1720" s="94"/>
      <c r="AG1720" s="100"/>
      <c r="AH1720" s="101"/>
      <c r="AI1720" s="101"/>
      <c r="AJ1720" s="101"/>
      <c r="AK1720" s="100"/>
      <c r="AL1720" s="100"/>
      <c r="AM1720" s="100"/>
      <c r="AN1720" s="100"/>
      <c r="AO1720" s="100"/>
      <c r="AP1720" s="100"/>
      <c r="AQ1720" s="100"/>
      <c r="AR1720" s="100"/>
      <c r="AS1720" s="100"/>
      <c r="AT1720" s="102"/>
      <c r="AX1720" s="100"/>
      <c r="AY1720" s="101"/>
      <c r="AZ1720" s="101"/>
      <c r="BA1720" s="101"/>
      <c r="BB1720" s="100"/>
      <c r="BC1720" s="100"/>
      <c r="BD1720" s="100"/>
      <c r="BE1720" s="100"/>
      <c r="BF1720" s="100"/>
      <c r="BG1720" s="100"/>
      <c r="BH1720" s="100"/>
      <c r="BI1720" s="100"/>
      <c r="BJ1720" s="100"/>
      <c r="BK1720" s="102"/>
    </row>
    <row r="1721" spans="1:63" x14ac:dyDescent="0.25">
      <c r="A1721" s="92"/>
      <c r="B1721" s="93"/>
      <c r="C1721" s="93"/>
      <c r="D1721" s="92"/>
      <c r="E1721" s="92"/>
      <c r="F1721" s="92"/>
      <c r="G1721" s="92"/>
      <c r="H1721" s="92"/>
      <c r="I1721" s="92"/>
      <c r="J1721" s="92"/>
      <c r="K1721" s="92"/>
      <c r="L1721" s="92"/>
      <c r="M1721" s="92"/>
      <c r="N1721" s="94"/>
      <c r="AG1721" s="100"/>
      <c r="AH1721" s="101"/>
      <c r="AI1721" s="101"/>
      <c r="AJ1721" s="101"/>
      <c r="AK1721" s="100"/>
      <c r="AL1721" s="100"/>
      <c r="AM1721" s="100"/>
      <c r="AN1721" s="100"/>
      <c r="AO1721" s="100"/>
      <c r="AP1721" s="100"/>
      <c r="AQ1721" s="100"/>
      <c r="AR1721" s="100"/>
      <c r="AS1721" s="100"/>
      <c r="AT1721" s="102"/>
      <c r="AX1721" s="100"/>
      <c r="AY1721" s="101"/>
      <c r="AZ1721" s="101"/>
      <c r="BA1721" s="100"/>
      <c r="BB1721" s="100"/>
      <c r="BC1721" s="100"/>
      <c r="BD1721" s="100"/>
      <c r="BE1721" s="100"/>
      <c r="BF1721" s="100"/>
      <c r="BG1721" s="100"/>
      <c r="BH1721" s="100"/>
      <c r="BI1721" s="100"/>
      <c r="BJ1721" s="100"/>
      <c r="BK1721" s="102"/>
    </row>
    <row r="1722" spans="1:63" x14ac:dyDescent="0.25">
      <c r="A1722" s="92"/>
      <c r="B1722" s="92"/>
      <c r="C1722" s="92"/>
      <c r="D1722" s="92"/>
      <c r="E1722" s="92"/>
      <c r="F1722" s="92"/>
      <c r="G1722" s="92"/>
      <c r="H1722" s="92"/>
      <c r="I1722" s="92"/>
      <c r="J1722" s="92"/>
      <c r="K1722" s="92"/>
      <c r="L1722" s="92"/>
      <c r="M1722" s="92"/>
      <c r="N1722" s="92"/>
      <c r="AG1722" s="100"/>
      <c r="AH1722" s="101"/>
      <c r="AI1722" s="101"/>
      <c r="AJ1722" s="100"/>
      <c r="AK1722" s="100"/>
      <c r="AL1722" s="100"/>
      <c r="AM1722" s="100"/>
      <c r="AN1722" s="100"/>
      <c r="AO1722" s="100"/>
      <c r="AP1722" s="100"/>
      <c r="AQ1722" s="100"/>
      <c r="AR1722" s="100"/>
      <c r="AS1722" s="100"/>
      <c r="AT1722" s="102"/>
      <c r="AX1722" s="100"/>
      <c r="AY1722" s="101"/>
      <c r="AZ1722" s="101"/>
      <c r="BA1722" s="100"/>
      <c r="BB1722" s="100"/>
      <c r="BC1722" s="100"/>
      <c r="BD1722" s="100"/>
      <c r="BE1722" s="100"/>
      <c r="BF1722" s="100"/>
      <c r="BG1722" s="100"/>
      <c r="BH1722" s="100"/>
      <c r="BI1722" s="100"/>
      <c r="BJ1722" s="100"/>
      <c r="BK1722" s="102"/>
    </row>
    <row r="1723" spans="1:63" x14ac:dyDescent="0.25">
      <c r="A1723" s="92"/>
      <c r="B1723" s="92"/>
      <c r="C1723" s="92"/>
      <c r="D1723" s="92"/>
      <c r="E1723" s="92"/>
      <c r="F1723" s="92"/>
      <c r="G1723" s="92"/>
      <c r="H1723" s="92"/>
      <c r="I1723" s="92"/>
      <c r="J1723" s="92"/>
      <c r="K1723" s="92"/>
      <c r="L1723" s="92"/>
      <c r="M1723" s="92"/>
      <c r="N1723" s="92"/>
      <c r="AG1723" s="100"/>
      <c r="AH1723" s="101"/>
      <c r="AI1723" s="101"/>
      <c r="AJ1723" s="100"/>
      <c r="AK1723" s="100"/>
      <c r="AL1723" s="100"/>
      <c r="AM1723" s="100"/>
      <c r="AN1723" s="100"/>
      <c r="AO1723" s="100"/>
      <c r="AP1723" s="100"/>
      <c r="AQ1723" s="100"/>
      <c r="AR1723" s="100"/>
      <c r="AS1723" s="100"/>
      <c r="AT1723" s="102"/>
      <c r="AX1723" s="100"/>
      <c r="AY1723" s="101"/>
      <c r="AZ1723" s="101"/>
      <c r="BA1723" s="100"/>
      <c r="BB1723" s="100"/>
      <c r="BC1723" s="100"/>
      <c r="BD1723" s="100"/>
      <c r="BE1723" s="100"/>
      <c r="BF1723" s="100"/>
      <c r="BG1723" s="100"/>
      <c r="BH1723" s="100"/>
      <c r="BI1723" s="100"/>
      <c r="BJ1723" s="100"/>
      <c r="BK1723" s="102"/>
    </row>
    <row r="1724" spans="1:63" x14ac:dyDescent="0.25">
      <c r="A1724" s="92"/>
      <c r="B1724" s="92"/>
      <c r="C1724" s="92"/>
      <c r="D1724" s="92"/>
      <c r="E1724" s="92"/>
      <c r="F1724" s="92"/>
      <c r="G1724" s="92"/>
      <c r="H1724" s="92"/>
      <c r="I1724" s="92"/>
      <c r="J1724" s="92"/>
      <c r="K1724" s="92"/>
      <c r="L1724" s="92"/>
      <c r="M1724" s="92"/>
      <c r="N1724" s="92"/>
      <c r="AG1724" s="100"/>
      <c r="AH1724" s="101"/>
      <c r="AI1724" s="101"/>
      <c r="AJ1724" s="100"/>
      <c r="AK1724" s="100"/>
      <c r="AL1724" s="100"/>
      <c r="AM1724" s="100"/>
      <c r="AN1724" s="100"/>
      <c r="AO1724" s="100"/>
      <c r="AP1724" s="100"/>
      <c r="AQ1724" s="100"/>
      <c r="AR1724" s="100"/>
      <c r="AS1724" s="100"/>
      <c r="AT1724" s="102"/>
      <c r="AX1724" s="100"/>
      <c r="AY1724" s="101"/>
      <c r="AZ1724" s="101"/>
      <c r="BA1724" s="100"/>
      <c r="BB1724" s="100"/>
      <c r="BC1724" s="100"/>
      <c r="BD1724" s="100"/>
      <c r="BE1724" s="100"/>
      <c r="BF1724" s="100"/>
      <c r="BG1724" s="100"/>
      <c r="BH1724" s="100"/>
      <c r="BI1724" s="100"/>
      <c r="BJ1724" s="100"/>
      <c r="BK1724" s="102"/>
    </row>
    <row r="1725" spans="1:63" x14ac:dyDescent="0.25">
      <c r="A1725" s="92"/>
      <c r="B1725" s="93"/>
      <c r="C1725" s="93"/>
      <c r="D1725" s="93"/>
      <c r="E1725" s="92"/>
      <c r="F1725" s="92"/>
      <c r="G1725" s="92"/>
      <c r="H1725" s="92"/>
      <c r="I1725" s="92"/>
      <c r="J1725" s="92"/>
      <c r="K1725" s="92"/>
      <c r="L1725" s="92"/>
      <c r="M1725" s="92"/>
      <c r="N1725" s="94"/>
      <c r="AG1725" s="100"/>
      <c r="AH1725" s="101"/>
      <c r="AI1725" s="101"/>
      <c r="AJ1725" s="100"/>
      <c r="AK1725" s="100"/>
      <c r="AL1725" s="100"/>
      <c r="AM1725" s="100"/>
      <c r="AN1725" s="100"/>
      <c r="AO1725" s="100"/>
      <c r="AP1725" s="100"/>
      <c r="AQ1725" s="100"/>
      <c r="AR1725" s="100"/>
      <c r="AS1725" s="100"/>
      <c r="AT1725" s="102"/>
      <c r="AX1725" s="100"/>
      <c r="AY1725" s="101"/>
      <c r="AZ1725" s="101"/>
      <c r="BA1725" s="100"/>
      <c r="BB1725" s="100"/>
      <c r="BC1725" s="100"/>
      <c r="BD1725" s="100"/>
      <c r="BE1725" s="100"/>
      <c r="BF1725" s="100"/>
      <c r="BG1725" s="100"/>
      <c r="BH1725" s="100"/>
      <c r="BI1725" s="100"/>
      <c r="BJ1725" s="100"/>
      <c r="BK1725" s="102"/>
    </row>
    <row r="1726" spans="1:63" x14ac:dyDescent="0.25">
      <c r="A1726" s="92"/>
      <c r="B1726" s="93"/>
      <c r="C1726" s="93"/>
      <c r="D1726" s="92"/>
      <c r="E1726" s="92"/>
      <c r="F1726" s="92"/>
      <c r="G1726" s="92"/>
      <c r="H1726" s="92"/>
      <c r="I1726" s="92"/>
      <c r="J1726" s="92"/>
      <c r="K1726" s="92"/>
      <c r="L1726" s="92"/>
      <c r="M1726" s="92"/>
      <c r="N1726" s="94"/>
      <c r="AG1726" s="100"/>
      <c r="AH1726" s="101"/>
      <c r="AI1726" s="101"/>
      <c r="AJ1726" s="101"/>
      <c r="AK1726" s="100"/>
      <c r="AL1726" s="100"/>
      <c r="AM1726" s="100"/>
      <c r="AN1726" s="100"/>
      <c r="AO1726" s="100"/>
      <c r="AP1726" s="100"/>
      <c r="AQ1726" s="100"/>
      <c r="AR1726" s="100"/>
      <c r="AS1726" s="100"/>
      <c r="AT1726" s="102"/>
      <c r="AX1726" s="100"/>
      <c r="AY1726" s="101"/>
      <c r="AZ1726" s="101"/>
      <c r="BA1726" s="100"/>
      <c r="BB1726" s="100"/>
      <c r="BC1726" s="100"/>
      <c r="BD1726" s="100"/>
      <c r="BE1726" s="100"/>
      <c r="BF1726" s="100"/>
      <c r="BG1726" s="100"/>
      <c r="BH1726" s="100"/>
      <c r="BI1726" s="100"/>
      <c r="BJ1726" s="100"/>
      <c r="BK1726" s="102"/>
    </row>
    <row r="1727" spans="1:63" x14ac:dyDescent="0.25">
      <c r="A1727" s="92"/>
      <c r="B1727" s="93"/>
      <c r="C1727" s="93"/>
      <c r="D1727" s="92"/>
      <c r="E1727" s="92"/>
      <c r="F1727" s="92"/>
      <c r="G1727" s="92"/>
      <c r="H1727" s="92"/>
      <c r="I1727" s="92"/>
      <c r="J1727" s="92"/>
      <c r="K1727" s="92"/>
      <c r="L1727" s="92"/>
      <c r="M1727" s="92"/>
      <c r="N1727" s="94"/>
      <c r="AG1727" s="100"/>
      <c r="AH1727" s="101"/>
      <c r="AI1727" s="101"/>
      <c r="AJ1727" s="100"/>
      <c r="AK1727" s="100"/>
      <c r="AL1727" s="100"/>
      <c r="AM1727" s="100"/>
      <c r="AN1727" s="100"/>
      <c r="AO1727" s="100"/>
      <c r="AP1727" s="100"/>
      <c r="AQ1727" s="100"/>
      <c r="AR1727" s="100"/>
      <c r="AS1727" s="100"/>
      <c r="AT1727" s="102"/>
      <c r="AX1727" s="100"/>
      <c r="AY1727" s="101"/>
      <c r="AZ1727" s="101"/>
      <c r="BA1727" s="100"/>
      <c r="BB1727" s="100"/>
      <c r="BC1727" s="100"/>
      <c r="BD1727" s="100"/>
      <c r="BE1727" s="100"/>
      <c r="BF1727" s="100"/>
      <c r="BG1727" s="100"/>
      <c r="BH1727" s="100"/>
      <c r="BI1727" s="100"/>
      <c r="BJ1727" s="100"/>
      <c r="BK1727" s="102"/>
    </row>
    <row r="1728" spans="1:63" x14ac:dyDescent="0.25">
      <c r="A1728" s="92"/>
      <c r="B1728" s="92"/>
      <c r="C1728" s="92"/>
      <c r="D1728" s="92"/>
      <c r="E1728" s="92"/>
      <c r="F1728" s="92"/>
      <c r="G1728" s="92"/>
      <c r="H1728" s="92"/>
      <c r="I1728" s="92"/>
      <c r="J1728" s="92"/>
      <c r="K1728" s="92"/>
      <c r="L1728" s="92"/>
      <c r="M1728" s="92"/>
      <c r="N1728" s="92"/>
      <c r="AG1728" s="100"/>
      <c r="AH1728" s="101"/>
      <c r="AI1728" s="101"/>
      <c r="AJ1728" s="101"/>
      <c r="AK1728" s="100"/>
      <c r="AL1728" s="100"/>
      <c r="AM1728" s="100"/>
      <c r="AN1728" s="100"/>
      <c r="AO1728" s="100"/>
      <c r="AP1728" s="100"/>
      <c r="AQ1728" s="100"/>
      <c r="AR1728" s="100"/>
      <c r="AS1728" s="100"/>
      <c r="AT1728" s="102"/>
      <c r="AX1728" s="100"/>
      <c r="AY1728" s="101"/>
      <c r="AZ1728" s="101"/>
      <c r="BA1728" s="100"/>
      <c r="BB1728" s="100"/>
      <c r="BC1728" s="100"/>
      <c r="BD1728" s="100"/>
      <c r="BE1728" s="100"/>
      <c r="BF1728" s="100"/>
      <c r="BG1728" s="100"/>
      <c r="BH1728" s="100"/>
      <c r="BI1728" s="100"/>
      <c r="BJ1728" s="100"/>
      <c r="BK1728" s="102"/>
    </row>
    <row r="1729" spans="1:63" x14ac:dyDescent="0.25">
      <c r="A1729" s="92"/>
      <c r="B1729" s="93"/>
      <c r="C1729" s="93"/>
      <c r="D1729" s="92"/>
      <c r="E1729" s="92"/>
      <c r="F1729" s="92"/>
      <c r="G1729" s="92"/>
      <c r="H1729" s="92"/>
      <c r="I1729" s="92"/>
      <c r="J1729" s="92"/>
      <c r="K1729" s="92"/>
      <c r="L1729" s="92"/>
      <c r="M1729" s="92"/>
      <c r="N1729" s="94"/>
      <c r="AG1729" s="100"/>
      <c r="AH1729" s="101"/>
      <c r="AI1729" s="101"/>
      <c r="AJ1729" s="100"/>
      <c r="AK1729" s="100"/>
      <c r="AL1729" s="100"/>
      <c r="AM1729" s="100"/>
      <c r="AN1729" s="100"/>
      <c r="AO1729" s="100"/>
      <c r="AP1729" s="100"/>
      <c r="AQ1729" s="100"/>
      <c r="AR1729" s="100"/>
      <c r="AS1729" s="100"/>
      <c r="AT1729" s="102"/>
      <c r="AX1729" s="100"/>
      <c r="AY1729" s="101"/>
      <c r="AZ1729" s="101"/>
      <c r="BA1729" s="101"/>
      <c r="BB1729" s="100"/>
      <c r="BC1729" s="100"/>
      <c r="BD1729" s="100"/>
      <c r="BE1729" s="100"/>
      <c r="BF1729" s="100"/>
      <c r="BG1729" s="100"/>
      <c r="BH1729" s="100"/>
      <c r="BI1729" s="100"/>
      <c r="BJ1729" s="100"/>
      <c r="BK1729" s="102"/>
    </row>
    <row r="1730" spans="1:63" x14ac:dyDescent="0.25">
      <c r="A1730" s="92"/>
      <c r="B1730" s="92"/>
      <c r="C1730" s="92"/>
      <c r="D1730" s="92"/>
      <c r="E1730" s="92"/>
      <c r="F1730" s="92"/>
      <c r="G1730" s="92"/>
      <c r="H1730" s="92"/>
      <c r="I1730" s="92"/>
      <c r="J1730" s="92"/>
      <c r="K1730" s="92"/>
      <c r="L1730" s="92"/>
      <c r="M1730" s="92"/>
      <c r="N1730" s="92"/>
      <c r="AG1730" s="100"/>
      <c r="AH1730" s="101"/>
      <c r="AI1730" s="101"/>
      <c r="AJ1730" s="101"/>
      <c r="AK1730" s="100"/>
      <c r="AL1730" s="100"/>
      <c r="AM1730" s="100"/>
      <c r="AN1730" s="100"/>
      <c r="AO1730" s="100"/>
      <c r="AP1730" s="100"/>
      <c r="AQ1730" s="100"/>
      <c r="AR1730" s="100"/>
      <c r="AS1730" s="100"/>
      <c r="AT1730" s="102"/>
      <c r="AX1730" s="100"/>
      <c r="AY1730" s="101"/>
      <c r="AZ1730" s="101"/>
      <c r="BA1730" s="100"/>
      <c r="BB1730" s="100"/>
      <c r="BC1730" s="100"/>
      <c r="BD1730" s="100"/>
      <c r="BE1730" s="100"/>
      <c r="BF1730" s="100"/>
      <c r="BG1730" s="100"/>
      <c r="BH1730" s="100"/>
      <c r="BI1730" s="100"/>
      <c r="BJ1730" s="100"/>
      <c r="BK1730" s="102"/>
    </row>
    <row r="1731" spans="1:63" x14ac:dyDescent="0.25">
      <c r="A1731" s="92"/>
      <c r="B1731" s="93"/>
      <c r="C1731" s="93"/>
      <c r="D1731" s="93"/>
      <c r="E1731" s="92"/>
      <c r="F1731" s="92"/>
      <c r="G1731" s="92"/>
      <c r="H1731" s="92"/>
      <c r="I1731" s="92"/>
      <c r="J1731" s="92"/>
      <c r="K1731" s="92"/>
      <c r="L1731" s="92"/>
      <c r="M1731" s="92"/>
      <c r="N1731" s="94"/>
      <c r="AG1731" s="100"/>
      <c r="AH1731" s="101"/>
      <c r="AI1731" s="101"/>
      <c r="AJ1731" s="100"/>
      <c r="AK1731" s="100"/>
      <c r="AL1731" s="100"/>
      <c r="AM1731" s="100"/>
      <c r="AN1731" s="100"/>
      <c r="AO1731" s="100"/>
      <c r="AP1731" s="100"/>
      <c r="AQ1731" s="100"/>
      <c r="AR1731" s="100"/>
      <c r="AS1731" s="100"/>
      <c r="AT1731" s="102"/>
      <c r="AX1731" s="100"/>
      <c r="AY1731" s="101"/>
      <c r="AZ1731" s="101"/>
      <c r="BA1731" s="100"/>
      <c r="BB1731" s="100"/>
      <c r="BC1731" s="100"/>
      <c r="BD1731" s="100"/>
      <c r="BE1731" s="100"/>
      <c r="BF1731" s="100"/>
      <c r="BG1731" s="100"/>
      <c r="BH1731" s="100"/>
      <c r="BI1731" s="100"/>
      <c r="BJ1731" s="100"/>
      <c r="BK1731" s="102"/>
    </row>
    <row r="1732" spans="1:63" x14ac:dyDescent="0.25">
      <c r="A1732" s="92"/>
      <c r="B1732" s="92"/>
      <c r="C1732" s="92"/>
      <c r="D1732" s="93"/>
      <c r="E1732" s="92"/>
      <c r="F1732" s="92"/>
      <c r="G1732" s="92"/>
      <c r="H1732" s="92"/>
      <c r="I1732" s="92"/>
      <c r="J1732" s="92"/>
      <c r="K1732" s="92"/>
      <c r="L1732" s="92"/>
      <c r="M1732" s="92"/>
      <c r="N1732" s="92"/>
      <c r="AG1732" s="100"/>
      <c r="AH1732" s="101"/>
      <c r="AI1732" s="101"/>
      <c r="AJ1732" s="100"/>
      <c r="AK1732" s="100"/>
      <c r="AL1732" s="100"/>
      <c r="AM1732" s="100"/>
      <c r="AN1732" s="100"/>
      <c r="AO1732" s="100"/>
      <c r="AP1732" s="100"/>
      <c r="AQ1732" s="100"/>
      <c r="AR1732" s="100"/>
      <c r="AS1732" s="100"/>
      <c r="AT1732" s="102"/>
      <c r="AX1732" s="100"/>
      <c r="AY1732" s="101"/>
      <c r="AZ1732" s="101"/>
      <c r="BA1732" s="100"/>
      <c r="BB1732" s="100"/>
      <c r="BC1732" s="100"/>
      <c r="BD1732" s="100"/>
      <c r="BE1732" s="100"/>
      <c r="BF1732" s="100"/>
      <c r="BG1732" s="100"/>
      <c r="BH1732" s="100"/>
      <c r="BI1732" s="100"/>
      <c r="BJ1732" s="100"/>
      <c r="BK1732" s="102"/>
    </row>
    <row r="1733" spans="1:63" x14ac:dyDescent="0.25">
      <c r="A1733" s="92"/>
      <c r="B1733" s="92"/>
      <c r="C1733" s="92"/>
      <c r="D1733" s="92"/>
      <c r="E1733" s="92"/>
      <c r="F1733" s="92"/>
      <c r="G1733" s="92"/>
      <c r="H1733" s="92"/>
      <c r="I1733" s="92"/>
      <c r="J1733" s="92"/>
      <c r="K1733" s="92"/>
      <c r="L1733" s="92"/>
      <c r="M1733" s="92"/>
      <c r="N1733" s="92"/>
      <c r="AG1733" s="100"/>
      <c r="AH1733" s="101"/>
      <c r="AI1733" s="101"/>
      <c r="AJ1733" s="100"/>
      <c r="AK1733" s="100"/>
      <c r="AL1733" s="100"/>
      <c r="AM1733" s="100"/>
      <c r="AN1733" s="100"/>
      <c r="AO1733" s="100"/>
      <c r="AP1733" s="100"/>
      <c r="AQ1733" s="100"/>
      <c r="AR1733" s="100"/>
      <c r="AS1733" s="100"/>
      <c r="AT1733" s="102"/>
      <c r="AX1733" s="100"/>
      <c r="AY1733" s="101"/>
      <c r="AZ1733" s="101"/>
      <c r="BA1733" s="100"/>
      <c r="BB1733" s="100"/>
      <c r="BC1733" s="100"/>
      <c r="BD1733" s="100"/>
      <c r="BE1733" s="100"/>
      <c r="BF1733" s="100"/>
      <c r="BG1733" s="100"/>
      <c r="BH1733" s="100"/>
      <c r="BI1733" s="100"/>
      <c r="BJ1733" s="100"/>
      <c r="BK1733" s="102"/>
    </row>
    <row r="1734" spans="1:63" x14ac:dyDescent="0.25">
      <c r="A1734" s="92"/>
      <c r="B1734" s="92"/>
      <c r="C1734" s="92"/>
      <c r="D1734" s="92"/>
      <c r="E1734" s="92"/>
      <c r="F1734" s="92"/>
      <c r="G1734" s="92"/>
      <c r="H1734" s="92"/>
      <c r="I1734" s="92"/>
      <c r="J1734" s="92"/>
      <c r="K1734" s="92"/>
      <c r="L1734" s="92"/>
      <c r="M1734" s="92"/>
      <c r="N1734" s="92"/>
      <c r="AG1734" s="100"/>
      <c r="AH1734" s="101"/>
      <c r="AI1734" s="100"/>
      <c r="AJ1734" s="101"/>
      <c r="AK1734" s="100"/>
      <c r="AL1734" s="100"/>
      <c r="AM1734" s="100"/>
      <c r="AN1734" s="100"/>
      <c r="AO1734" s="100"/>
      <c r="AP1734" s="100"/>
      <c r="AQ1734" s="100"/>
      <c r="AR1734" s="100"/>
      <c r="AS1734" s="100"/>
      <c r="AT1734" s="102"/>
      <c r="AX1734" s="100"/>
      <c r="AY1734" s="101"/>
      <c r="AZ1734" s="101"/>
      <c r="BA1734" s="100"/>
      <c r="BB1734" s="100"/>
      <c r="BC1734" s="100"/>
      <c r="BD1734" s="100"/>
      <c r="BE1734" s="100"/>
      <c r="BF1734" s="100"/>
      <c r="BG1734" s="100"/>
      <c r="BH1734" s="100"/>
      <c r="BI1734" s="100"/>
      <c r="BJ1734" s="100"/>
      <c r="BK1734" s="102"/>
    </row>
    <row r="1735" spans="1:63" x14ac:dyDescent="0.25">
      <c r="A1735" s="92"/>
      <c r="B1735" s="92"/>
      <c r="C1735" s="92"/>
      <c r="D1735" s="92"/>
      <c r="E1735" s="92"/>
      <c r="F1735" s="92"/>
      <c r="G1735" s="92"/>
      <c r="H1735" s="92"/>
      <c r="I1735" s="92"/>
      <c r="J1735" s="92"/>
      <c r="K1735" s="92"/>
      <c r="L1735" s="92"/>
      <c r="M1735" s="92"/>
      <c r="N1735" s="92"/>
      <c r="AG1735" s="100"/>
      <c r="AH1735" s="101"/>
      <c r="AI1735" s="100"/>
      <c r="AJ1735" s="101"/>
      <c r="AK1735" s="100"/>
      <c r="AL1735" s="100"/>
      <c r="AM1735" s="100"/>
      <c r="AN1735" s="100"/>
      <c r="AO1735" s="100"/>
      <c r="AP1735" s="100"/>
      <c r="AQ1735" s="100"/>
      <c r="AR1735" s="100"/>
      <c r="AS1735" s="100"/>
      <c r="AT1735" s="102"/>
      <c r="AX1735" s="100"/>
      <c r="AY1735" s="101"/>
      <c r="AZ1735" s="101"/>
      <c r="BA1735" s="100"/>
      <c r="BB1735" s="100"/>
      <c r="BC1735" s="100"/>
      <c r="BD1735" s="100"/>
      <c r="BE1735" s="100"/>
      <c r="BF1735" s="100"/>
      <c r="BG1735" s="100"/>
      <c r="BH1735" s="100"/>
      <c r="BI1735" s="100"/>
      <c r="BJ1735" s="100"/>
      <c r="BK1735" s="102"/>
    </row>
    <row r="1736" spans="1:63" x14ac:dyDescent="0.25">
      <c r="A1736" s="92"/>
      <c r="B1736" s="93"/>
      <c r="C1736" s="93"/>
      <c r="D1736" s="92"/>
      <c r="E1736" s="92"/>
      <c r="F1736" s="92"/>
      <c r="G1736" s="92"/>
      <c r="H1736" s="92"/>
      <c r="I1736" s="92"/>
      <c r="J1736" s="92"/>
      <c r="K1736" s="92"/>
      <c r="L1736" s="92"/>
      <c r="M1736" s="92"/>
      <c r="N1736" s="94"/>
      <c r="AG1736" s="100"/>
      <c r="AH1736" s="101"/>
      <c r="AI1736" s="100"/>
      <c r="AJ1736" s="101"/>
      <c r="AK1736" s="100"/>
      <c r="AL1736" s="100"/>
      <c r="AM1736" s="100"/>
      <c r="AN1736" s="100"/>
      <c r="AO1736" s="100"/>
      <c r="AP1736" s="100"/>
      <c r="AQ1736" s="100"/>
      <c r="AR1736" s="100"/>
      <c r="AS1736" s="100"/>
      <c r="AT1736" s="102"/>
      <c r="AX1736" s="100"/>
      <c r="AY1736" s="101"/>
      <c r="AZ1736" s="101"/>
      <c r="BA1736" s="100"/>
      <c r="BB1736" s="100"/>
      <c r="BC1736" s="100"/>
      <c r="BD1736" s="100"/>
      <c r="BE1736" s="100"/>
      <c r="BF1736" s="100"/>
      <c r="BG1736" s="100"/>
      <c r="BH1736" s="100"/>
      <c r="BI1736" s="100"/>
      <c r="BJ1736" s="100"/>
      <c r="BK1736" s="102"/>
    </row>
    <row r="1737" spans="1:63" x14ac:dyDescent="0.25">
      <c r="A1737" s="92"/>
      <c r="B1737" s="93"/>
      <c r="C1737" s="93"/>
      <c r="D1737" s="92"/>
      <c r="E1737" s="92"/>
      <c r="F1737" s="92"/>
      <c r="G1737" s="92"/>
      <c r="H1737" s="92"/>
      <c r="I1737" s="92"/>
      <c r="J1737" s="92"/>
      <c r="K1737" s="92"/>
      <c r="L1737" s="92"/>
      <c r="M1737" s="92"/>
      <c r="N1737" s="94"/>
      <c r="AG1737" s="100"/>
      <c r="AH1737" s="101"/>
      <c r="AI1737" s="101"/>
      <c r="AJ1737" s="100"/>
      <c r="AK1737" s="100"/>
      <c r="AL1737" s="100"/>
      <c r="AM1737" s="100"/>
      <c r="AN1737" s="100"/>
      <c r="AO1737" s="100"/>
      <c r="AP1737" s="100"/>
      <c r="AQ1737" s="100"/>
      <c r="AR1737" s="100"/>
      <c r="AS1737" s="100"/>
      <c r="AT1737" s="102"/>
      <c r="AX1737" s="100"/>
      <c r="AY1737" s="101"/>
      <c r="AZ1737" s="101"/>
      <c r="BA1737" s="100"/>
      <c r="BB1737" s="100"/>
      <c r="BC1737" s="100"/>
      <c r="BD1737" s="100"/>
      <c r="BE1737" s="100"/>
      <c r="BF1737" s="100"/>
      <c r="BG1737" s="100"/>
      <c r="BH1737" s="100"/>
      <c r="BI1737" s="100"/>
      <c r="BJ1737" s="100"/>
      <c r="BK1737" s="102"/>
    </row>
    <row r="1738" spans="1:63" x14ac:dyDescent="0.25">
      <c r="A1738" s="92"/>
      <c r="B1738" s="93"/>
      <c r="C1738" s="93"/>
      <c r="D1738" s="92"/>
      <c r="E1738" s="92"/>
      <c r="F1738" s="92"/>
      <c r="G1738" s="92"/>
      <c r="H1738" s="92"/>
      <c r="I1738" s="92"/>
      <c r="J1738" s="92"/>
      <c r="K1738" s="92"/>
      <c r="L1738" s="92"/>
      <c r="M1738" s="92"/>
      <c r="N1738" s="94"/>
      <c r="AG1738" s="100"/>
      <c r="AH1738" s="101"/>
      <c r="AI1738" s="101"/>
      <c r="AJ1738" s="100"/>
      <c r="AK1738" s="100"/>
      <c r="AL1738" s="100"/>
      <c r="AM1738" s="100"/>
      <c r="AN1738" s="100"/>
      <c r="AO1738" s="100"/>
      <c r="AP1738" s="100"/>
      <c r="AQ1738" s="100"/>
      <c r="AR1738" s="100"/>
      <c r="AS1738" s="100"/>
      <c r="AT1738" s="102"/>
      <c r="AX1738" s="100"/>
      <c r="AY1738" s="101"/>
      <c r="AZ1738" s="101"/>
      <c r="BA1738" s="100"/>
      <c r="BB1738" s="100"/>
      <c r="BC1738" s="100"/>
      <c r="BD1738" s="100"/>
      <c r="BE1738" s="100"/>
      <c r="BF1738" s="100"/>
      <c r="BG1738" s="100"/>
      <c r="BH1738" s="100"/>
      <c r="BI1738" s="100"/>
      <c r="BJ1738" s="100"/>
      <c r="BK1738" s="102"/>
    </row>
    <row r="1739" spans="1:63" x14ac:dyDescent="0.25">
      <c r="A1739" s="92"/>
      <c r="B1739" s="92"/>
      <c r="C1739" s="92"/>
      <c r="D1739" s="92"/>
      <c r="E1739" s="92"/>
      <c r="F1739" s="92"/>
      <c r="G1739" s="92"/>
      <c r="H1739" s="92"/>
      <c r="I1739" s="92"/>
      <c r="J1739" s="92"/>
      <c r="K1739" s="92"/>
      <c r="L1739" s="92"/>
      <c r="M1739" s="92"/>
      <c r="N1739" s="92"/>
      <c r="AG1739" s="100"/>
      <c r="AH1739" s="101"/>
      <c r="AI1739" s="101"/>
      <c r="AJ1739" s="100"/>
      <c r="AK1739" s="100"/>
      <c r="AL1739" s="100"/>
      <c r="AM1739" s="100"/>
      <c r="AN1739" s="100"/>
      <c r="AO1739" s="100"/>
      <c r="AP1739" s="100"/>
      <c r="AQ1739" s="100"/>
      <c r="AR1739" s="100"/>
      <c r="AS1739" s="100"/>
      <c r="AT1739" s="102"/>
      <c r="AX1739" s="100"/>
      <c r="AY1739" s="101"/>
      <c r="AZ1739" s="101"/>
      <c r="BA1739" s="100"/>
      <c r="BB1739" s="100"/>
      <c r="BC1739" s="100"/>
      <c r="BD1739" s="100"/>
      <c r="BE1739" s="100"/>
      <c r="BF1739" s="100"/>
      <c r="BG1739" s="100"/>
      <c r="BH1739" s="100"/>
      <c r="BI1739" s="100"/>
      <c r="BJ1739" s="100"/>
      <c r="BK1739" s="102"/>
    </row>
    <row r="1740" spans="1:63" x14ac:dyDescent="0.25">
      <c r="A1740" s="92"/>
      <c r="B1740" s="92"/>
      <c r="C1740" s="92"/>
      <c r="D1740" s="92"/>
      <c r="E1740" s="92"/>
      <c r="F1740" s="92"/>
      <c r="G1740" s="92"/>
      <c r="H1740" s="92"/>
      <c r="I1740" s="92"/>
      <c r="J1740" s="92"/>
      <c r="K1740" s="92"/>
      <c r="L1740" s="92"/>
      <c r="M1740" s="92"/>
      <c r="N1740" s="92"/>
      <c r="AG1740" s="100"/>
      <c r="AH1740" s="101"/>
      <c r="AI1740" s="101"/>
      <c r="AJ1740" s="100"/>
      <c r="AK1740" s="100"/>
      <c r="AL1740" s="100"/>
      <c r="AM1740" s="100"/>
      <c r="AN1740" s="100"/>
      <c r="AO1740" s="100"/>
      <c r="AP1740" s="100"/>
      <c r="AQ1740" s="100"/>
      <c r="AR1740" s="100"/>
      <c r="AS1740" s="100"/>
      <c r="AT1740" s="102"/>
      <c r="AX1740" s="100"/>
      <c r="AY1740" s="101"/>
      <c r="AZ1740" s="101"/>
      <c r="BA1740" s="101"/>
      <c r="BB1740" s="100"/>
      <c r="BC1740" s="100"/>
      <c r="BD1740" s="100"/>
      <c r="BE1740" s="100"/>
      <c r="BF1740" s="100"/>
      <c r="BG1740" s="100"/>
      <c r="BH1740" s="100"/>
      <c r="BI1740" s="100"/>
      <c r="BJ1740" s="100"/>
      <c r="BK1740" s="102"/>
    </row>
    <row r="1741" spans="1:63" x14ac:dyDescent="0.25">
      <c r="A1741" s="92"/>
      <c r="B1741" s="93"/>
      <c r="C1741" s="93"/>
      <c r="D1741" s="92"/>
      <c r="E1741" s="92"/>
      <c r="F1741" s="92"/>
      <c r="G1741" s="92"/>
      <c r="H1741" s="92"/>
      <c r="I1741" s="92"/>
      <c r="J1741" s="92"/>
      <c r="K1741" s="92"/>
      <c r="L1741" s="92"/>
      <c r="M1741" s="92"/>
      <c r="N1741" s="94"/>
      <c r="AG1741" s="100"/>
      <c r="AH1741" s="101"/>
      <c r="AI1741" s="101"/>
      <c r="AJ1741" s="100"/>
      <c r="AK1741" s="100"/>
      <c r="AL1741" s="100"/>
      <c r="AM1741" s="100"/>
      <c r="AN1741" s="100"/>
      <c r="AO1741" s="100"/>
      <c r="AP1741" s="100"/>
      <c r="AQ1741" s="100"/>
      <c r="AR1741" s="100"/>
      <c r="AS1741" s="100"/>
      <c r="AT1741" s="102"/>
      <c r="AX1741" s="100"/>
      <c r="AY1741" s="101"/>
      <c r="AZ1741" s="101"/>
      <c r="BA1741" s="101"/>
      <c r="BB1741" s="100"/>
      <c r="BC1741" s="100"/>
      <c r="BD1741" s="100"/>
      <c r="BE1741" s="100"/>
      <c r="BF1741" s="100"/>
      <c r="BG1741" s="100"/>
      <c r="BH1741" s="100"/>
      <c r="BI1741" s="100"/>
      <c r="BJ1741" s="100"/>
      <c r="BK1741" s="102"/>
    </row>
    <row r="1742" spans="1:63" x14ac:dyDescent="0.25">
      <c r="A1742" s="92"/>
      <c r="B1742" s="93"/>
      <c r="C1742" s="93"/>
      <c r="D1742" s="93"/>
      <c r="E1742" s="92"/>
      <c r="F1742" s="92"/>
      <c r="G1742" s="92"/>
      <c r="H1742" s="92"/>
      <c r="I1742" s="92"/>
      <c r="J1742" s="92"/>
      <c r="K1742" s="92"/>
      <c r="L1742" s="92"/>
      <c r="M1742" s="92"/>
      <c r="N1742" s="94"/>
      <c r="AG1742" s="100"/>
      <c r="AH1742" s="101"/>
      <c r="AI1742" s="101"/>
      <c r="AJ1742" s="101"/>
      <c r="AK1742" s="100"/>
      <c r="AL1742" s="100"/>
      <c r="AM1742" s="100"/>
      <c r="AN1742" s="100"/>
      <c r="AO1742" s="100"/>
      <c r="AP1742" s="100"/>
      <c r="AQ1742" s="100"/>
      <c r="AR1742" s="100"/>
      <c r="AS1742" s="100"/>
      <c r="AT1742" s="102"/>
      <c r="AX1742" s="100"/>
      <c r="AY1742" s="101"/>
      <c r="AZ1742" s="101"/>
      <c r="BA1742" s="100"/>
      <c r="BB1742" s="100"/>
      <c r="BC1742" s="100"/>
      <c r="BD1742" s="100"/>
      <c r="BE1742" s="100"/>
      <c r="BF1742" s="100"/>
      <c r="BG1742" s="100"/>
      <c r="BH1742" s="100"/>
      <c r="BI1742" s="100"/>
      <c r="BJ1742" s="100"/>
      <c r="BK1742" s="102"/>
    </row>
    <row r="1743" spans="1:63" x14ac:dyDescent="0.25">
      <c r="A1743" s="92"/>
      <c r="B1743" s="92"/>
      <c r="C1743" s="92"/>
      <c r="D1743" s="92"/>
      <c r="E1743" s="92"/>
      <c r="F1743" s="92"/>
      <c r="G1743" s="92"/>
      <c r="H1743" s="92"/>
      <c r="I1743" s="92"/>
      <c r="J1743" s="92"/>
      <c r="K1743" s="92"/>
      <c r="L1743" s="92"/>
      <c r="M1743" s="92"/>
      <c r="N1743" s="92"/>
      <c r="AG1743" s="100"/>
      <c r="AH1743" s="101"/>
      <c r="AI1743" s="101"/>
      <c r="AJ1743" s="101"/>
      <c r="AK1743" s="100"/>
      <c r="AL1743" s="100"/>
      <c r="AM1743" s="100"/>
      <c r="AN1743" s="100"/>
      <c r="AO1743" s="100"/>
      <c r="AP1743" s="100"/>
      <c r="AQ1743" s="100"/>
      <c r="AR1743" s="100"/>
      <c r="AS1743" s="100"/>
      <c r="AT1743" s="102"/>
      <c r="AX1743" s="100"/>
      <c r="AY1743" s="101"/>
      <c r="AZ1743" s="101"/>
      <c r="BA1743" s="100"/>
      <c r="BB1743" s="100"/>
      <c r="BC1743" s="100"/>
      <c r="BD1743" s="100"/>
      <c r="BE1743" s="100"/>
      <c r="BF1743" s="100"/>
      <c r="BG1743" s="100"/>
      <c r="BH1743" s="100"/>
      <c r="BI1743" s="100"/>
      <c r="BJ1743" s="100"/>
      <c r="BK1743" s="102"/>
    </row>
    <row r="1744" spans="1:63" x14ac:dyDescent="0.25">
      <c r="A1744" s="92"/>
      <c r="B1744" s="92"/>
      <c r="C1744" s="92"/>
      <c r="D1744" s="92"/>
      <c r="E1744" s="92"/>
      <c r="F1744" s="92"/>
      <c r="G1744" s="92"/>
      <c r="H1744" s="92"/>
      <c r="I1744" s="92"/>
      <c r="J1744" s="92"/>
      <c r="K1744" s="92"/>
      <c r="L1744" s="92"/>
      <c r="M1744" s="92"/>
      <c r="N1744" s="92"/>
      <c r="AG1744" s="100"/>
      <c r="AH1744" s="101"/>
      <c r="AI1744" s="101"/>
      <c r="AJ1744" s="100"/>
      <c r="AK1744" s="100"/>
      <c r="AL1744" s="100"/>
      <c r="AM1744" s="100"/>
      <c r="AN1744" s="100"/>
      <c r="AO1744" s="100"/>
      <c r="AP1744" s="100"/>
      <c r="AQ1744" s="100"/>
      <c r="AR1744" s="100"/>
      <c r="AS1744" s="100"/>
      <c r="AT1744" s="102"/>
      <c r="AX1744" s="100"/>
      <c r="AY1744" s="101"/>
      <c r="AZ1744" s="101"/>
      <c r="BA1744" s="100"/>
      <c r="BB1744" s="100"/>
      <c r="BC1744" s="100"/>
      <c r="BD1744" s="100"/>
      <c r="BE1744" s="100"/>
      <c r="BF1744" s="100"/>
      <c r="BG1744" s="100"/>
      <c r="BH1744" s="100"/>
      <c r="BI1744" s="100"/>
      <c r="BJ1744" s="100"/>
      <c r="BK1744" s="102"/>
    </row>
    <row r="1745" spans="1:63" x14ac:dyDescent="0.25">
      <c r="A1745" s="92"/>
      <c r="B1745" s="92"/>
      <c r="C1745" s="92"/>
      <c r="D1745" s="92"/>
      <c r="E1745" s="92"/>
      <c r="F1745" s="92"/>
      <c r="G1745" s="92"/>
      <c r="H1745" s="92"/>
      <c r="I1745" s="92"/>
      <c r="J1745" s="92"/>
      <c r="K1745" s="92"/>
      <c r="L1745" s="92"/>
      <c r="M1745" s="92"/>
      <c r="N1745" s="92"/>
      <c r="AG1745" s="100"/>
      <c r="AH1745" s="101"/>
      <c r="AI1745" s="101"/>
      <c r="AJ1745" s="100"/>
      <c r="AK1745" s="100"/>
      <c r="AL1745" s="100"/>
      <c r="AM1745" s="100"/>
      <c r="AN1745" s="100"/>
      <c r="AO1745" s="100"/>
      <c r="AP1745" s="100"/>
      <c r="AQ1745" s="100"/>
      <c r="AR1745" s="100"/>
      <c r="AS1745" s="100"/>
      <c r="AT1745" s="102"/>
      <c r="AX1745" s="100"/>
      <c r="AY1745" s="101"/>
      <c r="AZ1745" s="101"/>
      <c r="BA1745" s="100"/>
      <c r="BB1745" s="100"/>
      <c r="BC1745" s="100"/>
      <c r="BD1745" s="100"/>
      <c r="BE1745" s="100"/>
      <c r="BF1745" s="100"/>
      <c r="BG1745" s="100"/>
      <c r="BH1745" s="100"/>
      <c r="BI1745" s="100"/>
      <c r="BJ1745" s="100"/>
      <c r="BK1745" s="102"/>
    </row>
    <row r="1746" spans="1:63" x14ac:dyDescent="0.25">
      <c r="A1746" s="92"/>
      <c r="B1746" s="92"/>
      <c r="C1746" s="92"/>
      <c r="D1746" s="92"/>
      <c r="E1746" s="92"/>
      <c r="F1746" s="92"/>
      <c r="G1746" s="92"/>
      <c r="H1746" s="92"/>
      <c r="I1746" s="92"/>
      <c r="J1746" s="92"/>
      <c r="K1746" s="92"/>
      <c r="L1746" s="92"/>
      <c r="M1746" s="92"/>
      <c r="N1746" s="92"/>
      <c r="AG1746" s="100"/>
      <c r="AH1746" s="101"/>
      <c r="AI1746" s="101"/>
      <c r="AJ1746" s="100"/>
      <c r="AK1746" s="100"/>
      <c r="AL1746" s="100"/>
      <c r="AM1746" s="100"/>
      <c r="AN1746" s="100"/>
      <c r="AO1746" s="100"/>
      <c r="AP1746" s="100"/>
      <c r="AQ1746" s="100"/>
      <c r="AR1746" s="100"/>
      <c r="AS1746" s="100"/>
      <c r="AT1746" s="102"/>
      <c r="AX1746" s="100"/>
      <c r="AY1746" s="101"/>
      <c r="AZ1746" s="101"/>
      <c r="BA1746" s="101"/>
      <c r="BB1746" s="100"/>
      <c r="BC1746" s="100"/>
      <c r="BD1746" s="100"/>
      <c r="BE1746" s="100"/>
      <c r="BF1746" s="100"/>
      <c r="BG1746" s="100"/>
      <c r="BH1746" s="100"/>
      <c r="BI1746" s="100"/>
      <c r="BJ1746" s="100"/>
      <c r="BK1746" s="102"/>
    </row>
    <row r="1747" spans="1:63" x14ac:dyDescent="0.25">
      <c r="A1747" s="92"/>
      <c r="B1747" s="92"/>
      <c r="C1747" s="92"/>
      <c r="D1747" s="92"/>
      <c r="E1747" s="92"/>
      <c r="F1747" s="92"/>
      <c r="G1747" s="92"/>
      <c r="H1747" s="92"/>
      <c r="I1747" s="92"/>
      <c r="J1747" s="92"/>
      <c r="K1747" s="92"/>
      <c r="L1747" s="92"/>
      <c r="M1747" s="92"/>
      <c r="N1747" s="92"/>
      <c r="AG1747" s="100"/>
      <c r="AH1747" s="101"/>
      <c r="AI1747" s="101"/>
      <c r="AJ1747" s="100"/>
      <c r="AK1747" s="100"/>
      <c r="AL1747" s="100"/>
      <c r="AM1747" s="100"/>
      <c r="AN1747" s="100"/>
      <c r="AO1747" s="100"/>
      <c r="AP1747" s="100"/>
      <c r="AQ1747" s="100"/>
      <c r="AR1747" s="100"/>
      <c r="AS1747" s="100"/>
      <c r="AT1747" s="102"/>
      <c r="AX1747" s="100"/>
      <c r="AY1747" s="101"/>
      <c r="AZ1747" s="101"/>
      <c r="BA1747" s="100"/>
      <c r="BB1747" s="100"/>
      <c r="BC1747" s="100"/>
      <c r="BD1747" s="100"/>
      <c r="BE1747" s="100"/>
      <c r="BF1747" s="100"/>
      <c r="BG1747" s="100"/>
      <c r="BH1747" s="100"/>
      <c r="BI1747" s="100"/>
      <c r="BJ1747" s="100"/>
      <c r="BK1747" s="102"/>
    </row>
    <row r="1748" spans="1:63" x14ac:dyDescent="0.25">
      <c r="A1748" s="92"/>
      <c r="B1748" s="92"/>
      <c r="C1748" s="92"/>
      <c r="D1748" s="92"/>
      <c r="E1748" s="92"/>
      <c r="F1748" s="92"/>
      <c r="G1748" s="92"/>
      <c r="H1748" s="92"/>
      <c r="I1748" s="92"/>
      <c r="J1748" s="92"/>
      <c r="K1748" s="92"/>
      <c r="L1748" s="92"/>
      <c r="M1748" s="92"/>
      <c r="N1748" s="92"/>
      <c r="AG1748" s="100"/>
      <c r="AH1748" s="101"/>
      <c r="AI1748" s="101"/>
      <c r="AJ1748" s="100"/>
      <c r="AK1748" s="100"/>
      <c r="AL1748" s="100"/>
      <c r="AM1748" s="100"/>
      <c r="AN1748" s="100"/>
      <c r="AO1748" s="100"/>
      <c r="AP1748" s="100"/>
      <c r="AQ1748" s="100"/>
      <c r="AR1748" s="100"/>
      <c r="AS1748" s="100"/>
      <c r="AT1748" s="102"/>
      <c r="AX1748" s="100"/>
      <c r="AY1748" s="101"/>
      <c r="AZ1748" s="101"/>
      <c r="BA1748" s="101"/>
      <c r="BB1748" s="100"/>
      <c r="BC1748" s="100"/>
      <c r="BD1748" s="100"/>
      <c r="BE1748" s="100"/>
      <c r="BF1748" s="100"/>
      <c r="BG1748" s="100"/>
      <c r="BH1748" s="100"/>
      <c r="BI1748" s="100"/>
      <c r="BJ1748" s="100"/>
      <c r="BK1748" s="102"/>
    </row>
    <row r="1749" spans="1:63" x14ac:dyDescent="0.25">
      <c r="A1749" s="92"/>
      <c r="B1749" s="92"/>
      <c r="C1749" s="92"/>
      <c r="D1749" s="92"/>
      <c r="E1749" s="92"/>
      <c r="F1749" s="92"/>
      <c r="G1749" s="92"/>
      <c r="H1749" s="92"/>
      <c r="I1749" s="92"/>
      <c r="J1749" s="92"/>
      <c r="K1749" s="92"/>
      <c r="L1749" s="92"/>
      <c r="M1749" s="92"/>
      <c r="N1749" s="92"/>
      <c r="AG1749" s="100"/>
      <c r="AH1749" s="101"/>
      <c r="AI1749" s="101"/>
      <c r="AJ1749" s="100"/>
      <c r="AK1749" s="100"/>
      <c r="AL1749" s="100"/>
      <c r="AM1749" s="100"/>
      <c r="AN1749" s="100"/>
      <c r="AO1749" s="100"/>
      <c r="AP1749" s="100"/>
      <c r="AQ1749" s="100"/>
      <c r="AR1749" s="100"/>
      <c r="AS1749" s="100"/>
      <c r="AT1749" s="102"/>
      <c r="AX1749" s="100"/>
      <c r="AY1749" s="101"/>
      <c r="AZ1749" s="101"/>
      <c r="BA1749" s="100"/>
      <c r="BB1749" s="100"/>
      <c r="BC1749" s="100"/>
      <c r="BD1749" s="100"/>
      <c r="BE1749" s="100"/>
      <c r="BF1749" s="100"/>
      <c r="BG1749" s="100"/>
      <c r="BH1749" s="100"/>
      <c r="BI1749" s="100"/>
      <c r="BJ1749" s="100"/>
      <c r="BK1749" s="102"/>
    </row>
    <row r="1750" spans="1:63" x14ac:dyDescent="0.25">
      <c r="A1750" s="92"/>
      <c r="B1750" s="92"/>
      <c r="C1750" s="92"/>
      <c r="D1750" s="92"/>
      <c r="E1750" s="92"/>
      <c r="F1750" s="92"/>
      <c r="G1750" s="92"/>
      <c r="H1750" s="92"/>
      <c r="I1750" s="92"/>
      <c r="J1750" s="92"/>
      <c r="K1750" s="92"/>
      <c r="L1750" s="92"/>
      <c r="M1750" s="92"/>
      <c r="N1750" s="92"/>
      <c r="AG1750" s="100"/>
      <c r="AH1750" s="101"/>
      <c r="AI1750" s="101"/>
      <c r="AJ1750" s="100"/>
      <c r="AK1750" s="100"/>
      <c r="AL1750" s="100"/>
      <c r="AM1750" s="100"/>
      <c r="AN1750" s="100"/>
      <c r="AO1750" s="100"/>
      <c r="AP1750" s="100"/>
      <c r="AQ1750" s="100"/>
      <c r="AR1750" s="100"/>
      <c r="AS1750" s="100"/>
      <c r="AT1750" s="102"/>
      <c r="AX1750" s="100"/>
      <c r="AY1750" s="101"/>
      <c r="AZ1750" s="101"/>
      <c r="BA1750" s="101"/>
      <c r="BB1750" s="100"/>
      <c r="BC1750" s="100"/>
      <c r="BD1750" s="100"/>
      <c r="BE1750" s="100"/>
      <c r="BF1750" s="100"/>
      <c r="BG1750" s="100"/>
      <c r="BH1750" s="100"/>
      <c r="BI1750" s="100"/>
      <c r="BJ1750" s="100"/>
      <c r="BK1750" s="102"/>
    </row>
    <row r="1751" spans="1:63" x14ac:dyDescent="0.25">
      <c r="A1751" s="92"/>
      <c r="B1751" s="93"/>
      <c r="C1751" s="93"/>
      <c r="D1751" s="92"/>
      <c r="E1751" s="92"/>
      <c r="F1751" s="92"/>
      <c r="G1751" s="92"/>
      <c r="H1751" s="92"/>
      <c r="I1751" s="92"/>
      <c r="J1751" s="92"/>
      <c r="K1751" s="92"/>
      <c r="L1751" s="92"/>
      <c r="M1751" s="92"/>
      <c r="N1751" s="94"/>
      <c r="AG1751" s="100"/>
      <c r="AH1751" s="101"/>
      <c r="AI1751" s="101"/>
      <c r="AJ1751" s="100"/>
      <c r="AK1751" s="100"/>
      <c r="AL1751" s="100"/>
      <c r="AM1751" s="100"/>
      <c r="AN1751" s="100"/>
      <c r="AO1751" s="100"/>
      <c r="AP1751" s="100"/>
      <c r="AQ1751" s="100"/>
      <c r="AR1751" s="100"/>
      <c r="AS1751" s="100"/>
      <c r="AT1751" s="102"/>
      <c r="AX1751" s="100"/>
      <c r="AY1751" s="101"/>
      <c r="AZ1751" s="101"/>
      <c r="BA1751" s="100"/>
      <c r="BB1751" s="100"/>
      <c r="BC1751" s="100"/>
      <c r="BD1751" s="100"/>
      <c r="BE1751" s="100"/>
      <c r="BF1751" s="100"/>
      <c r="BG1751" s="100"/>
      <c r="BH1751" s="100"/>
      <c r="BI1751" s="100"/>
      <c r="BJ1751" s="100"/>
      <c r="BK1751" s="102"/>
    </row>
    <row r="1752" spans="1:63" x14ac:dyDescent="0.25">
      <c r="A1752" s="92"/>
      <c r="B1752" s="93"/>
      <c r="C1752" s="93"/>
      <c r="D1752" s="92"/>
      <c r="E1752" s="92"/>
      <c r="F1752" s="92"/>
      <c r="G1752" s="92"/>
      <c r="H1752" s="92"/>
      <c r="I1752" s="92"/>
      <c r="J1752" s="92"/>
      <c r="K1752" s="92"/>
      <c r="L1752" s="92"/>
      <c r="M1752" s="92"/>
      <c r="N1752" s="94"/>
      <c r="AG1752" s="100"/>
      <c r="AH1752" s="101"/>
      <c r="AI1752" s="101"/>
      <c r="AJ1752" s="100"/>
      <c r="AK1752" s="100"/>
      <c r="AL1752" s="100"/>
      <c r="AM1752" s="100"/>
      <c r="AN1752" s="100"/>
      <c r="AO1752" s="100"/>
      <c r="AP1752" s="100"/>
      <c r="AQ1752" s="100"/>
      <c r="AR1752" s="100"/>
      <c r="AS1752" s="100"/>
      <c r="AT1752" s="102"/>
      <c r="AX1752" s="100"/>
      <c r="AY1752" s="101"/>
      <c r="AZ1752" s="101"/>
      <c r="BA1752" s="100"/>
      <c r="BB1752" s="100"/>
      <c r="BC1752" s="100"/>
      <c r="BD1752" s="100"/>
      <c r="BE1752" s="100"/>
      <c r="BF1752" s="100"/>
      <c r="BG1752" s="100"/>
      <c r="BH1752" s="100"/>
      <c r="BI1752" s="100"/>
      <c r="BJ1752" s="100"/>
      <c r="BK1752" s="102"/>
    </row>
    <row r="1753" spans="1:63" x14ac:dyDescent="0.25">
      <c r="A1753" s="92"/>
      <c r="B1753" s="92"/>
      <c r="C1753" s="92"/>
      <c r="D1753" s="92"/>
      <c r="E1753" s="92"/>
      <c r="F1753" s="92"/>
      <c r="G1753" s="92"/>
      <c r="H1753" s="92"/>
      <c r="I1753" s="92"/>
      <c r="J1753" s="92"/>
      <c r="K1753" s="92"/>
      <c r="L1753" s="92"/>
      <c r="M1753" s="92"/>
      <c r="N1753" s="92"/>
      <c r="AG1753" s="100"/>
      <c r="AH1753" s="101"/>
      <c r="AI1753" s="101"/>
      <c r="AJ1753" s="100"/>
      <c r="AK1753" s="100"/>
      <c r="AL1753" s="100"/>
      <c r="AM1753" s="100"/>
      <c r="AN1753" s="100"/>
      <c r="AO1753" s="100"/>
      <c r="AP1753" s="100"/>
      <c r="AQ1753" s="100"/>
      <c r="AR1753" s="100"/>
      <c r="AS1753" s="100"/>
      <c r="AT1753" s="102"/>
      <c r="AX1753" s="100"/>
      <c r="AY1753" s="101"/>
      <c r="AZ1753" s="101"/>
      <c r="BA1753" s="100"/>
      <c r="BB1753" s="100"/>
      <c r="BC1753" s="100"/>
      <c r="BD1753" s="100"/>
      <c r="BE1753" s="100"/>
      <c r="BF1753" s="100"/>
      <c r="BG1753" s="100"/>
      <c r="BH1753" s="100"/>
      <c r="BI1753" s="100"/>
      <c r="BJ1753" s="100"/>
      <c r="BK1753" s="102"/>
    </row>
    <row r="1754" spans="1:63" x14ac:dyDescent="0.25">
      <c r="A1754" s="92"/>
      <c r="B1754" s="92"/>
      <c r="C1754" s="92"/>
      <c r="D1754" s="92"/>
      <c r="E1754" s="92"/>
      <c r="F1754" s="92"/>
      <c r="G1754" s="92"/>
      <c r="H1754" s="92"/>
      <c r="I1754" s="92"/>
      <c r="J1754" s="92"/>
      <c r="K1754" s="92"/>
      <c r="L1754" s="92"/>
      <c r="M1754" s="92"/>
      <c r="N1754" s="92"/>
      <c r="AG1754" s="100"/>
      <c r="AH1754" s="101"/>
      <c r="AI1754" s="101"/>
      <c r="AJ1754" s="100"/>
      <c r="AK1754" s="100"/>
      <c r="AL1754" s="100"/>
      <c r="AM1754" s="100"/>
      <c r="AN1754" s="100"/>
      <c r="AO1754" s="100"/>
      <c r="AP1754" s="100"/>
      <c r="AQ1754" s="100"/>
      <c r="AR1754" s="100"/>
      <c r="AS1754" s="100"/>
      <c r="AT1754" s="102"/>
      <c r="AX1754" s="100"/>
      <c r="AY1754" s="101"/>
      <c r="AZ1754" s="100"/>
      <c r="BA1754" s="101"/>
      <c r="BB1754" s="100"/>
      <c r="BC1754" s="100"/>
      <c r="BD1754" s="100"/>
      <c r="BE1754" s="100"/>
      <c r="BF1754" s="100"/>
      <c r="BG1754" s="100"/>
      <c r="BH1754" s="100"/>
      <c r="BI1754" s="100"/>
      <c r="BJ1754" s="100"/>
      <c r="BK1754" s="102"/>
    </row>
    <row r="1755" spans="1:63" x14ac:dyDescent="0.25">
      <c r="A1755" s="92"/>
      <c r="B1755" s="93"/>
      <c r="C1755" s="93"/>
      <c r="D1755" s="92"/>
      <c r="E1755" s="92"/>
      <c r="F1755" s="92"/>
      <c r="G1755" s="92"/>
      <c r="H1755" s="92"/>
      <c r="I1755" s="92"/>
      <c r="J1755" s="92"/>
      <c r="K1755" s="92"/>
      <c r="L1755" s="92"/>
      <c r="M1755" s="92"/>
      <c r="N1755" s="94"/>
      <c r="AG1755" s="100"/>
      <c r="AH1755" s="101"/>
      <c r="AI1755" s="101"/>
      <c r="AJ1755" s="100"/>
      <c r="AK1755" s="100"/>
      <c r="AL1755" s="100"/>
      <c r="AM1755" s="100"/>
      <c r="AN1755" s="100"/>
      <c r="AO1755" s="100"/>
      <c r="AP1755" s="100"/>
      <c r="AQ1755" s="100"/>
      <c r="AR1755" s="100"/>
      <c r="AS1755" s="100"/>
      <c r="AT1755" s="102"/>
      <c r="AX1755" s="100"/>
      <c r="AY1755" s="101"/>
      <c r="AZ1755" s="100"/>
      <c r="BA1755" s="101"/>
      <c r="BB1755" s="100"/>
      <c r="BC1755" s="100"/>
      <c r="BD1755" s="100"/>
      <c r="BE1755" s="100"/>
      <c r="BF1755" s="100"/>
      <c r="BG1755" s="100"/>
      <c r="BH1755" s="100"/>
      <c r="BI1755" s="100"/>
      <c r="BJ1755" s="100"/>
      <c r="BK1755" s="102"/>
    </row>
    <row r="1756" spans="1:63" x14ac:dyDescent="0.25">
      <c r="A1756" s="92"/>
      <c r="B1756" s="92"/>
      <c r="C1756" s="92"/>
      <c r="D1756" s="92"/>
      <c r="E1756" s="92"/>
      <c r="F1756" s="92"/>
      <c r="G1756" s="92"/>
      <c r="H1756" s="92"/>
      <c r="I1756" s="92"/>
      <c r="J1756" s="92"/>
      <c r="K1756" s="92"/>
      <c r="L1756" s="92"/>
      <c r="M1756" s="92"/>
      <c r="N1756" s="92"/>
      <c r="AG1756" s="100"/>
      <c r="AH1756" s="101"/>
      <c r="AI1756" s="101"/>
      <c r="AJ1756" s="100"/>
      <c r="AK1756" s="100"/>
      <c r="AL1756" s="100"/>
      <c r="AM1756" s="100"/>
      <c r="AN1756" s="100"/>
      <c r="AO1756" s="100"/>
      <c r="AP1756" s="100"/>
      <c r="AQ1756" s="100"/>
      <c r="AR1756" s="100"/>
      <c r="AS1756" s="100"/>
      <c r="AT1756" s="102"/>
      <c r="AX1756" s="100"/>
      <c r="AY1756" s="101"/>
      <c r="AZ1756" s="100"/>
      <c r="BA1756" s="101"/>
      <c r="BB1756" s="100"/>
      <c r="BC1756" s="100"/>
      <c r="BD1756" s="100"/>
      <c r="BE1756" s="100"/>
      <c r="BF1756" s="100"/>
      <c r="BG1756" s="100"/>
      <c r="BH1756" s="100"/>
      <c r="BI1756" s="100"/>
      <c r="BJ1756" s="100"/>
      <c r="BK1756" s="102"/>
    </row>
    <row r="1757" spans="1:63" x14ac:dyDescent="0.25">
      <c r="A1757" s="92"/>
      <c r="B1757" s="93"/>
      <c r="C1757" s="93"/>
      <c r="D1757" s="93"/>
      <c r="E1757" s="92"/>
      <c r="F1757" s="92"/>
      <c r="G1757" s="92"/>
      <c r="H1757" s="92"/>
      <c r="I1757" s="92"/>
      <c r="J1757" s="92"/>
      <c r="K1757" s="92"/>
      <c r="L1757" s="92"/>
      <c r="M1757" s="92"/>
      <c r="N1757" s="94"/>
      <c r="AG1757" s="100"/>
      <c r="AH1757" s="101"/>
      <c r="AI1757" s="101"/>
      <c r="AJ1757" s="101"/>
      <c r="AK1757" s="100"/>
      <c r="AL1757" s="100"/>
      <c r="AM1757" s="100"/>
      <c r="AN1757" s="100"/>
      <c r="AO1757" s="100"/>
      <c r="AP1757" s="100"/>
      <c r="AQ1757" s="100"/>
      <c r="AR1757" s="100"/>
      <c r="AS1757" s="100"/>
      <c r="AT1757" s="102"/>
      <c r="AX1757" s="100"/>
      <c r="AY1757" s="101"/>
      <c r="AZ1757" s="101"/>
      <c r="BA1757" s="100"/>
      <c r="BB1757" s="100"/>
      <c r="BC1757" s="100"/>
      <c r="BD1757" s="100"/>
      <c r="BE1757" s="100"/>
      <c r="BF1757" s="100"/>
      <c r="BG1757" s="100"/>
      <c r="BH1757" s="100"/>
      <c r="BI1757" s="100"/>
      <c r="BJ1757" s="100"/>
      <c r="BK1757" s="102"/>
    </row>
    <row r="1758" spans="1:63" x14ac:dyDescent="0.25">
      <c r="A1758" s="92"/>
      <c r="B1758" s="93"/>
      <c r="C1758" s="93"/>
      <c r="D1758" s="92"/>
      <c r="E1758" s="92"/>
      <c r="F1758" s="92"/>
      <c r="G1758" s="92"/>
      <c r="H1758" s="92"/>
      <c r="I1758" s="92"/>
      <c r="J1758" s="92"/>
      <c r="K1758" s="92"/>
      <c r="L1758" s="92"/>
      <c r="M1758" s="92"/>
      <c r="N1758" s="94"/>
      <c r="AG1758" s="100"/>
      <c r="AH1758" s="101"/>
      <c r="AI1758" s="101"/>
      <c r="AJ1758" s="100"/>
      <c r="AK1758" s="100"/>
      <c r="AL1758" s="100"/>
      <c r="AM1758" s="100"/>
      <c r="AN1758" s="100"/>
      <c r="AO1758" s="100"/>
      <c r="AP1758" s="100"/>
      <c r="AQ1758" s="100"/>
      <c r="AR1758" s="100"/>
      <c r="AS1758" s="100"/>
      <c r="AT1758" s="102"/>
      <c r="AX1758" s="100"/>
      <c r="AY1758" s="101"/>
      <c r="AZ1758" s="101"/>
      <c r="BA1758" s="100"/>
      <c r="BB1758" s="100"/>
      <c r="BC1758" s="100"/>
      <c r="BD1758" s="100"/>
      <c r="BE1758" s="100"/>
      <c r="BF1758" s="100"/>
      <c r="BG1758" s="100"/>
      <c r="BH1758" s="100"/>
      <c r="BI1758" s="100"/>
      <c r="BJ1758" s="100"/>
      <c r="BK1758" s="102"/>
    </row>
    <row r="1759" spans="1:63" x14ac:dyDescent="0.25">
      <c r="A1759" s="92"/>
      <c r="B1759" s="92"/>
      <c r="C1759" s="92"/>
      <c r="D1759" s="92"/>
      <c r="E1759" s="92"/>
      <c r="F1759" s="92"/>
      <c r="G1759" s="92"/>
      <c r="H1759" s="92"/>
      <c r="I1759" s="92"/>
      <c r="J1759" s="92"/>
      <c r="K1759" s="92"/>
      <c r="L1759" s="92"/>
      <c r="M1759" s="92"/>
      <c r="N1759" s="92"/>
      <c r="AG1759" s="100"/>
      <c r="AH1759" s="101"/>
      <c r="AI1759" s="101"/>
      <c r="AJ1759" s="100"/>
      <c r="AK1759" s="100"/>
      <c r="AL1759" s="100"/>
      <c r="AM1759" s="100"/>
      <c r="AN1759" s="100"/>
      <c r="AO1759" s="100"/>
      <c r="AP1759" s="100"/>
      <c r="AQ1759" s="100"/>
      <c r="AR1759" s="100"/>
      <c r="AS1759" s="100"/>
      <c r="AT1759" s="102"/>
      <c r="AX1759" s="100"/>
      <c r="AY1759" s="101"/>
      <c r="AZ1759" s="101"/>
      <c r="BA1759" s="100"/>
      <c r="BB1759" s="100"/>
      <c r="BC1759" s="100"/>
      <c r="BD1759" s="100"/>
      <c r="BE1759" s="100"/>
      <c r="BF1759" s="100"/>
      <c r="BG1759" s="100"/>
      <c r="BH1759" s="100"/>
      <c r="BI1759" s="100"/>
      <c r="BJ1759" s="100"/>
      <c r="BK1759" s="102"/>
    </row>
    <row r="1760" spans="1:63" x14ac:dyDescent="0.25">
      <c r="A1760" s="92"/>
      <c r="B1760" s="93"/>
      <c r="C1760" s="93"/>
      <c r="D1760" s="92"/>
      <c r="E1760" s="92"/>
      <c r="F1760" s="92"/>
      <c r="G1760" s="92"/>
      <c r="H1760" s="92"/>
      <c r="I1760" s="92"/>
      <c r="J1760" s="92"/>
      <c r="K1760" s="92"/>
      <c r="L1760" s="92"/>
      <c r="M1760" s="92"/>
      <c r="N1760" s="94"/>
      <c r="AG1760" s="100"/>
      <c r="AH1760" s="101"/>
      <c r="AI1760" s="101"/>
      <c r="AJ1760" s="100"/>
      <c r="AK1760" s="100"/>
      <c r="AL1760" s="100"/>
      <c r="AM1760" s="100"/>
      <c r="AN1760" s="100"/>
      <c r="AO1760" s="100"/>
      <c r="AP1760" s="100"/>
      <c r="AQ1760" s="100"/>
      <c r="AR1760" s="100"/>
      <c r="AS1760" s="100"/>
      <c r="AT1760" s="102"/>
      <c r="AX1760" s="100"/>
      <c r="AY1760" s="101"/>
      <c r="AZ1760" s="101"/>
      <c r="BA1760" s="100"/>
      <c r="BB1760" s="100"/>
      <c r="BC1760" s="100"/>
      <c r="BD1760" s="100"/>
      <c r="BE1760" s="100"/>
      <c r="BF1760" s="100"/>
      <c r="BG1760" s="100"/>
      <c r="BH1760" s="100"/>
      <c r="BI1760" s="100"/>
      <c r="BJ1760" s="100"/>
      <c r="BK1760" s="102"/>
    </row>
    <row r="1761" spans="1:63" x14ac:dyDescent="0.25">
      <c r="A1761" s="92"/>
      <c r="B1761" s="93"/>
      <c r="C1761" s="93"/>
      <c r="D1761" s="93"/>
      <c r="E1761" s="92"/>
      <c r="F1761" s="92"/>
      <c r="G1761" s="92"/>
      <c r="H1761" s="92"/>
      <c r="I1761" s="92"/>
      <c r="J1761" s="92"/>
      <c r="K1761" s="92"/>
      <c r="L1761" s="92"/>
      <c r="M1761" s="92"/>
      <c r="N1761" s="94"/>
      <c r="AG1761" s="100"/>
      <c r="AH1761" s="101"/>
      <c r="AI1761" s="101"/>
      <c r="AJ1761" s="100"/>
      <c r="AK1761" s="100"/>
      <c r="AL1761" s="100"/>
      <c r="AM1761" s="100"/>
      <c r="AN1761" s="100"/>
      <c r="AO1761" s="100"/>
      <c r="AP1761" s="100"/>
      <c r="AQ1761" s="100"/>
      <c r="AR1761" s="100"/>
      <c r="AS1761" s="100"/>
      <c r="AT1761" s="102"/>
      <c r="AX1761" s="100"/>
      <c r="AY1761" s="101"/>
      <c r="AZ1761" s="101"/>
      <c r="BA1761" s="100"/>
      <c r="BB1761" s="100"/>
      <c r="BC1761" s="100"/>
      <c r="BD1761" s="100"/>
      <c r="BE1761" s="100"/>
      <c r="BF1761" s="100"/>
      <c r="BG1761" s="100"/>
      <c r="BH1761" s="100"/>
      <c r="BI1761" s="100"/>
      <c r="BJ1761" s="100"/>
      <c r="BK1761" s="102"/>
    </row>
    <row r="1762" spans="1:63" x14ac:dyDescent="0.25">
      <c r="A1762" s="92"/>
      <c r="B1762" s="93"/>
      <c r="C1762" s="93"/>
      <c r="D1762" s="92"/>
      <c r="E1762" s="92"/>
      <c r="F1762" s="92"/>
      <c r="G1762" s="92"/>
      <c r="H1762" s="92"/>
      <c r="I1762" s="92"/>
      <c r="J1762" s="92"/>
      <c r="K1762" s="92"/>
      <c r="L1762" s="92"/>
      <c r="M1762" s="92"/>
      <c r="N1762" s="94"/>
      <c r="AG1762" s="100"/>
      <c r="AH1762" s="101"/>
      <c r="AI1762" s="101"/>
      <c r="AJ1762" s="100"/>
      <c r="AK1762" s="100"/>
      <c r="AL1762" s="100"/>
      <c r="AM1762" s="100"/>
      <c r="AN1762" s="100"/>
      <c r="AO1762" s="100"/>
      <c r="AP1762" s="100"/>
      <c r="AQ1762" s="100"/>
      <c r="AR1762" s="100"/>
      <c r="AS1762" s="100"/>
      <c r="AT1762" s="102"/>
      <c r="AX1762" s="100"/>
      <c r="AY1762" s="101"/>
      <c r="AZ1762" s="101"/>
      <c r="BA1762" s="101"/>
      <c r="BB1762" s="100"/>
      <c r="BC1762" s="100"/>
      <c r="BD1762" s="100"/>
      <c r="BE1762" s="100"/>
      <c r="BF1762" s="100"/>
      <c r="BG1762" s="100"/>
      <c r="BH1762" s="100"/>
      <c r="BI1762" s="100"/>
      <c r="BJ1762" s="100"/>
      <c r="BK1762" s="102"/>
    </row>
    <row r="1763" spans="1:63" x14ac:dyDescent="0.25">
      <c r="A1763" s="92"/>
      <c r="B1763" s="93"/>
      <c r="C1763" s="93"/>
      <c r="D1763" s="92"/>
      <c r="E1763" s="92"/>
      <c r="F1763" s="92"/>
      <c r="G1763" s="92"/>
      <c r="H1763" s="92"/>
      <c r="I1763" s="92"/>
      <c r="J1763" s="92"/>
      <c r="K1763" s="92"/>
      <c r="L1763" s="92"/>
      <c r="M1763" s="92"/>
      <c r="N1763" s="94"/>
      <c r="AG1763" s="100"/>
      <c r="AH1763" s="101"/>
      <c r="AI1763" s="101"/>
      <c r="AJ1763" s="100"/>
      <c r="AK1763" s="100"/>
      <c r="AL1763" s="100"/>
      <c r="AM1763" s="100"/>
      <c r="AN1763" s="100"/>
      <c r="AO1763" s="100"/>
      <c r="AP1763" s="100"/>
      <c r="AQ1763" s="100"/>
      <c r="AR1763" s="100"/>
      <c r="AS1763" s="100"/>
      <c r="AT1763" s="102"/>
      <c r="AX1763" s="100"/>
      <c r="AY1763" s="101"/>
      <c r="AZ1763" s="101"/>
      <c r="BA1763" s="101"/>
      <c r="BB1763" s="100"/>
      <c r="BC1763" s="100"/>
      <c r="BD1763" s="100"/>
      <c r="BE1763" s="100"/>
      <c r="BF1763" s="100"/>
      <c r="BG1763" s="100"/>
      <c r="BH1763" s="100"/>
      <c r="BI1763" s="100"/>
      <c r="BJ1763" s="100"/>
      <c r="BK1763" s="102"/>
    </row>
    <row r="1764" spans="1:63" x14ac:dyDescent="0.25">
      <c r="A1764" s="92"/>
      <c r="B1764" s="92"/>
      <c r="C1764" s="92"/>
      <c r="D1764" s="92"/>
      <c r="E1764" s="92"/>
      <c r="F1764" s="92"/>
      <c r="G1764" s="92"/>
      <c r="H1764" s="92"/>
      <c r="I1764" s="92"/>
      <c r="J1764" s="92"/>
      <c r="K1764" s="92"/>
      <c r="L1764" s="92"/>
      <c r="M1764" s="92"/>
      <c r="N1764" s="92"/>
      <c r="AG1764" s="100"/>
      <c r="AH1764" s="101"/>
      <c r="AI1764" s="101"/>
      <c r="AJ1764" s="100"/>
      <c r="AK1764" s="100"/>
      <c r="AL1764" s="100"/>
      <c r="AM1764" s="100"/>
      <c r="AN1764" s="100"/>
      <c r="AO1764" s="100"/>
      <c r="AP1764" s="100"/>
      <c r="AQ1764" s="100"/>
      <c r="AR1764" s="100"/>
      <c r="AS1764" s="100"/>
      <c r="AT1764" s="102"/>
      <c r="AX1764" s="100"/>
      <c r="AY1764" s="101"/>
      <c r="AZ1764" s="101"/>
      <c r="BA1764" s="100"/>
      <c r="BB1764" s="100"/>
      <c r="BC1764" s="100"/>
      <c r="BD1764" s="100"/>
      <c r="BE1764" s="100"/>
      <c r="BF1764" s="100"/>
      <c r="BG1764" s="100"/>
      <c r="BH1764" s="100"/>
      <c r="BI1764" s="100"/>
      <c r="BJ1764" s="100"/>
      <c r="BK1764" s="102"/>
    </row>
    <row r="1765" spans="1:63" x14ac:dyDescent="0.25">
      <c r="A1765" s="92"/>
      <c r="B1765" s="93"/>
      <c r="C1765" s="93"/>
      <c r="D1765" s="92"/>
      <c r="E1765" s="92"/>
      <c r="F1765" s="92"/>
      <c r="G1765" s="92"/>
      <c r="H1765" s="92"/>
      <c r="I1765" s="92"/>
      <c r="J1765" s="92"/>
      <c r="K1765" s="92"/>
      <c r="L1765" s="92"/>
      <c r="M1765" s="92"/>
      <c r="N1765" s="94"/>
      <c r="AG1765" s="100"/>
      <c r="AH1765" s="101"/>
      <c r="AI1765" s="101"/>
      <c r="AJ1765" s="100"/>
      <c r="AK1765" s="100"/>
      <c r="AL1765" s="100"/>
      <c r="AM1765" s="100"/>
      <c r="AN1765" s="100"/>
      <c r="AO1765" s="100"/>
      <c r="AP1765" s="100"/>
      <c r="AQ1765" s="100"/>
      <c r="AR1765" s="100"/>
      <c r="AS1765" s="100"/>
      <c r="AT1765" s="102"/>
      <c r="AX1765" s="100"/>
      <c r="AY1765" s="101"/>
      <c r="AZ1765" s="101"/>
      <c r="BA1765" s="100"/>
      <c r="BB1765" s="100"/>
      <c r="BC1765" s="100"/>
      <c r="BD1765" s="100"/>
      <c r="BE1765" s="100"/>
      <c r="BF1765" s="100"/>
      <c r="BG1765" s="100"/>
      <c r="BH1765" s="100"/>
      <c r="BI1765" s="100"/>
      <c r="BJ1765" s="100"/>
      <c r="BK1765" s="102"/>
    </row>
    <row r="1766" spans="1:63" x14ac:dyDescent="0.25">
      <c r="A1766" s="92"/>
      <c r="B1766" s="92"/>
      <c r="C1766" s="92"/>
      <c r="D1766" s="92"/>
      <c r="E1766" s="92"/>
      <c r="F1766" s="92"/>
      <c r="G1766" s="92"/>
      <c r="H1766" s="92"/>
      <c r="I1766" s="92"/>
      <c r="J1766" s="92"/>
      <c r="K1766" s="92"/>
      <c r="L1766" s="92"/>
      <c r="M1766" s="92"/>
      <c r="N1766" s="92"/>
      <c r="AG1766" s="100"/>
      <c r="AH1766" s="101"/>
      <c r="AI1766" s="101"/>
      <c r="AJ1766" s="100"/>
      <c r="AK1766" s="100"/>
      <c r="AL1766" s="100"/>
      <c r="AM1766" s="100"/>
      <c r="AN1766" s="100"/>
      <c r="AO1766" s="100"/>
      <c r="AP1766" s="100"/>
      <c r="AQ1766" s="100"/>
      <c r="AR1766" s="100"/>
      <c r="AS1766" s="100"/>
      <c r="AT1766" s="102"/>
      <c r="AX1766" s="100"/>
      <c r="AY1766" s="101"/>
      <c r="AZ1766" s="101"/>
      <c r="BA1766" s="100"/>
      <c r="BB1766" s="100"/>
      <c r="BC1766" s="100"/>
      <c r="BD1766" s="100"/>
      <c r="BE1766" s="100"/>
      <c r="BF1766" s="100"/>
      <c r="BG1766" s="100"/>
      <c r="BH1766" s="100"/>
      <c r="BI1766" s="100"/>
      <c r="BJ1766" s="100"/>
      <c r="BK1766" s="102"/>
    </row>
    <row r="1767" spans="1:63" x14ac:dyDescent="0.25">
      <c r="A1767" s="92"/>
      <c r="B1767" s="93"/>
      <c r="C1767" s="93"/>
      <c r="D1767" s="93"/>
      <c r="E1767" s="92"/>
      <c r="F1767" s="92"/>
      <c r="G1767" s="92"/>
      <c r="H1767" s="92"/>
      <c r="I1767" s="92"/>
      <c r="J1767" s="92"/>
      <c r="K1767" s="92"/>
      <c r="L1767" s="92"/>
      <c r="M1767" s="92"/>
      <c r="N1767" s="94"/>
      <c r="AG1767" s="100"/>
      <c r="AH1767" s="101"/>
      <c r="AI1767" s="101"/>
      <c r="AJ1767" s="100"/>
      <c r="AK1767" s="100"/>
      <c r="AL1767" s="100"/>
      <c r="AM1767" s="100"/>
      <c r="AN1767" s="100"/>
      <c r="AO1767" s="100"/>
      <c r="AP1767" s="100"/>
      <c r="AQ1767" s="100"/>
      <c r="AR1767" s="100"/>
      <c r="AS1767" s="100"/>
      <c r="AT1767" s="102"/>
      <c r="AX1767" s="100"/>
      <c r="AY1767" s="101"/>
      <c r="AZ1767" s="101"/>
      <c r="BA1767" s="100"/>
      <c r="BB1767" s="100"/>
      <c r="BC1767" s="100"/>
      <c r="BD1767" s="100"/>
      <c r="BE1767" s="100"/>
      <c r="BF1767" s="100"/>
      <c r="BG1767" s="100"/>
      <c r="BH1767" s="100"/>
      <c r="BI1767" s="100"/>
      <c r="BJ1767" s="100"/>
      <c r="BK1767" s="102"/>
    </row>
    <row r="1768" spans="1:63" x14ac:dyDescent="0.25">
      <c r="A1768" s="92"/>
      <c r="B1768" s="92"/>
      <c r="C1768" s="92"/>
      <c r="D1768" s="92"/>
      <c r="E1768" s="92"/>
      <c r="F1768" s="92"/>
      <c r="G1768" s="92"/>
      <c r="H1768" s="92"/>
      <c r="I1768" s="92"/>
      <c r="J1768" s="92"/>
      <c r="K1768" s="92"/>
      <c r="L1768" s="92"/>
      <c r="M1768" s="92"/>
      <c r="N1768" s="92"/>
      <c r="AG1768" s="100"/>
      <c r="AH1768" s="101"/>
      <c r="AI1768" s="101"/>
      <c r="AJ1768" s="100"/>
      <c r="AK1768" s="100"/>
      <c r="AL1768" s="100"/>
      <c r="AM1768" s="100"/>
      <c r="AN1768" s="100"/>
      <c r="AO1768" s="100"/>
      <c r="AP1768" s="100"/>
      <c r="AQ1768" s="100"/>
      <c r="AR1768" s="100"/>
      <c r="AS1768" s="100"/>
      <c r="AT1768" s="102"/>
      <c r="AX1768" s="100"/>
      <c r="AY1768" s="101"/>
      <c r="AZ1768" s="101"/>
      <c r="BA1768" s="100"/>
      <c r="BB1768" s="100"/>
      <c r="BC1768" s="100"/>
      <c r="BD1768" s="100"/>
      <c r="BE1768" s="100"/>
      <c r="BF1768" s="100"/>
      <c r="BG1768" s="100"/>
      <c r="BH1768" s="100"/>
      <c r="BI1768" s="100"/>
      <c r="BJ1768" s="100"/>
      <c r="BK1768" s="102"/>
    </row>
    <row r="1769" spans="1:63" x14ac:dyDescent="0.25">
      <c r="A1769" s="92"/>
      <c r="B1769" s="92"/>
      <c r="C1769" s="92"/>
      <c r="D1769" s="92"/>
      <c r="E1769" s="92"/>
      <c r="F1769" s="92"/>
      <c r="G1769" s="92"/>
      <c r="H1769" s="92"/>
      <c r="I1769" s="92"/>
      <c r="J1769" s="92"/>
      <c r="K1769" s="92"/>
      <c r="L1769" s="92"/>
      <c r="M1769" s="92"/>
      <c r="N1769" s="92"/>
      <c r="AG1769" s="100"/>
      <c r="AH1769" s="101"/>
      <c r="AI1769" s="101"/>
      <c r="AJ1769" s="100"/>
      <c r="AK1769" s="100"/>
      <c r="AL1769" s="100"/>
      <c r="AM1769" s="100"/>
      <c r="AN1769" s="100"/>
      <c r="AO1769" s="100"/>
      <c r="AP1769" s="100"/>
      <c r="AQ1769" s="100"/>
      <c r="AR1769" s="100"/>
      <c r="AS1769" s="100"/>
      <c r="AT1769" s="102"/>
      <c r="AX1769" s="100"/>
      <c r="AY1769" s="101"/>
      <c r="AZ1769" s="101"/>
      <c r="BA1769" s="100"/>
      <c r="BB1769" s="100"/>
      <c r="BC1769" s="100"/>
      <c r="BD1769" s="100"/>
      <c r="BE1769" s="100"/>
      <c r="BF1769" s="100"/>
      <c r="BG1769" s="100"/>
      <c r="BH1769" s="100"/>
      <c r="BI1769" s="100"/>
      <c r="BJ1769" s="100"/>
      <c r="BK1769" s="102"/>
    </row>
    <row r="1770" spans="1:63" x14ac:dyDescent="0.25">
      <c r="A1770" s="92"/>
      <c r="B1770" s="92"/>
      <c r="C1770" s="92"/>
      <c r="D1770" s="92"/>
      <c r="E1770" s="92"/>
      <c r="F1770" s="92"/>
      <c r="G1770" s="92"/>
      <c r="H1770" s="92"/>
      <c r="I1770" s="92"/>
      <c r="J1770" s="92"/>
      <c r="K1770" s="92"/>
      <c r="L1770" s="92"/>
      <c r="M1770" s="92"/>
      <c r="N1770" s="92"/>
      <c r="AG1770" s="100"/>
      <c r="AH1770" s="101"/>
      <c r="AI1770" s="101"/>
      <c r="AJ1770" s="100"/>
      <c r="AK1770" s="100"/>
      <c r="AL1770" s="100"/>
      <c r="AM1770" s="100"/>
      <c r="AN1770" s="100"/>
      <c r="AO1770" s="100"/>
      <c r="AP1770" s="100"/>
      <c r="AQ1770" s="100"/>
      <c r="AR1770" s="100"/>
      <c r="AS1770" s="100"/>
      <c r="AT1770" s="102"/>
      <c r="AX1770" s="100"/>
      <c r="AY1770" s="101"/>
      <c r="AZ1770" s="101"/>
      <c r="BA1770" s="100"/>
      <c r="BB1770" s="100"/>
      <c r="BC1770" s="100"/>
      <c r="BD1770" s="100"/>
      <c r="BE1770" s="100"/>
      <c r="BF1770" s="100"/>
      <c r="BG1770" s="100"/>
      <c r="BH1770" s="100"/>
      <c r="BI1770" s="100"/>
      <c r="BJ1770" s="100"/>
      <c r="BK1770" s="102"/>
    </row>
    <row r="1771" spans="1:63" x14ac:dyDescent="0.25">
      <c r="A1771" s="92"/>
      <c r="B1771" s="92"/>
      <c r="C1771" s="92"/>
      <c r="D1771" s="92"/>
      <c r="E1771" s="92"/>
      <c r="F1771" s="92"/>
      <c r="G1771" s="92"/>
      <c r="H1771" s="92"/>
      <c r="I1771" s="92"/>
      <c r="J1771" s="92"/>
      <c r="K1771" s="92"/>
      <c r="L1771" s="92"/>
      <c r="M1771" s="92"/>
      <c r="N1771" s="92"/>
      <c r="AG1771" s="100"/>
      <c r="AH1771" s="101"/>
      <c r="AI1771" s="101"/>
      <c r="AJ1771" s="100"/>
      <c r="AK1771" s="100"/>
      <c r="AL1771" s="100"/>
      <c r="AM1771" s="100"/>
      <c r="AN1771" s="100"/>
      <c r="AO1771" s="100"/>
      <c r="AP1771" s="100"/>
      <c r="AQ1771" s="100"/>
      <c r="AR1771" s="100"/>
      <c r="AS1771" s="100"/>
      <c r="AT1771" s="102"/>
      <c r="AX1771" s="100"/>
      <c r="AY1771" s="101"/>
      <c r="AZ1771" s="101"/>
      <c r="BA1771" s="100"/>
      <c r="BB1771" s="100"/>
      <c r="BC1771" s="100"/>
      <c r="BD1771" s="100"/>
      <c r="BE1771" s="100"/>
      <c r="BF1771" s="100"/>
      <c r="BG1771" s="100"/>
      <c r="BH1771" s="100"/>
      <c r="BI1771" s="100"/>
      <c r="BJ1771" s="100"/>
      <c r="BK1771" s="102"/>
    </row>
    <row r="1772" spans="1:63" x14ac:dyDescent="0.25">
      <c r="A1772" s="92"/>
      <c r="B1772" s="92"/>
      <c r="C1772" s="92"/>
      <c r="D1772" s="92"/>
      <c r="E1772" s="92"/>
      <c r="F1772" s="92"/>
      <c r="G1772" s="92"/>
      <c r="H1772" s="92"/>
      <c r="I1772" s="92"/>
      <c r="J1772" s="92"/>
      <c r="K1772" s="92"/>
      <c r="L1772" s="92"/>
      <c r="M1772" s="92"/>
      <c r="N1772" s="92"/>
      <c r="AG1772" s="100"/>
      <c r="AH1772" s="101"/>
      <c r="AI1772" s="101"/>
      <c r="AJ1772" s="100"/>
      <c r="AK1772" s="100"/>
      <c r="AL1772" s="100"/>
      <c r="AM1772" s="100"/>
      <c r="AN1772" s="100"/>
      <c r="AO1772" s="100"/>
      <c r="AP1772" s="100"/>
      <c r="AQ1772" s="100"/>
      <c r="AR1772" s="100"/>
      <c r="AS1772" s="100"/>
      <c r="AT1772" s="102"/>
      <c r="AX1772" s="100"/>
      <c r="AY1772" s="101"/>
      <c r="AZ1772" s="101"/>
      <c r="BA1772" s="100"/>
      <c r="BB1772" s="100"/>
      <c r="BC1772" s="100"/>
      <c r="BD1772" s="100"/>
      <c r="BE1772" s="100"/>
      <c r="BF1772" s="100"/>
      <c r="BG1772" s="100"/>
      <c r="BH1772" s="100"/>
      <c r="BI1772" s="100"/>
      <c r="BJ1772" s="100"/>
      <c r="BK1772" s="102"/>
    </row>
    <row r="1773" spans="1:63" x14ac:dyDescent="0.25">
      <c r="A1773" s="92"/>
      <c r="B1773" s="92"/>
      <c r="C1773" s="92"/>
      <c r="D1773" s="92"/>
      <c r="E1773" s="92"/>
      <c r="F1773" s="92"/>
      <c r="G1773" s="92"/>
      <c r="H1773" s="92"/>
      <c r="I1773" s="92"/>
      <c r="J1773" s="92"/>
      <c r="K1773" s="92"/>
      <c r="L1773" s="92"/>
      <c r="M1773" s="92"/>
      <c r="N1773" s="92"/>
      <c r="AG1773" s="100"/>
      <c r="AH1773" s="101"/>
      <c r="AI1773" s="101"/>
      <c r="AJ1773" s="101"/>
      <c r="AK1773" s="100"/>
      <c r="AL1773" s="100"/>
      <c r="AM1773" s="100"/>
      <c r="AN1773" s="100"/>
      <c r="AO1773" s="100"/>
      <c r="AP1773" s="100"/>
      <c r="AQ1773" s="100"/>
      <c r="AR1773" s="100"/>
      <c r="AS1773" s="100"/>
      <c r="AT1773" s="102"/>
      <c r="AX1773" s="100"/>
      <c r="AY1773" s="101"/>
      <c r="AZ1773" s="101"/>
      <c r="BA1773" s="100"/>
      <c r="BB1773" s="100"/>
      <c r="BC1773" s="100"/>
      <c r="BD1773" s="100"/>
      <c r="BE1773" s="100"/>
      <c r="BF1773" s="100"/>
      <c r="BG1773" s="100"/>
      <c r="BH1773" s="100"/>
      <c r="BI1773" s="100"/>
      <c r="BJ1773" s="100"/>
      <c r="BK1773" s="102"/>
    </row>
    <row r="1774" spans="1:63" x14ac:dyDescent="0.25">
      <c r="A1774" s="92"/>
      <c r="B1774" s="92"/>
      <c r="C1774" s="92"/>
      <c r="D1774" s="92"/>
      <c r="E1774" s="92"/>
      <c r="F1774" s="92"/>
      <c r="G1774" s="92"/>
      <c r="H1774" s="92"/>
      <c r="I1774" s="92"/>
      <c r="J1774" s="92"/>
      <c r="K1774" s="92"/>
      <c r="L1774" s="92"/>
      <c r="M1774" s="92"/>
      <c r="N1774" s="92"/>
      <c r="AG1774" s="100"/>
      <c r="AH1774" s="101"/>
      <c r="AI1774" s="101"/>
      <c r="AJ1774" s="100"/>
      <c r="AK1774" s="100"/>
      <c r="AL1774" s="100"/>
      <c r="AM1774" s="100"/>
      <c r="AN1774" s="100"/>
      <c r="AO1774" s="100"/>
      <c r="AP1774" s="100"/>
      <c r="AQ1774" s="100"/>
      <c r="AR1774" s="100"/>
      <c r="AS1774" s="100"/>
      <c r="AT1774" s="102"/>
      <c r="AX1774" s="100"/>
      <c r="AY1774" s="101"/>
      <c r="AZ1774" s="101"/>
      <c r="BA1774" s="100"/>
      <c r="BB1774" s="100"/>
      <c r="BC1774" s="100"/>
      <c r="BD1774" s="100"/>
      <c r="BE1774" s="100"/>
      <c r="BF1774" s="100"/>
      <c r="BG1774" s="100"/>
      <c r="BH1774" s="100"/>
      <c r="BI1774" s="100"/>
      <c r="BJ1774" s="100"/>
      <c r="BK1774" s="102"/>
    </row>
    <row r="1775" spans="1:63" x14ac:dyDescent="0.25">
      <c r="A1775" s="92"/>
      <c r="B1775" s="92"/>
      <c r="C1775" s="92"/>
      <c r="D1775" s="92"/>
      <c r="E1775" s="92"/>
      <c r="F1775" s="92"/>
      <c r="G1775" s="92"/>
      <c r="H1775" s="92"/>
      <c r="I1775" s="92"/>
      <c r="J1775" s="92"/>
      <c r="K1775" s="92"/>
      <c r="L1775" s="92"/>
      <c r="M1775" s="92"/>
      <c r="N1775" s="92"/>
      <c r="AG1775" s="100"/>
      <c r="AH1775" s="101"/>
      <c r="AI1775" s="101"/>
      <c r="AJ1775" s="100"/>
      <c r="AK1775" s="100"/>
      <c r="AL1775" s="100"/>
      <c r="AM1775" s="100"/>
      <c r="AN1775" s="100"/>
      <c r="AO1775" s="100"/>
      <c r="AP1775" s="100"/>
      <c r="AQ1775" s="100"/>
      <c r="AR1775" s="100"/>
      <c r="AS1775" s="100"/>
      <c r="AT1775" s="102"/>
      <c r="AX1775" s="100"/>
      <c r="AY1775" s="101"/>
      <c r="AZ1775" s="101"/>
      <c r="BA1775" s="100"/>
      <c r="BB1775" s="100"/>
      <c r="BC1775" s="100"/>
      <c r="BD1775" s="100"/>
      <c r="BE1775" s="100"/>
      <c r="BF1775" s="100"/>
      <c r="BG1775" s="100"/>
      <c r="BH1775" s="100"/>
      <c r="BI1775" s="100"/>
      <c r="BJ1775" s="100"/>
      <c r="BK1775" s="102"/>
    </row>
    <row r="1776" spans="1:63" x14ac:dyDescent="0.25">
      <c r="A1776" s="92"/>
      <c r="B1776" s="93"/>
      <c r="C1776" s="93"/>
      <c r="D1776" s="92"/>
      <c r="E1776" s="92"/>
      <c r="F1776" s="92"/>
      <c r="G1776" s="92"/>
      <c r="H1776" s="92"/>
      <c r="I1776" s="92"/>
      <c r="J1776" s="92"/>
      <c r="K1776" s="92"/>
      <c r="L1776" s="92"/>
      <c r="M1776" s="92"/>
      <c r="N1776" s="94"/>
      <c r="AG1776" s="100"/>
      <c r="AH1776" s="101"/>
      <c r="AI1776" s="101"/>
      <c r="AJ1776" s="100"/>
      <c r="AK1776" s="100"/>
      <c r="AL1776" s="100"/>
      <c r="AM1776" s="100"/>
      <c r="AN1776" s="100"/>
      <c r="AO1776" s="100"/>
      <c r="AP1776" s="100"/>
      <c r="AQ1776" s="100"/>
      <c r="AR1776" s="100"/>
      <c r="AS1776" s="100"/>
      <c r="AT1776" s="102"/>
      <c r="AX1776" s="100"/>
      <c r="AY1776" s="101"/>
      <c r="AZ1776" s="101"/>
      <c r="BA1776" s="100"/>
      <c r="BB1776" s="100"/>
      <c r="BC1776" s="100"/>
      <c r="BD1776" s="100"/>
      <c r="BE1776" s="100"/>
      <c r="BF1776" s="100"/>
      <c r="BG1776" s="100"/>
      <c r="BH1776" s="100"/>
      <c r="BI1776" s="100"/>
      <c r="BJ1776" s="100"/>
      <c r="BK1776" s="102"/>
    </row>
    <row r="1777" spans="1:63" x14ac:dyDescent="0.25">
      <c r="A1777" s="92"/>
      <c r="B1777" s="93"/>
      <c r="C1777" s="93"/>
      <c r="D1777" s="93"/>
      <c r="E1777" s="92"/>
      <c r="F1777" s="92"/>
      <c r="G1777" s="92"/>
      <c r="H1777" s="92"/>
      <c r="I1777" s="92"/>
      <c r="J1777" s="92"/>
      <c r="K1777" s="92"/>
      <c r="L1777" s="92"/>
      <c r="M1777" s="92"/>
      <c r="N1777" s="94"/>
      <c r="AG1777" s="100"/>
      <c r="AH1777" s="101"/>
      <c r="AI1777" s="101"/>
      <c r="AJ1777" s="100"/>
      <c r="AK1777" s="100"/>
      <c r="AL1777" s="100"/>
      <c r="AM1777" s="100"/>
      <c r="AN1777" s="100"/>
      <c r="AO1777" s="100"/>
      <c r="AP1777" s="100"/>
      <c r="AQ1777" s="100"/>
      <c r="AR1777" s="100"/>
      <c r="AS1777" s="100"/>
      <c r="AT1777" s="102"/>
      <c r="AX1777" s="100"/>
      <c r="AY1777" s="101"/>
      <c r="AZ1777" s="101"/>
      <c r="BA1777" s="101"/>
      <c r="BB1777" s="100"/>
      <c r="BC1777" s="100"/>
      <c r="BD1777" s="100"/>
      <c r="BE1777" s="100"/>
      <c r="BF1777" s="100"/>
      <c r="BG1777" s="100"/>
      <c r="BH1777" s="100"/>
      <c r="BI1777" s="100"/>
      <c r="BJ1777" s="100"/>
      <c r="BK1777" s="102"/>
    </row>
    <row r="1778" spans="1:63" x14ac:dyDescent="0.25">
      <c r="A1778" s="92"/>
      <c r="B1778" s="92"/>
      <c r="C1778" s="92"/>
      <c r="D1778" s="92"/>
      <c r="E1778" s="92"/>
      <c r="F1778" s="92"/>
      <c r="G1778" s="92"/>
      <c r="H1778" s="92"/>
      <c r="I1778" s="92"/>
      <c r="J1778" s="92"/>
      <c r="K1778" s="92"/>
      <c r="L1778" s="92"/>
      <c r="M1778" s="92"/>
      <c r="N1778" s="92"/>
      <c r="AG1778" s="100"/>
      <c r="AH1778" s="101"/>
      <c r="AI1778" s="101"/>
      <c r="AJ1778" s="100"/>
      <c r="AK1778" s="100"/>
      <c r="AL1778" s="100"/>
      <c r="AM1778" s="100"/>
      <c r="AN1778" s="100"/>
      <c r="AO1778" s="100"/>
      <c r="AP1778" s="100"/>
      <c r="AQ1778" s="100"/>
      <c r="AR1778" s="100"/>
      <c r="AS1778" s="100"/>
      <c r="AT1778" s="102"/>
      <c r="AX1778" s="100"/>
      <c r="AY1778" s="101"/>
      <c r="AZ1778" s="101"/>
      <c r="BA1778" s="100"/>
      <c r="BB1778" s="100"/>
      <c r="BC1778" s="100"/>
      <c r="BD1778" s="100"/>
      <c r="BE1778" s="100"/>
      <c r="BF1778" s="100"/>
      <c r="BG1778" s="100"/>
      <c r="BH1778" s="100"/>
      <c r="BI1778" s="100"/>
      <c r="BJ1778" s="100"/>
      <c r="BK1778" s="102"/>
    </row>
    <row r="1779" spans="1:63" x14ac:dyDescent="0.25">
      <c r="A1779" s="92"/>
      <c r="B1779" s="93"/>
      <c r="C1779" s="93"/>
      <c r="D1779" s="93"/>
      <c r="E1779" s="92"/>
      <c r="F1779" s="92"/>
      <c r="G1779" s="92"/>
      <c r="H1779" s="92"/>
      <c r="I1779" s="92"/>
      <c r="J1779" s="92"/>
      <c r="K1779" s="92"/>
      <c r="L1779" s="92"/>
      <c r="M1779" s="92"/>
      <c r="N1779" s="94"/>
      <c r="AG1779" s="100"/>
      <c r="AH1779" s="101"/>
      <c r="AI1779" s="101"/>
      <c r="AJ1779" s="100"/>
      <c r="AK1779" s="100"/>
      <c r="AL1779" s="100"/>
      <c r="AM1779" s="100"/>
      <c r="AN1779" s="100"/>
      <c r="AO1779" s="100"/>
      <c r="AP1779" s="100"/>
      <c r="AQ1779" s="100"/>
      <c r="AR1779" s="100"/>
      <c r="AS1779" s="100"/>
      <c r="AT1779" s="102"/>
      <c r="AX1779" s="100"/>
      <c r="AY1779" s="101"/>
      <c r="AZ1779" s="101"/>
      <c r="BA1779" s="100"/>
      <c r="BB1779" s="100"/>
      <c r="BC1779" s="100"/>
      <c r="BD1779" s="100"/>
      <c r="BE1779" s="100"/>
      <c r="BF1779" s="100"/>
      <c r="BG1779" s="100"/>
      <c r="BH1779" s="100"/>
      <c r="BI1779" s="100"/>
      <c r="BJ1779" s="100"/>
      <c r="BK1779" s="102"/>
    </row>
    <row r="1780" spans="1:63" x14ac:dyDescent="0.25">
      <c r="A1780" s="92"/>
      <c r="B1780" s="93"/>
      <c r="C1780" s="93"/>
      <c r="D1780" s="92"/>
      <c r="E1780" s="92"/>
      <c r="F1780" s="92"/>
      <c r="G1780" s="92"/>
      <c r="H1780" s="92"/>
      <c r="I1780" s="92"/>
      <c r="J1780" s="92"/>
      <c r="K1780" s="92"/>
      <c r="L1780" s="92"/>
      <c r="M1780" s="92"/>
      <c r="N1780" s="94"/>
      <c r="AG1780" s="100"/>
      <c r="AH1780" s="101"/>
      <c r="AI1780" s="101"/>
      <c r="AJ1780" s="100"/>
      <c r="AK1780" s="100"/>
      <c r="AL1780" s="100"/>
      <c r="AM1780" s="100"/>
      <c r="AN1780" s="100"/>
      <c r="AO1780" s="100"/>
      <c r="AP1780" s="100"/>
      <c r="AQ1780" s="100"/>
      <c r="AR1780" s="100"/>
      <c r="AS1780" s="100"/>
      <c r="AT1780" s="102"/>
      <c r="AX1780" s="100"/>
      <c r="AY1780" s="101"/>
      <c r="AZ1780" s="101"/>
      <c r="BA1780" s="100"/>
      <c r="BB1780" s="100"/>
      <c r="BC1780" s="100"/>
      <c r="BD1780" s="100"/>
      <c r="BE1780" s="100"/>
      <c r="BF1780" s="100"/>
      <c r="BG1780" s="100"/>
      <c r="BH1780" s="100"/>
      <c r="BI1780" s="100"/>
      <c r="BJ1780" s="100"/>
      <c r="BK1780" s="102"/>
    </row>
    <row r="1781" spans="1:63" x14ac:dyDescent="0.25">
      <c r="A1781" s="92"/>
      <c r="B1781" s="93"/>
      <c r="C1781" s="93"/>
      <c r="D1781" s="92"/>
      <c r="E1781" s="92"/>
      <c r="F1781" s="92"/>
      <c r="G1781" s="92"/>
      <c r="H1781" s="92"/>
      <c r="I1781" s="92"/>
      <c r="J1781" s="92"/>
      <c r="K1781" s="92"/>
      <c r="L1781" s="92"/>
      <c r="M1781" s="92"/>
      <c r="N1781" s="94"/>
      <c r="AG1781" s="100"/>
      <c r="AH1781" s="101"/>
      <c r="AI1781" s="101"/>
      <c r="AJ1781" s="100"/>
      <c r="AK1781" s="100"/>
      <c r="AL1781" s="100"/>
      <c r="AM1781" s="100"/>
      <c r="AN1781" s="100"/>
      <c r="AO1781" s="100"/>
      <c r="AP1781" s="100"/>
      <c r="AQ1781" s="100"/>
      <c r="AR1781" s="100"/>
      <c r="AS1781" s="100"/>
      <c r="AT1781" s="102"/>
      <c r="AX1781" s="100"/>
      <c r="AY1781" s="101"/>
      <c r="AZ1781" s="101"/>
      <c r="BA1781" s="100"/>
      <c r="BB1781" s="100"/>
      <c r="BC1781" s="100"/>
      <c r="BD1781" s="100"/>
      <c r="BE1781" s="100"/>
      <c r="BF1781" s="100"/>
      <c r="BG1781" s="100"/>
      <c r="BH1781" s="100"/>
      <c r="BI1781" s="100"/>
      <c r="BJ1781" s="100"/>
      <c r="BK1781" s="102"/>
    </row>
    <row r="1782" spans="1:63" x14ac:dyDescent="0.25">
      <c r="A1782" s="92"/>
      <c r="B1782" s="93"/>
      <c r="C1782" s="93"/>
      <c r="D1782" s="92"/>
      <c r="E1782" s="92"/>
      <c r="F1782" s="92"/>
      <c r="G1782" s="92"/>
      <c r="H1782" s="92"/>
      <c r="I1782" s="92"/>
      <c r="J1782" s="92"/>
      <c r="K1782" s="92"/>
      <c r="L1782" s="92"/>
      <c r="M1782" s="92"/>
      <c r="N1782" s="94"/>
      <c r="AG1782" s="100"/>
      <c r="AH1782" s="101"/>
      <c r="AI1782" s="101"/>
      <c r="AJ1782" s="101"/>
      <c r="AK1782" s="100"/>
      <c r="AL1782" s="100"/>
      <c r="AM1782" s="100"/>
      <c r="AN1782" s="100"/>
      <c r="AO1782" s="100"/>
      <c r="AP1782" s="100"/>
      <c r="AQ1782" s="100"/>
      <c r="AR1782" s="100"/>
      <c r="AS1782" s="100"/>
      <c r="AT1782" s="102"/>
      <c r="AX1782" s="100"/>
      <c r="AY1782" s="101"/>
      <c r="AZ1782" s="101"/>
      <c r="BA1782" s="100"/>
      <c r="BB1782" s="100"/>
      <c r="BC1782" s="100"/>
      <c r="BD1782" s="100"/>
      <c r="BE1782" s="100"/>
      <c r="BF1782" s="100"/>
      <c r="BG1782" s="100"/>
      <c r="BH1782" s="100"/>
      <c r="BI1782" s="100"/>
      <c r="BJ1782" s="100"/>
      <c r="BK1782" s="102"/>
    </row>
    <row r="1783" spans="1:63" x14ac:dyDescent="0.25">
      <c r="A1783" s="92"/>
      <c r="B1783" s="92"/>
      <c r="C1783" s="92"/>
      <c r="D1783" s="92"/>
      <c r="E1783" s="92"/>
      <c r="F1783" s="92"/>
      <c r="G1783" s="92"/>
      <c r="H1783" s="92"/>
      <c r="I1783" s="92"/>
      <c r="J1783" s="92"/>
      <c r="K1783" s="92"/>
      <c r="L1783" s="92"/>
      <c r="M1783" s="92"/>
      <c r="N1783" s="92"/>
      <c r="AG1783" s="100"/>
      <c r="AH1783" s="101"/>
      <c r="AI1783" s="101"/>
      <c r="AJ1783" s="100"/>
      <c r="AK1783" s="100"/>
      <c r="AL1783" s="100"/>
      <c r="AM1783" s="100"/>
      <c r="AN1783" s="100"/>
      <c r="AO1783" s="100"/>
      <c r="AP1783" s="100"/>
      <c r="AQ1783" s="100"/>
      <c r="AR1783" s="100"/>
      <c r="AS1783" s="100"/>
      <c r="AT1783" s="102"/>
      <c r="AX1783" s="100"/>
      <c r="AY1783" s="101"/>
      <c r="AZ1783" s="101"/>
      <c r="BA1783" s="100"/>
      <c r="BB1783" s="100"/>
      <c r="BC1783" s="100"/>
      <c r="BD1783" s="100"/>
      <c r="BE1783" s="100"/>
      <c r="BF1783" s="100"/>
      <c r="BG1783" s="100"/>
      <c r="BH1783" s="100"/>
      <c r="BI1783" s="100"/>
      <c r="BJ1783" s="100"/>
      <c r="BK1783" s="102"/>
    </row>
    <row r="1784" spans="1:63" x14ac:dyDescent="0.25">
      <c r="A1784" s="92"/>
      <c r="B1784" s="92"/>
      <c r="C1784" s="92"/>
      <c r="D1784" s="92"/>
      <c r="E1784" s="92"/>
      <c r="F1784" s="92"/>
      <c r="G1784" s="92"/>
      <c r="H1784" s="92"/>
      <c r="I1784" s="92"/>
      <c r="J1784" s="92"/>
      <c r="K1784" s="92"/>
      <c r="L1784" s="92"/>
      <c r="M1784" s="92"/>
      <c r="N1784" s="92"/>
      <c r="AG1784" s="100"/>
      <c r="AH1784" s="101"/>
      <c r="AI1784" s="101"/>
      <c r="AJ1784" s="101"/>
      <c r="AK1784" s="100"/>
      <c r="AL1784" s="100"/>
      <c r="AM1784" s="100"/>
      <c r="AN1784" s="100"/>
      <c r="AO1784" s="100"/>
      <c r="AP1784" s="100"/>
      <c r="AQ1784" s="100"/>
      <c r="AR1784" s="100"/>
      <c r="AS1784" s="100"/>
      <c r="AT1784" s="102"/>
      <c r="AX1784" s="100"/>
      <c r="AY1784" s="101"/>
      <c r="AZ1784" s="101"/>
      <c r="BA1784" s="100"/>
      <c r="BB1784" s="100"/>
      <c r="BC1784" s="100"/>
      <c r="BD1784" s="100"/>
      <c r="BE1784" s="100"/>
      <c r="BF1784" s="100"/>
      <c r="BG1784" s="100"/>
      <c r="BH1784" s="100"/>
      <c r="BI1784" s="100"/>
      <c r="BJ1784" s="100"/>
      <c r="BK1784" s="102"/>
    </row>
    <row r="1785" spans="1:63" x14ac:dyDescent="0.25">
      <c r="A1785" s="92"/>
      <c r="B1785" s="92"/>
      <c r="C1785" s="92"/>
      <c r="D1785" s="92"/>
      <c r="E1785" s="92"/>
      <c r="F1785" s="92"/>
      <c r="G1785" s="92"/>
      <c r="H1785" s="92"/>
      <c r="I1785" s="92"/>
      <c r="J1785" s="92"/>
      <c r="K1785" s="92"/>
      <c r="L1785" s="92"/>
      <c r="M1785" s="92"/>
      <c r="N1785" s="92"/>
      <c r="AG1785" s="100"/>
      <c r="AH1785" s="101"/>
      <c r="AI1785" s="101"/>
      <c r="AJ1785" s="100"/>
      <c r="AK1785" s="100"/>
      <c r="AL1785" s="100"/>
      <c r="AM1785" s="100"/>
      <c r="AN1785" s="100"/>
      <c r="AO1785" s="100"/>
      <c r="AP1785" s="100"/>
      <c r="AQ1785" s="100"/>
      <c r="AR1785" s="100"/>
      <c r="AS1785" s="100"/>
      <c r="AT1785" s="102"/>
      <c r="AX1785" s="100"/>
      <c r="AY1785" s="101"/>
      <c r="AZ1785" s="101"/>
      <c r="BA1785" s="100"/>
      <c r="BB1785" s="100"/>
      <c r="BC1785" s="100"/>
      <c r="BD1785" s="100"/>
      <c r="BE1785" s="100"/>
      <c r="BF1785" s="100"/>
      <c r="BG1785" s="100"/>
      <c r="BH1785" s="100"/>
      <c r="BI1785" s="100"/>
      <c r="BJ1785" s="100"/>
      <c r="BK1785" s="102"/>
    </row>
    <row r="1786" spans="1:63" x14ac:dyDescent="0.25">
      <c r="A1786" s="92"/>
      <c r="B1786" s="92"/>
      <c r="C1786" s="92"/>
      <c r="D1786" s="92"/>
      <c r="E1786" s="92"/>
      <c r="F1786" s="92"/>
      <c r="G1786" s="92"/>
      <c r="H1786" s="92"/>
      <c r="I1786" s="92"/>
      <c r="J1786" s="92"/>
      <c r="K1786" s="92"/>
      <c r="L1786" s="92"/>
      <c r="M1786" s="92"/>
      <c r="N1786" s="92"/>
      <c r="AG1786" s="100"/>
      <c r="AH1786" s="101"/>
      <c r="AI1786" s="101"/>
      <c r="AJ1786" s="100"/>
      <c r="AK1786" s="100"/>
      <c r="AL1786" s="100"/>
      <c r="AM1786" s="100"/>
      <c r="AN1786" s="100"/>
      <c r="AO1786" s="100"/>
      <c r="AP1786" s="100"/>
      <c r="AQ1786" s="100"/>
      <c r="AR1786" s="100"/>
      <c r="AS1786" s="100"/>
      <c r="AT1786" s="102"/>
      <c r="AX1786" s="100"/>
      <c r="AY1786" s="101"/>
      <c r="AZ1786" s="101"/>
      <c r="BA1786" s="100"/>
      <c r="BB1786" s="100"/>
      <c r="BC1786" s="100"/>
      <c r="BD1786" s="100"/>
      <c r="BE1786" s="100"/>
      <c r="BF1786" s="100"/>
      <c r="BG1786" s="100"/>
      <c r="BH1786" s="100"/>
      <c r="BI1786" s="100"/>
      <c r="BJ1786" s="100"/>
      <c r="BK1786" s="102"/>
    </row>
    <row r="1787" spans="1:63" x14ac:dyDescent="0.25">
      <c r="A1787" s="92"/>
      <c r="B1787" s="93"/>
      <c r="C1787" s="93"/>
      <c r="D1787" s="92"/>
      <c r="E1787" s="92"/>
      <c r="F1787" s="92"/>
      <c r="G1787" s="92"/>
      <c r="H1787" s="92"/>
      <c r="I1787" s="92"/>
      <c r="J1787" s="92"/>
      <c r="K1787" s="92"/>
      <c r="L1787" s="92"/>
      <c r="M1787" s="92"/>
      <c r="N1787" s="94"/>
      <c r="AG1787" s="100"/>
      <c r="AH1787" s="101"/>
      <c r="AI1787" s="101"/>
      <c r="AJ1787" s="100"/>
      <c r="AK1787" s="100"/>
      <c r="AL1787" s="100"/>
      <c r="AM1787" s="100"/>
      <c r="AN1787" s="100"/>
      <c r="AO1787" s="100"/>
      <c r="AP1787" s="100"/>
      <c r="AQ1787" s="100"/>
      <c r="AR1787" s="100"/>
      <c r="AS1787" s="100"/>
      <c r="AT1787" s="102"/>
      <c r="AX1787" s="100"/>
      <c r="AY1787" s="101"/>
      <c r="AZ1787" s="101"/>
      <c r="BA1787" s="100"/>
      <c r="BB1787" s="100"/>
      <c r="BC1787" s="100"/>
      <c r="BD1787" s="100"/>
      <c r="BE1787" s="100"/>
      <c r="BF1787" s="100"/>
      <c r="BG1787" s="100"/>
      <c r="BH1787" s="100"/>
      <c r="BI1787" s="100"/>
      <c r="BJ1787" s="100"/>
      <c r="BK1787" s="102"/>
    </row>
    <row r="1788" spans="1:63" x14ac:dyDescent="0.25">
      <c r="A1788" s="92"/>
      <c r="B1788" s="92"/>
      <c r="C1788" s="92"/>
      <c r="D1788" s="92"/>
      <c r="E1788" s="92"/>
      <c r="F1788" s="92"/>
      <c r="G1788" s="92"/>
      <c r="H1788" s="92"/>
      <c r="I1788" s="92"/>
      <c r="J1788" s="92"/>
      <c r="K1788" s="92"/>
      <c r="L1788" s="92"/>
      <c r="M1788" s="92"/>
      <c r="N1788" s="92"/>
      <c r="AG1788" s="100"/>
      <c r="AH1788" s="101"/>
      <c r="AI1788" s="101"/>
      <c r="AJ1788" s="100"/>
      <c r="AK1788" s="100"/>
      <c r="AL1788" s="100"/>
      <c r="AM1788" s="100"/>
      <c r="AN1788" s="100"/>
      <c r="AO1788" s="100"/>
      <c r="AP1788" s="100"/>
      <c r="AQ1788" s="100"/>
      <c r="AR1788" s="100"/>
      <c r="AS1788" s="100"/>
      <c r="AT1788" s="102"/>
      <c r="AX1788" s="100"/>
      <c r="AY1788" s="101"/>
      <c r="AZ1788" s="101"/>
      <c r="BA1788" s="100"/>
      <c r="BB1788" s="100"/>
      <c r="BC1788" s="100"/>
      <c r="BD1788" s="100"/>
      <c r="BE1788" s="100"/>
      <c r="BF1788" s="100"/>
      <c r="BG1788" s="100"/>
      <c r="BH1788" s="100"/>
      <c r="BI1788" s="100"/>
      <c r="BJ1788" s="100"/>
      <c r="BK1788" s="102"/>
    </row>
    <row r="1789" spans="1:63" x14ac:dyDescent="0.25">
      <c r="A1789" s="92"/>
      <c r="B1789" s="92"/>
      <c r="C1789" s="92"/>
      <c r="D1789" s="92"/>
      <c r="E1789" s="92"/>
      <c r="F1789" s="92"/>
      <c r="G1789" s="92"/>
      <c r="H1789" s="92"/>
      <c r="I1789" s="92"/>
      <c r="J1789" s="92"/>
      <c r="K1789" s="92"/>
      <c r="L1789" s="92"/>
      <c r="M1789" s="92"/>
      <c r="N1789" s="92"/>
      <c r="AG1789" s="100"/>
      <c r="AH1789" s="101"/>
      <c r="AI1789" s="101"/>
      <c r="AJ1789" s="100"/>
      <c r="AK1789" s="100"/>
      <c r="AL1789" s="100"/>
      <c r="AM1789" s="100"/>
      <c r="AN1789" s="100"/>
      <c r="AO1789" s="100"/>
      <c r="AP1789" s="100"/>
      <c r="AQ1789" s="100"/>
      <c r="AR1789" s="100"/>
      <c r="AS1789" s="100"/>
      <c r="AT1789" s="102"/>
      <c r="AX1789" s="100"/>
      <c r="AY1789" s="101"/>
      <c r="AZ1789" s="101"/>
      <c r="BA1789" s="100"/>
      <c r="BB1789" s="100"/>
      <c r="BC1789" s="100"/>
      <c r="BD1789" s="100"/>
      <c r="BE1789" s="100"/>
      <c r="BF1789" s="100"/>
      <c r="BG1789" s="100"/>
      <c r="BH1789" s="100"/>
      <c r="BI1789" s="100"/>
      <c r="BJ1789" s="100"/>
      <c r="BK1789" s="102"/>
    </row>
    <row r="1790" spans="1:63" x14ac:dyDescent="0.25">
      <c r="A1790" s="92"/>
      <c r="B1790" s="92"/>
      <c r="C1790" s="92"/>
      <c r="D1790" s="92"/>
      <c r="E1790" s="92"/>
      <c r="F1790" s="92"/>
      <c r="G1790" s="92"/>
      <c r="H1790" s="92"/>
      <c r="I1790" s="92"/>
      <c r="J1790" s="92"/>
      <c r="K1790" s="92"/>
      <c r="L1790" s="92"/>
      <c r="M1790" s="92"/>
      <c r="N1790" s="92"/>
      <c r="AG1790" s="100"/>
      <c r="AH1790" s="101"/>
      <c r="AI1790" s="101"/>
      <c r="AJ1790" s="100"/>
      <c r="AK1790" s="100"/>
      <c r="AL1790" s="100"/>
      <c r="AM1790" s="100"/>
      <c r="AN1790" s="100"/>
      <c r="AO1790" s="100"/>
      <c r="AP1790" s="100"/>
      <c r="AQ1790" s="100"/>
      <c r="AR1790" s="100"/>
      <c r="AS1790" s="100"/>
      <c r="AT1790" s="102"/>
      <c r="AX1790" s="100"/>
      <c r="AY1790" s="101"/>
      <c r="AZ1790" s="101"/>
      <c r="BA1790" s="100"/>
      <c r="BB1790" s="100"/>
      <c r="BC1790" s="100"/>
      <c r="BD1790" s="100"/>
      <c r="BE1790" s="100"/>
      <c r="BF1790" s="100"/>
      <c r="BG1790" s="100"/>
      <c r="BH1790" s="100"/>
      <c r="BI1790" s="100"/>
      <c r="BJ1790" s="100"/>
      <c r="BK1790" s="102"/>
    </row>
    <row r="1791" spans="1:63" x14ac:dyDescent="0.25">
      <c r="A1791" s="92"/>
      <c r="B1791" s="92"/>
      <c r="C1791" s="92"/>
      <c r="D1791" s="92"/>
      <c r="E1791" s="92"/>
      <c r="F1791" s="92"/>
      <c r="G1791" s="92"/>
      <c r="H1791" s="92"/>
      <c r="I1791" s="92"/>
      <c r="J1791" s="92"/>
      <c r="K1791" s="92"/>
      <c r="L1791" s="92"/>
      <c r="M1791" s="92"/>
      <c r="N1791" s="92"/>
      <c r="AG1791" s="100"/>
      <c r="AH1791" s="101"/>
      <c r="AI1791" s="101"/>
      <c r="AJ1791" s="101"/>
      <c r="AK1791" s="100"/>
      <c r="AL1791" s="100"/>
      <c r="AM1791" s="100"/>
      <c r="AN1791" s="100"/>
      <c r="AO1791" s="100"/>
      <c r="AP1791" s="100"/>
      <c r="AQ1791" s="100"/>
      <c r="AR1791" s="100"/>
      <c r="AS1791" s="100"/>
      <c r="AT1791" s="102"/>
      <c r="AX1791" s="100"/>
      <c r="AY1791" s="101"/>
      <c r="AZ1791" s="101"/>
      <c r="BA1791" s="100"/>
      <c r="BB1791" s="100"/>
      <c r="BC1791" s="100"/>
      <c r="BD1791" s="100"/>
      <c r="BE1791" s="100"/>
      <c r="BF1791" s="100"/>
      <c r="BG1791" s="100"/>
      <c r="BH1791" s="100"/>
      <c r="BI1791" s="100"/>
      <c r="BJ1791" s="100"/>
      <c r="BK1791" s="102"/>
    </row>
    <row r="1792" spans="1:63" x14ac:dyDescent="0.25">
      <c r="A1792" s="92"/>
      <c r="B1792" s="93"/>
      <c r="C1792" s="93"/>
      <c r="D1792" s="92"/>
      <c r="E1792" s="92"/>
      <c r="F1792" s="92"/>
      <c r="G1792" s="92"/>
      <c r="H1792" s="92"/>
      <c r="I1792" s="92"/>
      <c r="J1792" s="92"/>
      <c r="K1792" s="92"/>
      <c r="L1792" s="92"/>
      <c r="M1792" s="92"/>
      <c r="N1792" s="94"/>
      <c r="AG1792" s="100"/>
      <c r="AH1792" s="101"/>
      <c r="AI1792" s="101"/>
      <c r="AJ1792" s="101"/>
      <c r="AK1792" s="100"/>
      <c r="AL1792" s="100"/>
      <c r="AM1792" s="100"/>
      <c r="AN1792" s="100"/>
      <c r="AO1792" s="100"/>
      <c r="AP1792" s="100"/>
      <c r="AQ1792" s="100"/>
      <c r="AR1792" s="100"/>
      <c r="AS1792" s="100"/>
      <c r="AT1792" s="102"/>
      <c r="AX1792" s="100"/>
      <c r="AY1792" s="101"/>
      <c r="AZ1792" s="101"/>
      <c r="BA1792" s="100"/>
      <c r="BB1792" s="100"/>
      <c r="BC1792" s="100"/>
      <c r="BD1792" s="100"/>
      <c r="BE1792" s="100"/>
      <c r="BF1792" s="100"/>
      <c r="BG1792" s="100"/>
      <c r="BH1792" s="100"/>
      <c r="BI1792" s="100"/>
      <c r="BJ1792" s="100"/>
      <c r="BK1792" s="102"/>
    </row>
    <row r="1793" spans="1:63" x14ac:dyDescent="0.25">
      <c r="A1793" s="92"/>
      <c r="B1793" s="93"/>
      <c r="C1793" s="93"/>
      <c r="D1793" s="92"/>
      <c r="E1793" s="92"/>
      <c r="F1793" s="92"/>
      <c r="G1793" s="92"/>
      <c r="H1793" s="92"/>
      <c r="I1793" s="92"/>
      <c r="J1793" s="92"/>
      <c r="K1793" s="92"/>
      <c r="L1793" s="92"/>
      <c r="M1793" s="92"/>
      <c r="N1793" s="94"/>
      <c r="AG1793" s="100"/>
      <c r="AH1793" s="101"/>
      <c r="AI1793" s="101"/>
      <c r="AJ1793" s="100"/>
      <c r="AK1793" s="100"/>
      <c r="AL1793" s="100"/>
      <c r="AM1793" s="100"/>
      <c r="AN1793" s="100"/>
      <c r="AO1793" s="100"/>
      <c r="AP1793" s="100"/>
      <c r="AQ1793" s="100"/>
      <c r="AR1793" s="100"/>
      <c r="AS1793" s="100"/>
      <c r="AT1793" s="102"/>
      <c r="AX1793" s="100"/>
      <c r="AY1793" s="101"/>
      <c r="AZ1793" s="101"/>
      <c r="BA1793" s="101"/>
      <c r="BB1793" s="100"/>
      <c r="BC1793" s="100"/>
      <c r="BD1793" s="100"/>
      <c r="BE1793" s="100"/>
      <c r="BF1793" s="100"/>
      <c r="BG1793" s="100"/>
      <c r="BH1793" s="100"/>
      <c r="BI1793" s="100"/>
      <c r="BJ1793" s="100"/>
      <c r="BK1793" s="102"/>
    </row>
    <row r="1794" spans="1:63" x14ac:dyDescent="0.25">
      <c r="A1794" s="92"/>
      <c r="B1794" s="92"/>
      <c r="C1794" s="92"/>
      <c r="D1794" s="92"/>
      <c r="E1794" s="92"/>
      <c r="F1794" s="92"/>
      <c r="G1794" s="92"/>
      <c r="H1794" s="92"/>
      <c r="I1794" s="92"/>
      <c r="J1794" s="92"/>
      <c r="K1794" s="92"/>
      <c r="L1794" s="92"/>
      <c r="M1794" s="92"/>
      <c r="N1794" s="92"/>
      <c r="AG1794" s="100"/>
      <c r="AH1794" s="101"/>
      <c r="AI1794" s="101"/>
      <c r="AJ1794" s="100"/>
      <c r="AK1794" s="100"/>
      <c r="AL1794" s="100"/>
      <c r="AM1794" s="100"/>
      <c r="AN1794" s="100"/>
      <c r="AO1794" s="100"/>
      <c r="AP1794" s="100"/>
      <c r="AQ1794" s="100"/>
      <c r="AR1794" s="100"/>
      <c r="AS1794" s="100"/>
      <c r="AT1794" s="102"/>
      <c r="AX1794" s="100"/>
      <c r="AY1794" s="101"/>
      <c r="AZ1794" s="101"/>
      <c r="BA1794" s="100"/>
      <c r="BB1794" s="100"/>
      <c r="BC1794" s="100"/>
      <c r="BD1794" s="100"/>
      <c r="BE1794" s="100"/>
      <c r="BF1794" s="100"/>
      <c r="BG1794" s="100"/>
      <c r="BH1794" s="100"/>
      <c r="BI1794" s="100"/>
      <c r="BJ1794" s="100"/>
      <c r="BK1794" s="102"/>
    </row>
    <row r="1795" spans="1:63" x14ac:dyDescent="0.25">
      <c r="A1795" s="92"/>
      <c r="B1795" s="92"/>
      <c r="C1795" s="92"/>
      <c r="D1795" s="92"/>
      <c r="E1795" s="92"/>
      <c r="F1795" s="92"/>
      <c r="G1795" s="92"/>
      <c r="H1795" s="92"/>
      <c r="I1795" s="92"/>
      <c r="J1795" s="92"/>
      <c r="K1795" s="92"/>
      <c r="L1795" s="92"/>
      <c r="M1795" s="92"/>
      <c r="N1795" s="92"/>
      <c r="AG1795" s="100"/>
      <c r="AH1795" s="101"/>
      <c r="AI1795" s="101"/>
      <c r="AJ1795" s="101"/>
      <c r="AK1795" s="100"/>
      <c r="AL1795" s="100"/>
      <c r="AM1795" s="100"/>
      <c r="AN1795" s="100"/>
      <c r="AO1795" s="100"/>
      <c r="AP1795" s="100"/>
      <c r="AQ1795" s="100"/>
      <c r="AR1795" s="100"/>
      <c r="AS1795" s="100"/>
      <c r="AT1795" s="102"/>
      <c r="AX1795" s="100"/>
      <c r="AY1795" s="101"/>
      <c r="AZ1795" s="101"/>
      <c r="BA1795" s="100"/>
      <c r="BB1795" s="100"/>
      <c r="BC1795" s="100"/>
      <c r="BD1795" s="100"/>
      <c r="BE1795" s="100"/>
      <c r="BF1795" s="100"/>
      <c r="BG1795" s="100"/>
      <c r="BH1795" s="100"/>
      <c r="BI1795" s="100"/>
      <c r="BJ1795" s="100"/>
      <c r="BK1795" s="102"/>
    </row>
    <row r="1796" spans="1:63" x14ac:dyDescent="0.25">
      <c r="A1796" s="92"/>
      <c r="B1796" s="92"/>
      <c r="C1796" s="92"/>
      <c r="D1796" s="92"/>
      <c r="E1796" s="92"/>
      <c r="F1796" s="92"/>
      <c r="G1796" s="92"/>
      <c r="H1796" s="92"/>
      <c r="I1796" s="92"/>
      <c r="J1796" s="92"/>
      <c r="K1796" s="92"/>
      <c r="L1796" s="92"/>
      <c r="M1796" s="92"/>
      <c r="N1796" s="92"/>
      <c r="AG1796" s="100"/>
      <c r="AH1796" s="101"/>
      <c r="AI1796" s="101"/>
      <c r="AJ1796" s="101"/>
      <c r="AK1796" s="100"/>
      <c r="AL1796" s="100"/>
      <c r="AM1796" s="100"/>
      <c r="AN1796" s="100"/>
      <c r="AO1796" s="100"/>
      <c r="AP1796" s="100"/>
      <c r="AQ1796" s="100"/>
      <c r="AR1796" s="100"/>
      <c r="AS1796" s="100"/>
      <c r="AT1796" s="102"/>
      <c r="AX1796" s="100"/>
      <c r="AY1796" s="101"/>
      <c r="AZ1796" s="101"/>
      <c r="BA1796" s="100"/>
      <c r="BB1796" s="100"/>
      <c r="BC1796" s="100"/>
      <c r="BD1796" s="100"/>
      <c r="BE1796" s="100"/>
      <c r="BF1796" s="100"/>
      <c r="BG1796" s="100"/>
      <c r="BH1796" s="100"/>
      <c r="BI1796" s="100"/>
      <c r="BJ1796" s="100"/>
      <c r="BK1796" s="102"/>
    </row>
    <row r="1797" spans="1:63" x14ac:dyDescent="0.25">
      <c r="A1797" s="92"/>
      <c r="B1797" s="92"/>
      <c r="C1797" s="92"/>
      <c r="D1797" s="92"/>
      <c r="E1797" s="92"/>
      <c r="F1797" s="92"/>
      <c r="G1797" s="92"/>
      <c r="H1797" s="92"/>
      <c r="I1797" s="92"/>
      <c r="J1797" s="92"/>
      <c r="K1797" s="92"/>
      <c r="L1797" s="92"/>
      <c r="M1797" s="92"/>
      <c r="N1797" s="92"/>
      <c r="AG1797" s="100"/>
      <c r="AH1797" s="101"/>
      <c r="AI1797" s="101"/>
      <c r="AJ1797" s="100"/>
      <c r="AK1797" s="100"/>
      <c r="AL1797" s="100"/>
      <c r="AM1797" s="100"/>
      <c r="AN1797" s="100"/>
      <c r="AO1797" s="100"/>
      <c r="AP1797" s="100"/>
      <c r="AQ1797" s="100"/>
      <c r="AR1797" s="100"/>
      <c r="AS1797" s="100"/>
      <c r="AT1797" s="102"/>
      <c r="AX1797" s="100"/>
      <c r="AY1797" s="101"/>
      <c r="AZ1797" s="101"/>
      <c r="BA1797" s="100"/>
      <c r="BB1797" s="100"/>
      <c r="BC1797" s="100"/>
      <c r="BD1797" s="100"/>
      <c r="BE1797" s="100"/>
      <c r="BF1797" s="100"/>
      <c r="BG1797" s="100"/>
      <c r="BH1797" s="100"/>
      <c r="BI1797" s="100"/>
      <c r="BJ1797" s="100"/>
      <c r="BK1797" s="102"/>
    </row>
    <row r="1798" spans="1:63" x14ac:dyDescent="0.25">
      <c r="A1798" s="92"/>
      <c r="B1798" s="92"/>
      <c r="C1798" s="92"/>
      <c r="D1798" s="92"/>
      <c r="E1798" s="92"/>
      <c r="F1798" s="92"/>
      <c r="G1798" s="92"/>
      <c r="H1798" s="92"/>
      <c r="I1798" s="92"/>
      <c r="J1798" s="92"/>
      <c r="K1798" s="92"/>
      <c r="L1798" s="92"/>
      <c r="M1798" s="92"/>
      <c r="N1798" s="92"/>
      <c r="AG1798" s="100"/>
      <c r="AH1798" s="101"/>
      <c r="AI1798" s="101"/>
      <c r="AJ1798" s="101"/>
      <c r="AK1798" s="100"/>
      <c r="AL1798" s="100"/>
      <c r="AM1798" s="100"/>
      <c r="AN1798" s="100"/>
      <c r="AO1798" s="100"/>
      <c r="AP1798" s="100"/>
      <c r="AQ1798" s="100"/>
      <c r="AR1798" s="100"/>
      <c r="AS1798" s="100"/>
      <c r="AT1798" s="102"/>
      <c r="AX1798" s="100"/>
      <c r="AY1798" s="101"/>
      <c r="AZ1798" s="101"/>
      <c r="BA1798" s="100"/>
      <c r="BB1798" s="100"/>
      <c r="BC1798" s="100"/>
      <c r="BD1798" s="100"/>
      <c r="BE1798" s="100"/>
      <c r="BF1798" s="100"/>
      <c r="BG1798" s="100"/>
      <c r="BH1798" s="100"/>
      <c r="BI1798" s="100"/>
      <c r="BJ1798" s="100"/>
      <c r="BK1798" s="102"/>
    </row>
    <row r="1799" spans="1:63" x14ac:dyDescent="0.25">
      <c r="A1799" s="92"/>
      <c r="B1799" s="92"/>
      <c r="C1799" s="92"/>
      <c r="D1799" s="92"/>
      <c r="E1799" s="92"/>
      <c r="F1799" s="92"/>
      <c r="G1799" s="92"/>
      <c r="H1799" s="92"/>
      <c r="I1799" s="92"/>
      <c r="J1799" s="92"/>
      <c r="K1799" s="92"/>
      <c r="L1799" s="92"/>
      <c r="M1799" s="92"/>
      <c r="N1799" s="92"/>
      <c r="AG1799" s="100"/>
      <c r="AH1799" s="101"/>
      <c r="AI1799" s="101"/>
      <c r="AJ1799" s="100"/>
      <c r="AK1799" s="100"/>
      <c r="AL1799" s="100"/>
      <c r="AM1799" s="100"/>
      <c r="AN1799" s="100"/>
      <c r="AO1799" s="100"/>
      <c r="AP1799" s="100"/>
      <c r="AQ1799" s="100"/>
      <c r="AR1799" s="100"/>
      <c r="AS1799" s="100"/>
      <c r="AT1799" s="102"/>
      <c r="AX1799" s="100"/>
      <c r="AY1799" s="101"/>
      <c r="AZ1799" s="101"/>
      <c r="BA1799" s="100"/>
      <c r="BB1799" s="100"/>
      <c r="BC1799" s="100"/>
      <c r="BD1799" s="100"/>
      <c r="BE1799" s="100"/>
      <c r="BF1799" s="100"/>
      <c r="BG1799" s="100"/>
      <c r="BH1799" s="100"/>
      <c r="BI1799" s="100"/>
      <c r="BJ1799" s="100"/>
      <c r="BK1799" s="102"/>
    </row>
    <row r="1800" spans="1:63" x14ac:dyDescent="0.25">
      <c r="A1800" s="92"/>
      <c r="B1800" s="92"/>
      <c r="C1800" s="92"/>
      <c r="D1800" s="92"/>
      <c r="E1800" s="92"/>
      <c r="F1800" s="92"/>
      <c r="G1800" s="92"/>
      <c r="H1800" s="92"/>
      <c r="I1800" s="92"/>
      <c r="J1800" s="92"/>
      <c r="K1800" s="92"/>
      <c r="L1800" s="92"/>
      <c r="M1800" s="92"/>
      <c r="N1800" s="92"/>
      <c r="AG1800" s="100"/>
      <c r="AH1800" s="101"/>
      <c r="AI1800" s="101"/>
      <c r="AJ1800" s="100"/>
      <c r="AK1800" s="100"/>
      <c r="AL1800" s="100"/>
      <c r="AM1800" s="100"/>
      <c r="AN1800" s="100"/>
      <c r="AO1800" s="100"/>
      <c r="AP1800" s="100"/>
      <c r="AQ1800" s="100"/>
      <c r="AR1800" s="100"/>
      <c r="AS1800" s="100"/>
      <c r="AT1800" s="102"/>
      <c r="AX1800" s="100"/>
      <c r="AY1800" s="101"/>
      <c r="AZ1800" s="101"/>
      <c r="BA1800" s="100"/>
      <c r="BB1800" s="100"/>
      <c r="BC1800" s="100"/>
      <c r="BD1800" s="100"/>
      <c r="BE1800" s="100"/>
      <c r="BF1800" s="100"/>
      <c r="BG1800" s="100"/>
      <c r="BH1800" s="100"/>
      <c r="BI1800" s="100"/>
      <c r="BJ1800" s="100"/>
      <c r="BK1800" s="102"/>
    </row>
    <row r="1801" spans="1:63" x14ac:dyDescent="0.25">
      <c r="A1801" s="92"/>
      <c r="B1801" s="92"/>
      <c r="C1801" s="92"/>
      <c r="D1801" s="92"/>
      <c r="E1801" s="92"/>
      <c r="F1801" s="92"/>
      <c r="G1801" s="92"/>
      <c r="H1801" s="92"/>
      <c r="I1801" s="92"/>
      <c r="J1801" s="92"/>
      <c r="K1801" s="92"/>
      <c r="L1801" s="92"/>
      <c r="M1801" s="92"/>
      <c r="N1801" s="92"/>
      <c r="AG1801" s="100"/>
      <c r="AH1801" s="101"/>
      <c r="AI1801" s="101"/>
      <c r="AJ1801" s="101"/>
      <c r="AK1801" s="100"/>
      <c r="AL1801" s="100"/>
      <c r="AM1801" s="100"/>
      <c r="AN1801" s="100"/>
      <c r="AO1801" s="100"/>
      <c r="AP1801" s="100"/>
      <c r="AQ1801" s="100"/>
      <c r="AR1801" s="100"/>
      <c r="AS1801" s="100"/>
      <c r="AT1801" s="102"/>
      <c r="AX1801" s="100"/>
      <c r="AY1801" s="101"/>
      <c r="AZ1801" s="101"/>
      <c r="BA1801" s="100"/>
      <c r="BB1801" s="100"/>
      <c r="BC1801" s="100"/>
      <c r="BD1801" s="100"/>
      <c r="BE1801" s="100"/>
      <c r="BF1801" s="100"/>
      <c r="BG1801" s="100"/>
      <c r="BH1801" s="100"/>
      <c r="BI1801" s="100"/>
      <c r="BJ1801" s="100"/>
      <c r="BK1801" s="102"/>
    </row>
    <row r="1802" spans="1:63" x14ac:dyDescent="0.25">
      <c r="A1802" s="92"/>
      <c r="B1802" s="92"/>
      <c r="C1802" s="92"/>
      <c r="D1802" s="92"/>
      <c r="E1802" s="92"/>
      <c r="F1802" s="92"/>
      <c r="G1802" s="92"/>
      <c r="H1802" s="92"/>
      <c r="I1802" s="92"/>
      <c r="J1802" s="92"/>
      <c r="K1802" s="92"/>
      <c r="L1802" s="92"/>
      <c r="M1802" s="92"/>
      <c r="N1802" s="92"/>
      <c r="AG1802" s="100"/>
      <c r="AH1802" s="101"/>
      <c r="AI1802" s="101"/>
      <c r="AJ1802" s="101"/>
      <c r="AK1802" s="100"/>
      <c r="AL1802" s="100"/>
      <c r="AM1802" s="100"/>
      <c r="AN1802" s="100"/>
      <c r="AO1802" s="100"/>
      <c r="AP1802" s="100"/>
      <c r="AQ1802" s="100"/>
      <c r="AR1802" s="100"/>
      <c r="AS1802" s="100"/>
      <c r="AT1802" s="102"/>
      <c r="AX1802" s="100"/>
      <c r="AY1802" s="101"/>
      <c r="AZ1802" s="101"/>
      <c r="BA1802" s="101"/>
      <c r="BB1802" s="100"/>
      <c r="BC1802" s="100"/>
      <c r="BD1802" s="100"/>
      <c r="BE1802" s="100"/>
      <c r="BF1802" s="100"/>
      <c r="BG1802" s="100"/>
      <c r="BH1802" s="100"/>
      <c r="BI1802" s="100"/>
      <c r="BJ1802" s="100"/>
      <c r="BK1802" s="102"/>
    </row>
    <row r="1803" spans="1:63" x14ac:dyDescent="0.25">
      <c r="A1803" s="92"/>
      <c r="B1803" s="93"/>
      <c r="C1803" s="93"/>
      <c r="D1803" s="92"/>
      <c r="E1803" s="92"/>
      <c r="F1803" s="92"/>
      <c r="G1803" s="92"/>
      <c r="H1803" s="92"/>
      <c r="I1803" s="92"/>
      <c r="J1803" s="92"/>
      <c r="K1803" s="92"/>
      <c r="L1803" s="92"/>
      <c r="M1803" s="92"/>
      <c r="N1803" s="94"/>
      <c r="AG1803" s="100"/>
      <c r="AH1803" s="101"/>
      <c r="AI1803" s="101"/>
      <c r="AJ1803" s="100"/>
      <c r="AK1803" s="100"/>
      <c r="AL1803" s="100"/>
      <c r="AM1803" s="100"/>
      <c r="AN1803" s="100"/>
      <c r="AO1803" s="100"/>
      <c r="AP1803" s="100"/>
      <c r="AQ1803" s="100"/>
      <c r="AR1803" s="100"/>
      <c r="AS1803" s="100"/>
      <c r="AT1803" s="102"/>
      <c r="AX1803" s="100"/>
      <c r="AY1803" s="101"/>
      <c r="AZ1803" s="101"/>
      <c r="BA1803" s="100"/>
      <c r="BB1803" s="100"/>
      <c r="BC1803" s="100"/>
      <c r="BD1803" s="100"/>
      <c r="BE1803" s="100"/>
      <c r="BF1803" s="100"/>
      <c r="BG1803" s="100"/>
      <c r="BH1803" s="100"/>
      <c r="BI1803" s="100"/>
      <c r="BJ1803" s="100"/>
      <c r="BK1803" s="102"/>
    </row>
    <row r="1804" spans="1:63" x14ac:dyDescent="0.25">
      <c r="A1804" s="92"/>
      <c r="B1804" s="93"/>
      <c r="C1804" s="93"/>
      <c r="D1804" s="92"/>
      <c r="E1804" s="92"/>
      <c r="F1804" s="92"/>
      <c r="G1804" s="92"/>
      <c r="H1804" s="92"/>
      <c r="I1804" s="92"/>
      <c r="J1804" s="92"/>
      <c r="K1804" s="92"/>
      <c r="L1804" s="92"/>
      <c r="M1804" s="92"/>
      <c r="N1804" s="94"/>
      <c r="AG1804" s="100"/>
      <c r="AH1804" s="101"/>
      <c r="AI1804" s="101"/>
      <c r="AJ1804" s="100"/>
      <c r="AK1804" s="100"/>
      <c r="AL1804" s="100"/>
      <c r="AM1804" s="100"/>
      <c r="AN1804" s="100"/>
      <c r="AO1804" s="100"/>
      <c r="AP1804" s="100"/>
      <c r="AQ1804" s="100"/>
      <c r="AR1804" s="100"/>
      <c r="AS1804" s="100"/>
      <c r="AT1804" s="102"/>
      <c r="AX1804" s="100"/>
      <c r="AY1804" s="101"/>
      <c r="AZ1804" s="101"/>
      <c r="BA1804" s="101"/>
      <c r="BB1804" s="100"/>
      <c r="BC1804" s="100"/>
      <c r="BD1804" s="100"/>
      <c r="BE1804" s="100"/>
      <c r="BF1804" s="100"/>
      <c r="BG1804" s="100"/>
      <c r="BH1804" s="100"/>
      <c r="BI1804" s="100"/>
      <c r="BJ1804" s="100"/>
      <c r="BK1804" s="102"/>
    </row>
    <row r="1805" spans="1:63" x14ac:dyDescent="0.25">
      <c r="A1805" s="92"/>
      <c r="B1805" s="92"/>
      <c r="C1805" s="92"/>
      <c r="D1805" s="92"/>
      <c r="E1805" s="92"/>
      <c r="F1805" s="92"/>
      <c r="G1805" s="92"/>
      <c r="H1805" s="92"/>
      <c r="I1805" s="92"/>
      <c r="J1805" s="92"/>
      <c r="K1805" s="92"/>
      <c r="L1805" s="92"/>
      <c r="M1805" s="92"/>
      <c r="N1805" s="92"/>
      <c r="AG1805" s="100"/>
      <c r="AH1805" s="101"/>
      <c r="AI1805" s="101"/>
      <c r="AJ1805" s="100"/>
      <c r="AK1805" s="100"/>
      <c r="AL1805" s="100"/>
      <c r="AM1805" s="100"/>
      <c r="AN1805" s="100"/>
      <c r="AO1805" s="100"/>
      <c r="AP1805" s="100"/>
      <c r="AQ1805" s="100"/>
      <c r="AR1805" s="100"/>
      <c r="AS1805" s="100"/>
      <c r="AT1805" s="102"/>
      <c r="AX1805" s="100"/>
      <c r="AY1805" s="101"/>
      <c r="AZ1805" s="101"/>
      <c r="BA1805" s="100"/>
      <c r="BB1805" s="100"/>
      <c r="BC1805" s="100"/>
      <c r="BD1805" s="100"/>
      <c r="BE1805" s="100"/>
      <c r="BF1805" s="100"/>
      <c r="BG1805" s="100"/>
      <c r="BH1805" s="100"/>
      <c r="BI1805" s="100"/>
      <c r="BJ1805" s="100"/>
      <c r="BK1805" s="102"/>
    </row>
    <row r="1806" spans="1:63" x14ac:dyDescent="0.25">
      <c r="A1806" s="92"/>
      <c r="B1806" s="92"/>
      <c r="C1806" s="92"/>
      <c r="D1806" s="92"/>
      <c r="E1806" s="92"/>
      <c r="F1806" s="92"/>
      <c r="G1806" s="92"/>
      <c r="H1806" s="92"/>
      <c r="I1806" s="92"/>
      <c r="J1806" s="92"/>
      <c r="K1806" s="92"/>
      <c r="L1806" s="92"/>
      <c r="M1806" s="92"/>
      <c r="N1806" s="92"/>
      <c r="AG1806" s="100"/>
      <c r="AH1806" s="101"/>
      <c r="AI1806" s="101"/>
      <c r="AJ1806" s="101"/>
      <c r="AK1806" s="100"/>
      <c r="AL1806" s="100"/>
      <c r="AM1806" s="100"/>
      <c r="AN1806" s="100"/>
      <c r="AO1806" s="100"/>
      <c r="AP1806" s="100"/>
      <c r="AQ1806" s="100"/>
      <c r="AR1806" s="100"/>
      <c r="AS1806" s="100"/>
      <c r="AT1806" s="102"/>
      <c r="AX1806" s="100"/>
      <c r="AY1806" s="101"/>
      <c r="AZ1806" s="101"/>
      <c r="BA1806" s="100"/>
      <c r="BB1806" s="100"/>
      <c r="BC1806" s="100"/>
      <c r="BD1806" s="100"/>
      <c r="BE1806" s="100"/>
      <c r="BF1806" s="100"/>
      <c r="BG1806" s="100"/>
      <c r="BH1806" s="100"/>
      <c r="BI1806" s="100"/>
      <c r="BJ1806" s="100"/>
      <c r="BK1806" s="102"/>
    </row>
    <row r="1807" spans="1:63" x14ac:dyDescent="0.25">
      <c r="A1807" s="92"/>
      <c r="B1807" s="93"/>
      <c r="C1807" s="93"/>
      <c r="D1807" s="92"/>
      <c r="E1807" s="92"/>
      <c r="F1807" s="92"/>
      <c r="G1807" s="92"/>
      <c r="H1807" s="92"/>
      <c r="I1807" s="92"/>
      <c r="J1807" s="92"/>
      <c r="K1807" s="92"/>
      <c r="L1807" s="92"/>
      <c r="M1807" s="92"/>
      <c r="N1807" s="94"/>
      <c r="AG1807" s="100"/>
      <c r="AH1807" s="101"/>
      <c r="AI1807" s="101"/>
      <c r="AJ1807" s="100"/>
      <c r="AK1807" s="100"/>
      <c r="AL1807" s="100"/>
      <c r="AM1807" s="100"/>
      <c r="AN1807" s="100"/>
      <c r="AO1807" s="100"/>
      <c r="AP1807" s="100"/>
      <c r="AQ1807" s="100"/>
      <c r="AR1807" s="100"/>
      <c r="AS1807" s="100"/>
      <c r="AT1807" s="102"/>
      <c r="AX1807" s="100"/>
      <c r="AY1807" s="101"/>
      <c r="AZ1807" s="101"/>
      <c r="BA1807" s="100"/>
      <c r="BB1807" s="100"/>
      <c r="BC1807" s="100"/>
      <c r="BD1807" s="100"/>
      <c r="BE1807" s="100"/>
      <c r="BF1807" s="100"/>
      <c r="BG1807" s="100"/>
      <c r="BH1807" s="100"/>
      <c r="BI1807" s="100"/>
      <c r="BJ1807" s="100"/>
      <c r="BK1807" s="102"/>
    </row>
    <row r="1808" spans="1:63" x14ac:dyDescent="0.25">
      <c r="A1808" s="92"/>
      <c r="B1808" s="93"/>
      <c r="C1808" s="93"/>
      <c r="D1808" s="92"/>
      <c r="E1808" s="92"/>
      <c r="F1808" s="92"/>
      <c r="G1808" s="92"/>
      <c r="H1808" s="92"/>
      <c r="I1808" s="92"/>
      <c r="J1808" s="92"/>
      <c r="K1808" s="92"/>
      <c r="L1808" s="92"/>
      <c r="M1808" s="92"/>
      <c r="N1808" s="94"/>
      <c r="AG1808" s="100"/>
      <c r="AH1808" s="101"/>
      <c r="AI1808" s="101"/>
      <c r="AJ1808" s="100"/>
      <c r="AK1808" s="100"/>
      <c r="AL1808" s="100"/>
      <c r="AM1808" s="100"/>
      <c r="AN1808" s="100"/>
      <c r="AO1808" s="100"/>
      <c r="AP1808" s="100"/>
      <c r="AQ1808" s="100"/>
      <c r="AR1808" s="100"/>
      <c r="AS1808" s="100"/>
      <c r="AT1808" s="102"/>
      <c r="AX1808" s="100"/>
      <c r="AY1808" s="101"/>
      <c r="AZ1808" s="101"/>
      <c r="BA1808" s="100"/>
      <c r="BB1808" s="100"/>
      <c r="BC1808" s="100"/>
      <c r="BD1808" s="100"/>
      <c r="BE1808" s="100"/>
      <c r="BF1808" s="100"/>
      <c r="BG1808" s="100"/>
      <c r="BH1808" s="100"/>
      <c r="BI1808" s="100"/>
      <c r="BJ1808" s="100"/>
      <c r="BK1808" s="102"/>
    </row>
    <row r="1809" spans="1:63" x14ac:dyDescent="0.25">
      <c r="A1809" s="92"/>
      <c r="B1809" s="92"/>
      <c r="C1809" s="92"/>
      <c r="D1809" s="92"/>
      <c r="E1809" s="92"/>
      <c r="F1809" s="92"/>
      <c r="G1809" s="92"/>
      <c r="H1809" s="92"/>
      <c r="I1809" s="92"/>
      <c r="J1809" s="92"/>
      <c r="K1809" s="92"/>
      <c r="L1809" s="92"/>
      <c r="M1809" s="92"/>
      <c r="N1809" s="92"/>
      <c r="AG1809" s="100"/>
      <c r="AH1809" s="101"/>
      <c r="AI1809" s="101"/>
      <c r="AJ1809" s="101"/>
      <c r="AK1809" s="100"/>
      <c r="AL1809" s="100"/>
      <c r="AM1809" s="100"/>
      <c r="AN1809" s="100"/>
      <c r="AO1809" s="100"/>
      <c r="AP1809" s="100"/>
      <c r="AQ1809" s="100"/>
      <c r="AR1809" s="100"/>
      <c r="AS1809" s="100"/>
      <c r="AT1809" s="102"/>
      <c r="AX1809" s="100"/>
      <c r="AY1809" s="101"/>
      <c r="AZ1809" s="101"/>
      <c r="BA1809" s="100"/>
      <c r="BB1809" s="100"/>
      <c r="BC1809" s="100"/>
      <c r="BD1809" s="100"/>
      <c r="BE1809" s="100"/>
      <c r="BF1809" s="100"/>
      <c r="BG1809" s="100"/>
      <c r="BH1809" s="100"/>
      <c r="BI1809" s="100"/>
      <c r="BJ1809" s="100"/>
      <c r="BK1809" s="102"/>
    </row>
    <row r="1810" spans="1:63" x14ac:dyDescent="0.25">
      <c r="A1810" s="92"/>
      <c r="B1810" s="92"/>
      <c r="C1810" s="92"/>
      <c r="D1810" s="92"/>
      <c r="E1810" s="92"/>
      <c r="F1810" s="92"/>
      <c r="G1810" s="92"/>
      <c r="H1810" s="92"/>
      <c r="I1810" s="92"/>
      <c r="J1810" s="92"/>
      <c r="K1810" s="92"/>
      <c r="L1810" s="92"/>
      <c r="M1810" s="92"/>
      <c r="N1810" s="92"/>
      <c r="AG1810" s="100"/>
      <c r="AH1810" s="101"/>
      <c r="AI1810" s="101"/>
      <c r="AJ1810" s="101"/>
      <c r="AK1810" s="100"/>
      <c r="AL1810" s="100"/>
      <c r="AM1810" s="100"/>
      <c r="AN1810" s="100"/>
      <c r="AO1810" s="100"/>
      <c r="AP1810" s="100"/>
      <c r="AQ1810" s="100"/>
      <c r="AR1810" s="100"/>
      <c r="AS1810" s="100"/>
      <c r="AT1810" s="102"/>
      <c r="AX1810" s="100"/>
      <c r="AY1810" s="101"/>
      <c r="AZ1810" s="101"/>
      <c r="BA1810" s="100"/>
      <c r="BB1810" s="100"/>
      <c r="BC1810" s="100"/>
      <c r="BD1810" s="100"/>
      <c r="BE1810" s="100"/>
      <c r="BF1810" s="100"/>
      <c r="BG1810" s="100"/>
      <c r="BH1810" s="100"/>
      <c r="BI1810" s="100"/>
      <c r="BJ1810" s="100"/>
      <c r="BK1810" s="102"/>
    </row>
    <row r="1811" spans="1:63" x14ac:dyDescent="0.25">
      <c r="A1811" s="92"/>
      <c r="B1811" s="92"/>
      <c r="C1811" s="92"/>
      <c r="D1811" s="92"/>
      <c r="E1811" s="92"/>
      <c r="F1811" s="92"/>
      <c r="G1811" s="92"/>
      <c r="H1811" s="92"/>
      <c r="I1811" s="92"/>
      <c r="J1811" s="92"/>
      <c r="K1811" s="92"/>
      <c r="L1811" s="92"/>
      <c r="M1811" s="92"/>
      <c r="N1811" s="92"/>
      <c r="AG1811" s="100"/>
      <c r="AH1811" s="101"/>
      <c r="AI1811" s="101"/>
      <c r="AJ1811" s="100"/>
      <c r="AK1811" s="100"/>
      <c r="AL1811" s="100"/>
      <c r="AM1811" s="100"/>
      <c r="AN1811" s="100"/>
      <c r="AO1811" s="100"/>
      <c r="AP1811" s="100"/>
      <c r="AQ1811" s="100"/>
      <c r="AR1811" s="100"/>
      <c r="AS1811" s="100"/>
      <c r="AT1811" s="102"/>
      <c r="AX1811" s="100"/>
      <c r="AY1811" s="101"/>
      <c r="AZ1811" s="101"/>
      <c r="BA1811" s="101"/>
      <c r="BB1811" s="100"/>
      <c r="BC1811" s="100"/>
      <c r="BD1811" s="100"/>
      <c r="BE1811" s="100"/>
      <c r="BF1811" s="100"/>
      <c r="BG1811" s="100"/>
      <c r="BH1811" s="100"/>
      <c r="BI1811" s="100"/>
      <c r="BJ1811" s="100"/>
      <c r="BK1811" s="102"/>
    </row>
    <row r="1812" spans="1:63" x14ac:dyDescent="0.25">
      <c r="A1812" s="92"/>
      <c r="B1812" s="92"/>
      <c r="C1812" s="92"/>
      <c r="D1812" s="92"/>
      <c r="E1812" s="92"/>
      <c r="F1812" s="92"/>
      <c r="G1812" s="92"/>
      <c r="H1812" s="92"/>
      <c r="I1812" s="92"/>
      <c r="J1812" s="92"/>
      <c r="K1812" s="92"/>
      <c r="L1812" s="92"/>
      <c r="M1812" s="92"/>
      <c r="N1812" s="92"/>
      <c r="AG1812" s="100"/>
      <c r="AH1812" s="101"/>
      <c r="AI1812" s="101"/>
      <c r="AJ1812" s="101"/>
      <c r="AK1812" s="100"/>
      <c r="AL1812" s="100"/>
      <c r="AM1812" s="100"/>
      <c r="AN1812" s="100"/>
      <c r="AO1812" s="100"/>
      <c r="AP1812" s="100"/>
      <c r="AQ1812" s="100"/>
      <c r="AR1812" s="100"/>
      <c r="AS1812" s="100"/>
      <c r="AT1812" s="102"/>
      <c r="AX1812" s="100"/>
      <c r="AY1812" s="101"/>
      <c r="AZ1812" s="101"/>
      <c r="BA1812" s="101"/>
      <c r="BB1812" s="100"/>
      <c r="BC1812" s="100"/>
      <c r="BD1812" s="100"/>
      <c r="BE1812" s="100"/>
      <c r="BF1812" s="100"/>
      <c r="BG1812" s="100"/>
      <c r="BH1812" s="100"/>
      <c r="BI1812" s="100"/>
      <c r="BJ1812" s="100"/>
      <c r="BK1812" s="102"/>
    </row>
    <row r="1813" spans="1:63" x14ac:dyDescent="0.25">
      <c r="A1813" s="92"/>
      <c r="B1813" s="92"/>
      <c r="C1813" s="92"/>
      <c r="D1813" s="92"/>
      <c r="E1813" s="92"/>
      <c r="F1813" s="92"/>
      <c r="G1813" s="92"/>
      <c r="H1813" s="92"/>
      <c r="I1813" s="92"/>
      <c r="J1813" s="92"/>
      <c r="K1813" s="92"/>
      <c r="L1813" s="92"/>
      <c r="M1813" s="92"/>
      <c r="N1813" s="92"/>
      <c r="AG1813" s="100"/>
      <c r="AH1813" s="101"/>
      <c r="AI1813" s="101"/>
      <c r="AJ1813" s="101"/>
      <c r="AK1813" s="100"/>
      <c r="AL1813" s="100"/>
      <c r="AM1813" s="100"/>
      <c r="AN1813" s="100"/>
      <c r="AO1813" s="100"/>
      <c r="AP1813" s="100"/>
      <c r="AQ1813" s="100"/>
      <c r="AR1813" s="100"/>
      <c r="AS1813" s="100"/>
      <c r="AT1813" s="102"/>
      <c r="AX1813" s="100"/>
      <c r="AY1813" s="101"/>
      <c r="AZ1813" s="101"/>
      <c r="BA1813" s="100"/>
      <c r="BB1813" s="100"/>
      <c r="BC1813" s="100"/>
      <c r="BD1813" s="100"/>
      <c r="BE1813" s="100"/>
      <c r="BF1813" s="100"/>
      <c r="BG1813" s="100"/>
      <c r="BH1813" s="100"/>
      <c r="BI1813" s="100"/>
      <c r="BJ1813" s="100"/>
      <c r="BK1813" s="102"/>
    </row>
    <row r="1814" spans="1:63" x14ac:dyDescent="0.25">
      <c r="A1814" s="92"/>
      <c r="B1814" s="93"/>
      <c r="C1814" s="93"/>
      <c r="D1814" s="92"/>
      <c r="E1814" s="92"/>
      <c r="F1814" s="92"/>
      <c r="G1814" s="92"/>
      <c r="H1814" s="92"/>
      <c r="I1814" s="92"/>
      <c r="J1814" s="92"/>
      <c r="K1814" s="92"/>
      <c r="L1814" s="92"/>
      <c r="M1814" s="92"/>
      <c r="N1814" s="94"/>
      <c r="AG1814" s="100"/>
      <c r="AH1814" s="101"/>
      <c r="AI1814" s="101"/>
      <c r="AJ1814" s="100"/>
      <c r="AK1814" s="100"/>
      <c r="AL1814" s="100"/>
      <c r="AM1814" s="100"/>
      <c r="AN1814" s="100"/>
      <c r="AO1814" s="100"/>
      <c r="AP1814" s="100"/>
      <c r="AQ1814" s="100"/>
      <c r="AR1814" s="100"/>
      <c r="AS1814" s="100"/>
      <c r="AT1814" s="102"/>
      <c r="AX1814" s="100"/>
      <c r="AY1814" s="101"/>
      <c r="AZ1814" s="101"/>
      <c r="BA1814" s="100"/>
      <c r="BB1814" s="100"/>
      <c r="BC1814" s="100"/>
      <c r="BD1814" s="100"/>
      <c r="BE1814" s="100"/>
      <c r="BF1814" s="100"/>
      <c r="BG1814" s="100"/>
      <c r="BH1814" s="100"/>
      <c r="BI1814" s="100"/>
      <c r="BJ1814" s="100"/>
      <c r="BK1814" s="102"/>
    </row>
    <row r="1815" spans="1:63" x14ac:dyDescent="0.25">
      <c r="A1815" s="92"/>
      <c r="B1815" s="92"/>
      <c r="C1815" s="92"/>
      <c r="D1815" s="92"/>
      <c r="E1815" s="92"/>
      <c r="F1815" s="92"/>
      <c r="G1815" s="92"/>
      <c r="H1815" s="92"/>
      <c r="I1815" s="92"/>
      <c r="J1815" s="92"/>
      <c r="K1815" s="92"/>
      <c r="L1815" s="92"/>
      <c r="M1815" s="92"/>
      <c r="N1815" s="92"/>
      <c r="AG1815" s="100"/>
      <c r="AH1815" s="101"/>
      <c r="AI1815" s="101"/>
      <c r="AJ1815" s="101"/>
      <c r="AK1815" s="100"/>
      <c r="AL1815" s="100"/>
      <c r="AM1815" s="100"/>
      <c r="AN1815" s="100"/>
      <c r="AO1815" s="100"/>
      <c r="AP1815" s="100"/>
      <c r="AQ1815" s="100"/>
      <c r="AR1815" s="100"/>
      <c r="AS1815" s="100"/>
      <c r="AT1815" s="102"/>
      <c r="AX1815" s="100"/>
      <c r="AY1815" s="101"/>
      <c r="AZ1815" s="101"/>
      <c r="BA1815" s="101"/>
      <c r="BB1815" s="100"/>
      <c r="BC1815" s="100"/>
      <c r="BD1815" s="100"/>
      <c r="BE1815" s="100"/>
      <c r="BF1815" s="100"/>
      <c r="BG1815" s="100"/>
      <c r="BH1815" s="100"/>
      <c r="BI1815" s="100"/>
      <c r="BJ1815" s="100"/>
      <c r="BK1815" s="102"/>
    </row>
    <row r="1816" spans="1:63" x14ac:dyDescent="0.25">
      <c r="A1816" s="92"/>
      <c r="B1816" s="93"/>
      <c r="C1816" s="93"/>
      <c r="D1816" s="93"/>
      <c r="E1816" s="92"/>
      <c r="F1816" s="92"/>
      <c r="G1816" s="92"/>
      <c r="H1816" s="92"/>
      <c r="I1816" s="92"/>
      <c r="J1816" s="92"/>
      <c r="K1816" s="92"/>
      <c r="L1816" s="92"/>
      <c r="M1816" s="92"/>
      <c r="N1816" s="94"/>
      <c r="AG1816" s="100"/>
      <c r="AH1816" s="101"/>
      <c r="AI1816" s="101"/>
      <c r="AJ1816" s="101"/>
      <c r="AK1816" s="100"/>
      <c r="AL1816" s="100"/>
      <c r="AM1816" s="100"/>
      <c r="AN1816" s="100"/>
      <c r="AO1816" s="100"/>
      <c r="AP1816" s="100"/>
      <c r="AQ1816" s="100"/>
      <c r="AR1816" s="100"/>
      <c r="AS1816" s="100"/>
      <c r="AT1816" s="102"/>
      <c r="AX1816" s="100"/>
      <c r="AY1816" s="101"/>
      <c r="AZ1816" s="101"/>
      <c r="BA1816" s="101"/>
      <c r="BB1816" s="100"/>
      <c r="BC1816" s="100"/>
      <c r="BD1816" s="100"/>
      <c r="BE1816" s="100"/>
      <c r="BF1816" s="100"/>
      <c r="BG1816" s="100"/>
      <c r="BH1816" s="100"/>
      <c r="BI1816" s="100"/>
      <c r="BJ1816" s="100"/>
      <c r="BK1816" s="102"/>
    </row>
    <row r="1817" spans="1:63" x14ac:dyDescent="0.25">
      <c r="A1817" s="92"/>
      <c r="B1817" s="92"/>
      <c r="C1817" s="92"/>
      <c r="D1817" s="92"/>
      <c r="E1817" s="92"/>
      <c r="F1817" s="92"/>
      <c r="G1817" s="92"/>
      <c r="H1817" s="92"/>
      <c r="I1817" s="92"/>
      <c r="J1817" s="92"/>
      <c r="K1817" s="92"/>
      <c r="L1817" s="92"/>
      <c r="M1817" s="92"/>
      <c r="N1817" s="92"/>
      <c r="AG1817" s="100"/>
      <c r="AH1817" s="101"/>
      <c r="AI1817" s="101"/>
      <c r="AJ1817" s="100"/>
      <c r="AK1817" s="100"/>
      <c r="AL1817" s="100"/>
      <c r="AM1817" s="100"/>
      <c r="AN1817" s="100"/>
      <c r="AO1817" s="100"/>
      <c r="AP1817" s="100"/>
      <c r="AQ1817" s="100"/>
      <c r="AR1817" s="100"/>
      <c r="AS1817" s="100"/>
      <c r="AT1817" s="102"/>
      <c r="AX1817" s="100"/>
      <c r="AY1817" s="101"/>
      <c r="AZ1817" s="101"/>
      <c r="BA1817" s="100"/>
      <c r="BB1817" s="100"/>
      <c r="BC1817" s="100"/>
      <c r="BD1817" s="100"/>
      <c r="BE1817" s="100"/>
      <c r="BF1817" s="100"/>
      <c r="BG1817" s="100"/>
      <c r="BH1817" s="100"/>
      <c r="BI1817" s="100"/>
      <c r="BJ1817" s="100"/>
      <c r="BK1817" s="102"/>
    </row>
    <row r="1818" spans="1:63" x14ac:dyDescent="0.25">
      <c r="A1818" s="92"/>
      <c r="B1818" s="92"/>
      <c r="C1818" s="92"/>
      <c r="D1818" s="92"/>
      <c r="E1818" s="92"/>
      <c r="F1818" s="92"/>
      <c r="G1818" s="92"/>
      <c r="H1818" s="92"/>
      <c r="I1818" s="92"/>
      <c r="J1818" s="92"/>
      <c r="K1818" s="92"/>
      <c r="L1818" s="92"/>
      <c r="M1818" s="92"/>
      <c r="N1818" s="92"/>
      <c r="AG1818" s="100"/>
      <c r="AH1818" s="101"/>
      <c r="AI1818" s="101"/>
      <c r="AJ1818" s="101"/>
      <c r="AK1818" s="100"/>
      <c r="AL1818" s="100"/>
      <c r="AM1818" s="100"/>
      <c r="AN1818" s="100"/>
      <c r="AO1818" s="100"/>
      <c r="AP1818" s="100"/>
      <c r="AQ1818" s="100"/>
      <c r="AR1818" s="100"/>
      <c r="AS1818" s="100"/>
      <c r="AT1818" s="102"/>
      <c r="AX1818" s="100"/>
      <c r="AY1818" s="101"/>
      <c r="AZ1818" s="101"/>
      <c r="BA1818" s="101"/>
      <c r="BB1818" s="100"/>
      <c r="BC1818" s="100"/>
      <c r="BD1818" s="100"/>
      <c r="BE1818" s="100"/>
      <c r="BF1818" s="100"/>
      <c r="BG1818" s="100"/>
      <c r="BH1818" s="100"/>
      <c r="BI1818" s="100"/>
      <c r="BJ1818" s="100"/>
      <c r="BK1818" s="102"/>
    </row>
    <row r="1819" spans="1:63" x14ac:dyDescent="0.25">
      <c r="A1819" s="92"/>
      <c r="B1819" s="93"/>
      <c r="C1819" s="93"/>
      <c r="D1819" s="92"/>
      <c r="E1819" s="92"/>
      <c r="F1819" s="92"/>
      <c r="G1819" s="92"/>
      <c r="H1819" s="92"/>
      <c r="I1819" s="92"/>
      <c r="J1819" s="92"/>
      <c r="K1819" s="92"/>
      <c r="L1819" s="92"/>
      <c r="M1819" s="92"/>
      <c r="N1819" s="94"/>
      <c r="AG1819" s="100"/>
      <c r="AH1819" s="101"/>
      <c r="AI1819" s="101"/>
      <c r="AJ1819" s="100"/>
      <c r="AK1819" s="100"/>
      <c r="AL1819" s="100"/>
      <c r="AM1819" s="100"/>
      <c r="AN1819" s="100"/>
      <c r="AO1819" s="100"/>
      <c r="AP1819" s="100"/>
      <c r="AQ1819" s="100"/>
      <c r="AR1819" s="100"/>
      <c r="AS1819" s="100"/>
      <c r="AT1819" s="102"/>
      <c r="AX1819" s="100"/>
      <c r="AY1819" s="101"/>
      <c r="AZ1819" s="101"/>
      <c r="BA1819" s="100"/>
      <c r="BB1819" s="100"/>
      <c r="BC1819" s="100"/>
      <c r="BD1819" s="100"/>
      <c r="BE1819" s="100"/>
      <c r="BF1819" s="100"/>
      <c r="BG1819" s="100"/>
      <c r="BH1819" s="100"/>
      <c r="BI1819" s="100"/>
      <c r="BJ1819" s="100"/>
      <c r="BK1819" s="102"/>
    </row>
    <row r="1820" spans="1:63" x14ac:dyDescent="0.25">
      <c r="A1820" s="92"/>
      <c r="B1820" s="92"/>
      <c r="C1820" s="92"/>
      <c r="D1820" s="92"/>
      <c r="E1820" s="92"/>
      <c r="F1820" s="92"/>
      <c r="G1820" s="92"/>
      <c r="H1820" s="92"/>
      <c r="I1820" s="92"/>
      <c r="J1820" s="92"/>
      <c r="K1820" s="92"/>
      <c r="L1820" s="92"/>
      <c r="M1820" s="92"/>
      <c r="N1820" s="92"/>
      <c r="AG1820" s="100"/>
      <c r="AH1820" s="101"/>
      <c r="AI1820" s="101"/>
      <c r="AJ1820" s="100"/>
      <c r="AK1820" s="100"/>
      <c r="AL1820" s="100"/>
      <c r="AM1820" s="100"/>
      <c r="AN1820" s="100"/>
      <c r="AO1820" s="100"/>
      <c r="AP1820" s="100"/>
      <c r="AQ1820" s="100"/>
      <c r="AR1820" s="100"/>
      <c r="AS1820" s="100"/>
      <c r="AT1820" s="102"/>
      <c r="AX1820" s="100"/>
      <c r="AY1820" s="101"/>
      <c r="AZ1820" s="101"/>
      <c r="BA1820" s="100"/>
      <c r="BB1820" s="100"/>
      <c r="BC1820" s="100"/>
      <c r="BD1820" s="100"/>
      <c r="BE1820" s="100"/>
      <c r="BF1820" s="100"/>
      <c r="BG1820" s="100"/>
      <c r="BH1820" s="100"/>
      <c r="BI1820" s="100"/>
      <c r="BJ1820" s="100"/>
      <c r="BK1820" s="102"/>
    </row>
    <row r="1821" spans="1:63" x14ac:dyDescent="0.25">
      <c r="A1821" s="92"/>
      <c r="B1821" s="93"/>
      <c r="C1821" s="93"/>
      <c r="D1821" s="93"/>
      <c r="E1821" s="92"/>
      <c r="F1821" s="92"/>
      <c r="G1821" s="92"/>
      <c r="H1821" s="92"/>
      <c r="I1821" s="92"/>
      <c r="J1821" s="92"/>
      <c r="K1821" s="92"/>
      <c r="L1821" s="92"/>
      <c r="M1821" s="92"/>
      <c r="N1821" s="94"/>
      <c r="AG1821" s="100"/>
      <c r="AH1821" s="101"/>
      <c r="AI1821" s="101"/>
      <c r="AJ1821" s="100"/>
      <c r="AK1821" s="100"/>
      <c r="AL1821" s="100"/>
      <c r="AM1821" s="100"/>
      <c r="AN1821" s="100"/>
      <c r="AO1821" s="100"/>
      <c r="AP1821" s="100"/>
      <c r="AQ1821" s="100"/>
      <c r="AR1821" s="100"/>
      <c r="AS1821" s="100"/>
      <c r="AT1821" s="102"/>
      <c r="AX1821" s="100"/>
      <c r="AY1821" s="101"/>
      <c r="AZ1821" s="101"/>
      <c r="BA1821" s="101"/>
      <c r="BB1821" s="100"/>
      <c r="BC1821" s="100"/>
      <c r="BD1821" s="100"/>
      <c r="BE1821" s="100"/>
      <c r="BF1821" s="100"/>
      <c r="BG1821" s="100"/>
      <c r="BH1821" s="100"/>
      <c r="BI1821" s="100"/>
      <c r="BJ1821" s="100"/>
      <c r="BK1821" s="102"/>
    </row>
    <row r="1822" spans="1:63" x14ac:dyDescent="0.25">
      <c r="A1822" s="92"/>
      <c r="B1822" s="92"/>
      <c r="C1822" s="92"/>
      <c r="D1822" s="92"/>
      <c r="E1822" s="92"/>
      <c r="F1822" s="92"/>
      <c r="G1822" s="92"/>
      <c r="H1822" s="92"/>
      <c r="I1822" s="92"/>
      <c r="J1822" s="92"/>
      <c r="K1822" s="92"/>
      <c r="L1822" s="92"/>
      <c r="M1822" s="92"/>
      <c r="N1822" s="92"/>
      <c r="AG1822" s="100"/>
      <c r="AH1822" s="101"/>
      <c r="AI1822" s="101"/>
      <c r="AJ1822" s="100"/>
      <c r="AK1822" s="100"/>
      <c r="AL1822" s="100"/>
      <c r="AM1822" s="100"/>
      <c r="AN1822" s="100"/>
      <c r="AO1822" s="100"/>
      <c r="AP1822" s="100"/>
      <c r="AQ1822" s="100"/>
      <c r="AR1822" s="100"/>
      <c r="AS1822" s="100"/>
      <c r="AT1822" s="102"/>
      <c r="AX1822" s="100"/>
      <c r="AY1822" s="101"/>
      <c r="AZ1822" s="101"/>
      <c r="BA1822" s="101"/>
      <c r="BB1822" s="100"/>
      <c r="BC1822" s="100"/>
      <c r="BD1822" s="100"/>
      <c r="BE1822" s="100"/>
      <c r="BF1822" s="100"/>
      <c r="BG1822" s="100"/>
      <c r="BH1822" s="100"/>
      <c r="BI1822" s="100"/>
      <c r="BJ1822" s="100"/>
      <c r="BK1822" s="102"/>
    </row>
    <row r="1823" spans="1:63" x14ac:dyDescent="0.25">
      <c r="A1823" s="92"/>
      <c r="B1823" s="92"/>
      <c r="C1823" s="92"/>
      <c r="D1823" s="92"/>
      <c r="E1823" s="92"/>
      <c r="F1823" s="92"/>
      <c r="G1823" s="92"/>
      <c r="H1823" s="92"/>
      <c r="I1823" s="92"/>
      <c r="J1823" s="92"/>
      <c r="K1823" s="92"/>
      <c r="L1823" s="92"/>
      <c r="M1823" s="92"/>
      <c r="N1823" s="92"/>
      <c r="AG1823" s="100"/>
      <c r="AH1823" s="101"/>
      <c r="AI1823" s="101"/>
      <c r="AJ1823" s="101"/>
      <c r="AK1823" s="100"/>
      <c r="AL1823" s="100"/>
      <c r="AM1823" s="100"/>
      <c r="AN1823" s="100"/>
      <c r="AO1823" s="100"/>
      <c r="AP1823" s="100"/>
      <c r="AQ1823" s="100"/>
      <c r="AR1823" s="100"/>
      <c r="AS1823" s="100"/>
      <c r="AT1823" s="102"/>
      <c r="AX1823" s="100"/>
      <c r="AY1823" s="101"/>
      <c r="AZ1823" s="101"/>
      <c r="BA1823" s="100"/>
      <c r="BB1823" s="100"/>
      <c r="BC1823" s="100"/>
      <c r="BD1823" s="100"/>
      <c r="BE1823" s="100"/>
      <c r="BF1823" s="100"/>
      <c r="BG1823" s="100"/>
      <c r="BH1823" s="100"/>
      <c r="BI1823" s="100"/>
      <c r="BJ1823" s="100"/>
      <c r="BK1823" s="102"/>
    </row>
    <row r="1824" spans="1:63" x14ac:dyDescent="0.25">
      <c r="A1824" s="92"/>
      <c r="B1824" s="92"/>
      <c r="C1824" s="92"/>
      <c r="D1824" s="92"/>
      <c r="E1824" s="92"/>
      <c r="F1824" s="92"/>
      <c r="G1824" s="92"/>
      <c r="H1824" s="92"/>
      <c r="I1824" s="92"/>
      <c r="J1824" s="92"/>
      <c r="K1824" s="92"/>
      <c r="L1824" s="92"/>
      <c r="M1824" s="92"/>
      <c r="N1824" s="92"/>
      <c r="AG1824" s="100"/>
      <c r="AH1824" s="101"/>
      <c r="AI1824" s="101"/>
      <c r="AJ1824" s="101"/>
      <c r="AK1824" s="100"/>
      <c r="AL1824" s="100"/>
      <c r="AM1824" s="100"/>
      <c r="AN1824" s="100"/>
      <c r="AO1824" s="100"/>
      <c r="AP1824" s="100"/>
      <c r="AQ1824" s="100"/>
      <c r="AR1824" s="100"/>
      <c r="AS1824" s="100"/>
      <c r="AT1824" s="102"/>
      <c r="AX1824" s="100"/>
      <c r="AY1824" s="101"/>
      <c r="AZ1824" s="101"/>
      <c r="BA1824" s="100"/>
      <c r="BB1824" s="100"/>
      <c r="BC1824" s="100"/>
      <c r="BD1824" s="100"/>
      <c r="BE1824" s="100"/>
      <c r="BF1824" s="100"/>
      <c r="BG1824" s="100"/>
      <c r="BH1824" s="100"/>
      <c r="BI1824" s="100"/>
      <c r="BJ1824" s="100"/>
      <c r="BK1824" s="102"/>
    </row>
    <row r="1825" spans="1:63" x14ac:dyDescent="0.25">
      <c r="A1825" s="92"/>
      <c r="B1825" s="93"/>
      <c r="C1825" s="93"/>
      <c r="D1825" s="92"/>
      <c r="E1825" s="92"/>
      <c r="F1825" s="92"/>
      <c r="G1825" s="92"/>
      <c r="H1825" s="92"/>
      <c r="I1825" s="92"/>
      <c r="J1825" s="92"/>
      <c r="K1825" s="92"/>
      <c r="L1825" s="92"/>
      <c r="M1825" s="92"/>
      <c r="N1825" s="94"/>
      <c r="AG1825" s="100"/>
      <c r="AH1825" s="101"/>
      <c r="AI1825" s="101"/>
      <c r="AJ1825" s="100"/>
      <c r="AK1825" s="100"/>
      <c r="AL1825" s="100"/>
      <c r="AM1825" s="100"/>
      <c r="AN1825" s="100"/>
      <c r="AO1825" s="100"/>
      <c r="AP1825" s="100"/>
      <c r="AQ1825" s="100"/>
      <c r="AR1825" s="100"/>
      <c r="AS1825" s="100"/>
      <c r="AT1825" s="102"/>
      <c r="AX1825" s="100"/>
      <c r="AY1825" s="101"/>
      <c r="AZ1825" s="101"/>
      <c r="BA1825" s="100"/>
      <c r="BB1825" s="100"/>
      <c r="BC1825" s="100"/>
      <c r="BD1825" s="100"/>
      <c r="BE1825" s="100"/>
      <c r="BF1825" s="100"/>
      <c r="BG1825" s="100"/>
      <c r="BH1825" s="100"/>
      <c r="BI1825" s="100"/>
      <c r="BJ1825" s="100"/>
      <c r="BK1825" s="102"/>
    </row>
    <row r="1826" spans="1:63" x14ac:dyDescent="0.25">
      <c r="A1826" s="92"/>
      <c r="B1826" s="92"/>
      <c r="C1826" s="92"/>
      <c r="D1826" s="92"/>
      <c r="E1826" s="92"/>
      <c r="F1826" s="92"/>
      <c r="G1826" s="92"/>
      <c r="H1826" s="92"/>
      <c r="I1826" s="92"/>
      <c r="J1826" s="92"/>
      <c r="K1826" s="92"/>
      <c r="L1826" s="92"/>
      <c r="M1826" s="92"/>
      <c r="N1826" s="92"/>
      <c r="AG1826" s="100"/>
      <c r="AH1826" s="101"/>
      <c r="AI1826" s="101"/>
      <c r="AJ1826" s="100"/>
      <c r="AK1826" s="100"/>
      <c r="AL1826" s="100"/>
      <c r="AM1826" s="100"/>
      <c r="AN1826" s="100"/>
      <c r="AO1826" s="100"/>
      <c r="AP1826" s="100"/>
      <c r="AQ1826" s="100"/>
      <c r="AR1826" s="100"/>
      <c r="AS1826" s="100"/>
      <c r="AT1826" s="102"/>
      <c r="AX1826" s="100"/>
      <c r="AY1826" s="101"/>
      <c r="AZ1826" s="101"/>
      <c r="BA1826" s="101"/>
      <c r="BB1826" s="100"/>
      <c r="BC1826" s="100"/>
      <c r="BD1826" s="100"/>
      <c r="BE1826" s="100"/>
      <c r="BF1826" s="100"/>
      <c r="BG1826" s="100"/>
      <c r="BH1826" s="100"/>
      <c r="BI1826" s="100"/>
      <c r="BJ1826" s="100"/>
      <c r="BK1826" s="102"/>
    </row>
    <row r="1827" spans="1:63" x14ac:dyDescent="0.25">
      <c r="A1827" s="92"/>
      <c r="B1827" s="93"/>
      <c r="C1827" s="93"/>
      <c r="D1827" s="93"/>
      <c r="E1827" s="92"/>
      <c r="F1827" s="92"/>
      <c r="G1827" s="92"/>
      <c r="H1827" s="92"/>
      <c r="I1827" s="92"/>
      <c r="J1827" s="92"/>
      <c r="K1827" s="92"/>
      <c r="L1827" s="92"/>
      <c r="M1827" s="92"/>
      <c r="N1827" s="94"/>
      <c r="AG1827" s="100"/>
      <c r="AH1827" s="101"/>
      <c r="AI1827" s="101"/>
      <c r="AJ1827" s="101"/>
      <c r="AK1827" s="100"/>
      <c r="AL1827" s="100"/>
      <c r="AM1827" s="100"/>
      <c r="AN1827" s="100"/>
      <c r="AO1827" s="100"/>
      <c r="AP1827" s="100"/>
      <c r="AQ1827" s="100"/>
      <c r="AR1827" s="100"/>
      <c r="AS1827" s="100"/>
      <c r="AT1827" s="102"/>
      <c r="AX1827" s="100"/>
      <c r="AY1827" s="101"/>
      <c r="AZ1827" s="101"/>
      <c r="BA1827" s="100"/>
      <c r="BB1827" s="100"/>
      <c r="BC1827" s="100"/>
      <c r="BD1827" s="100"/>
      <c r="BE1827" s="100"/>
      <c r="BF1827" s="100"/>
      <c r="BG1827" s="100"/>
      <c r="BH1827" s="100"/>
      <c r="BI1827" s="100"/>
      <c r="BJ1827" s="100"/>
      <c r="BK1827" s="102"/>
    </row>
    <row r="1828" spans="1:63" x14ac:dyDescent="0.25">
      <c r="A1828" s="92"/>
      <c r="B1828" s="93"/>
      <c r="C1828" s="93"/>
      <c r="D1828" s="93"/>
      <c r="E1828" s="92"/>
      <c r="F1828" s="92"/>
      <c r="G1828" s="92"/>
      <c r="H1828" s="92"/>
      <c r="I1828" s="92"/>
      <c r="J1828" s="92"/>
      <c r="K1828" s="92"/>
      <c r="L1828" s="92"/>
      <c r="M1828" s="92"/>
      <c r="N1828" s="94"/>
      <c r="AG1828" s="100"/>
      <c r="AH1828" s="101"/>
      <c r="AI1828" s="101"/>
      <c r="AJ1828" s="101"/>
      <c r="AK1828" s="100"/>
      <c r="AL1828" s="100"/>
      <c r="AM1828" s="100"/>
      <c r="AN1828" s="100"/>
      <c r="AO1828" s="100"/>
      <c r="AP1828" s="100"/>
      <c r="AQ1828" s="100"/>
      <c r="AR1828" s="100"/>
      <c r="AS1828" s="100"/>
      <c r="AT1828" s="102"/>
      <c r="AX1828" s="100"/>
      <c r="AY1828" s="101"/>
      <c r="AZ1828" s="101"/>
      <c r="BA1828" s="100"/>
      <c r="BB1828" s="100"/>
      <c r="BC1828" s="100"/>
      <c r="BD1828" s="100"/>
      <c r="BE1828" s="100"/>
      <c r="BF1828" s="100"/>
      <c r="BG1828" s="100"/>
      <c r="BH1828" s="100"/>
      <c r="BI1828" s="100"/>
      <c r="BJ1828" s="100"/>
      <c r="BK1828" s="102"/>
    </row>
    <row r="1829" spans="1:63" x14ac:dyDescent="0.25">
      <c r="A1829" s="92"/>
      <c r="B1829" s="93"/>
      <c r="C1829" s="93"/>
      <c r="D1829" s="92"/>
      <c r="E1829" s="92"/>
      <c r="F1829" s="92"/>
      <c r="G1829" s="92"/>
      <c r="H1829" s="92"/>
      <c r="I1829" s="92"/>
      <c r="J1829" s="92"/>
      <c r="K1829" s="92"/>
      <c r="L1829" s="92"/>
      <c r="M1829" s="92"/>
      <c r="N1829" s="94"/>
      <c r="AG1829" s="100"/>
      <c r="AH1829" s="101"/>
      <c r="AI1829" s="101"/>
      <c r="AJ1829" s="100"/>
      <c r="AK1829" s="100"/>
      <c r="AL1829" s="100"/>
      <c r="AM1829" s="100"/>
      <c r="AN1829" s="100"/>
      <c r="AO1829" s="100"/>
      <c r="AP1829" s="100"/>
      <c r="AQ1829" s="100"/>
      <c r="AR1829" s="100"/>
      <c r="AS1829" s="100"/>
      <c r="AT1829" s="102"/>
      <c r="AX1829" s="100"/>
      <c r="AY1829" s="101"/>
      <c r="AZ1829" s="101"/>
      <c r="BA1829" s="101"/>
      <c r="BB1829" s="100"/>
      <c r="BC1829" s="100"/>
      <c r="BD1829" s="100"/>
      <c r="BE1829" s="100"/>
      <c r="BF1829" s="100"/>
      <c r="BG1829" s="100"/>
      <c r="BH1829" s="100"/>
      <c r="BI1829" s="100"/>
      <c r="BJ1829" s="100"/>
      <c r="BK1829" s="102"/>
    </row>
    <row r="1830" spans="1:63" x14ac:dyDescent="0.25">
      <c r="A1830" s="92"/>
      <c r="B1830" s="93"/>
      <c r="C1830" s="93"/>
      <c r="D1830" s="92"/>
      <c r="E1830" s="92"/>
      <c r="F1830" s="92"/>
      <c r="G1830" s="92"/>
      <c r="H1830" s="92"/>
      <c r="I1830" s="92"/>
      <c r="J1830" s="92"/>
      <c r="K1830" s="92"/>
      <c r="L1830" s="92"/>
      <c r="M1830" s="92"/>
      <c r="N1830" s="94"/>
      <c r="AG1830" s="100"/>
      <c r="AH1830" s="101"/>
      <c r="AI1830" s="101"/>
      <c r="AJ1830" s="100"/>
      <c r="AK1830" s="100"/>
      <c r="AL1830" s="100"/>
      <c r="AM1830" s="100"/>
      <c r="AN1830" s="100"/>
      <c r="AO1830" s="100"/>
      <c r="AP1830" s="100"/>
      <c r="AQ1830" s="100"/>
      <c r="AR1830" s="100"/>
      <c r="AS1830" s="100"/>
      <c r="AT1830" s="102"/>
      <c r="AX1830" s="100"/>
      <c r="AY1830" s="101"/>
      <c r="AZ1830" s="101"/>
      <c r="BA1830" s="101"/>
      <c r="BB1830" s="100"/>
      <c r="BC1830" s="100"/>
      <c r="BD1830" s="100"/>
      <c r="BE1830" s="100"/>
      <c r="BF1830" s="100"/>
      <c r="BG1830" s="100"/>
      <c r="BH1830" s="100"/>
      <c r="BI1830" s="100"/>
      <c r="BJ1830" s="100"/>
      <c r="BK1830" s="102"/>
    </row>
    <row r="1831" spans="1:63" x14ac:dyDescent="0.25">
      <c r="A1831" s="92"/>
      <c r="B1831" s="93"/>
      <c r="C1831" s="93"/>
      <c r="D1831" s="92"/>
      <c r="E1831" s="92"/>
      <c r="F1831" s="92"/>
      <c r="G1831" s="92"/>
      <c r="H1831" s="92"/>
      <c r="I1831" s="92"/>
      <c r="J1831" s="92"/>
      <c r="K1831" s="92"/>
      <c r="L1831" s="92"/>
      <c r="M1831" s="92"/>
      <c r="N1831" s="94"/>
      <c r="AG1831" s="100"/>
      <c r="AH1831" s="101"/>
      <c r="AI1831" s="101"/>
      <c r="AJ1831" s="100"/>
      <c r="AK1831" s="100"/>
      <c r="AL1831" s="100"/>
      <c r="AM1831" s="100"/>
      <c r="AN1831" s="100"/>
      <c r="AO1831" s="100"/>
      <c r="AP1831" s="100"/>
      <c r="AQ1831" s="100"/>
      <c r="AR1831" s="100"/>
      <c r="AS1831" s="100"/>
      <c r="AT1831" s="102"/>
      <c r="AX1831" s="100"/>
      <c r="AY1831" s="101"/>
      <c r="AZ1831" s="101"/>
      <c r="BA1831" s="100"/>
      <c r="BB1831" s="100"/>
      <c r="BC1831" s="100"/>
      <c r="BD1831" s="100"/>
      <c r="BE1831" s="100"/>
      <c r="BF1831" s="100"/>
      <c r="BG1831" s="100"/>
      <c r="BH1831" s="100"/>
      <c r="BI1831" s="100"/>
      <c r="BJ1831" s="100"/>
      <c r="BK1831" s="102"/>
    </row>
    <row r="1832" spans="1:63" x14ac:dyDescent="0.25">
      <c r="A1832" s="92"/>
      <c r="B1832" s="93"/>
      <c r="C1832" s="93"/>
      <c r="D1832" s="92"/>
      <c r="E1832" s="92"/>
      <c r="F1832" s="92"/>
      <c r="G1832" s="92"/>
      <c r="H1832" s="92"/>
      <c r="I1832" s="92"/>
      <c r="J1832" s="92"/>
      <c r="K1832" s="92"/>
      <c r="L1832" s="92"/>
      <c r="M1832" s="92"/>
      <c r="N1832" s="94"/>
      <c r="AG1832" s="100"/>
      <c r="AH1832" s="101"/>
      <c r="AI1832" s="101"/>
      <c r="AJ1832" s="100"/>
      <c r="AK1832" s="100"/>
      <c r="AL1832" s="100"/>
      <c r="AM1832" s="100"/>
      <c r="AN1832" s="100"/>
      <c r="AO1832" s="100"/>
      <c r="AP1832" s="100"/>
      <c r="AQ1832" s="100"/>
      <c r="AR1832" s="100"/>
      <c r="AS1832" s="100"/>
      <c r="AT1832" s="102"/>
      <c r="AX1832" s="100"/>
      <c r="AY1832" s="101"/>
      <c r="AZ1832" s="101"/>
      <c r="BA1832" s="101"/>
      <c r="BB1832" s="100"/>
      <c r="BC1832" s="100"/>
      <c r="BD1832" s="100"/>
      <c r="BE1832" s="100"/>
      <c r="BF1832" s="100"/>
      <c r="BG1832" s="100"/>
      <c r="BH1832" s="100"/>
      <c r="BI1832" s="100"/>
      <c r="BJ1832" s="100"/>
      <c r="BK1832" s="102"/>
    </row>
    <row r="1833" spans="1:63" x14ac:dyDescent="0.25">
      <c r="A1833" s="92"/>
      <c r="B1833" s="93"/>
      <c r="C1833" s="93"/>
      <c r="D1833" s="92"/>
      <c r="E1833" s="92"/>
      <c r="F1833" s="92"/>
      <c r="G1833" s="92"/>
      <c r="H1833" s="92"/>
      <c r="I1833" s="92"/>
      <c r="J1833" s="92"/>
      <c r="K1833" s="92"/>
      <c r="L1833" s="92"/>
      <c r="M1833" s="92"/>
      <c r="N1833" s="94"/>
      <c r="AG1833" s="100"/>
      <c r="AH1833" s="101"/>
      <c r="AI1833" s="101"/>
      <c r="AJ1833" s="100"/>
      <c r="AK1833" s="100"/>
      <c r="AL1833" s="100"/>
      <c r="AM1833" s="100"/>
      <c r="AN1833" s="100"/>
      <c r="AO1833" s="100"/>
      <c r="AP1833" s="100"/>
      <c r="AQ1833" s="100"/>
      <c r="AR1833" s="100"/>
      <c r="AS1833" s="100"/>
      <c r="AT1833" s="102"/>
      <c r="AX1833" s="100"/>
      <c r="AY1833" s="101"/>
      <c r="AZ1833" s="101"/>
      <c r="BA1833" s="101"/>
      <c r="BB1833" s="100"/>
      <c r="BC1833" s="100"/>
      <c r="BD1833" s="100"/>
      <c r="BE1833" s="100"/>
      <c r="BF1833" s="100"/>
      <c r="BG1833" s="100"/>
      <c r="BH1833" s="100"/>
      <c r="BI1833" s="100"/>
      <c r="BJ1833" s="100"/>
      <c r="BK1833" s="102"/>
    </row>
    <row r="1834" spans="1:63" x14ac:dyDescent="0.25">
      <c r="A1834" s="92"/>
      <c r="B1834" s="93"/>
      <c r="C1834" s="93"/>
      <c r="D1834" s="92"/>
      <c r="E1834" s="92"/>
      <c r="F1834" s="92"/>
      <c r="G1834" s="92"/>
      <c r="H1834" s="92"/>
      <c r="I1834" s="92"/>
      <c r="J1834" s="92"/>
      <c r="K1834" s="92"/>
      <c r="L1834" s="92"/>
      <c r="M1834" s="92"/>
      <c r="N1834" s="94"/>
      <c r="AG1834" s="100"/>
      <c r="AH1834" s="101"/>
      <c r="AI1834" s="101"/>
      <c r="AJ1834" s="101"/>
      <c r="AK1834" s="100"/>
      <c r="AL1834" s="100"/>
      <c r="AM1834" s="100"/>
      <c r="AN1834" s="100"/>
      <c r="AO1834" s="100"/>
      <c r="AP1834" s="100"/>
      <c r="AQ1834" s="100"/>
      <c r="AR1834" s="100"/>
      <c r="AS1834" s="100"/>
      <c r="AT1834" s="102"/>
      <c r="AX1834" s="100"/>
      <c r="AY1834" s="101"/>
      <c r="AZ1834" s="101"/>
      <c r="BA1834" s="100"/>
      <c r="BB1834" s="100"/>
      <c r="BC1834" s="100"/>
      <c r="BD1834" s="100"/>
      <c r="BE1834" s="100"/>
      <c r="BF1834" s="100"/>
      <c r="BG1834" s="100"/>
      <c r="BH1834" s="100"/>
      <c r="BI1834" s="100"/>
      <c r="BJ1834" s="100"/>
      <c r="BK1834" s="102"/>
    </row>
    <row r="1835" spans="1:63" x14ac:dyDescent="0.25">
      <c r="A1835" s="92"/>
      <c r="B1835" s="93"/>
      <c r="C1835" s="93"/>
      <c r="D1835" s="92"/>
      <c r="E1835" s="92"/>
      <c r="F1835" s="92"/>
      <c r="G1835" s="92"/>
      <c r="H1835" s="92"/>
      <c r="I1835" s="92"/>
      <c r="J1835" s="92"/>
      <c r="K1835" s="92"/>
      <c r="L1835" s="92"/>
      <c r="M1835" s="92"/>
      <c r="N1835" s="94"/>
      <c r="AG1835" s="100"/>
      <c r="AH1835" s="101"/>
      <c r="AI1835" s="101"/>
      <c r="AJ1835" s="101"/>
      <c r="AK1835" s="100"/>
      <c r="AL1835" s="100"/>
      <c r="AM1835" s="100"/>
      <c r="AN1835" s="100"/>
      <c r="AO1835" s="100"/>
      <c r="AP1835" s="100"/>
      <c r="AQ1835" s="100"/>
      <c r="AR1835" s="100"/>
      <c r="AS1835" s="100"/>
      <c r="AT1835" s="102"/>
      <c r="AX1835" s="100"/>
      <c r="AY1835" s="101"/>
      <c r="AZ1835" s="101"/>
      <c r="BA1835" s="101"/>
      <c r="BB1835" s="100"/>
      <c r="BC1835" s="100"/>
      <c r="BD1835" s="100"/>
      <c r="BE1835" s="100"/>
      <c r="BF1835" s="100"/>
      <c r="BG1835" s="100"/>
      <c r="BH1835" s="100"/>
      <c r="BI1835" s="100"/>
      <c r="BJ1835" s="100"/>
      <c r="BK1835" s="102"/>
    </row>
    <row r="1836" spans="1:63" x14ac:dyDescent="0.25">
      <c r="A1836" s="92"/>
      <c r="B1836" s="93"/>
      <c r="C1836" s="93"/>
      <c r="D1836" s="93"/>
      <c r="E1836" s="92"/>
      <c r="F1836" s="92"/>
      <c r="G1836" s="92"/>
      <c r="H1836" s="92"/>
      <c r="I1836" s="92"/>
      <c r="J1836" s="92"/>
      <c r="K1836" s="92"/>
      <c r="L1836" s="92"/>
      <c r="M1836" s="92"/>
      <c r="N1836" s="94"/>
      <c r="AG1836" s="100"/>
      <c r="AH1836" s="101"/>
      <c r="AI1836" s="101"/>
      <c r="AJ1836" s="101"/>
      <c r="AK1836" s="100"/>
      <c r="AL1836" s="100"/>
      <c r="AM1836" s="100"/>
      <c r="AN1836" s="100"/>
      <c r="AO1836" s="100"/>
      <c r="AP1836" s="100"/>
      <c r="AQ1836" s="100"/>
      <c r="AR1836" s="100"/>
      <c r="AS1836" s="100"/>
      <c r="AT1836" s="102"/>
      <c r="AX1836" s="100"/>
      <c r="AY1836" s="101"/>
      <c r="AZ1836" s="101"/>
      <c r="BA1836" s="101"/>
      <c r="BB1836" s="100"/>
      <c r="BC1836" s="100"/>
      <c r="BD1836" s="100"/>
      <c r="BE1836" s="100"/>
      <c r="BF1836" s="100"/>
      <c r="BG1836" s="100"/>
      <c r="BH1836" s="100"/>
      <c r="BI1836" s="100"/>
      <c r="BJ1836" s="100"/>
      <c r="BK1836" s="102"/>
    </row>
    <row r="1837" spans="1:63" x14ac:dyDescent="0.25">
      <c r="A1837" s="92"/>
      <c r="B1837" s="92"/>
      <c r="C1837" s="92"/>
      <c r="D1837" s="92"/>
      <c r="E1837" s="92"/>
      <c r="F1837" s="92"/>
      <c r="G1837" s="92"/>
      <c r="H1837" s="92"/>
      <c r="I1837" s="92"/>
      <c r="J1837" s="92"/>
      <c r="K1837" s="92"/>
      <c r="L1837" s="92"/>
      <c r="M1837" s="92"/>
      <c r="N1837" s="92"/>
      <c r="AG1837" s="100"/>
      <c r="AH1837" s="101"/>
      <c r="AI1837" s="101"/>
      <c r="AJ1837" s="100"/>
      <c r="AK1837" s="100"/>
      <c r="AL1837" s="100"/>
      <c r="AM1837" s="100"/>
      <c r="AN1837" s="100"/>
      <c r="AO1837" s="100"/>
      <c r="AP1837" s="100"/>
      <c r="AQ1837" s="100"/>
      <c r="AR1837" s="100"/>
      <c r="AS1837" s="100"/>
      <c r="AT1837" s="102"/>
      <c r="AX1837" s="100"/>
      <c r="AY1837" s="101"/>
      <c r="AZ1837" s="101"/>
      <c r="BA1837" s="100"/>
      <c r="BB1837" s="100"/>
      <c r="BC1837" s="100"/>
      <c r="BD1837" s="100"/>
      <c r="BE1837" s="100"/>
      <c r="BF1837" s="100"/>
      <c r="BG1837" s="100"/>
      <c r="BH1837" s="100"/>
      <c r="BI1837" s="100"/>
      <c r="BJ1837" s="100"/>
      <c r="BK1837" s="102"/>
    </row>
    <row r="1838" spans="1:63" x14ac:dyDescent="0.25">
      <c r="A1838" s="92"/>
      <c r="B1838" s="93"/>
      <c r="C1838" s="93"/>
      <c r="D1838" s="92"/>
      <c r="E1838" s="92"/>
      <c r="F1838" s="92"/>
      <c r="G1838" s="92"/>
      <c r="H1838" s="92"/>
      <c r="I1838" s="92"/>
      <c r="J1838" s="92"/>
      <c r="K1838" s="92"/>
      <c r="L1838" s="92"/>
      <c r="M1838" s="92"/>
      <c r="N1838" s="94"/>
      <c r="AG1838" s="100"/>
      <c r="AH1838" s="101"/>
      <c r="AI1838" s="101"/>
      <c r="AJ1838" s="100"/>
      <c r="AK1838" s="100"/>
      <c r="AL1838" s="100"/>
      <c r="AM1838" s="100"/>
      <c r="AN1838" s="100"/>
      <c r="AO1838" s="100"/>
      <c r="AP1838" s="100"/>
      <c r="AQ1838" s="100"/>
      <c r="AR1838" s="100"/>
      <c r="AS1838" s="100"/>
      <c r="AT1838" s="102"/>
      <c r="AX1838" s="100"/>
      <c r="AY1838" s="101"/>
      <c r="AZ1838" s="101"/>
      <c r="BA1838" s="101"/>
      <c r="BB1838" s="100"/>
      <c r="BC1838" s="100"/>
      <c r="BD1838" s="100"/>
      <c r="BE1838" s="100"/>
      <c r="BF1838" s="100"/>
      <c r="BG1838" s="100"/>
      <c r="BH1838" s="100"/>
      <c r="BI1838" s="100"/>
      <c r="BJ1838" s="100"/>
      <c r="BK1838" s="102"/>
    </row>
    <row r="1839" spans="1:63" x14ac:dyDescent="0.25">
      <c r="A1839" s="92"/>
      <c r="B1839" s="93"/>
      <c r="C1839" s="93"/>
      <c r="D1839" s="92"/>
      <c r="E1839" s="92"/>
      <c r="F1839" s="92"/>
      <c r="G1839" s="92"/>
      <c r="H1839" s="92"/>
      <c r="I1839" s="92"/>
      <c r="J1839" s="92"/>
      <c r="K1839" s="92"/>
      <c r="L1839" s="92"/>
      <c r="M1839" s="92"/>
      <c r="N1839" s="94"/>
      <c r="AG1839" s="100"/>
      <c r="AH1839" s="101"/>
      <c r="AI1839" s="101"/>
      <c r="AJ1839" s="100"/>
      <c r="AK1839" s="100"/>
      <c r="AL1839" s="100"/>
      <c r="AM1839" s="100"/>
      <c r="AN1839" s="100"/>
      <c r="AO1839" s="100"/>
      <c r="AP1839" s="100"/>
      <c r="AQ1839" s="100"/>
      <c r="AR1839" s="100"/>
      <c r="AS1839" s="100"/>
      <c r="AT1839" s="102"/>
      <c r="AX1839" s="100"/>
      <c r="AY1839" s="101"/>
      <c r="AZ1839" s="101"/>
      <c r="BA1839" s="100"/>
      <c r="BB1839" s="100"/>
      <c r="BC1839" s="100"/>
      <c r="BD1839" s="100"/>
      <c r="BE1839" s="100"/>
      <c r="BF1839" s="100"/>
      <c r="BG1839" s="100"/>
      <c r="BH1839" s="100"/>
      <c r="BI1839" s="100"/>
      <c r="BJ1839" s="100"/>
      <c r="BK1839" s="102"/>
    </row>
    <row r="1840" spans="1:63" x14ac:dyDescent="0.25">
      <c r="A1840" s="92"/>
      <c r="B1840" s="93"/>
      <c r="C1840" s="93"/>
      <c r="D1840" s="92"/>
      <c r="E1840" s="92"/>
      <c r="F1840" s="92"/>
      <c r="G1840" s="92"/>
      <c r="H1840" s="92"/>
      <c r="I1840" s="92"/>
      <c r="J1840" s="92"/>
      <c r="K1840" s="92"/>
      <c r="L1840" s="92"/>
      <c r="M1840" s="92"/>
      <c r="N1840" s="94"/>
      <c r="AG1840" s="100"/>
      <c r="AH1840" s="101"/>
      <c r="AI1840" s="101"/>
      <c r="AJ1840" s="100"/>
      <c r="AK1840" s="100"/>
      <c r="AL1840" s="100"/>
      <c r="AM1840" s="100"/>
      <c r="AN1840" s="100"/>
      <c r="AO1840" s="100"/>
      <c r="AP1840" s="100"/>
      <c r="AQ1840" s="100"/>
      <c r="AR1840" s="100"/>
      <c r="AS1840" s="100"/>
      <c r="AT1840" s="102"/>
      <c r="AX1840" s="100"/>
      <c r="AY1840" s="101"/>
      <c r="AZ1840" s="101"/>
      <c r="BA1840" s="100"/>
      <c r="BB1840" s="100"/>
      <c r="BC1840" s="100"/>
      <c r="BD1840" s="100"/>
      <c r="BE1840" s="100"/>
      <c r="BF1840" s="100"/>
      <c r="BG1840" s="100"/>
      <c r="BH1840" s="100"/>
      <c r="BI1840" s="100"/>
      <c r="BJ1840" s="100"/>
      <c r="BK1840" s="102"/>
    </row>
    <row r="1841" spans="1:63" x14ac:dyDescent="0.25">
      <c r="A1841" s="92"/>
      <c r="B1841" s="93"/>
      <c r="C1841" s="93"/>
      <c r="D1841" s="92"/>
      <c r="E1841" s="92"/>
      <c r="F1841" s="92"/>
      <c r="G1841" s="92"/>
      <c r="H1841" s="92"/>
      <c r="I1841" s="92"/>
      <c r="J1841" s="92"/>
      <c r="K1841" s="92"/>
      <c r="L1841" s="92"/>
      <c r="M1841" s="92"/>
      <c r="N1841" s="94"/>
      <c r="AG1841" s="100"/>
      <c r="AH1841" s="101"/>
      <c r="AI1841" s="101"/>
      <c r="AJ1841" s="100"/>
      <c r="AK1841" s="100"/>
      <c r="AL1841" s="100"/>
      <c r="AM1841" s="100"/>
      <c r="AN1841" s="100"/>
      <c r="AO1841" s="100"/>
      <c r="AP1841" s="100"/>
      <c r="AQ1841" s="100"/>
      <c r="AR1841" s="100"/>
      <c r="AS1841" s="100"/>
      <c r="AT1841" s="102"/>
      <c r="AX1841" s="100"/>
      <c r="AY1841" s="101"/>
      <c r="AZ1841" s="101"/>
      <c r="BA1841" s="100"/>
      <c r="BB1841" s="100"/>
      <c r="BC1841" s="100"/>
      <c r="BD1841" s="100"/>
      <c r="BE1841" s="100"/>
      <c r="BF1841" s="100"/>
      <c r="BG1841" s="100"/>
      <c r="BH1841" s="100"/>
      <c r="BI1841" s="100"/>
      <c r="BJ1841" s="100"/>
      <c r="BK1841" s="102"/>
    </row>
    <row r="1842" spans="1:63" x14ac:dyDescent="0.25">
      <c r="A1842" s="92"/>
      <c r="B1842" s="93"/>
      <c r="C1842" s="93"/>
      <c r="D1842" s="93"/>
      <c r="E1842" s="92"/>
      <c r="F1842" s="92"/>
      <c r="G1842" s="92"/>
      <c r="H1842" s="92"/>
      <c r="I1842" s="92"/>
      <c r="J1842" s="92"/>
      <c r="K1842" s="92"/>
      <c r="L1842" s="92"/>
      <c r="M1842" s="92"/>
      <c r="N1842" s="94"/>
      <c r="AG1842" s="100"/>
      <c r="AH1842" s="101"/>
      <c r="AI1842" s="101"/>
      <c r="AJ1842" s="100"/>
      <c r="AK1842" s="100"/>
      <c r="AL1842" s="100"/>
      <c r="AM1842" s="100"/>
      <c r="AN1842" s="100"/>
      <c r="AO1842" s="100"/>
      <c r="AP1842" s="100"/>
      <c r="AQ1842" s="100"/>
      <c r="AR1842" s="100"/>
      <c r="AS1842" s="100"/>
      <c r="AT1842" s="102"/>
      <c r="AX1842" s="100"/>
      <c r="AY1842" s="101"/>
      <c r="AZ1842" s="101"/>
      <c r="BA1842" s="100"/>
      <c r="BB1842" s="100"/>
      <c r="BC1842" s="100"/>
      <c r="BD1842" s="100"/>
      <c r="BE1842" s="100"/>
      <c r="BF1842" s="100"/>
      <c r="BG1842" s="100"/>
      <c r="BH1842" s="100"/>
      <c r="BI1842" s="100"/>
      <c r="BJ1842" s="100"/>
      <c r="BK1842" s="102"/>
    </row>
    <row r="1843" spans="1:63" x14ac:dyDescent="0.25">
      <c r="A1843" s="92"/>
      <c r="B1843" s="92"/>
      <c r="C1843" s="92"/>
      <c r="D1843" s="92"/>
      <c r="E1843" s="92"/>
      <c r="F1843" s="92"/>
      <c r="G1843" s="92"/>
      <c r="H1843" s="92"/>
      <c r="I1843" s="92"/>
      <c r="J1843" s="92"/>
      <c r="K1843" s="92"/>
      <c r="L1843" s="92"/>
      <c r="M1843" s="92"/>
      <c r="N1843" s="92"/>
      <c r="AG1843" s="100"/>
      <c r="AH1843" s="101"/>
      <c r="AI1843" s="101"/>
      <c r="AJ1843" s="100"/>
      <c r="AK1843" s="100"/>
      <c r="AL1843" s="100"/>
      <c r="AM1843" s="100"/>
      <c r="AN1843" s="100"/>
      <c r="AO1843" s="100"/>
      <c r="AP1843" s="100"/>
      <c r="AQ1843" s="100"/>
      <c r="AR1843" s="100"/>
      <c r="AS1843" s="100"/>
      <c r="AT1843" s="102"/>
      <c r="AX1843" s="100"/>
      <c r="AY1843" s="101"/>
      <c r="AZ1843" s="101"/>
      <c r="BA1843" s="101"/>
      <c r="BB1843" s="100"/>
      <c r="BC1843" s="100"/>
      <c r="BD1843" s="100"/>
      <c r="BE1843" s="100"/>
      <c r="BF1843" s="100"/>
      <c r="BG1843" s="100"/>
      <c r="BH1843" s="100"/>
      <c r="BI1843" s="100"/>
      <c r="BJ1843" s="100"/>
      <c r="BK1843" s="102"/>
    </row>
    <row r="1844" spans="1:63" x14ac:dyDescent="0.25">
      <c r="A1844" s="92"/>
      <c r="B1844" s="93"/>
      <c r="C1844" s="93"/>
      <c r="D1844" s="92"/>
      <c r="E1844" s="92"/>
      <c r="F1844" s="92"/>
      <c r="G1844" s="92"/>
      <c r="H1844" s="92"/>
      <c r="I1844" s="92"/>
      <c r="J1844" s="92"/>
      <c r="K1844" s="92"/>
      <c r="L1844" s="92"/>
      <c r="M1844" s="92"/>
      <c r="N1844" s="94"/>
      <c r="AG1844" s="100"/>
      <c r="AH1844" s="101"/>
      <c r="AI1844" s="101"/>
      <c r="AJ1844" s="100"/>
      <c r="AK1844" s="100"/>
      <c r="AL1844" s="100"/>
      <c r="AM1844" s="100"/>
      <c r="AN1844" s="100"/>
      <c r="AO1844" s="100"/>
      <c r="AP1844" s="100"/>
      <c r="AQ1844" s="100"/>
      <c r="AR1844" s="100"/>
      <c r="AS1844" s="100"/>
      <c r="AT1844" s="102"/>
      <c r="AX1844" s="100"/>
      <c r="AY1844" s="101"/>
      <c r="AZ1844" s="101"/>
      <c r="BA1844" s="101"/>
      <c r="BB1844" s="100"/>
      <c r="BC1844" s="100"/>
      <c r="BD1844" s="100"/>
      <c r="BE1844" s="100"/>
      <c r="BF1844" s="100"/>
      <c r="BG1844" s="100"/>
      <c r="BH1844" s="100"/>
      <c r="BI1844" s="100"/>
      <c r="BJ1844" s="100"/>
      <c r="BK1844" s="102"/>
    </row>
    <row r="1845" spans="1:63" x14ac:dyDescent="0.25">
      <c r="A1845" s="92"/>
      <c r="B1845" s="92"/>
      <c r="C1845" s="92"/>
      <c r="D1845" s="92"/>
      <c r="E1845" s="92"/>
      <c r="F1845" s="92"/>
      <c r="G1845" s="92"/>
      <c r="H1845" s="92"/>
      <c r="I1845" s="92"/>
      <c r="J1845" s="92"/>
      <c r="K1845" s="92"/>
      <c r="L1845" s="92"/>
      <c r="M1845" s="92"/>
      <c r="N1845" s="92"/>
      <c r="AG1845" s="100"/>
      <c r="AH1845" s="101"/>
      <c r="AI1845" s="101"/>
      <c r="AJ1845" s="100"/>
      <c r="AK1845" s="100"/>
      <c r="AL1845" s="100"/>
      <c r="AM1845" s="100"/>
      <c r="AN1845" s="100"/>
      <c r="AO1845" s="100"/>
      <c r="AP1845" s="100"/>
      <c r="AQ1845" s="100"/>
      <c r="AR1845" s="100"/>
      <c r="AS1845" s="100"/>
      <c r="AT1845" s="102"/>
      <c r="AX1845" s="100"/>
      <c r="AY1845" s="101"/>
      <c r="AZ1845" s="101"/>
      <c r="BA1845" s="100"/>
      <c r="BB1845" s="100"/>
      <c r="BC1845" s="100"/>
      <c r="BD1845" s="100"/>
      <c r="BE1845" s="100"/>
      <c r="BF1845" s="100"/>
      <c r="BG1845" s="100"/>
      <c r="BH1845" s="100"/>
      <c r="BI1845" s="100"/>
      <c r="BJ1845" s="100"/>
      <c r="BK1845" s="102"/>
    </row>
    <row r="1846" spans="1:63" x14ac:dyDescent="0.25">
      <c r="A1846" s="92"/>
      <c r="B1846" s="92"/>
      <c r="C1846" s="92"/>
      <c r="D1846" s="92"/>
      <c r="E1846" s="92"/>
      <c r="F1846" s="92"/>
      <c r="G1846" s="92"/>
      <c r="H1846" s="92"/>
      <c r="I1846" s="92"/>
      <c r="J1846" s="92"/>
      <c r="K1846" s="92"/>
      <c r="L1846" s="92"/>
      <c r="M1846" s="92"/>
      <c r="N1846" s="92"/>
      <c r="AG1846" s="100"/>
      <c r="AH1846" s="101"/>
      <c r="AI1846" s="101"/>
      <c r="AJ1846" s="100"/>
      <c r="AK1846" s="100"/>
      <c r="AL1846" s="100"/>
      <c r="AM1846" s="100"/>
      <c r="AN1846" s="100"/>
      <c r="AO1846" s="100"/>
      <c r="AP1846" s="100"/>
      <c r="AQ1846" s="100"/>
      <c r="AR1846" s="100"/>
      <c r="AS1846" s="100"/>
      <c r="AT1846" s="102"/>
      <c r="AX1846" s="100"/>
      <c r="AY1846" s="101"/>
      <c r="AZ1846" s="101"/>
      <c r="BA1846" s="100"/>
      <c r="BB1846" s="100"/>
      <c r="BC1846" s="100"/>
      <c r="BD1846" s="100"/>
      <c r="BE1846" s="100"/>
      <c r="BF1846" s="100"/>
      <c r="BG1846" s="100"/>
      <c r="BH1846" s="100"/>
      <c r="BI1846" s="100"/>
      <c r="BJ1846" s="100"/>
      <c r="BK1846" s="102"/>
    </row>
    <row r="1847" spans="1:63" x14ac:dyDescent="0.25">
      <c r="A1847" s="92"/>
      <c r="B1847" s="92"/>
      <c r="C1847" s="92"/>
      <c r="D1847" s="92"/>
      <c r="E1847" s="92"/>
      <c r="F1847" s="92"/>
      <c r="G1847" s="92"/>
      <c r="H1847" s="92"/>
      <c r="I1847" s="92"/>
      <c r="J1847" s="92"/>
      <c r="K1847" s="92"/>
      <c r="L1847" s="92"/>
      <c r="M1847" s="92"/>
      <c r="N1847" s="92"/>
      <c r="AG1847" s="100"/>
      <c r="AH1847" s="101"/>
      <c r="AI1847" s="101"/>
      <c r="AJ1847" s="100"/>
      <c r="AK1847" s="100"/>
      <c r="AL1847" s="100"/>
      <c r="AM1847" s="100"/>
      <c r="AN1847" s="100"/>
      <c r="AO1847" s="100"/>
      <c r="AP1847" s="100"/>
      <c r="AQ1847" s="100"/>
      <c r="AR1847" s="100"/>
      <c r="AS1847" s="100"/>
      <c r="AT1847" s="102"/>
      <c r="AX1847" s="100"/>
      <c r="AY1847" s="101"/>
      <c r="AZ1847" s="101"/>
      <c r="BA1847" s="101"/>
      <c r="BB1847" s="100"/>
      <c r="BC1847" s="100"/>
      <c r="BD1847" s="100"/>
      <c r="BE1847" s="100"/>
      <c r="BF1847" s="100"/>
      <c r="BG1847" s="100"/>
      <c r="BH1847" s="100"/>
      <c r="BI1847" s="100"/>
      <c r="BJ1847" s="100"/>
      <c r="BK1847" s="102"/>
    </row>
    <row r="1848" spans="1:63" x14ac:dyDescent="0.25">
      <c r="A1848" s="92"/>
      <c r="B1848" s="92"/>
      <c r="C1848" s="92"/>
      <c r="D1848" s="92"/>
      <c r="E1848" s="92"/>
      <c r="F1848" s="92"/>
      <c r="G1848" s="92"/>
      <c r="H1848" s="92"/>
      <c r="I1848" s="92"/>
      <c r="J1848" s="92"/>
      <c r="K1848" s="92"/>
      <c r="L1848" s="92"/>
      <c r="M1848" s="92"/>
      <c r="N1848" s="92"/>
      <c r="AG1848" s="100"/>
      <c r="AH1848" s="101"/>
      <c r="AI1848" s="101"/>
      <c r="AJ1848" s="100"/>
      <c r="AK1848" s="100"/>
      <c r="AL1848" s="100"/>
      <c r="AM1848" s="100"/>
      <c r="AN1848" s="100"/>
      <c r="AO1848" s="100"/>
      <c r="AP1848" s="100"/>
      <c r="AQ1848" s="100"/>
      <c r="AR1848" s="100"/>
      <c r="AS1848" s="100"/>
      <c r="AT1848" s="102"/>
      <c r="AX1848" s="100"/>
      <c r="AY1848" s="101"/>
      <c r="AZ1848" s="101"/>
      <c r="BA1848" s="101"/>
      <c r="BB1848" s="100"/>
      <c r="BC1848" s="100"/>
      <c r="BD1848" s="100"/>
      <c r="BE1848" s="100"/>
      <c r="BF1848" s="100"/>
      <c r="BG1848" s="100"/>
      <c r="BH1848" s="100"/>
      <c r="BI1848" s="100"/>
      <c r="BJ1848" s="100"/>
      <c r="BK1848" s="102"/>
    </row>
    <row r="1849" spans="1:63" x14ac:dyDescent="0.25">
      <c r="A1849" s="92"/>
      <c r="B1849" s="92"/>
      <c r="C1849" s="92"/>
      <c r="D1849" s="92"/>
      <c r="E1849" s="92"/>
      <c r="F1849" s="92"/>
      <c r="G1849" s="92"/>
      <c r="H1849" s="92"/>
      <c r="I1849" s="92"/>
      <c r="J1849" s="92"/>
      <c r="K1849" s="92"/>
      <c r="L1849" s="92"/>
      <c r="M1849" s="92"/>
      <c r="N1849" s="92"/>
      <c r="AG1849" s="100"/>
      <c r="AH1849" s="101"/>
      <c r="AI1849" s="101"/>
      <c r="AJ1849" s="100"/>
      <c r="AK1849" s="100"/>
      <c r="AL1849" s="100"/>
      <c r="AM1849" s="100"/>
      <c r="AN1849" s="100"/>
      <c r="AO1849" s="100"/>
      <c r="AP1849" s="100"/>
      <c r="AQ1849" s="100"/>
      <c r="AR1849" s="100"/>
      <c r="AS1849" s="100"/>
      <c r="AT1849" s="102"/>
      <c r="AX1849" s="100"/>
      <c r="AY1849" s="101"/>
      <c r="AZ1849" s="101"/>
      <c r="BA1849" s="100"/>
      <c r="BB1849" s="100"/>
      <c r="BC1849" s="100"/>
      <c r="BD1849" s="100"/>
      <c r="BE1849" s="100"/>
      <c r="BF1849" s="100"/>
      <c r="BG1849" s="100"/>
      <c r="BH1849" s="100"/>
      <c r="BI1849" s="100"/>
      <c r="BJ1849" s="100"/>
      <c r="BK1849" s="102"/>
    </row>
    <row r="1850" spans="1:63" x14ac:dyDescent="0.25">
      <c r="A1850" s="92"/>
      <c r="B1850" s="92"/>
      <c r="C1850" s="92"/>
      <c r="D1850" s="92"/>
      <c r="E1850" s="92"/>
      <c r="F1850" s="92"/>
      <c r="G1850" s="92"/>
      <c r="H1850" s="92"/>
      <c r="I1850" s="92"/>
      <c r="J1850" s="92"/>
      <c r="K1850" s="92"/>
      <c r="L1850" s="92"/>
      <c r="M1850" s="92"/>
      <c r="N1850" s="92"/>
      <c r="AG1850" s="100"/>
      <c r="AH1850" s="101"/>
      <c r="AI1850" s="101"/>
      <c r="AJ1850" s="100"/>
      <c r="AK1850" s="100"/>
      <c r="AL1850" s="100"/>
      <c r="AM1850" s="100"/>
      <c r="AN1850" s="100"/>
      <c r="AO1850" s="100"/>
      <c r="AP1850" s="100"/>
      <c r="AQ1850" s="100"/>
      <c r="AR1850" s="100"/>
      <c r="AS1850" s="100"/>
      <c r="AT1850" s="102"/>
      <c r="AX1850" s="100"/>
      <c r="AY1850" s="101"/>
      <c r="AZ1850" s="101"/>
      <c r="BA1850" s="100"/>
      <c r="BB1850" s="100"/>
      <c r="BC1850" s="100"/>
      <c r="BD1850" s="100"/>
      <c r="BE1850" s="100"/>
      <c r="BF1850" s="100"/>
      <c r="BG1850" s="100"/>
      <c r="BH1850" s="100"/>
      <c r="BI1850" s="100"/>
      <c r="BJ1850" s="100"/>
      <c r="BK1850" s="102"/>
    </row>
    <row r="1851" spans="1:63" x14ac:dyDescent="0.25">
      <c r="A1851" s="92"/>
      <c r="B1851" s="93"/>
      <c r="C1851" s="93"/>
      <c r="D1851" s="92"/>
      <c r="E1851" s="92"/>
      <c r="F1851" s="92"/>
      <c r="G1851" s="92"/>
      <c r="H1851" s="92"/>
      <c r="I1851" s="92"/>
      <c r="J1851" s="92"/>
      <c r="K1851" s="92"/>
      <c r="L1851" s="92"/>
      <c r="M1851" s="92"/>
      <c r="N1851" s="94"/>
      <c r="AG1851" s="100"/>
      <c r="AH1851" s="101"/>
      <c r="AI1851" s="101"/>
      <c r="AJ1851" s="101"/>
      <c r="AK1851" s="100"/>
      <c r="AL1851" s="100"/>
      <c r="AM1851" s="100"/>
      <c r="AN1851" s="100"/>
      <c r="AO1851" s="100"/>
      <c r="AP1851" s="100"/>
      <c r="AQ1851" s="100"/>
      <c r="AR1851" s="100"/>
      <c r="AS1851" s="100"/>
      <c r="AT1851" s="102"/>
      <c r="AX1851" s="100"/>
      <c r="AY1851" s="101"/>
      <c r="AZ1851" s="101"/>
      <c r="BA1851" s="100"/>
      <c r="BB1851" s="100"/>
      <c r="BC1851" s="100"/>
      <c r="BD1851" s="100"/>
      <c r="BE1851" s="100"/>
      <c r="BF1851" s="100"/>
      <c r="BG1851" s="100"/>
      <c r="BH1851" s="100"/>
      <c r="BI1851" s="100"/>
      <c r="BJ1851" s="100"/>
      <c r="BK1851" s="102"/>
    </row>
    <row r="1852" spans="1:63" x14ac:dyDescent="0.25">
      <c r="A1852" s="92"/>
      <c r="B1852" s="92"/>
      <c r="C1852" s="92"/>
      <c r="D1852" s="92"/>
      <c r="E1852" s="92"/>
      <c r="F1852" s="92"/>
      <c r="G1852" s="92"/>
      <c r="H1852" s="92"/>
      <c r="I1852" s="92"/>
      <c r="J1852" s="92"/>
      <c r="K1852" s="92"/>
      <c r="L1852" s="92"/>
      <c r="M1852" s="92"/>
      <c r="N1852" s="92"/>
      <c r="AG1852" s="100"/>
      <c r="AH1852" s="101"/>
      <c r="AI1852" s="101"/>
      <c r="AJ1852" s="100"/>
      <c r="AK1852" s="100"/>
      <c r="AL1852" s="100"/>
      <c r="AM1852" s="100"/>
      <c r="AN1852" s="100"/>
      <c r="AO1852" s="100"/>
      <c r="AP1852" s="100"/>
      <c r="AQ1852" s="100"/>
      <c r="AR1852" s="100"/>
      <c r="AS1852" s="100"/>
      <c r="AT1852" s="102"/>
      <c r="AX1852" s="100"/>
      <c r="AY1852" s="101"/>
      <c r="AZ1852" s="101"/>
      <c r="BA1852" s="100"/>
      <c r="BB1852" s="100"/>
      <c r="BC1852" s="100"/>
      <c r="BD1852" s="100"/>
      <c r="BE1852" s="100"/>
      <c r="BF1852" s="100"/>
      <c r="BG1852" s="100"/>
      <c r="BH1852" s="100"/>
      <c r="BI1852" s="100"/>
      <c r="BJ1852" s="100"/>
      <c r="BK1852" s="102"/>
    </row>
    <row r="1853" spans="1:63" x14ac:dyDescent="0.25">
      <c r="A1853" s="92"/>
      <c r="B1853" s="93"/>
      <c r="C1853" s="93"/>
      <c r="D1853" s="92"/>
      <c r="E1853" s="92"/>
      <c r="F1853" s="92"/>
      <c r="G1853" s="92"/>
      <c r="H1853" s="92"/>
      <c r="I1853" s="92"/>
      <c r="J1853" s="92"/>
      <c r="K1853" s="92"/>
      <c r="L1853" s="92"/>
      <c r="M1853" s="92"/>
      <c r="N1853" s="94"/>
      <c r="AG1853" s="100"/>
      <c r="AH1853" s="101"/>
      <c r="AI1853" s="101"/>
      <c r="AJ1853" s="100"/>
      <c r="AK1853" s="100"/>
      <c r="AL1853" s="100"/>
      <c r="AM1853" s="100"/>
      <c r="AN1853" s="100"/>
      <c r="AO1853" s="100"/>
      <c r="AP1853" s="100"/>
      <c r="AQ1853" s="100"/>
      <c r="AR1853" s="100"/>
      <c r="AS1853" s="100"/>
      <c r="AT1853" s="102"/>
      <c r="AX1853" s="100"/>
      <c r="AY1853" s="101"/>
      <c r="AZ1853" s="101"/>
      <c r="BA1853" s="100"/>
      <c r="BB1853" s="100"/>
      <c r="BC1853" s="100"/>
      <c r="BD1853" s="100"/>
      <c r="BE1853" s="100"/>
      <c r="BF1853" s="100"/>
      <c r="BG1853" s="100"/>
      <c r="BH1853" s="100"/>
      <c r="BI1853" s="100"/>
      <c r="BJ1853" s="100"/>
      <c r="BK1853" s="102"/>
    </row>
    <row r="1854" spans="1:63" x14ac:dyDescent="0.25">
      <c r="A1854" s="92"/>
      <c r="B1854" s="92"/>
      <c r="C1854" s="92"/>
      <c r="D1854" s="92"/>
      <c r="E1854" s="92"/>
      <c r="F1854" s="92"/>
      <c r="G1854" s="92"/>
      <c r="H1854" s="92"/>
      <c r="I1854" s="92"/>
      <c r="J1854" s="92"/>
      <c r="K1854" s="92"/>
      <c r="L1854" s="92"/>
      <c r="M1854" s="92"/>
      <c r="N1854" s="92"/>
      <c r="AG1854" s="100"/>
      <c r="AH1854" s="101"/>
      <c r="AI1854" s="101"/>
      <c r="AJ1854" s="100"/>
      <c r="AK1854" s="100"/>
      <c r="AL1854" s="100"/>
      <c r="AM1854" s="100"/>
      <c r="AN1854" s="100"/>
      <c r="AO1854" s="100"/>
      <c r="AP1854" s="100"/>
      <c r="AQ1854" s="100"/>
      <c r="AR1854" s="100"/>
      <c r="AS1854" s="100"/>
      <c r="AT1854" s="102"/>
      <c r="AX1854" s="100"/>
      <c r="AY1854" s="101"/>
      <c r="AZ1854" s="101"/>
      <c r="BA1854" s="101"/>
      <c r="BB1854" s="100"/>
      <c r="BC1854" s="100"/>
      <c r="BD1854" s="100"/>
      <c r="BE1854" s="100"/>
      <c r="BF1854" s="100"/>
      <c r="BG1854" s="100"/>
      <c r="BH1854" s="100"/>
      <c r="BI1854" s="100"/>
      <c r="BJ1854" s="100"/>
      <c r="BK1854" s="102"/>
    </row>
    <row r="1855" spans="1:63" x14ac:dyDescent="0.25">
      <c r="A1855" s="92"/>
      <c r="B1855" s="93"/>
      <c r="C1855" s="93"/>
      <c r="D1855" s="92"/>
      <c r="E1855" s="92"/>
      <c r="F1855" s="92"/>
      <c r="G1855" s="92"/>
      <c r="H1855" s="92"/>
      <c r="I1855" s="92"/>
      <c r="J1855" s="92"/>
      <c r="K1855" s="92"/>
      <c r="L1855" s="92"/>
      <c r="M1855" s="92"/>
      <c r="N1855" s="94"/>
      <c r="AG1855" s="100"/>
      <c r="AH1855" s="101"/>
      <c r="AI1855" s="101"/>
      <c r="AJ1855" s="100"/>
      <c r="AK1855" s="100"/>
      <c r="AL1855" s="100"/>
      <c r="AM1855" s="100"/>
      <c r="AN1855" s="100"/>
      <c r="AO1855" s="100"/>
      <c r="AP1855" s="100"/>
      <c r="AQ1855" s="100"/>
      <c r="AR1855" s="100"/>
      <c r="AS1855" s="100"/>
      <c r="AT1855" s="102"/>
      <c r="AX1855" s="100"/>
      <c r="AY1855" s="101"/>
      <c r="AZ1855" s="101"/>
      <c r="BA1855" s="101"/>
      <c r="BB1855" s="100"/>
      <c r="BC1855" s="100"/>
      <c r="BD1855" s="100"/>
      <c r="BE1855" s="100"/>
      <c r="BF1855" s="100"/>
      <c r="BG1855" s="100"/>
      <c r="BH1855" s="100"/>
      <c r="BI1855" s="100"/>
      <c r="BJ1855" s="100"/>
      <c r="BK1855" s="102"/>
    </row>
    <row r="1856" spans="1:63" x14ac:dyDescent="0.25">
      <c r="A1856" s="92"/>
      <c r="B1856" s="93"/>
      <c r="C1856" s="93"/>
      <c r="D1856" s="93"/>
      <c r="E1856" s="92"/>
      <c r="F1856" s="92"/>
      <c r="G1856" s="92"/>
      <c r="H1856" s="92"/>
      <c r="I1856" s="92"/>
      <c r="J1856" s="92"/>
      <c r="K1856" s="92"/>
      <c r="L1856" s="92"/>
      <c r="M1856" s="92"/>
      <c r="N1856" s="94"/>
      <c r="AG1856" s="100"/>
      <c r="AH1856" s="101"/>
      <c r="AI1856" s="101"/>
      <c r="AJ1856" s="101"/>
      <c r="AK1856" s="100"/>
      <c r="AL1856" s="100"/>
      <c r="AM1856" s="100"/>
      <c r="AN1856" s="100"/>
      <c r="AO1856" s="100"/>
      <c r="AP1856" s="100"/>
      <c r="AQ1856" s="100"/>
      <c r="AR1856" s="100"/>
      <c r="AS1856" s="100"/>
      <c r="AT1856" s="102"/>
      <c r="AX1856" s="100"/>
      <c r="AY1856" s="101"/>
      <c r="AZ1856" s="101"/>
      <c r="BA1856" s="101"/>
      <c r="BB1856" s="100"/>
      <c r="BC1856" s="100"/>
      <c r="BD1856" s="100"/>
      <c r="BE1856" s="100"/>
      <c r="BF1856" s="100"/>
      <c r="BG1856" s="100"/>
      <c r="BH1856" s="100"/>
      <c r="BI1856" s="100"/>
      <c r="BJ1856" s="100"/>
      <c r="BK1856" s="102"/>
    </row>
    <row r="1857" spans="1:63" x14ac:dyDescent="0.25">
      <c r="A1857" s="92"/>
      <c r="B1857" s="92"/>
      <c r="C1857" s="92"/>
      <c r="D1857" s="92"/>
      <c r="E1857" s="92"/>
      <c r="F1857" s="92"/>
      <c r="G1857" s="92"/>
      <c r="H1857" s="92"/>
      <c r="I1857" s="92"/>
      <c r="J1857" s="92"/>
      <c r="K1857" s="92"/>
      <c r="L1857" s="92"/>
      <c r="M1857" s="92"/>
      <c r="N1857" s="92"/>
      <c r="AG1857" s="100"/>
      <c r="AH1857" s="101"/>
      <c r="AI1857" s="101"/>
      <c r="AJ1857" s="100"/>
      <c r="AK1857" s="100"/>
      <c r="AL1857" s="100"/>
      <c r="AM1857" s="100"/>
      <c r="AN1857" s="100"/>
      <c r="AO1857" s="100"/>
      <c r="AP1857" s="100"/>
      <c r="AQ1857" s="100"/>
      <c r="AR1857" s="100"/>
      <c r="AS1857" s="100"/>
      <c r="AT1857" s="102"/>
      <c r="AX1857" s="100"/>
      <c r="AY1857" s="101"/>
      <c r="AZ1857" s="101"/>
      <c r="BA1857" s="100"/>
      <c r="BB1857" s="100"/>
      <c r="BC1857" s="100"/>
      <c r="BD1857" s="100"/>
      <c r="BE1857" s="100"/>
      <c r="BF1857" s="100"/>
      <c r="BG1857" s="100"/>
      <c r="BH1857" s="100"/>
      <c r="BI1857" s="100"/>
      <c r="BJ1857" s="100"/>
      <c r="BK1857" s="102"/>
    </row>
    <row r="1858" spans="1:63" x14ac:dyDescent="0.25">
      <c r="A1858" s="92"/>
      <c r="B1858" s="92"/>
      <c r="C1858" s="92"/>
      <c r="D1858" s="92"/>
      <c r="E1858" s="92"/>
      <c r="F1858" s="92"/>
      <c r="G1858" s="92"/>
      <c r="H1858" s="92"/>
      <c r="I1858" s="92"/>
      <c r="J1858" s="92"/>
      <c r="K1858" s="92"/>
      <c r="L1858" s="92"/>
      <c r="M1858" s="92"/>
      <c r="N1858" s="92"/>
      <c r="AG1858" s="100"/>
      <c r="AH1858" s="101"/>
      <c r="AI1858" s="101"/>
      <c r="AJ1858" s="100"/>
      <c r="AK1858" s="100"/>
      <c r="AL1858" s="100"/>
      <c r="AM1858" s="100"/>
      <c r="AN1858" s="100"/>
      <c r="AO1858" s="100"/>
      <c r="AP1858" s="100"/>
      <c r="AQ1858" s="100"/>
      <c r="AR1858" s="100"/>
      <c r="AS1858" s="100"/>
      <c r="AT1858" s="102"/>
      <c r="AX1858" s="100"/>
      <c r="AY1858" s="101"/>
      <c r="AZ1858" s="101"/>
      <c r="BA1858" s="100"/>
      <c r="BB1858" s="100"/>
      <c r="BC1858" s="100"/>
      <c r="BD1858" s="100"/>
      <c r="BE1858" s="100"/>
      <c r="BF1858" s="100"/>
      <c r="BG1858" s="100"/>
      <c r="BH1858" s="100"/>
      <c r="BI1858" s="100"/>
      <c r="BJ1858" s="100"/>
      <c r="BK1858" s="102"/>
    </row>
    <row r="1859" spans="1:63" x14ac:dyDescent="0.25">
      <c r="A1859" s="92"/>
      <c r="B1859" s="92"/>
      <c r="C1859" s="92"/>
      <c r="D1859" s="92"/>
      <c r="E1859" s="92"/>
      <c r="F1859" s="92"/>
      <c r="G1859" s="92"/>
      <c r="H1859" s="92"/>
      <c r="I1859" s="92"/>
      <c r="J1859" s="92"/>
      <c r="K1859" s="92"/>
      <c r="L1859" s="92"/>
      <c r="M1859" s="92"/>
      <c r="N1859" s="92"/>
      <c r="AG1859" s="100"/>
      <c r="AH1859" s="101"/>
      <c r="AI1859" s="101"/>
      <c r="AJ1859" s="101"/>
      <c r="AK1859" s="100"/>
      <c r="AL1859" s="100"/>
      <c r="AM1859" s="100"/>
      <c r="AN1859" s="100"/>
      <c r="AO1859" s="100"/>
      <c r="AP1859" s="100"/>
      <c r="AQ1859" s="100"/>
      <c r="AR1859" s="100"/>
      <c r="AS1859" s="100"/>
      <c r="AT1859" s="102"/>
      <c r="AX1859" s="100"/>
      <c r="AY1859" s="101"/>
      <c r="AZ1859" s="101"/>
      <c r="BA1859" s="100"/>
      <c r="BB1859" s="100"/>
      <c r="BC1859" s="100"/>
      <c r="BD1859" s="100"/>
      <c r="BE1859" s="100"/>
      <c r="BF1859" s="100"/>
      <c r="BG1859" s="100"/>
      <c r="BH1859" s="100"/>
      <c r="BI1859" s="100"/>
      <c r="BJ1859" s="100"/>
      <c r="BK1859" s="102"/>
    </row>
    <row r="1860" spans="1:63" x14ac:dyDescent="0.25">
      <c r="A1860" s="92"/>
      <c r="B1860" s="92"/>
      <c r="C1860" s="92"/>
      <c r="D1860" s="92"/>
      <c r="E1860" s="92"/>
      <c r="F1860" s="92"/>
      <c r="G1860" s="92"/>
      <c r="H1860" s="92"/>
      <c r="I1860" s="92"/>
      <c r="J1860" s="92"/>
      <c r="K1860" s="92"/>
      <c r="L1860" s="92"/>
      <c r="M1860" s="92"/>
      <c r="N1860" s="92"/>
      <c r="AG1860" s="100"/>
      <c r="AH1860" s="101"/>
      <c r="AI1860" s="101"/>
      <c r="AJ1860" s="100"/>
      <c r="AK1860" s="100"/>
      <c r="AL1860" s="100"/>
      <c r="AM1860" s="100"/>
      <c r="AN1860" s="100"/>
      <c r="AO1860" s="100"/>
      <c r="AP1860" s="100"/>
      <c r="AQ1860" s="100"/>
      <c r="AR1860" s="100"/>
      <c r="AS1860" s="100"/>
      <c r="AT1860" s="102"/>
      <c r="AX1860" s="100"/>
      <c r="AY1860" s="101"/>
      <c r="AZ1860" s="101"/>
      <c r="BA1860" s="100"/>
      <c r="BB1860" s="100"/>
      <c r="BC1860" s="100"/>
      <c r="BD1860" s="100"/>
      <c r="BE1860" s="100"/>
      <c r="BF1860" s="100"/>
      <c r="BG1860" s="100"/>
      <c r="BH1860" s="100"/>
      <c r="BI1860" s="100"/>
      <c r="BJ1860" s="100"/>
      <c r="BK1860" s="102"/>
    </row>
    <row r="1861" spans="1:63" x14ac:dyDescent="0.25">
      <c r="A1861" s="92"/>
      <c r="B1861" s="92"/>
      <c r="C1861" s="92"/>
      <c r="D1861" s="92"/>
      <c r="E1861" s="92"/>
      <c r="F1861" s="92"/>
      <c r="G1861" s="92"/>
      <c r="H1861" s="92"/>
      <c r="I1861" s="92"/>
      <c r="J1861" s="92"/>
      <c r="K1861" s="92"/>
      <c r="L1861" s="92"/>
      <c r="M1861" s="92"/>
      <c r="N1861" s="92"/>
      <c r="AG1861" s="100"/>
      <c r="AH1861" s="101"/>
      <c r="AI1861" s="101"/>
      <c r="AJ1861" s="100"/>
      <c r="AK1861" s="100"/>
      <c r="AL1861" s="100"/>
      <c r="AM1861" s="100"/>
      <c r="AN1861" s="100"/>
      <c r="AO1861" s="100"/>
      <c r="AP1861" s="100"/>
      <c r="AQ1861" s="100"/>
      <c r="AR1861" s="100"/>
      <c r="AS1861" s="100"/>
      <c r="AT1861" s="102"/>
      <c r="AX1861" s="100"/>
      <c r="AY1861" s="101"/>
      <c r="AZ1861" s="101"/>
      <c r="BA1861" s="100"/>
      <c r="BB1861" s="100"/>
      <c r="BC1861" s="100"/>
      <c r="BD1861" s="100"/>
      <c r="BE1861" s="100"/>
      <c r="BF1861" s="100"/>
      <c r="BG1861" s="100"/>
      <c r="BH1861" s="100"/>
      <c r="BI1861" s="100"/>
      <c r="BJ1861" s="100"/>
      <c r="BK1861" s="102"/>
    </row>
    <row r="1862" spans="1:63" x14ac:dyDescent="0.25">
      <c r="A1862" s="92"/>
      <c r="B1862" s="92"/>
      <c r="C1862" s="92"/>
      <c r="D1862" s="92"/>
      <c r="E1862" s="92"/>
      <c r="F1862" s="92"/>
      <c r="G1862" s="92"/>
      <c r="H1862" s="92"/>
      <c r="I1862" s="92"/>
      <c r="J1862" s="92"/>
      <c r="K1862" s="92"/>
      <c r="L1862" s="92"/>
      <c r="M1862" s="92"/>
      <c r="N1862" s="92"/>
      <c r="AG1862" s="100"/>
      <c r="AH1862" s="101"/>
      <c r="AI1862" s="101"/>
      <c r="AJ1862" s="101"/>
      <c r="AK1862" s="100"/>
      <c r="AL1862" s="100"/>
      <c r="AM1862" s="100"/>
      <c r="AN1862" s="100"/>
      <c r="AO1862" s="100"/>
      <c r="AP1862" s="100"/>
      <c r="AQ1862" s="100"/>
      <c r="AR1862" s="100"/>
      <c r="AS1862" s="100"/>
      <c r="AT1862" s="102"/>
      <c r="AX1862" s="100"/>
      <c r="AY1862" s="101"/>
      <c r="AZ1862" s="101"/>
      <c r="BA1862" s="100"/>
      <c r="BB1862" s="100"/>
      <c r="BC1862" s="100"/>
      <c r="BD1862" s="100"/>
      <c r="BE1862" s="100"/>
      <c r="BF1862" s="100"/>
      <c r="BG1862" s="100"/>
      <c r="BH1862" s="100"/>
      <c r="BI1862" s="100"/>
      <c r="BJ1862" s="100"/>
      <c r="BK1862" s="102"/>
    </row>
    <row r="1863" spans="1:63" x14ac:dyDescent="0.25">
      <c r="A1863" s="92"/>
      <c r="B1863" s="92"/>
      <c r="C1863" s="92"/>
      <c r="D1863" s="92"/>
      <c r="E1863" s="92"/>
      <c r="F1863" s="92"/>
      <c r="G1863" s="92"/>
      <c r="H1863" s="92"/>
      <c r="I1863" s="92"/>
      <c r="J1863" s="92"/>
      <c r="K1863" s="92"/>
      <c r="L1863" s="92"/>
      <c r="M1863" s="92"/>
      <c r="N1863" s="92"/>
      <c r="AG1863" s="100"/>
      <c r="AH1863" s="101"/>
      <c r="AI1863" s="101"/>
      <c r="AJ1863" s="100"/>
      <c r="AK1863" s="100"/>
      <c r="AL1863" s="100"/>
      <c r="AM1863" s="100"/>
      <c r="AN1863" s="100"/>
      <c r="AO1863" s="100"/>
      <c r="AP1863" s="100"/>
      <c r="AQ1863" s="100"/>
      <c r="AR1863" s="100"/>
      <c r="AS1863" s="100"/>
      <c r="AT1863" s="102"/>
      <c r="AX1863" s="100"/>
      <c r="AY1863" s="101"/>
      <c r="AZ1863" s="101"/>
      <c r="BA1863" s="100"/>
      <c r="BB1863" s="100"/>
      <c r="BC1863" s="100"/>
      <c r="BD1863" s="100"/>
      <c r="BE1863" s="100"/>
      <c r="BF1863" s="100"/>
      <c r="BG1863" s="100"/>
      <c r="BH1863" s="100"/>
      <c r="BI1863" s="100"/>
      <c r="BJ1863" s="100"/>
      <c r="BK1863" s="102"/>
    </row>
    <row r="1864" spans="1:63" x14ac:dyDescent="0.25">
      <c r="A1864" s="92"/>
      <c r="B1864" s="92"/>
      <c r="C1864" s="92"/>
      <c r="D1864" s="92"/>
      <c r="E1864" s="92"/>
      <c r="F1864" s="92"/>
      <c r="G1864" s="92"/>
      <c r="H1864" s="92"/>
      <c r="I1864" s="92"/>
      <c r="J1864" s="92"/>
      <c r="K1864" s="92"/>
      <c r="L1864" s="92"/>
      <c r="M1864" s="92"/>
      <c r="N1864" s="92"/>
      <c r="AG1864" s="100"/>
      <c r="AH1864" s="101"/>
      <c r="AI1864" s="101"/>
      <c r="AJ1864" s="100"/>
      <c r="AK1864" s="100"/>
      <c r="AL1864" s="100"/>
      <c r="AM1864" s="100"/>
      <c r="AN1864" s="100"/>
      <c r="AO1864" s="100"/>
      <c r="AP1864" s="100"/>
      <c r="AQ1864" s="100"/>
      <c r="AR1864" s="100"/>
      <c r="AS1864" s="100"/>
      <c r="AT1864" s="102"/>
      <c r="AX1864" s="100"/>
      <c r="AY1864" s="101"/>
      <c r="AZ1864" s="101"/>
      <c r="BA1864" s="100"/>
      <c r="BB1864" s="100"/>
      <c r="BC1864" s="100"/>
      <c r="BD1864" s="100"/>
      <c r="BE1864" s="100"/>
      <c r="BF1864" s="100"/>
      <c r="BG1864" s="100"/>
      <c r="BH1864" s="100"/>
      <c r="BI1864" s="100"/>
      <c r="BJ1864" s="100"/>
      <c r="BK1864" s="102"/>
    </row>
    <row r="1865" spans="1:63" x14ac:dyDescent="0.25">
      <c r="A1865" s="92"/>
      <c r="B1865" s="92"/>
      <c r="C1865" s="92"/>
      <c r="D1865" s="92"/>
      <c r="E1865" s="92"/>
      <c r="F1865" s="92"/>
      <c r="G1865" s="92"/>
      <c r="H1865" s="92"/>
      <c r="I1865" s="92"/>
      <c r="J1865" s="92"/>
      <c r="K1865" s="92"/>
      <c r="L1865" s="92"/>
      <c r="M1865" s="92"/>
      <c r="N1865" s="92"/>
      <c r="AG1865" s="100"/>
      <c r="AH1865" s="101"/>
      <c r="AI1865" s="101"/>
      <c r="AJ1865" s="100"/>
      <c r="AK1865" s="100"/>
      <c r="AL1865" s="100"/>
      <c r="AM1865" s="100"/>
      <c r="AN1865" s="100"/>
      <c r="AO1865" s="100"/>
      <c r="AP1865" s="100"/>
      <c r="AQ1865" s="100"/>
      <c r="AR1865" s="100"/>
      <c r="AS1865" s="100"/>
      <c r="AT1865" s="102"/>
      <c r="AX1865" s="100"/>
      <c r="AY1865" s="101"/>
      <c r="AZ1865" s="101"/>
      <c r="BA1865" s="100"/>
      <c r="BB1865" s="100"/>
      <c r="BC1865" s="100"/>
      <c r="BD1865" s="100"/>
      <c r="BE1865" s="100"/>
      <c r="BF1865" s="100"/>
      <c r="BG1865" s="100"/>
      <c r="BH1865" s="100"/>
      <c r="BI1865" s="100"/>
      <c r="BJ1865" s="100"/>
      <c r="BK1865" s="102"/>
    </row>
    <row r="1866" spans="1:63" x14ac:dyDescent="0.25">
      <c r="A1866" s="92"/>
      <c r="B1866" s="92"/>
      <c r="C1866" s="92"/>
      <c r="D1866" s="92"/>
      <c r="E1866" s="92"/>
      <c r="F1866" s="92"/>
      <c r="G1866" s="92"/>
      <c r="H1866" s="92"/>
      <c r="I1866" s="92"/>
      <c r="J1866" s="92"/>
      <c r="K1866" s="92"/>
      <c r="L1866" s="92"/>
      <c r="M1866" s="92"/>
      <c r="N1866" s="92"/>
      <c r="AG1866" s="100"/>
      <c r="AH1866" s="101"/>
      <c r="AI1866" s="101"/>
      <c r="AJ1866" s="100"/>
      <c r="AK1866" s="100"/>
      <c r="AL1866" s="100"/>
      <c r="AM1866" s="100"/>
      <c r="AN1866" s="100"/>
      <c r="AO1866" s="100"/>
      <c r="AP1866" s="100"/>
      <c r="AQ1866" s="100"/>
      <c r="AR1866" s="100"/>
      <c r="AS1866" s="100"/>
      <c r="AT1866" s="102"/>
      <c r="AX1866" s="100"/>
      <c r="AY1866" s="101"/>
      <c r="AZ1866" s="101"/>
      <c r="BA1866" s="100"/>
      <c r="BB1866" s="100"/>
      <c r="BC1866" s="100"/>
      <c r="BD1866" s="100"/>
      <c r="BE1866" s="100"/>
      <c r="BF1866" s="100"/>
      <c r="BG1866" s="100"/>
      <c r="BH1866" s="100"/>
      <c r="BI1866" s="100"/>
      <c r="BJ1866" s="100"/>
      <c r="BK1866" s="102"/>
    </row>
    <row r="1867" spans="1:63" x14ac:dyDescent="0.25">
      <c r="A1867" s="92"/>
      <c r="B1867" s="92"/>
      <c r="C1867" s="92"/>
      <c r="D1867" s="92"/>
      <c r="E1867" s="92"/>
      <c r="F1867" s="92"/>
      <c r="G1867" s="92"/>
      <c r="H1867" s="92"/>
      <c r="I1867" s="92"/>
      <c r="J1867" s="92"/>
      <c r="K1867" s="92"/>
      <c r="L1867" s="92"/>
      <c r="M1867" s="92"/>
      <c r="N1867" s="92"/>
      <c r="AG1867" s="100"/>
      <c r="AH1867" s="101"/>
      <c r="AI1867" s="101"/>
      <c r="AJ1867" s="100"/>
      <c r="AK1867" s="100"/>
      <c r="AL1867" s="100"/>
      <c r="AM1867" s="100"/>
      <c r="AN1867" s="100"/>
      <c r="AO1867" s="100"/>
      <c r="AP1867" s="100"/>
      <c r="AQ1867" s="100"/>
      <c r="AR1867" s="100"/>
      <c r="AS1867" s="100"/>
      <c r="AT1867" s="102"/>
      <c r="AX1867" s="100"/>
      <c r="AY1867" s="101"/>
      <c r="AZ1867" s="101"/>
      <c r="BA1867" s="100"/>
      <c r="BB1867" s="100"/>
      <c r="BC1867" s="100"/>
      <c r="BD1867" s="100"/>
      <c r="BE1867" s="100"/>
      <c r="BF1867" s="100"/>
      <c r="BG1867" s="100"/>
      <c r="BH1867" s="100"/>
      <c r="BI1867" s="100"/>
      <c r="BJ1867" s="100"/>
      <c r="BK1867" s="102"/>
    </row>
    <row r="1868" spans="1:63" x14ac:dyDescent="0.25">
      <c r="A1868" s="92"/>
      <c r="B1868" s="92"/>
      <c r="C1868" s="92"/>
      <c r="D1868" s="92"/>
      <c r="E1868" s="92"/>
      <c r="F1868" s="92"/>
      <c r="G1868" s="92"/>
      <c r="H1868" s="92"/>
      <c r="I1868" s="92"/>
      <c r="J1868" s="92"/>
      <c r="K1868" s="92"/>
      <c r="L1868" s="92"/>
      <c r="M1868" s="92"/>
      <c r="N1868" s="92"/>
      <c r="AG1868" s="100"/>
      <c r="AH1868" s="101"/>
      <c r="AI1868" s="101"/>
      <c r="AJ1868" s="100"/>
      <c r="AK1868" s="100"/>
      <c r="AL1868" s="100"/>
      <c r="AM1868" s="100"/>
      <c r="AN1868" s="100"/>
      <c r="AO1868" s="100"/>
      <c r="AP1868" s="100"/>
      <c r="AQ1868" s="100"/>
      <c r="AR1868" s="100"/>
      <c r="AS1868" s="100"/>
      <c r="AT1868" s="102"/>
      <c r="AX1868" s="100"/>
      <c r="AY1868" s="101"/>
      <c r="AZ1868" s="101"/>
      <c r="BA1868" s="100"/>
      <c r="BB1868" s="100"/>
      <c r="BC1868" s="100"/>
      <c r="BD1868" s="100"/>
      <c r="BE1868" s="100"/>
      <c r="BF1868" s="100"/>
      <c r="BG1868" s="100"/>
      <c r="BH1868" s="100"/>
      <c r="BI1868" s="100"/>
      <c r="BJ1868" s="100"/>
      <c r="BK1868" s="102"/>
    </row>
    <row r="1869" spans="1:63" x14ac:dyDescent="0.25">
      <c r="A1869" s="92"/>
      <c r="B1869" s="92"/>
      <c r="C1869" s="92"/>
      <c r="D1869" s="92"/>
      <c r="E1869" s="92"/>
      <c r="F1869" s="92"/>
      <c r="G1869" s="92"/>
      <c r="H1869" s="92"/>
      <c r="I1869" s="92"/>
      <c r="J1869" s="92"/>
      <c r="K1869" s="92"/>
      <c r="L1869" s="92"/>
      <c r="M1869" s="92"/>
      <c r="N1869" s="92"/>
      <c r="AG1869" s="100"/>
      <c r="AH1869" s="101"/>
      <c r="AI1869" s="101"/>
      <c r="AJ1869" s="101"/>
      <c r="AK1869" s="100"/>
      <c r="AL1869" s="100"/>
      <c r="AM1869" s="100"/>
      <c r="AN1869" s="100"/>
      <c r="AO1869" s="100"/>
      <c r="AP1869" s="100"/>
      <c r="AQ1869" s="100"/>
      <c r="AR1869" s="100"/>
      <c r="AS1869" s="100"/>
      <c r="AT1869" s="102"/>
      <c r="AX1869" s="100"/>
      <c r="AY1869" s="101"/>
      <c r="AZ1869" s="101"/>
      <c r="BA1869" s="100"/>
      <c r="BB1869" s="100"/>
      <c r="BC1869" s="100"/>
      <c r="BD1869" s="100"/>
      <c r="BE1869" s="100"/>
      <c r="BF1869" s="100"/>
      <c r="BG1869" s="100"/>
      <c r="BH1869" s="100"/>
      <c r="BI1869" s="100"/>
      <c r="BJ1869" s="100"/>
      <c r="BK1869" s="102"/>
    </row>
    <row r="1870" spans="1:63" x14ac:dyDescent="0.25">
      <c r="A1870" s="92"/>
      <c r="B1870" s="92"/>
      <c r="C1870" s="92"/>
      <c r="D1870" s="92"/>
      <c r="E1870" s="92"/>
      <c r="F1870" s="92"/>
      <c r="G1870" s="92"/>
      <c r="H1870" s="92"/>
      <c r="I1870" s="92"/>
      <c r="J1870" s="92"/>
      <c r="K1870" s="92"/>
      <c r="L1870" s="92"/>
      <c r="M1870" s="92"/>
      <c r="N1870" s="92"/>
      <c r="AG1870" s="100"/>
      <c r="AH1870" s="101"/>
      <c r="AI1870" s="101"/>
      <c r="AJ1870" s="100"/>
      <c r="AK1870" s="100"/>
      <c r="AL1870" s="100"/>
      <c r="AM1870" s="100"/>
      <c r="AN1870" s="100"/>
      <c r="AO1870" s="100"/>
      <c r="AP1870" s="100"/>
      <c r="AQ1870" s="100"/>
      <c r="AR1870" s="100"/>
      <c r="AS1870" s="100"/>
      <c r="AT1870" s="102"/>
      <c r="AX1870" s="100"/>
      <c r="AY1870" s="101"/>
      <c r="AZ1870" s="101"/>
      <c r="BA1870" s="100"/>
      <c r="BB1870" s="100"/>
      <c r="BC1870" s="100"/>
      <c r="BD1870" s="100"/>
      <c r="BE1870" s="100"/>
      <c r="BF1870" s="100"/>
      <c r="BG1870" s="100"/>
      <c r="BH1870" s="100"/>
      <c r="BI1870" s="100"/>
      <c r="BJ1870" s="100"/>
      <c r="BK1870" s="102"/>
    </row>
    <row r="1871" spans="1:63" x14ac:dyDescent="0.25">
      <c r="A1871" s="92"/>
      <c r="B1871" s="93"/>
      <c r="C1871" s="93"/>
      <c r="D1871" s="92"/>
      <c r="E1871" s="92"/>
      <c r="F1871" s="92"/>
      <c r="G1871" s="92"/>
      <c r="H1871" s="92"/>
      <c r="I1871" s="92"/>
      <c r="J1871" s="92"/>
      <c r="K1871" s="92"/>
      <c r="L1871" s="92"/>
      <c r="M1871" s="92"/>
      <c r="N1871" s="94"/>
      <c r="AG1871" s="100"/>
      <c r="AH1871" s="101"/>
      <c r="AI1871" s="101"/>
      <c r="AJ1871" s="100"/>
      <c r="AK1871" s="100"/>
      <c r="AL1871" s="100"/>
      <c r="AM1871" s="100"/>
      <c r="AN1871" s="100"/>
      <c r="AO1871" s="100"/>
      <c r="AP1871" s="100"/>
      <c r="AQ1871" s="100"/>
      <c r="AR1871" s="100"/>
      <c r="AS1871" s="100"/>
      <c r="AT1871" s="102"/>
      <c r="AX1871" s="100"/>
      <c r="AY1871" s="101"/>
      <c r="AZ1871" s="101"/>
      <c r="BA1871" s="101"/>
      <c r="BB1871" s="100"/>
      <c r="BC1871" s="100"/>
      <c r="BD1871" s="100"/>
      <c r="BE1871" s="100"/>
      <c r="BF1871" s="100"/>
      <c r="BG1871" s="100"/>
      <c r="BH1871" s="100"/>
      <c r="BI1871" s="100"/>
      <c r="BJ1871" s="100"/>
      <c r="BK1871" s="102"/>
    </row>
    <row r="1872" spans="1:63" x14ac:dyDescent="0.25">
      <c r="A1872" s="92"/>
      <c r="B1872" s="93"/>
      <c r="C1872" s="93"/>
      <c r="D1872" s="92"/>
      <c r="E1872" s="92"/>
      <c r="F1872" s="92"/>
      <c r="G1872" s="92"/>
      <c r="H1872" s="92"/>
      <c r="I1872" s="92"/>
      <c r="J1872" s="92"/>
      <c r="K1872" s="92"/>
      <c r="L1872" s="92"/>
      <c r="M1872" s="92"/>
      <c r="N1872" s="94"/>
      <c r="AG1872" s="100"/>
      <c r="AH1872" s="101"/>
      <c r="AI1872" s="101"/>
      <c r="AJ1872" s="100"/>
      <c r="AK1872" s="100"/>
      <c r="AL1872" s="100"/>
      <c r="AM1872" s="100"/>
      <c r="AN1872" s="100"/>
      <c r="AO1872" s="100"/>
      <c r="AP1872" s="100"/>
      <c r="AQ1872" s="100"/>
      <c r="AR1872" s="100"/>
      <c r="AS1872" s="100"/>
      <c r="AT1872" s="102"/>
      <c r="AX1872" s="100"/>
      <c r="AY1872" s="101"/>
      <c r="AZ1872" s="101"/>
      <c r="BA1872" s="100"/>
      <c r="BB1872" s="100"/>
      <c r="BC1872" s="100"/>
      <c r="BD1872" s="100"/>
      <c r="BE1872" s="100"/>
      <c r="BF1872" s="100"/>
      <c r="BG1872" s="100"/>
      <c r="BH1872" s="100"/>
      <c r="BI1872" s="100"/>
      <c r="BJ1872" s="100"/>
      <c r="BK1872" s="102"/>
    </row>
    <row r="1873" spans="1:63" x14ac:dyDescent="0.25">
      <c r="A1873" s="92"/>
      <c r="B1873" s="92"/>
      <c r="C1873" s="92"/>
      <c r="D1873" s="92"/>
      <c r="E1873" s="92"/>
      <c r="F1873" s="92"/>
      <c r="G1873" s="92"/>
      <c r="H1873" s="92"/>
      <c r="I1873" s="92"/>
      <c r="J1873" s="92"/>
      <c r="K1873" s="92"/>
      <c r="L1873" s="92"/>
      <c r="M1873" s="92"/>
      <c r="N1873" s="92"/>
      <c r="AG1873" s="100"/>
      <c r="AH1873" s="101"/>
      <c r="AI1873" s="101"/>
      <c r="AJ1873" s="100"/>
      <c r="AK1873" s="100"/>
      <c r="AL1873" s="100"/>
      <c r="AM1873" s="100"/>
      <c r="AN1873" s="100"/>
      <c r="AO1873" s="100"/>
      <c r="AP1873" s="100"/>
      <c r="AQ1873" s="100"/>
      <c r="AR1873" s="100"/>
      <c r="AS1873" s="100"/>
      <c r="AT1873" s="102"/>
      <c r="AX1873" s="100"/>
      <c r="AY1873" s="101"/>
      <c r="AZ1873" s="101"/>
      <c r="BA1873" s="100"/>
      <c r="BB1873" s="100"/>
      <c r="BC1873" s="100"/>
      <c r="BD1873" s="100"/>
      <c r="BE1873" s="100"/>
      <c r="BF1873" s="100"/>
      <c r="BG1873" s="100"/>
      <c r="BH1873" s="100"/>
      <c r="BI1873" s="100"/>
      <c r="BJ1873" s="100"/>
      <c r="BK1873" s="102"/>
    </row>
    <row r="1874" spans="1:63" x14ac:dyDescent="0.25">
      <c r="A1874" s="92"/>
      <c r="B1874" s="92"/>
      <c r="C1874" s="92"/>
      <c r="D1874" s="92"/>
      <c r="E1874" s="92"/>
      <c r="F1874" s="92"/>
      <c r="G1874" s="92"/>
      <c r="H1874" s="92"/>
      <c r="I1874" s="92"/>
      <c r="J1874" s="92"/>
      <c r="K1874" s="92"/>
      <c r="L1874" s="92"/>
      <c r="M1874" s="92"/>
      <c r="N1874" s="92"/>
      <c r="AG1874" s="100"/>
      <c r="AH1874" s="101"/>
      <c r="AI1874" s="101"/>
      <c r="AJ1874" s="101"/>
      <c r="AK1874" s="100"/>
      <c r="AL1874" s="100"/>
      <c r="AM1874" s="100"/>
      <c r="AN1874" s="100"/>
      <c r="AO1874" s="100"/>
      <c r="AP1874" s="100"/>
      <c r="AQ1874" s="100"/>
      <c r="AR1874" s="100"/>
      <c r="AS1874" s="100"/>
      <c r="AT1874" s="102"/>
      <c r="AX1874" s="100"/>
      <c r="AY1874" s="101"/>
      <c r="AZ1874" s="101"/>
      <c r="BA1874" s="100"/>
      <c r="BB1874" s="100"/>
      <c r="BC1874" s="100"/>
      <c r="BD1874" s="100"/>
      <c r="BE1874" s="100"/>
      <c r="BF1874" s="100"/>
      <c r="BG1874" s="100"/>
      <c r="BH1874" s="100"/>
      <c r="BI1874" s="100"/>
      <c r="BJ1874" s="100"/>
      <c r="BK1874" s="102"/>
    </row>
    <row r="1875" spans="1:63" x14ac:dyDescent="0.25">
      <c r="A1875" s="92"/>
      <c r="B1875" s="92"/>
      <c r="C1875" s="92"/>
      <c r="D1875" s="92"/>
      <c r="E1875" s="92"/>
      <c r="F1875" s="92"/>
      <c r="G1875" s="92"/>
      <c r="H1875" s="92"/>
      <c r="I1875" s="92"/>
      <c r="J1875" s="92"/>
      <c r="K1875" s="92"/>
      <c r="L1875" s="92"/>
      <c r="M1875" s="92"/>
      <c r="N1875" s="92"/>
      <c r="AG1875" s="100"/>
      <c r="AH1875" s="101"/>
      <c r="AI1875" s="101"/>
      <c r="AJ1875" s="100"/>
      <c r="AK1875" s="100"/>
      <c r="AL1875" s="100"/>
      <c r="AM1875" s="100"/>
      <c r="AN1875" s="100"/>
      <c r="AO1875" s="100"/>
      <c r="AP1875" s="100"/>
      <c r="AQ1875" s="100"/>
      <c r="AR1875" s="100"/>
      <c r="AS1875" s="100"/>
      <c r="AT1875" s="102"/>
      <c r="AX1875" s="100"/>
      <c r="AY1875" s="101"/>
      <c r="AZ1875" s="101"/>
      <c r="BA1875" s="100"/>
      <c r="BB1875" s="100"/>
      <c r="BC1875" s="100"/>
      <c r="BD1875" s="100"/>
      <c r="BE1875" s="100"/>
      <c r="BF1875" s="100"/>
      <c r="BG1875" s="100"/>
      <c r="BH1875" s="100"/>
      <c r="BI1875" s="100"/>
      <c r="BJ1875" s="100"/>
      <c r="BK1875" s="102"/>
    </row>
    <row r="1876" spans="1:63" x14ac:dyDescent="0.25">
      <c r="A1876" s="92"/>
      <c r="B1876" s="92"/>
      <c r="C1876" s="92"/>
      <c r="D1876" s="92"/>
      <c r="E1876" s="92"/>
      <c r="F1876" s="92"/>
      <c r="G1876" s="92"/>
      <c r="H1876" s="92"/>
      <c r="I1876" s="92"/>
      <c r="J1876" s="92"/>
      <c r="K1876" s="92"/>
      <c r="L1876" s="92"/>
      <c r="M1876" s="92"/>
      <c r="N1876" s="92"/>
      <c r="AG1876" s="100"/>
      <c r="AH1876" s="101"/>
      <c r="AI1876" s="101"/>
      <c r="AJ1876" s="100"/>
      <c r="AK1876" s="100"/>
      <c r="AL1876" s="100"/>
      <c r="AM1876" s="100"/>
      <c r="AN1876" s="100"/>
      <c r="AO1876" s="100"/>
      <c r="AP1876" s="100"/>
      <c r="AQ1876" s="100"/>
      <c r="AR1876" s="100"/>
      <c r="AS1876" s="100"/>
      <c r="AT1876" s="102"/>
      <c r="AX1876" s="100"/>
      <c r="AY1876" s="101"/>
      <c r="AZ1876" s="101"/>
      <c r="BA1876" s="101"/>
      <c r="BB1876" s="100"/>
      <c r="BC1876" s="100"/>
      <c r="BD1876" s="100"/>
      <c r="BE1876" s="100"/>
      <c r="BF1876" s="100"/>
      <c r="BG1876" s="100"/>
      <c r="BH1876" s="100"/>
      <c r="BI1876" s="100"/>
      <c r="BJ1876" s="100"/>
      <c r="BK1876" s="102"/>
    </row>
    <row r="1877" spans="1:63" x14ac:dyDescent="0.25">
      <c r="A1877" s="92"/>
      <c r="B1877" s="92"/>
      <c r="C1877" s="92"/>
      <c r="D1877" s="92"/>
      <c r="E1877" s="92"/>
      <c r="F1877" s="92"/>
      <c r="G1877" s="92"/>
      <c r="H1877" s="92"/>
      <c r="I1877" s="92"/>
      <c r="J1877" s="92"/>
      <c r="K1877" s="92"/>
      <c r="L1877" s="92"/>
      <c r="M1877" s="92"/>
      <c r="N1877" s="92"/>
      <c r="AG1877" s="100"/>
      <c r="AH1877" s="101"/>
      <c r="AI1877" s="101"/>
      <c r="AJ1877" s="100"/>
      <c r="AK1877" s="100"/>
      <c r="AL1877" s="100"/>
      <c r="AM1877" s="100"/>
      <c r="AN1877" s="100"/>
      <c r="AO1877" s="100"/>
      <c r="AP1877" s="100"/>
      <c r="AQ1877" s="100"/>
      <c r="AR1877" s="100"/>
      <c r="AS1877" s="100"/>
      <c r="AT1877" s="102"/>
      <c r="AX1877" s="100"/>
      <c r="AY1877" s="101"/>
      <c r="AZ1877" s="101"/>
      <c r="BA1877" s="100"/>
      <c r="BB1877" s="100"/>
      <c r="BC1877" s="100"/>
      <c r="BD1877" s="100"/>
      <c r="BE1877" s="100"/>
      <c r="BF1877" s="100"/>
      <c r="BG1877" s="100"/>
      <c r="BH1877" s="100"/>
      <c r="BI1877" s="100"/>
      <c r="BJ1877" s="100"/>
      <c r="BK1877" s="102"/>
    </row>
    <row r="1878" spans="1:63" x14ac:dyDescent="0.25">
      <c r="A1878" s="92"/>
      <c r="B1878" s="93"/>
      <c r="C1878" s="93"/>
      <c r="D1878" s="92"/>
      <c r="E1878" s="92"/>
      <c r="F1878" s="92"/>
      <c r="G1878" s="92"/>
      <c r="H1878" s="92"/>
      <c r="I1878" s="92"/>
      <c r="J1878" s="92"/>
      <c r="K1878" s="92"/>
      <c r="L1878" s="92"/>
      <c r="M1878" s="92"/>
      <c r="N1878" s="94"/>
      <c r="AG1878" s="100"/>
      <c r="AH1878" s="101"/>
      <c r="AI1878" s="101"/>
      <c r="AJ1878" s="100"/>
      <c r="AK1878" s="100"/>
      <c r="AL1878" s="100"/>
      <c r="AM1878" s="100"/>
      <c r="AN1878" s="100"/>
      <c r="AO1878" s="100"/>
      <c r="AP1878" s="100"/>
      <c r="AQ1878" s="100"/>
      <c r="AR1878" s="100"/>
      <c r="AS1878" s="100"/>
      <c r="AT1878" s="102"/>
      <c r="AX1878" s="100"/>
      <c r="AY1878" s="101"/>
      <c r="AZ1878" s="101"/>
      <c r="BA1878" s="100"/>
      <c r="BB1878" s="100"/>
      <c r="BC1878" s="100"/>
      <c r="BD1878" s="100"/>
      <c r="BE1878" s="100"/>
      <c r="BF1878" s="100"/>
      <c r="BG1878" s="100"/>
      <c r="BH1878" s="100"/>
      <c r="BI1878" s="100"/>
      <c r="BJ1878" s="100"/>
      <c r="BK1878" s="102"/>
    </row>
    <row r="1879" spans="1:63" x14ac:dyDescent="0.25">
      <c r="A1879" s="92"/>
      <c r="B1879" s="92"/>
      <c r="C1879" s="92"/>
      <c r="D1879" s="92"/>
      <c r="E1879" s="92"/>
      <c r="F1879" s="92"/>
      <c r="G1879" s="92"/>
      <c r="H1879" s="92"/>
      <c r="I1879" s="92"/>
      <c r="J1879" s="92"/>
      <c r="K1879" s="92"/>
      <c r="L1879" s="92"/>
      <c r="M1879" s="92"/>
      <c r="N1879" s="92"/>
      <c r="AG1879" s="100"/>
      <c r="AH1879" s="101"/>
      <c r="AI1879" s="101"/>
      <c r="AJ1879" s="100"/>
      <c r="AK1879" s="100"/>
      <c r="AL1879" s="100"/>
      <c r="AM1879" s="100"/>
      <c r="AN1879" s="100"/>
      <c r="AO1879" s="100"/>
      <c r="AP1879" s="100"/>
      <c r="AQ1879" s="100"/>
      <c r="AR1879" s="100"/>
      <c r="AS1879" s="100"/>
      <c r="AT1879" s="102"/>
      <c r="AX1879" s="100"/>
      <c r="AY1879" s="101"/>
      <c r="AZ1879" s="101"/>
      <c r="BA1879" s="101"/>
      <c r="BB1879" s="100"/>
      <c r="BC1879" s="100"/>
      <c r="BD1879" s="100"/>
      <c r="BE1879" s="100"/>
      <c r="BF1879" s="100"/>
      <c r="BG1879" s="100"/>
      <c r="BH1879" s="100"/>
      <c r="BI1879" s="100"/>
      <c r="BJ1879" s="100"/>
      <c r="BK1879" s="102"/>
    </row>
    <row r="1880" spans="1:63" x14ac:dyDescent="0.25">
      <c r="A1880" s="92"/>
      <c r="B1880" s="92"/>
      <c r="C1880" s="92"/>
      <c r="D1880" s="92"/>
      <c r="E1880" s="92"/>
      <c r="F1880" s="92"/>
      <c r="G1880" s="92"/>
      <c r="H1880" s="92"/>
      <c r="I1880" s="92"/>
      <c r="J1880" s="92"/>
      <c r="K1880" s="92"/>
      <c r="L1880" s="92"/>
      <c r="M1880" s="92"/>
      <c r="N1880" s="92"/>
      <c r="AG1880" s="100"/>
      <c r="AH1880" s="101"/>
      <c r="AI1880" s="101"/>
      <c r="AJ1880" s="100"/>
      <c r="AK1880" s="100"/>
      <c r="AL1880" s="100"/>
      <c r="AM1880" s="100"/>
      <c r="AN1880" s="100"/>
      <c r="AO1880" s="100"/>
      <c r="AP1880" s="100"/>
      <c r="AQ1880" s="100"/>
      <c r="AR1880" s="100"/>
      <c r="AS1880" s="100"/>
      <c r="AT1880" s="102"/>
      <c r="AX1880" s="100"/>
      <c r="AY1880" s="101"/>
      <c r="AZ1880" s="101"/>
      <c r="BA1880" s="100"/>
      <c r="BB1880" s="100"/>
      <c r="BC1880" s="100"/>
      <c r="BD1880" s="100"/>
      <c r="BE1880" s="100"/>
      <c r="BF1880" s="100"/>
      <c r="BG1880" s="100"/>
      <c r="BH1880" s="100"/>
      <c r="BI1880" s="100"/>
      <c r="BJ1880" s="100"/>
      <c r="BK1880" s="102"/>
    </row>
    <row r="1881" spans="1:63" x14ac:dyDescent="0.25">
      <c r="A1881" s="92"/>
      <c r="B1881" s="93"/>
      <c r="C1881" s="93"/>
      <c r="D1881" s="92"/>
      <c r="E1881" s="92"/>
      <c r="F1881" s="92"/>
      <c r="G1881" s="92"/>
      <c r="H1881" s="92"/>
      <c r="I1881" s="92"/>
      <c r="J1881" s="92"/>
      <c r="K1881" s="92"/>
      <c r="L1881" s="92"/>
      <c r="M1881" s="92"/>
      <c r="N1881" s="94"/>
      <c r="AG1881" s="100"/>
      <c r="AH1881" s="101"/>
      <c r="AI1881" s="101"/>
      <c r="AJ1881" s="100"/>
      <c r="AK1881" s="100"/>
      <c r="AL1881" s="100"/>
      <c r="AM1881" s="100"/>
      <c r="AN1881" s="100"/>
      <c r="AO1881" s="100"/>
      <c r="AP1881" s="100"/>
      <c r="AQ1881" s="100"/>
      <c r="AR1881" s="100"/>
      <c r="AS1881" s="100"/>
      <c r="AT1881" s="102"/>
      <c r="AX1881" s="100"/>
      <c r="AY1881" s="101"/>
      <c r="AZ1881" s="101"/>
      <c r="BA1881" s="100"/>
      <c r="BB1881" s="100"/>
      <c r="BC1881" s="100"/>
      <c r="BD1881" s="100"/>
      <c r="BE1881" s="100"/>
      <c r="BF1881" s="100"/>
      <c r="BG1881" s="100"/>
      <c r="BH1881" s="100"/>
      <c r="BI1881" s="100"/>
      <c r="BJ1881" s="100"/>
      <c r="BK1881" s="102"/>
    </row>
    <row r="1882" spans="1:63" x14ac:dyDescent="0.25">
      <c r="A1882" s="92"/>
      <c r="B1882" s="93"/>
      <c r="C1882" s="93"/>
      <c r="D1882" s="92"/>
      <c r="E1882" s="92"/>
      <c r="F1882" s="92"/>
      <c r="G1882" s="92"/>
      <c r="H1882" s="92"/>
      <c r="I1882" s="92"/>
      <c r="J1882" s="92"/>
      <c r="K1882" s="92"/>
      <c r="L1882" s="92"/>
      <c r="M1882" s="92"/>
      <c r="N1882" s="94"/>
      <c r="AG1882" s="100"/>
      <c r="AH1882" s="101"/>
      <c r="AI1882" s="101"/>
      <c r="AJ1882" s="100"/>
      <c r="AK1882" s="100"/>
      <c r="AL1882" s="100"/>
      <c r="AM1882" s="100"/>
      <c r="AN1882" s="100"/>
      <c r="AO1882" s="100"/>
      <c r="AP1882" s="100"/>
      <c r="AQ1882" s="100"/>
      <c r="AR1882" s="100"/>
      <c r="AS1882" s="100"/>
      <c r="AT1882" s="102"/>
      <c r="AX1882" s="100"/>
      <c r="AY1882" s="101"/>
      <c r="AZ1882" s="101"/>
      <c r="BA1882" s="101"/>
      <c r="BB1882" s="100"/>
      <c r="BC1882" s="100"/>
      <c r="BD1882" s="100"/>
      <c r="BE1882" s="100"/>
      <c r="BF1882" s="100"/>
      <c r="BG1882" s="100"/>
      <c r="BH1882" s="100"/>
      <c r="BI1882" s="100"/>
      <c r="BJ1882" s="100"/>
      <c r="BK1882" s="102"/>
    </row>
    <row r="1883" spans="1:63" x14ac:dyDescent="0.25">
      <c r="A1883" s="92"/>
      <c r="B1883" s="93"/>
      <c r="C1883" s="93"/>
      <c r="D1883" s="92"/>
      <c r="E1883" s="92"/>
      <c r="F1883" s="92"/>
      <c r="G1883" s="92"/>
      <c r="H1883" s="92"/>
      <c r="I1883" s="92"/>
      <c r="J1883" s="92"/>
      <c r="K1883" s="92"/>
      <c r="L1883" s="92"/>
      <c r="M1883" s="92"/>
      <c r="N1883" s="94"/>
      <c r="AG1883" s="100"/>
      <c r="AH1883" s="101"/>
      <c r="AI1883" s="101"/>
      <c r="AJ1883" s="100"/>
      <c r="AK1883" s="100"/>
      <c r="AL1883" s="100"/>
      <c r="AM1883" s="100"/>
      <c r="AN1883" s="100"/>
      <c r="AO1883" s="100"/>
      <c r="AP1883" s="100"/>
      <c r="AQ1883" s="100"/>
      <c r="AR1883" s="100"/>
      <c r="AS1883" s="100"/>
      <c r="AT1883" s="102"/>
      <c r="AX1883" s="100"/>
      <c r="AY1883" s="101"/>
      <c r="AZ1883" s="101"/>
      <c r="BA1883" s="100"/>
      <c r="BB1883" s="100"/>
      <c r="BC1883" s="100"/>
      <c r="BD1883" s="100"/>
      <c r="BE1883" s="100"/>
      <c r="BF1883" s="100"/>
      <c r="BG1883" s="100"/>
      <c r="BH1883" s="100"/>
      <c r="BI1883" s="100"/>
      <c r="BJ1883" s="100"/>
      <c r="BK1883" s="102"/>
    </row>
    <row r="1884" spans="1:63" x14ac:dyDescent="0.25">
      <c r="A1884" s="92"/>
      <c r="B1884" s="93"/>
      <c r="C1884" s="93"/>
      <c r="D1884" s="92"/>
      <c r="E1884" s="92"/>
      <c r="F1884" s="92"/>
      <c r="G1884" s="92"/>
      <c r="H1884" s="92"/>
      <c r="I1884" s="92"/>
      <c r="J1884" s="92"/>
      <c r="K1884" s="92"/>
      <c r="L1884" s="92"/>
      <c r="M1884" s="92"/>
      <c r="N1884" s="94"/>
      <c r="AG1884" s="100"/>
      <c r="AH1884" s="101"/>
      <c r="AI1884" s="101"/>
      <c r="AJ1884" s="100"/>
      <c r="AK1884" s="100"/>
      <c r="AL1884" s="100"/>
      <c r="AM1884" s="100"/>
      <c r="AN1884" s="100"/>
      <c r="AO1884" s="100"/>
      <c r="AP1884" s="100"/>
      <c r="AQ1884" s="100"/>
      <c r="AR1884" s="100"/>
      <c r="AS1884" s="100"/>
      <c r="AT1884" s="102"/>
      <c r="AX1884" s="100"/>
      <c r="AY1884" s="101"/>
      <c r="AZ1884" s="101"/>
      <c r="BA1884" s="100"/>
      <c r="BB1884" s="100"/>
      <c r="BC1884" s="100"/>
      <c r="BD1884" s="100"/>
      <c r="BE1884" s="100"/>
      <c r="BF1884" s="100"/>
      <c r="BG1884" s="100"/>
      <c r="BH1884" s="100"/>
      <c r="BI1884" s="100"/>
      <c r="BJ1884" s="100"/>
      <c r="BK1884" s="102"/>
    </row>
    <row r="1885" spans="1:63" x14ac:dyDescent="0.25">
      <c r="A1885" s="92"/>
      <c r="B1885" s="92"/>
      <c r="C1885" s="92"/>
      <c r="D1885" s="92"/>
      <c r="E1885" s="92"/>
      <c r="F1885" s="92"/>
      <c r="G1885" s="92"/>
      <c r="H1885" s="92"/>
      <c r="I1885" s="92"/>
      <c r="J1885" s="92"/>
      <c r="K1885" s="92"/>
      <c r="L1885" s="92"/>
      <c r="M1885" s="92"/>
      <c r="N1885" s="92"/>
      <c r="AG1885" s="100"/>
      <c r="AH1885" s="101"/>
      <c r="AI1885" s="101"/>
      <c r="AJ1885" s="100"/>
      <c r="AK1885" s="100"/>
      <c r="AL1885" s="100"/>
      <c r="AM1885" s="100"/>
      <c r="AN1885" s="100"/>
      <c r="AO1885" s="100"/>
      <c r="AP1885" s="100"/>
      <c r="AQ1885" s="100"/>
      <c r="AR1885" s="100"/>
      <c r="AS1885" s="100"/>
      <c r="AT1885" s="102"/>
      <c r="AX1885" s="100"/>
      <c r="AY1885" s="101"/>
      <c r="AZ1885" s="101"/>
      <c r="BA1885" s="100"/>
      <c r="BB1885" s="100"/>
      <c r="BC1885" s="100"/>
      <c r="BD1885" s="100"/>
      <c r="BE1885" s="100"/>
      <c r="BF1885" s="100"/>
      <c r="BG1885" s="100"/>
      <c r="BH1885" s="100"/>
      <c r="BI1885" s="100"/>
      <c r="BJ1885" s="100"/>
      <c r="BK1885" s="102"/>
    </row>
    <row r="1886" spans="1:63" x14ac:dyDescent="0.25">
      <c r="A1886" s="92"/>
      <c r="B1886" s="93"/>
      <c r="C1886" s="93"/>
      <c r="D1886" s="92"/>
      <c r="E1886" s="92"/>
      <c r="F1886" s="92"/>
      <c r="G1886" s="92"/>
      <c r="H1886" s="92"/>
      <c r="I1886" s="92"/>
      <c r="J1886" s="92"/>
      <c r="K1886" s="92"/>
      <c r="L1886" s="92"/>
      <c r="M1886" s="92"/>
      <c r="N1886" s="94"/>
      <c r="AG1886" s="100"/>
      <c r="AH1886" s="101"/>
      <c r="AI1886" s="101"/>
      <c r="AJ1886" s="100"/>
      <c r="AK1886" s="100"/>
      <c r="AL1886" s="100"/>
      <c r="AM1886" s="100"/>
      <c r="AN1886" s="100"/>
      <c r="AO1886" s="100"/>
      <c r="AP1886" s="100"/>
      <c r="AQ1886" s="100"/>
      <c r="AR1886" s="100"/>
      <c r="AS1886" s="100"/>
      <c r="AT1886" s="102"/>
      <c r="AX1886" s="100"/>
      <c r="AY1886" s="101"/>
      <c r="AZ1886" s="101"/>
      <c r="BA1886" s="100"/>
      <c r="BB1886" s="100"/>
      <c r="BC1886" s="100"/>
      <c r="BD1886" s="100"/>
      <c r="BE1886" s="100"/>
      <c r="BF1886" s="100"/>
      <c r="BG1886" s="100"/>
      <c r="BH1886" s="100"/>
      <c r="BI1886" s="100"/>
      <c r="BJ1886" s="100"/>
      <c r="BK1886" s="102"/>
    </row>
    <row r="1887" spans="1:63" x14ac:dyDescent="0.25">
      <c r="A1887" s="92"/>
      <c r="B1887" s="93"/>
      <c r="C1887" s="93"/>
      <c r="D1887" s="93"/>
      <c r="E1887" s="92"/>
      <c r="F1887" s="92"/>
      <c r="G1887" s="92"/>
      <c r="H1887" s="92"/>
      <c r="I1887" s="92"/>
      <c r="J1887" s="92"/>
      <c r="K1887" s="92"/>
      <c r="L1887" s="92"/>
      <c r="M1887" s="92"/>
      <c r="N1887" s="94"/>
      <c r="AG1887" s="100"/>
      <c r="AH1887" s="101"/>
      <c r="AI1887" s="101"/>
      <c r="AJ1887" s="100"/>
      <c r="AK1887" s="100"/>
      <c r="AL1887" s="100"/>
      <c r="AM1887" s="100"/>
      <c r="AN1887" s="100"/>
      <c r="AO1887" s="100"/>
      <c r="AP1887" s="100"/>
      <c r="AQ1887" s="100"/>
      <c r="AR1887" s="100"/>
      <c r="AS1887" s="100"/>
      <c r="AT1887" s="102"/>
      <c r="AX1887" s="100"/>
      <c r="AY1887" s="101"/>
      <c r="AZ1887" s="101"/>
      <c r="BA1887" s="100"/>
      <c r="BB1887" s="100"/>
      <c r="BC1887" s="100"/>
      <c r="BD1887" s="100"/>
      <c r="BE1887" s="100"/>
      <c r="BF1887" s="100"/>
      <c r="BG1887" s="100"/>
      <c r="BH1887" s="100"/>
      <c r="BI1887" s="100"/>
      <c r="BJ1887" s="100"/>
      <c r="BK1887" s="102"/>
    </row>
    <row r="1888" spans="1:63" x14ac:dyDescent="0.25">
      <c r="A1888" s="92"/>
      <c r="B1888" s="93"/>
      <c r="C1888" s="93"/>
      <c r="D1888" s="92"/>
      <c r="E1888" s="92"/>
      <c r="F1888" s="92"/>
      <c r="G1888" s="92"/>
      <c r="H1888" s="92"/>
      <c r="I1888" s="92"/>
      <c r="J1888" s="92"/>
      <c r="K1888" s="92"/>
      <c r="L1888" s="92"/>
      <c r="M1888" s="92"/>
      <c r="N1888" s="94"/>
      <c r="AG1888" s="100"/>
      <c r="AH1888" s="101"/>
      <c r="AI1888" s="101"/>
      <c r="AJ1888" s="100"/>
      <c r="AK1888" s="100"/>
      <c r="AL1888" s="100"/>
      <c r="AM1888" s="100"/>
      <c r="AN1888" s="100"/>
      <c r="AO1888" s="100"/>
      <c r="AP1888" s="100"/>
      <c r="AQ1888" s="100"/>
      <c r="AR1888" s="100"/>
      <c r="AS1888" s="100"/>
      <c r="AT1888" s="102"/>
      <c r="AX1888" s="100"/>
      <c r="AY1888" s="101"/>
      <c r="AZ1888" s="101"/>
      <c r="BA1888" s="100"/>
      <c r="BB1888" s="100"/>
      <c r="BC1888" s="100"/>
      <c r="BD1888" s="100"/>
      <c r="BE1888" s="100"/>
      <c r="BF1888" s="100"/>
      <c r="BG1888" s="100"/>
      <c r="BH1888" s="100"/>
      <c r="BI1888" s="100"/>
      <c r="BJ1888" s="100"/>
      <c r="BK1888" s="102"/>
    </row>
    <row r="1889" spans="1:63" x14ac:dyDescent="0.25">
      <c r="A1889" s="92"/>
      <c r="B1889" s="92"/>
      <c r="C1889" s="92"/>
      <c r="D1889" s="92"/>
      <c r="E1889" s="92"/>
      <c r="F1889" s="92"/>
      <c r="G1889" s="92"/>
      <c r="H1889" s="92"/>
      <c r="I1889" s="92"/>
      <c r="J1889" s="92"/>
      <c r="K1889" s="92"/>
      <c r="L1889" s="92"/>
      <c r="M1889" s="92"/>
      <c r="N1889" s="92"/>
      <c r="AG1889" s="100"/>
      <c r="AH1889" s="101"/>
      <c r="AI1889" s="101"/>
      <c r="AJ1889" s="100"/>
      <c r="AK1889" s="100"/>
      <c r="AL1889" s="100"/>
      <c r="AM1889" s="100"/>
      <c r="AN1889" s="100"/>
      <c r="AO1889" s="100"/>
      <c r="AP1889" s="100"/>
      <c r="AQ1889" s="100"/>
      <c r="AR1889" s="100"/>
      <c r="AS1889" s="100"/>
      <c r="AT1889" s="102"/>
      <c r="AX1889" s="100"/>
      <c r="AY1889" s="101"/>
      <c r="AZ1889" s="101"/>
      <c r="BA1889" s="101"/>
      <c r="BB1889" s="100"/>
      <c r="BC1889" s="100"/>
      <c r="BD1889" s="100"/>
      <c r="BE1889" s="100"/>
      <c r="BF1889" s="100"/>
      <c r="BG1889" s="100"/>
      <c r="BH1889" s="100"/>
      <c r="BI1889" s="100"/>
      <c r="BJ1889" s="100"/>
      <c r="BK1889" s="102"/>
    </row>
    <row r="1890" spans="1:63" x14ac:dyDescent="0.25">
      <c r="A1890" s="92"/>
      <c r="B1890" s="92"/>
      <c r="C1890" s="92"/>
      <c r="D1890" s="92"/>
      <c r="E1890" s="92"/>
      <c r="F1890" s="92"/>
      <c r="G1890" s="92"/>
      <c r="H1890" s="92"/>
      <c r="I1890" s="92"/>
      <c r="J1890" s="92"/>
      <c r="K1890" s="92"/>
      <c r="L1890" s="92"/>
      <c r="M1890" s="92"/>
      <c r="N1890" s="92"/>
      <c r="AG1890" s="100"/>
      <c r="AH1890" s="101"/>
      <c r="AI1890" s="101"/>
      <c r="AJ1890" s="101"/>
      <c r="AK1890" s="100"/>
      <c r="AL1890" s="100"/>
      <c r="AM1890" s="100"/>
      <c r="AN1890" s="100"/>
      <c r="AO1890" s="100"/>
      <c r="AP1890" s="100"/>
      <c r="AQ1890" s="100"/>
      <c r="AR1890" s="100"/>
      <c r="AS1890" s="100"/>
      <c r="AT1890" s="102"/>
      <c r="AX1890" s="100"/>
      <c r="AY1890" s="101"/>
      <c r="AZ1890" s="101"/>
      <c r="BA1890" s="100"/>
      <c r="BB1890" s="100"/>
      <c r="BC1890" s="100"/>
      <c r="BD1890" s="100"/>
      <c r="BE1890" s="100"/>
      <c r="BF1890" s="100"/>
      <c r="BG1890" s="100"/>
      <c r="BH1890" s="100"/>
      <c r="BI1890" s="100"/>
      <c r="BJ1890" s="100"/>
      <c r="BK1890" s="102"/>
    </row>
    <row r="1891" spans="1:63" x14ac:dyDescent="0.25">
      <c r="A1891" s="92"/>
      <c r="B1891" s="93"/>
      <c r="C1891" s="93"/>
      <c r="D1891" s="92"/>
      <c r="E1891" s="92"/>
      <c r="F1891" s="92"/>
      <c r="G1891" s="92"/>
      <c r="H1891" s="92"/>
      <c r="I1891" s="92"/>
      <c r="J1891" s="92"/>
      <c r="K1891" s="92"/>
      <c r="L1891" s="92"/>
      <c r="M1891" s="92"/>
      <c r="N1891" s="94"/>
      <c r="AG1891" s="100"/>
      <c r="AH1891" s="101"/>
      <c r="AI1891" s="101"/>
      <c r="AJ1891" s="100"/>
      <c r="AK1891" s="100"/>
      <c r="AL1891" s="100"/>
      <c r="AM1891" s="100"/>
      <c r="AN1891" s="100"/>
      <c r="AO1891" s="100"/>
      <c r="AP1891" s="100"/>
      <c r="AQ1891" s="100"/>
      <c r="AR1891" s="100"/>
      <c r="AS1891" s="100"/>
      <c r="AT1891" s="102"/>
      <c r="AX1891" s="100"/>
      <c r="AY1891" s="101"/>
      <c r="AZ1891" s="101"/>
      <c r="BA1891" s="100"/>
      <c r="BB1891" s="100"/>
      <c r="BC1891" s="100"/>
      <c r="BD1891" s="100"/>
      <c r="BE1891" s="100"/>
      <c r="BF1891" s="100"/>
      <c r="BG1891" s="100"/>
      <c r="BH1891" s="100"/>
      <c r="BI1891" s="100"/>
      <c r="BJ1891" s="100"/>
      <c r="BK1891" s="102"/>
    </row>
    <row r="1892" spans="1:63" x14ac:dyDescent="0.25">
      <c r="A1892" s="92"/>
      <c r="B1892" s="93"/>
      <c r="C1892" s="93"/>
      <c r="D1892" s="92"/>
      <c r="E1892" s="92"/>
      <c r="F1892" s="92"/>
      <c r="G1892" s="92"/>
      <c r="H1892" s="92"/>
      <c r="I1892" s="92"/>
      <c r="J1892" s="92"/>
      <c r="K1892" s="92"/>
      <c r="L1892" s="92"/>
      <c r="M1892" s="92"/>
      <c r="N1892" s="94"/>
      <c r="AG1892" s="100"/>
      <c r="AH1892" s="101"/>
      <c r="AI1892" s="101"/>
      <c r="AJ1892" s="100"/>
      <c r="AK1892" s="100"/>
      <c r="AL1892" s="100"/>
      <c r="AM1892" s="100"/>
      <c r="AN1892" s="100"/>
      <c r="AO1892" s="100"/>
      <c r="AP1892" s="100"/>
      <c r="AQ1892" s="100"/>
      <c r="AR1892" s="100"/>
      <c r="AS1892" s="100"/>
      <c r="AT1892" s="102"/>
      <c r="AX1892" s="100"/>
      <c r="AY1892" s="101"/>
      <c r="AZ1892" s="101"/>
      <c r="BA1892" s="100"/>
      <c r="BB1892" s="100"/>
      <c r="BC1892" s="100"/>
      <c r="BD1892" s="100"/>
      <c r="BE1892" s="100"/>
      <c r="BF1892" s="100"/>
      <c r="BG1892" s="100"/>
      <c r="BH1892" s="100"/>
      <c r="BI1892" s="100"/>
      <c r="BJ1892" s="100"/>
      <c r="BK1892" s="102"/>
    </row>
    <row r="1893" spans="1:63" x14ac:dyDescent="0.25">
      <c r="A1893" s="92"/>
      <c r="B1893" s="92"/>
      <c r="C1893" s="92"/>
      <c r="D1893" s="92"/>
      <c r="E1893" s="92"/>
      <c r="F1893" s="92"/>
      <c r="G1893" s="92"/>
      <c r="H1893" s="92"/>
      <c r="I1893" s="92"/>
      <c r="J1893" s="92"/>
      <c r="K1893" s="92"/>
      <c r="L1893" s="92"/>
      <c r="M1893" s="92"/>
      <c r="N1893" s="92"/>
      <c r="AG1893" s="100"/>
      <c r="AH1893" s="101"/>
      <c r="AI1893" s="101"/>
      <c r="AJ1893" s="100"/>
      <c r="AK1893" s="100"/>
      <c r="AL1893" s="100"/>
      <c r="AM1893" s="100"/>
      <c r="AN1893" s="100"/>
      <c r="AO1893" s="100"/>
      <c r="AP1893" s="100"/>
      <c r="AQ1893" s="100"/>
      <c r="AR1893" s="100"/>
      <c r="AS1893" s="100"/>
      <c r="AT1893" s="102"/>
      <c r="AX1893" s="100"/>
      <c r="AY1893" s="101"/>
      <c r="AZ1893" s="101"/>
      <c r="BA1893" s="100"/>
      <c r="BB1893" s="100"/>
      <c r="BC1893" s="100"/>
      <c r="BD1893" s="100"/>
      <c r="BE1893" s="100"/>
      <c r="BF1893" s="100"/>
      <c r="BG1893" s="100"/>
      <c r="BH1893" s="100"/>
      <c r="BI1893" s="100"/>
      <c r="BJ1893" s="100"/>
      <c r="BK1893" s="102"/>
    </row>
    <row r="1894" spans="1:63" x14ac:dyDescent="0.25">
      <c r="A1894" s="92"/>
      <c r="B1894" s="93"/>
      <c r="C1894" s="93"/>
      <c r="D1894" s="92"/>
      <c r="E1894" s="92"/>
      <c r="F1894" s="92"/>
      <c r="G1894" s="92"/>
      <c r="H1894" s="92"/>
      <c r="I1894" s="92"/>
      <c r="J1894" s="92"/>
      <c r="K1894" s="92"/>
      <c r="L1894" s="92"/>
      <c r="M1894" s="92"/>
      <c r="N1894" s="94"/>
      <c r="AG1894" s="100"/>
      <c r="AH1894" s="101"/>
      <c r="AI1894" s="101"/>
      <c r="AJ1894" s="100"/>
      <c r="AK1894" s="100"/>
      <c r="AL1894" s="100"/>
      <c r="AM1894" s="100"/>
      <c r="AN1894" s="100"/>
      <c r="AO1894" s="100"/>
      <c r="AP1894" s="100"/>
      <c r="AQ1894" s="100"/>
      <c r="AR1894" s="100"/>
      <c r="AS1894" s="100"/>
      <c r="AT1894" s="102"/>
      <c r="AX1894" s="100"/>
      <c r="AY1894" s="101"/>
      <c r="AZ1894" s="101"/>
      <c r="BA1894" s="101"/>
      <c r="BB1894" s="100"/>
      <c r="BC1894" s="100"/>
      <c r="BD1894" s="100"/>
      <c r="BE1894" s="100"/>
      <c r="BF1894" s="100"/>
      <c r="BG1894" s="100"/>
      <c r="BH1894" s="100"/>
      <c r="BI1894" s="100"/>
      <c r="BJ1894" s="100"/>
      <c r="BK1894" s="102"/>
    </row>
    <row r="1895" spans="1:63" x14ac:dyDescent="0.25">
      <c r="A1895" s="92"/>
      <c r="B1895" s="93"/>
      <c r="C1895" s="93"/>
      <c r="D1895" s="93"/>
      <c r="E1895" s="92"/>
      <c r="F1895" s="92"/>
      <c r="G1895" s="92"/>
      <c r="H1895" s="92"/>
      <c r="I1895" s="92"/>
      <c r="J1895" s="92"/>
      <c r="K1895" s="92"/>
      <c r="L1895" s="92"/>
      <c r="M1895" s="92"/>
      <c r="N1895" s="94"/>
      <c r="AG1895" s="100"/>
      <c r="AH1895" s="101"/>
      <c r="AI1895" s="101"/>
      <c r="AJ1895" s="100"/>
      <c r="AK1895" s="100"/>
      <c r="AL1895" s="100"/>
      <c r="AM1895" s="100"/>
      <c r="AN1895" s="100"/>
      <c r="AO1895" s="100"/>
      <c r="AP1895" s="100"/>
      <c r="AQ1895" s="100"/>
      <c r="AR1895" s="100"/>
      <c r="AS1895" s="100"/>
      <c r="AT1895" s="102"/>
      <c r="AX1895" s="100"/>
      <c r="AY1895" s="101"/>
      <c r="AZ1895" s="101"/>
      <c r="BA1895" s="100"/>
      <c r="BB1895" s="100"/>
      <c r="BC1895" s="100"/>
      <c r="BD1895" s="100"/>
      <c r="BE1895" s="100"/>
      <c r="BF1895" s="100"/>
      <c r="BG1895" s="100"/>
      <c r="BH1895" s="100"/>
      <c r="BI1895" s="100"/>
      <c r="BJ1895" s="100"/>
      <c r="BK1895" s="102"/>
    </row>
    <row r="1896" spans="1:63" x14ac:dyDescent="0.25">
      <c r="A1896" s="92"/>
      <c r="B1896" s="93"/>
      <c r="C1896" s="93"/>
      <c r="D1896" s="92"/>
      <c r="E1896" s="92"/>
      <c r="F1896" s="92"/>
      <c r="G1896" s="92"/>
      <c r="H1896" s="92"/>
      <c r="I1896" s="92"/>
      <c r="J1896" s="92"/>
      <c r="K1896" s="92"/>
      <c r="L1896" s="92"/>
      <c r="M1896" s="92"/>
      <c r="N1896" s="94"/>
      <c r="AG1896" s="100"/>
      <c r="AH1896" s="101"/>
      <c r="AI1896" s="101"/>
      <c r="AJ1896" s="100"/>
      <c r="AK1896" s="100"/>
      <c r="AL1896" s="100"/>
      <c r="AM1896" s="100"/>
      <c r="AN1896" s="100"/>
      <c r="AO1896" s="100"/>
      <c r="AP1896" s="100"/>
      <c r="AQ1896" s="100"/>
      <c r="AR1896" s="100"/>
      <c r="AS1896" s="100"/>
      <c r="AT1896" s="102"/>
      <c r="AX1896" s="100"/>
      <c r="AY1896" s="101"/>
      <c r="AZ1896" s="101"/>
      <c r="BA1896" s="100"/>
      <c r="BB1896" s="100"/>
      <c r="BC1896" s="100"/>
      <c r="BD1896" s="100"/>
      <c r="BE1896" s="100"/>
      <c r="BF1896" s="100"/>
      <c r="BG1896" s="100"/>
      <c r="BH1896" s="100"/>
      <c r="BI1896" s="100"/>
      <c r="BJ1896" s="100"/>
      <c r="BK1896" s="102"/>
    </row>
    <row r="1897" spans="1:63" x14ac:dyDescent="0.25">
      <c r="A1897" s="92"/>
      <c r="B1897" s="93"/>
      <c r="C1897" s="93"/>
      <c r="D1897" s="93"/>
      <c r="E1897" s="92"/>
      <c r="F1897" s="92"/>
      <c r="G1897" s="92"/>
      <c r="H1897" s="92"/>
      <c r="I1897" s="92"/>
      <c r="J1897" s="92"/>
      <c r="K1897" s="92"/>
      <c r="L1897" s="92"/>
      <c r="M1897" s="92"/>
      <c r="N1897" s="94"/>
      <c r="AG1897" s="100"/>
      <c r="AH1897" s="101"/>
      <c r="AI1897" s="101"/>
      <c r="AJ1897" s="100"/>
      <c r="AK1897" s="100"/>
      <c r="AL1897" s="100"/>
      <c r="AM1897" s="100"/>
      <c r="AN1897" s="100"/>
      <c r="AO1897" s="100"/>
      <c r="AP1897" s="100"/>
      <c r="AQ1897" s="100"/>
      <c r="AR1897" s="100"/>
      <c r="AS1897" s="100"/>
      <c r="AT1897" s="102"/>
      <c r="AX1897" s="100"/>
      <c r="AY1897" s="101"/>
      <c r="AZ1897" s="101"/>
      <c r="BA1897" s="100"/>
      <c r="BB1897" s="100"/>
      <c r="BC1897" s="100"/>
      <c r="BD1897" s="100"/>
      <c r="BE1897" s="100"/>
      <c r="BF1897" s="100"/>
      <c r="BG1897" s="100"/>
      <c r="BH1897" s="100"/>
      <c r="BI1897" s="100"/>
      <c r="BJ1897" s="100"/>
      <c r="BK1897" s="102"/>
    </row>
    <row r="1898" spans="1:63" x14ac:dyDescent="0.25">
      <c r="A1898" s="92"/>
      <c r="B1898" s="92"/>
      <c r="C1898" s="92"/>
      <c r="D1898" s="93"/>
      <c r="E1898" s="92"/>
      <c r="F1898" s="92"/>
      <c r="G1898" s="92"/>
      <c r="H1898" s="92"/>
      <c r="I1898" s="92"/>
      <c r="J1898" s="92"/>
      <c r="K1898" s="92"/>
      <c r="L1898" s="92"/>
      <c r="M1898" s="92"/>
      <c r="N1898" s="92"/>
      <c r="AG1898" s="100"/>
      <c r="AH1898" s="101"/>
      <c r="AI1898" s="101"/>
      <c r="AJ1898" s="100"/>
      <c r="AK1898" s="100"/>
      <c r="AL1898" s="100"/>
      <c r="AM1898" s="100"/>
      <c r="AN1898" s="100"/>
      <c r="AO1898" s="100"/>
      <c r="AP1898" s="100"/>
      <c r="AQ1898" s="100"/>
      <c r="AR1898" s="100"/>
      <c r="AS1898" s="100"/>
      <c r="AT1898" s="102"/>
      <c r="AX1898" s="100"/>
      <c r="AY1898" s="101"/>
      <c r="AZ1898" s="101"/>
      <c r="BA1898" s="100"/>
      <c r="BB1898" s="100"/>
      <c r="BC1898" s="100"/>
      <c r="BD1898" s="100"/>
      <c r="BE1898" s="100"/>
      <c r="BF1898" s="100"/>
      <c r="BG1898" s="100"/>
      <c r="BH1898" s="100"/>
      <c r="BI1898" s="100"/>
      <c r="BJ1898" s="100"/>
      <c r="BK1898" s="102"/>
    </row>
    <row r="1899" spans="1:63" x14ac:dyDescent="0.25">
      <c r="A1899" s="92"/>
      <c r="B1899" s="92"/>
      <c r="C1899" s="92"/>
      <c r="D1899" s="93"/>
      <c r="E1899" s="92"/>
      <c r="F1899" s="92"/>
      <c r="G1899" s="92"/>
      <c r="H1899" s="92"/>
      <c r="I1899" s="92"/>
      <c r="J1899" s="92"/>
      <c r="K1899" s="92"/>
      <c r="L1899" s="92"/>
      <c r="M1899" s="92"/>
      <c r="N1899" s="92"/>
      <c r="AG1899" s="100"/>
      <c r="AH1899" s="101"/>
      <c r="AI1899" s="101"/>
      <c r="AJ1899" s="101"/>
      <c r="AK1899" s="100"/>
      <c r="AL1899" s="100"/>
      <c r="AM1899" s="100"/>
      <c r="AN1899" s="100"/>
      <c r="AO1899" s="100"/>
      <c r="AP1899" s="100"/>
      <c r="AQ1899" s="100"/>
      <c r="AR1899" s="100"/>
      <c r="AS1899" s="100"/>
      <c r="AT1899" s="102"/>
      <c r="AX1899" s="100"/>
      <c r="AY1899" s="101"/>
      <c r="AZ1899" s="101"/>
      <c r="BA1899" s="100"/>
      <c r="BB1899" s="100"/>
      <c r="BC1899" s="100"/>
      <c r="BD1899" s="100"/>
      <c r="BE1899" s="100"/>
      <c r="BF1899" s="100"/>
      <c r="BG1899" s="100"/>
      <c r="BH1899" s="100"/>
      <c r="BI1899" s="100"/>
      <c r="BJ1899" s="100"/>
      <c r="BK1899" s="102"/>
    </row>
    <row r="1900" spans="1:63" x14ac:dyDescent="0.25">
      <c r="A1900" s="92"/>
      <c r="B1900" s="92"/>
      <c r="C1900" s="92"/>
      <c r="D1900" s="93"/>
      <c r="E1900" s="92"/>
      <c r="F1900" s="92"/>
      <c r="G1900" s="92"/>
      <c r="H1900" s="92"/>
      <c r="I1900" s="92"/>
      <c r="J1900" s="92"/>
      <c r="K1900" s="92"/>
      <c r="L1900" s="92"/>
      <c r="M1900" s="92"/>
      <c r="N1900" s="92"/>
      <c r="AG1900" s="100"/>
      <c r="AH1900" s="101"/>
      <c r="AI1900" s="101"/>
      <c r="AJ1900" s="100"/>
      <c r="AK1900" s="100"/>
      <c r="AL1900" s="100"/>
      <c r="AM1900" s="100"/>
      <c r="AN1900" s="100"/>
      <c r="AO1900" s="100"/>
      <c r="AP1900" s="100"/>
      <c r="AQ1900" s="100"/>
      <c r="AR1900" s="100"/>
      <c r="AS1900" s="100"/>
      <c r="AT1900" s="102"/>
      <c r="AX1900" s="100"/>
      <c r="AY1900" s="101"/>
      <c r="AZ1900" s="101"/>
      <c r="BA1900" s="100"/>
      <c r="BB1900" s="100"/>
      <c r="BC1900" s="100"/>
      <c r="BD1900" s="100"/>
      <c r="BE1900" s="100"/>
      <c r="BF1900" s="100"/>
      <c r="BG1900" s="100"/>
      <c r="BH1900" s="100"/>
      <c r="BI1900" s="100"/>
      <c r="BJ1900" s="100"/>
      <c r="BK1900" s="102"/>
    </row>
    <row r="1901" spans="1:63" x14ac:dyDescent="0.25">
      <c r="A1901" s="92"/>
      <c r="B1901" s="92"/>
      <c r="C1901" s="92"/>
      <c r="D1901" s="92"/>
      <c r="E1901" s="92"/>
      <c r="F1901" s="92"/>
      <c r="G1901" s="92"/>
      <c r="H1901" s="92"/>
      <c r="I1901" s="92"/>
      <c r="J1901" s="92"/>
      <c r="K1901" s="92"/>
      <c r="L1901" s="92"/>
      <c r="M1901" s="92"/>
      <c r="N1901" s="92"/>
      <c r="AG1901" s="100"/>
      <c r="AH1901" s="101"/>
      <c r="AI1901" s="101"/>
      <c r="AJ1901" s="100"/>
      <c r="AK1901" s="100"/>
      <c r="AL1901" s="100"/>
      <c r="AM1901" s="100"/>
      <c r="AN1901" s="100"/>
      <c r="AO1901" s="100"/>
      <c r="AP1901" s="100"/>
      <c r="AQ1901" s="100"/>
      <c r="AR1901" s="100"/>
      <c r="AS1901" s="100"/>
      <c r="AT1901" s="102"/>
      <c r="AX1901" s="100"/>
      <c r="AY1901" s="101"/>
      <c r="AZ1901" s="101"/>
      <c r="BA1901" s="100"/>
      <c r="BB1901" s="100"/>
      <c r="BC1901" s="100"/>
      <c r="BD1901" s="100"/>
      <c r="BE1901" s="100"/>
      <c r="BF1901" s="100"/>
      <c r="BG1901" s="100"/>
      <c r="BH1901" s="100"/>
      <c r="BI1901" s="100"/>
      <c r="BJ1901" s="100"/>
      <c r="BK1901" s="102"/>
    </row>
    <row r="1902" spans="1:63" x14ac:dyDescent="0.25">
      <c r="A1902" s="92"/>
      <c r="B1902" s="92"/>
      <c r="C1902" s="92"/>
      <c r="D1902" s="92"/>
      <c r="E1902" s="92"/>
      <c r="F1902" s="92"/>
      <c r="G1902" s="92"/>
      <c r="H1902" s="92"/>
      <c r="I1902" s="92"/>
      <c r="J1902" s="92"/>
      <c r="K1902" s="92"/>
      <c r="L1902" s="92"/>
      <c r="M1902" s="92"/>
      <c r="N1902" s="92"/>
      <c r="AG1902" s="100"/>
      <c r="AH1902" s="101"/>
      <c r="AI1902" s="101"/>
      <c r="AJ1902" s="101"/>
      <c r="AK1902" s="100"/>
      <c r="AL1902" s="100"/>
      <c r="AM1902" s="100"/>
      <c r="AN1902" s="100"/>
      <c r="AO1902" s="100"/>
      <c r="AP1902" s="100"/>
      <c r="AQ1902" s="100"/>
      <c r="AR1902" s="100"/>
      <c r="AS1902" s="100"/>
      <c r="AT1902" s="102"/>
      <c r="AX1902" s="100"/>
      <c r="AY1902" s="101"/>
      <c r="AZ1902" s="101"/>
      <c r="BA1902" s="100"/>
      <c r="BB1902" s="100"/>
      <c r="BC1902" s="100"/>
      <c r="BD1902" s="100"/>
      <c r="BE1902" s="100"/>
      <c r="BF1902" s="100"/>
      <c r="BG1902" s="100"/>
      <c r="BH1902" s="100"/>
      <c r="BI1902" s="100"/>
      <c r="BJ1902" s="100"/>
      <c r="BK1902" s="102"/>
    </row>
    <row r="1903" spans="1:63" x14ac:dyDescent="0.25">
      <c r="A1903" s="92"/>
      <c r="B1903" s="92"/>
      <c r="C1903" s="92"/>
      <c r="D1903" s="92"/>
      <c r="E1903" s="92"/>
      <c r="F1903" s="92"/>
      <c r="G1903" s="92"/>
      <c r="H1903" s="92"/>
      <c r="I1903" s="92"/>
      <c r="J1903" s="92"/>
      <c r="K1903" s="92"/>
      <c r="L1903" s="92"/>
      <c r="M1903" s="92"/>
      <c r="N1903" s="92"/>
      <c r="AG1903" s="100"/>
      <c r="AH1903" s="101"/>
      <c r="AI1903" s="101"/>
      <c r="AJ1903" s="100"/>
      <c r="AK1903" s="100"/>
      <c r="AL1903" s="100"/>
      <c r="AM1903" s="100"/>
      <c r="AN1903" s="100"/>
      <c r="AO1903" s="100"/>
      <c r="AP1903" s="100"/>
      <c r="AQ1903" s="100"/>
      <c r="AR1903" s="100"/>
      <c r="AS1903" s="100"/>
      <c r="AT1903" s="102"/>
      <c r="AX1903" s="100"/>
      <c r="AY1903" s="101"/>
      <c r="AZ1903" s="101"/>
      <c r="BA1903" s="100"/>
      <c r="BB1903" s="100"/>
      <c r="BC1903" s="100"/>
      <c r="BD1903" s="100"/>
      <c r="BE1903" s="100"/>
      <c r="BF1903" s="100"/>
      <c r="BG1903" s="100"/>
      <c r="BH1903" s="100"/>
      <c r="BI1903" s="100"/>
      <c r="BJ1903" s="100"/>
      <c r="BK1903" s="102"/>
    </row>
    <row r="1904" spans="1:63" x14ac:dyDescent="0.25">
      <c r="A1904" s="92"/>
      <c r="B1904" s="92"/>
      <c r="C1904" s="92"/>
      <c r="D1904" s="92"/>
      <c r="E1904" s="92"/>
      <c r="F1904" s="92"/>
      <c r="G1904" s="92"/>
      <c r="H1904" s="92"/>
      <c r="I1904" s="92"/>
      <c r="J1904" s="92"/>
      <c r="K1904" s="92"/>
      <c r="L1904" s="92"/>
      <c r="M1904" s="92"/>
      <c r="N1904" s="92"/>
      <c r="AG1904" s="100"/>
      <c r="AH1904" s="101"/>
      <c r="AI1904" s="101"/>
      <c r="AJ1904" s="100"/>
      <c r="AK1904" s="100"/>
      <c r="AL1904" s="100"/>
      <c r="AM1904" s="100"/>
      <c r="AN1904" s="100"/>
      <c r="AO1904" s="100"/>
      <c r="AP1904" s="100"/>
      <c r="AQ1904" s="100"/>
      <c r="AR1904" s="100"/>
      <c r="AS1904" s="100"/>
      <c r="AT1904" s="102"/>
      <c r="AX1904" s="100"/>
      <c r="AY1904" s="101"/>
      <c r="AZ1904" s="101"/>
      <c r="BA1904" s="100"/>
      <c r="BB1904" s="100"/>
      <c r="BC1904" s="100"/>
      <c r="BD1904" s="100"/>
      <c r="BE1904" s="100"/>
      <c r="BF1904" s="100"/>
      <c r="BG1904" s="100"/>
      <c r="BH1904" s="100"/>
      <c r="BI1904" s="100"/>
      <c r="BJ1904" s="100"/>
      <c r="BK1904" s="102"/>
    </row>
    <row r="1905" spans="1:63" x14ac:dyDescent="0.25">
      <c r="A1905" s="92"/>
      <c r="B1905" s="92"/>
      <c r="C1905" s="92"/>
      <c r="D1905" s="92"/>
      <c r="E1905" s="92"/>
      <c r="F1905" s="92"/>
      <c r="G1905" s="92"/>
      <c r="H1905" s="92"/>
      <c r="I1905" s="92"/>
      <c r="J1905" s="92"/>
      <c r="K1905" s="92"/>
      <c r="L1905" s="92"/>
      <c r="M1905" s="92"/>
      <c r="N1905" s="92"/>
      <c r="AG1905" s="100"/>
      <c r="AH1905" s="101"/>
      <c r="AI1905" s="101"/>
      <c r="AJ1905" s="100"/>
      <c r="AK1905" s="100"/>
      <c r="AL1905" s="100"/>
      <c r="AM1905" s="100"/>
      <c r="AN1905" s="100"/>
      <c r="AO1905" s="100"/>
      <c r="AP1905" s="100"/>
      <c r="AQ1905" s="100"/>
      <c r="AR1905" s="100"/>
      <c r="AS1905" s="100"/>
      <c r="AT1905" s="102"/>
      <c r="AX1905" s="100"/>
      <c r="AY1905" s="101"/>
      <c r="AZ1905" s="101"/>
      <c r="BA1905" s="100"/>
      <c r="BB1905" s="100"/>
      <c r="BC1905" s="100"/>
      <c r="BD1905" s="100"/>
      <c r="BE1905" s="100"/>
      <c r="BF1905" s="100"/>
      <c r="BG1905" s="100"/>
      <c r="BH1905" s="100"/>
      <c r="BI1905" s="100"/>
      <c r="BJ1905" s="100"/>
      <c r="BK1905" s="102"/>
    </row>
    <row r="1906" spans="1:63" x14ac:dyDescent="0.25">
      <c r="A1906" s="92"/>
      <c r="B1906" s="93"/>
      <c r="C1906" s="93"/>
      <c r="D1906" s="93"/>
      <c r="E1906" s="92"/>
      <c r="F1906" s="92"/>
      <c r="G1906" s="92"/>
      <c r="H1906" s="92"/>
      <c r="I1906" s="92"/>
      <c r="J1906" s="92"/>
      <c r="K1906" s="92"/>
      <c r="L1906" s="92"/>
      <c r="M1906" s="92"/>
      <c r="N1906" s="94"/>
      <c r="AG1906" s="100"/>
      <c r="AH1906" s="101"/>
      <c r="AI1906" s="101"/>
      <c r="AJ1906" s="100"/>
      <c r="AK1906" s="100"/>
      <c r="AL1906" s="100"/>
      <c r="AM1906" s="100"/>
      <c r="AN1906" s="100"/>
      <c r="AO1906" s="100"/>
      <c r="AP1906" s="100"/>
      <c r="AQ1906" s="100"/>
      <c r="AR1906" s="100"/>
      <c r="AS1906" s="100"/>
      <c r="AT1906" s="102"/>
      <c r="AX1906" s="100"/>
      <c r="AY1906" s="101"/>
      <c r="AZ1906" s="101"/>
      <c r="BA1906" s="100"/>
      <c r="BB1906" s="100"/>
      <c r="BC1906" s="100"/>
      <c r="BD1906" s="100"/>
      <c r="BE1906" s="100"/>
      <c r="BF1906" s="100"/>
      <c r="BG1906" s="100"/>
      <c r="BH1906" s="100"/>
      <c r="BI1906" s="100"/>
      <c r="BJ1906" s="100"/>
      <c r="BK1906" s="102"/>
    </row>
    <row r="1907" spans="1:63" x14ac:dyDescent="0.25">
      <c r="A1907" s="92"/>
      <c r="B1907" s="92"/>
      <c r="C1907" s="92"/>
      <c r="D1907" s="92"/>
      <c r="E1907" s="92"/>
      <c r="F1907" s="92"/>
      <c r="G1907" s="92"/>
      <c r="H1907" s="92"/>
      <c r="I1907" s="92"/>
      <c r="J1907" s="92"/>
      <c r="K1907" s="92"/>
      <c r="L1907" s="92"/>
      <c r="M1907" s="92"/>
      <c r="N1907" s="92"/>
      <c r="AG1907" s="100"/>
      <c r="AH1907" s="101"/>
      <c r="AI1907" s="101"/>
      <c r="AJ1907" s="100"/>
      <c r="AK1907" s="100"/>
      <c r="AL1907" s="100"/>
      <c r="AM1907" s="100"/>
      <c r="AN1907" s="100"/>
      <c r="AO1907" s="100"/>
      <c r="AP1907" s="100"/>
      <c r="AQ1907" s="100"/>
      <c r="AR1907" s="100"/>
      <c r="AS1907" s="100"/>
      <c r="AT1907" s="102"/>
      <c r="AX1907" s="100"/>
      <c r="AY1907" s="101"/>
      <c r="AZ1907" s="101"/>
      <c r="BA1907" s="100"/>
      <c r="BB1907" s="100"/>
      <c r="BC1907" s="100"/>
      <c r="BD1907" s="100"/>
      <c r="BE1907" s="100"/>
      <c r="BF1907" s="100"/>
      <c r="BG1907" s="100"/>
      <c r="BH1907" s="100"/>
      <c r="BI1907" s="100"/>
      <c r="BJ1907" s="100"/>
      <c r="BK1907" s="102"/>
    </row>
    <row r="1908" spans="1:63" x14ac:dyDescent="0.25">
      <c r="A1908" s="92"/>
      <c r="B1908" s="92"/>
      <c r="C1908" s="92"/>
      <c r="D1908" s="92"/>
      <c r="E1908" s="92"/>
      <c r="F1908" s="92"/>
      <c r="G1908" s="92"/>
      <c r="H1908" s="92"/>
      <c r="I1908" s="92"/>
      <c r="J1908" s="92"/>
      <c r="K1908" s="92"/>
      <c r="L1908" s="92"/>
      <c r="M1908" s="92"/>
      <c r="N1908" s="92"/>
      <c r="AG1908" s="100"/>
      <c r="AH1908" s="101"/>
      <c r="AI1908" s="101"/>
      <c r="AJ1908" s="100"/>
      <c r="AK1908" s="100"/>
      <c r="AL1908" s="100"/>
      <c r="AM1908" s="100"/>
      <c r="AN1908" s="100"/>
      <c r="AO1908" s="100"/>
      <c r="AP1908" s="100"/>
      <c r="AQ1908" s="100"/>
      <c r="AR1908" s="100"/>
      <c r="AS1908" s="100"/>
      <c r="AT1908" s="102"/>
      <c r="AX1908" s="100"/>
      <c r="AY1908" s="101"/>
      <c r="AZ1908" s="101"/>
      <c r="BA1908" s="100"/>
      <c r="BB1908" s="100"/>
      <c r="BC1908" s="100"/>
      <c r="BD1908" s="100"/>
      <c r="BE1908" s="100"/>
      <c r="BF1908" s="100"/>
      <c r="BG1908" s="100"/>
      <c r="BH1908" s="100"/>
      <c r="BI1908" s="100"/>
      <c r="BJ1908" s="100"/>
      <c r="BK1908" s="102"/>
    </row>
    <row r="1909" spans="1:63" x14ac:dyDescent="0.25">
      <c r="A1909" s="92"/>
      <c r="B1909" s="93"/>
      <c r="C1909" s="93"/>
      <c r="D1909" s="92"/>
      <c r="E1909" s="92"/>
      <c r="F1909" s="92"/>
      <c r="G1909" s="92"/>
      <c r="H1909" s="92"/>
      <c r="I1909" s="92"/>
      <c r="J1909" s="92"/>
      <c r="K1909" s="92"/>
      <c r="L1909" s="92"/>
      <c r="M1909" s="92"/>
      <c r="N1909" s="94"/>
      <c r="AG1909" s="100"/>
      <c r="AH1909" s="101"/>
      <c r="AI1909" s="101"/>
      <c r="AJ1909" s="100"/>
      <c r="AK1909" s="100"/>
      <c r="AL1909" s="100"/>
      <c r="AM1909" s="100"/>
      <c r="AN1909" s="100"/>
      <c r="AO1909" s="100"/>
      <c r="AP1909" s="100"/>
      <c r="AQ1909" s="100"/>
      <c r="AR1909" s="100"/>
      <c r="AS1909" s="100"/>
      <c r="AT1909" s="102"/>
      <c r="AX1909" s="100"/>
      <c r="AY1909" s="101"/>
      <c r="AZ1909" s="101"/>
      <c r="BA1909" s="100"/>
      <c r="BB1909" s="100"/>
      <c r="BC1909" s="100"/>
      <c r="BD1909" s="100"/>
      <c r="BE1909" s="100"/>
      <c r="BF1909" s="100"/>
      <c r="BG1909" s="100"/>
      <c r="BH1909" s="100"/>
      <c r="BI1909" s="100"/>
      <c r="BJ1909" s="100"/>
      <c r="BK1909" s="102"/>
    </row>
    <row r="1910" spans="1:63" x14ac:dyDescent="0.25">
      <c r="A1910" s="92"/>
      <c r="B1910" s="93"/>
      <c r="C1910" s="93"/>
      <c r="D1910" s="92"/>
      <c r="E1910" s="92"/>
      <c r="F1910" s="92"/>
      <c r="G1910" s="92"/>
      <c r="H1910" s="92"/>
      <c r="I1910" s="92"/>
      <c r="J1910" s="92"/>
      <c r="K1910" s="92"/>
      <c r="L1910" s="92"/>
      <c r="M1910" s="92"/>
      <c r="N1910" s="94"/>
      <c r="AG1910" s="100"/>
      <c r="AH1910" s="101"/>
      <c r="AI1910" s="101"/>
      <c r="AJ1910" s="101"/>
      <c r="AK1910" s="100"/>
      <c r="AL1910" s="100"/>
      <c r="AM1910" s="100"/>
      <c r="AN1910" s="100"/>
      <c r="AO1910" s="100"/>
      <c r="AP1910" s="100"/>
      <c r="AQ1910" s="100"/>
      <c r="AR1910" s="100"/>
      <c r="AS1910" s="100"/>
      <c r="AT1910" s="102"/>
      <c r="AX1910" s="100"/>
      <c r="AY1910" s="101"/>
      <c r="AZ1910" s="101"/>
      <c r="BA1910" s="101"/>
      <c r="BB1910" s="100"/>
      <c r="BC1910" s="100"/>
      <c r="BD1910" s="100"/>
      <c r="BE1910" s="100"/>
      <c r="BF1910" s="100"/>
      <c r="BG1910" s="100"/>
      <c r="BH1910" s="100"/>
      <c r="BI1910" s="100"/>
      <c r="BJ1910" s="100"/>
      <c r="BK1910" s="102"/>
    </row>
    <row r="1911" spans="1:63" x14ac:dyDescent="0.25">
      <c r="A1911" s="92"/>
      <c r="B1911" s="93"/>
      <c r="C1911" s="93"/>
      <c r="D1911" s="92"/>
      <c r="E1911" s="92"/>
      <c r="F1911" s="92"/>
      <c r="G1911" s="92"/>
      <c r="H1911" s="92"/>
      <c r="I1911" s="92"/>
      <c r="J1911" s="92"/>
      <c r="K1911" s="92"/>
      <c r="L1911" s="92"/>
      <c r="M1911" s="92"/>
      <c r="N1911" s="94"/>
      <c r="AG1911" s="100"/>
      <c r="AH1911" s="101"/>
      <c r="AI1911" s="101"/>
      <c r="AJ1911" s="100"/>
      <c r="AK1911" s="100"/>
      <c r="AL1911" s="100"/>
      <c r="AM1911" s="100"/>
      <c r="AN1911" s="100"/>
      <c r="AO1911" s="100"/>
      <c r="AP1911" s="100"/>
      <c r="AQ1911" s="100"/>
      <c r="AR1911" s="100"/>
      <c r="AS1911" s="100"/>
      <c r="AT1911" s="102"/>
      <c r="AX1911" s="100"/>
      <c r="AY1911" s="101"/>
      <c r="AZ1911" s="101"/>
      <c r="BA1911" s="100"/>
      <c r="BB1911" s="100"/>
      <c r="BC1911" s="100"/>
      <c r="BD1911" s="100"/>
      <c r="BE1911" s="100"/>
      <c r="BF1911" s="100"/>
      <c r="BG1911" s="100"/>
      <c r="BH1911" s="100"/>
      <c r="BI1911" s="100"/>
      <c r="BJ1911" s="100"/>
      <c r="BK1911" s="102"/>
    </row>
    <row r="1912" spans="1:63" x14ac:dyDescent="0.25">
      <c r="A1912" s="92"/>
      <c r="B1912" s="93"/>
      <c r="C1912" s="93"/>
      <c r="D1912" s="92"/>
      <c r="E1912" s="92"/>
      <c r="F1912" s="92"/>
      <c r="G1912" s="92"/>
      <c r="H1912" s="92"/>
      <c r="I1912" s="92"/>
      <c r="J1912" s="92"/>
      <c r="K1912" s="92"/>
      <c r="L1912" s="92"/>
      <c r="M1912" s="92"/>
      <c r="N1912" s="94"/>
      <c r="AG1912" s="100"/>
      <c r="AH1912" s="101"/>
      <c r="AI1912" s="101"/>
      <c r="AJ1912" s="100"/>
      <c r="AK1912" s="100"/>
      <c r="AL1912" s="100"/>
      <c r="AM1912" s="100"/>
      <c r="AN1912" s="100"/>
      <c r="AO1912" s="100"/>
      <c r="AP1912" s="100"/>
      <c r="AQ1912" s="100"/>
      <c r="AR1912" s="100"/>
      <c r="AS1912" s="100"/>
      <c r="AT1912" s="102"/>
      <c r="AX1912" s="100"/>
      <c r="AY1912" s="101"/>
      <c r="AZ1912" s="101"/>
      <c r="BA1912" s="100"/>
      <c r="BB1912" s="100"/>
      <c r="BC1912" s="100"/>
      <c r="BD1912" s="100"/>
      <c r="BE1912" s="100"/>
      <c r="BF1912" s="100"/>
      <c r="BG1912" s="100"/>
      <c r="BH1912" s="100"/>
      <c r="BI1912" s="100"/>
      <c r="BJ1912" s="100"/>
      <c r="BK1912" s="102"/>
    </row>
    <row r="1913" spans="1:63" x14ac:dyDescent="0.25">
      <c r="A1913" s="92"/>
      <c r="B1913" s="93"/>
      <c r="C1913" s="93"/>
      <c r="D1913" s="92"/>
      <c r="E1913" s="92"/>
      <c r="F1913" s="92"/>
      <c r="G1913" s="92"/>
      <c r="H1913" s="92"/>
      <c r="I1913" s="92"/>
      <c r="J1913" s="92"/>
      <c r="K1913" s="92"/>
      <c r="L1913" s="92"/>
      <c r="M1913" s="92"/>
      <c r="N1913" s="94"/>
      <c r="AG1913" s="100"/>
      <c r="AH1913" s="101"/>
      <c r="AI1913" s="101"/>
      <c r="AJ1913" s="100"/>
      <c r="AK1913" s="100"/>
      <c r="AL1913" s="100"/>
      <c r="AM1913" s="100"/>
      <c r="AN1913" s="100"/>
      <c r="AO1913" s="100"/>
      <c r="AP1913" s="100"/>
      <c r="AQ1913" s="100"/>
      <c r="AR1913" s="100"/>
      <c r="AS1913" s="100"/>
      <c r="AT1913" s="102"/>
      <c r="AX1913" s="100"/>
      <c r="AY1913" s="101"/>
      <c r="AZ1913" s="101"/>
      <c r="BA1913" s="100"/>
      <c r="BB1913" s="100"/>
      <c r="BC1913" s="100"/>
      <c r="BD1913" s="100"/>
      <c r="BE1913" s="100"/>
      <c r="BF1913" s="100"/>
      <c r="BG1913" s="100"/>
      <c r="BH1913" s="100"/>
      <c r="BI1913" s="100"/>
      <c r="BJ1913" s="100"/>
      <c r="BK1913" s="102"/>
    </row>
    <row r="1914" spans="1:63" x14ac:dyDescent="0.25">
      <c r="A1914" s="92"/>
      <c r="B1914" s="93"/>
      <c r="C1914" s="93"/>
      <c r="D1914" s="92"/>
      <c r="E1914" s="92"/>
      <c r="F1914" s="92"/>
      <c r="G1914" s="92"/>
      <c r="H1914" s="92"/>
      <c r="I1914" s="92"/>
      <c r="J1914" s="92"/>
      <c r="K1914" s="92"/>
      <c r="L1914" s="92"/>
      <c r="M1914" s="92"/>
      <c r="N1914" s="94"/>
      <c r="AG1914" s="100"/>
      <c r="AH1914" s="101"/>
      <c r="AI1914" s="101"/>
      <c r="AJ1914" s="101"/>
      <c r="AK1914" s="100"/>
      <c r="AL1914" s="100"/>
      <c r="AM1914" s="100"/>
      <c r="AN1914" s="100"/>
      <c r="AO1914" s="100"/>
      <c r="AP1914" s="100"/>
      <c r="AQ1914" s="100"/>
      <c r="AR1914" s="100"/>
      <c r="AS1914" s="100"/>
      <c r="AT1914" s="102"/>
      <c r="AX1914" s="100"/>
      <c r="AY1914" s="101"/>
      <c r="AZ1914" s="101"/>
      <c r="BA1914" s="100"/>
      <c r="BB1914" s="100"/>
      <c r="BC1914" s="100"/>
      <c r="BD1914" s="100"/>
      <c r="BE1914" s="100"/>
      <c r="BF1914" s="100"/>
      <c r="BG1914" s="100"/>
      <c r="BH1914" s="100"/>
      <c r="BI1914" s="100"/>
      <c r="BJ1914" s="100"/>
      <c r="BK1914" s="102"/>
    </row>
    <row r="1915" spans="1:63" x14ac:dyDescent="0.25">
      <c r="A1915" s="92"/>
      <c r="B1915" s="93"/>
      <c r="C1915" s="93"/>
      <c r="D1915" s="92"/>
      <c r="E1915" s="92"/>
      <c r="F1915" s="92"/>
      <c r="G1915" s="92"/>
      <c r="H1915" s="92"/>
      <c r="I1915" s="92"/>
      <c r="J1915" s="92"/>
      <c r="K1915" s="92"/>
      <c r="L1915" s="92"/>
      <c r="M1915" s="92"/>
      <c r="N1915" s="94"/>
      <c r="AG1915" s="100"/>
      <c r="AH1915" s="101"/>
      <c r="AI1915" s="101"/>
      <c r="AJ1915" s="100"/>
      <c r="AK1915" s="100"/>
      <c r="AL1915" s="100"/>
      <c r="AM1915" s="100"/>
      <c r="AN1915" s="100"/>
      <c r="AO1915" s="100"/>
      <c r="AP1915" s="100"/>
      <c r="AQ1915" s="100"/>
      <c r="AR1915" s="100"/>
      <c r="AS1915" s="100"/>
      <c r="AT1915" s="102"/>
      <c r="AX1915" s="100"/>
      <c r="AY1915" s="101"/>
      <c r="AZ1915" s="101"/>
      <c r="BA1915" s="100"/>
      <c r="BB1915" s="100"/>
      <c r="BC1915" s="100"/>
      <c r="BD1915" s="100"/>
      <c r="BE1915" s="100"/>
      <c r="BF1915" s="100"/>
      <c r="BG1915" s="100"/>
      <c r="BH1915" s="100"/>
      <c r="BI1915" s="100"/>
      <c r="BJ1915" s="100"/>
      <c r="BK1915" s="102"/>
    </row>
    <row r="1916" spans="1:63" x14ac:dyDescent="0.25">
      <c r="A1916" s="92"/>
      <c r="B1916" s="93"/>
      <c r="C1916" s="93"/>
      <c r="D1916" s="92"/>
      <c r="E1916" s="92"/>
      <c r="F1916" s="92"/>
      <c r="G1916" s="92"/>
      <c r="H1916" s="92"/>
      <c r="I1916" s="92"/>
      <c r="J1916" s="92"/>
      <c r="K1916" s="92"/>
      <c r="L1916" s="92"/>
      <c r="M1916" s="92"/>
      <c r="N1916" s="94"/>
      <c r="AG1916" s="100"/>
      <c r="AH1916" s="101"/>
      <c r="AI1916" s="101"/>
      <c r="AJ1916" s="100"/>
      <c r="AK1916" s="100"/>
      <c r="AL1916" s="100"/>
      <c r="AM1916" s="100"/>
      <c r="AN1916" s="100"/>
      <c r="AO1916" s="100"/>
      <c r="AP1916" s="100"/>
      <c r="AQ1916" s="100"/>
      <c r="AR1916" s="100"/>
      <c r="AS1916" s="100"/>
      <c r="AT1916" s="102"/>
      <c r="AX1916" s="100"/>
      <c r="AY1916" s="101"/>
      <c r="AZ1916" s="101"/>
      <c r="BA1916" s="100"/>
      <c r="BB1916" s="100"/>
      <c r="BC1916" s="100"/>
      <c r="BD1916" s="100"/>
      <c r="BE1916" s="100"/>
      <c r="BF1916" s="100"/>
      <c r="BG1916" s="100"/>
      <c r="BH1916" s="100"/>
      <c r="BI1916" s="100"/>
      <c r="BJ1916" s="100"/>
      <c r="BK1916" s="102"/>
    </row>
    <row r="1917" spans="1:63" x14ac:dyDescent="0.25">
      <c r="A1917" s="92"/>
      <c r="B1917" s="93"/>
      <c r="C1917" s="93"/>
      <c r="D1917" s="92"/>
      <c r="E1917" s="92"/>
      <c r="F1917" s="92"/>
      <c r="G1917" s="92"/>
      <c r="H1917" s="92"/>
      <c r="I1917" s="92"/>
      <c r="J1917" s="92"/>
      <c r="K1917" s="92"/>
      <c r="L1917" s="92"/>
      <c r="M1917" s="92"/>
      <c r="N1917" s="94"/>
      <c r="AG1917" s="100"/>
      <c r="AH1917" s="101"/>
      <c r="AI1917" s="101"/>
      <c r="AJ1917" s="100"/>
      <c r="AK1917" s="100"/>
      <c r="AL1917" s="100"/>
      <c r="AM1917" s="100"/>
      <c r="AN1917" s="100"/>
      <c r="AO1917" s="100"/>
      <c r="AP1917" s="100"/>
      <c r="AQ1917" s="100"/>
      <c r="AR1917" s="100"/>
      <c r="AS1917" s="100"/>
      <c r="AT1917" s="102"/>
      <c r="AX1917" s="100"/>
      <c r="AY1917" s="101"/>
      <c r="AZ1917" s="101"/>
      <c r="BA1917" s="100"/>
      <c r="BB1917" s="100"/>
      <c r="BC1917" s="100"/>
      <c r="BD1917" s="100"/>
      <c r="BE1917" s="100"/>
      <c r="BF1917" s="100"/>
      <c r="BG1917" s="100"/>
      <c r="BH1917" s="100"/>
      <c r="BI1917" s="100"/>
      <c r="BJ1917" s="100"/>
      <c r="BK1917" s="102"/>
    </row>
    <row r="1918" spans="1:63" x14ac:dyDescent="0.25">
      <c r="A1918" s="92"/>
      <c r="B1918" s="93"/>
      <c r="C1918" s="93"/>
      <c r="D1918" s="92"/>
      <c r="E1918" s="92"/>
      <c r="F1918" s="92"/>
      <c r="G1918" s="92"/>
      <c r="H1918" s="92"/>
      <c r="I1918" s="92"/>
      <c r="J1918" s="92"/>
      <c r="K1918" s="92"/>
      <c r="L1918" s="92"/>
      <c r="M1918" s="92"/>
      <c r="N1918" s="94"/>
      <c r="AG1918" s="100"/>
      <c r="AH1918" s="101"/>
      <c r="AI1918" s="101"/>
      <c r="AJ1918" s="100"/>
      <c r="AK1918" s="100"/>
      <c r="AL1918" s="100"/>
      <c r="AM1918" s="100"/>
      <c r="AN1918" s="100"/>
      <c r="AO1918" s="100"/>
      <c r="AP1918" s="100"/>
      <c r="AQ1918" s="100"/>
      <c r="AR1918" s="100"/>
      <c r="AS1918" s="100"/>
      <c r="AT1918" s="102"/>
      <c r="AX1918" s="100"/>
      <c r="AY1918" s="101"/>
      <c r="AZ1918" s="101"/>
      <c r="BA1918" s="100"/>
      <c r="BB1918" s="100"/>
      <c r="BC1918" s="100"/>
      <c r="BD1918" s="100"/>
      <c r="BE1918" s="100"/>
      <c r="BF1918" s="100"/>
      <c r="BG1918" s="100"/>
      <c r="BH1918" s="100"/>
      <c r="BI1918" s="100"/>
      <c r="BJ1918" s="100"/>
      <c r="BK1918" s="102"/>
    </row>
    <row r="1919" spans="1:63" x14ac:dyDescent="0.25">
      <c r="A1919" s="92"/>
      <c r="B1919" s="93"/>
      <c r="C1919" s="93"/>
      <c r="D1919" s="92"/>
      <c r="E1919" s="92"/>
      <c r="F1919" s="92"/>
      <c r="G1919" s="92"/>
      <c r="H1919" s="92"/>
      <c r="I1919" s="92"/>
      <c r="J1919" s="92"/>
      <c r="K1919" s="92"/>
      <c r="L1919" s="92"/>
      <c r="M1919" s="92"/>
      <c r="N1919" s="94"/>
      <c r="AG1919" s="100"/>
      <c r="AH1919" s="101"/>
      <c r="AI1919" s="101"/>
      <c r="AJ1919" s="100"/>
      <c r="AK1919" s="100"/>
      <c r="AL1919" s="100"/>
      <c r="AM1919" s="100"/>
      <c r="AN1919" s="100"/>
      <c r="AO1919" s="100"/>
      <c r="AP1919" s="100"/>
      <c r="AQ1919" s="100"/>
      <c r="AR1919" s="100"/>
      <c r="AS1919" s="100"/>
      <c r="AT1919" s="102"/>
      <c r="AX1919" s="100"/>
      <c r="AY1919" s="101"/>
      <c r="AZ1919" s="101"/>
      <c r="BA1919" s="101"/>
      <c r="BB1919" s="100"/>
      <c r="BC1919" s="100"/>
      <c r="BD1919" s="100"/>
      <c r="BE1919" s="100"/>
      <c r="BF1919" s="100"/>
      <c r="BG1919" s="100"/>
      <c r="BH1919" s="100"/>
      <c r="BI1919" s="100"/>
      <c r="BJ1919" s="100"/>
      <c r="BK1919" s="102"/>
    </row>
    <row r="1920" spans="1:63" x14ac:dyDescent="0.25">
      <c r="A1920" s="92"/>
      <c r="B1920" s="93"/>
      <c r="C1920" s="93"/>
      <c r="D1920" s="92"/>
      <c r="E1920" s="92"/>
      <c r="F1920" s="92"/>
      <c r="G1920" s="92"/>
      <c r="H1920" s="92"/>
      <c r="I1920" s="92"/>
      <c r="J1920" s="92"/>
      <c r="K1920" s="92"/>
      <c r="L1920" s="92"/>
      <c r="M1920" s="92"/>
      <c r="N1920" s="94"/>
      <c r="AG1920" s="100"/>
      <c r="AH1920" s="101"/>
      <c r="AI1920" s="101"/>
      <c r="AJ1920" s="100"/>
      <c r="AK1920" s="100"/>
      <c r="AL1920" s="100"/>
      <c r="AM1920" s="100"/>
      <c r="AN1920" s="100"/>
      <c r="AO1920" s="100"/>
      <c r="AP1920" s="100"/>
      <c r="AQ1920" s="100"/>
      <c r="AR1920" s="100"/>
      <c r="AS1920" s="100"/>
      <c r="AT1920" s="102"/>
      <c r="AX1920" s="100"/>
      <c r="AY1920" s="101"/>
      <c r="AZ1920" s="101"/>
      <c r="BA1920" s="100"/>
      <c r="BB1920" s="100"/>
      <c r="BC1920" s="100"/>
      <c r="BD1920" s="100"/>
      <c r="BE1920" s="100"/>
      <c r="BF1920" s="100"/>
      <c r="BG1920" s="100"/>
      <c r="BH1920" s="100"/>
      <c r="BI1920" s="100"/>
      <c r="BJ1920" s="100"/>
      <c r="BK1920" s="102"/>
    </row>
    <row r="1921" spans="1:63" x14ac:dyDescent="0.25">
      <c r="A1921" s="92"/>
      <c r="B1921" s="93"/>
      <c r="C1921" s="93"/>
      <c r="D1921" s="92"/>
      <c r="E1921" s="92"/>
      <c r="F1921" s="92"/>
      <c r="G1921" s="92"/>
      <c r="H1921" s="92"/>
      <c r="I1921" s="92"/>
      <c r="J1921" s="92"/>
      <c r="K1921" s="92"/>
      <c r="L1921" s="92"/>
      <c r="M1921" s="92"/>
      <c r="N1921" s="94"/>
      <c r="AG1921" s="100"/>
      <c r="AH1921" s="101"/>
      <c r="AI1921" s="101"/>
      <c r="AJ1921" s="100"/>
      <c r="AK1921" s="100"/>
      <c r="AL1921" s="100"/>
      <c r="AM1921" s="100"/>
      <c r="AN1921" s="100"/>
      <c r="AO1921" s="100"/>
      <c r="AP1921" s="100"/>
      <c r="AQ1921" s="100"/>
      <c r="AR1921" s="100"/>
      <c r="AS1921" s="100"/>
      <c r="AT1921" s="102"/>
      <c r="AX1921" s="100"/>
      <c r="AY1921" s="101"/>
      <c r="AZ1921" s="101"/>
      <c r="BA1921" s="100"/>
      <c r="BB1921" s="100"/>
      <c r="BC1921" s="100"/>
      <c r="BD1921" s="100"/>
      <c r="BE1921" s="100"/>
      <c r="BF1921" s="100"/>
      <c r="BG1921" s="100"/>
      <c r="BH1921" s="100"/>
      <c r="BI1921" s="100"/>
      <c r="BJ1921" s="100"/>
      <c r="BK1921" s="102"/>
    </row>
    <row r="1922" spans="1:63" x14ac:dyDescent="0.25">
      <c r="A1922" s="92"/>
      <c r="B1922" s="93"/>
      <c r="C1922" s="93"/>
      <c r="D1922" s="92"/>
      <c r="E1922" s="92"/>
      <c r="F1922" s="92"/>
      <c r="G1922" s="92"/>
      <c r="H1922" s="92"/>
      <c r="I1922" s="92"/>
      <c r="J1922" s="92"/>
      <c r="K1922" s="92"/>
      <c r="L1922" s="92"/>
      <c r="M1922" s="92"/>
      <c r="N1922" s="94"/>
      <c r="AG1922" s="100"/>
      <c r="AH1922" s="101"/>
      <c r="AI1922" s="101"/>
      <c r="AJ1922" s="100"/>
      <c r="AK1922" s="100"/>
      <c r="AL1922" s="100"/>
      <c r="AM1922" s="100"/>
      <c r="AN1922" s="100"/>
      <c r="AO1922" s="100"/>
      <c r="AP1922" s="100"/>
      <c r="AQ1922" s="100"/>
      <c r="AR1922" s="100"/>
      <c r="AS1922" s="100"/>
      <c r="AT1922" s="102"/>
      <c r="AX1922" s="100"/>
      <c r="AY1922" s="101"/>
      <c r="AZ1922" s="101"/>
      <c r="BA1922" s="101"/>
      <c r="BB1922" s="100"/>
      <c r="BC1922" s="100"/>
      <c r="BD1922" s="100"/>
      <c r="BE1922" s="100"/>
      <c r="BF1922" s="100"/>
      <c r="BG1922" s="100"/>
      <c r="BH1922" s="100"/>
      <c r="BI1922" s="100"/>
      <c r="BJ1922" s="100"/>
      <c r="BK1922" s="102"/>
    </row>
    <row r="1923" spans="1:63" x14ac:dyDescent="0.25">
      <c r="A1923" s="92"/>
      <c r="B1923" s="93"/>
      <c r="C1923" s="93"/>
      <c r="D1923" s="92"/>
      <c r="E1923" s="92"/>
      <c r="F1923" s="92"/>
      <c r="G1923" s="92"/>
      <c r="H1923" s="92"/>
      <c r="I1923" s="92"/>
      <c r="J1923" s="92"/>
      <c r="K1923" s="92"/>
      <c r="L1923" s="92"/>
      <c r="M1923" s="92"/>
      <c r="N1923" s="94"/>
      <c r="AG1923" s="100"/>
      <c r="AH1923" s="101"/>
      <c r="AI1923" s="101"/>
      <c r="AJ1923" s="100"/>
      <c r="AK1923" s="100"/>
      <c r="AL1923" s="100"/>
      <c r="AM1923" s="100"/>
      <c r="AN1923" s="100"/>
      <c r="AO1923" s="100"/>
      <c r="AP1923" s="100"/>
      <c r="AQ1923" s="100"/>
      <c r="AR1923" s="100"/>
      <c r="AS1923" s="100"/>
      <c r="AT1923" s="102"/>
      <c r="AX1923" s="100"/>
      <c r="AY1923" s="101"/>
      <c r="AZ1923" s="101"/>
      <c r="BA1923" s="100"/>
      <c r="BB1923" s="100"/>
      <c r="BC1923" s="100"/>
      <c r="BD1923" s="100"/>
      <c r="BE1923" s="100"/>
      <c r="BF1923" s="100"/>
      <c r="BG1923" s="100"/>
      <c r="BH1923" s="100"/>
      <c r="BI1923" s="100"/>
      <c r="BJ1923" s="100"/>
      <c r="BK1923" s="102"/>
    </row>
    <row r="1924" spans="1:63" x14ac:dyDescent="0.25">
      <c r="A1924" s="92"/>
      <c r="B1924" s="93"/>
      <c r="C1924" s="93"/>
      <c r="D1924" s="92"/>
      <c r="E1924" s="92"/>
      <c r="F1924" s="92"/>
      <c r="G1924" s="92"/>
      <c r="H1924" s="92"/>
      <c r="I1924" s="92"/>
      <c r="J1924" s="92"/>
      <c r="K1924" s="92"/>
      <c r="L1924" s="92"/>
      <c r="M1924" s="92"/>
      <c r="N1924" s="94"/>
      <c r="AG1924" s="100"/>
      <c r="AH1924" s="101"/>
      <c r="AI1924" s="101"/>
      <c r="AJ1924" s="101"/>
      <c r="AK1924" s="100"/>
      <c r="AL1924" s="100"/>
      <c r="AM1924" s="100"/>
      <c r="AN1924" s="100"/>
      <c r="AO1924" s="100"/>
      <c r="AP1924" s="100"/>
      <c r="AQ1924" s="100"/>
      <c r="AR1924" s="100"/>
      <c r="AS1924" s="100"/>
      <c r="AT1924" s="102"/>
      <c r="AX1924" s="100"/>
      <c r="AY1924" s="101"/>
      <c r="AZ1924" s="101"/>
      <c r="BA1924" s="100"/>
      <c r="BB1924" s="100"/>
      <c r="BC1924" s="100"/>
      <c r="BD1924" s="100"/>
      <c r="BE1924" s="100"/>
      <c r="BF1924" s="100"/>
      <c r="BG1924" s="100"/>
      <c r="BH1924" s="100"/>
      <c r="BI1924" s="100"/>
      <c r="BJ1924" s="100"/>
      <c r="BK1924" s="102"/>
    </row>
    <row r="1925" spans="1:63" x14ac:dyDescent="0.25">
      <c r="A1925" s="92"/>
      <c r="B1925" s="93"/>
      <c r="C1925" s="93"/>
      <c r="D1925" s="92"/>
      <c r="E1925" s="92"/>
      <c r="F1925" s="92"/>
      <c r="G1925" s="92"/>
      <c r="H1925" s="92"/>
      <c r="I1925" s="92"/>
      <c r="J1925" s="92"/>
      <c r="K1925" s="92"/>
      <c r="L1925" s="92"/>
      <c r="M1925" s="92"/>
      <c r="N1925" s="94"/>
      <c r="AG1925" s="100"/>
      <c r="AH1925" s="101"/>
      <c r="AI1925" s="101"/>
      <c r="AJ1925" s="100"/>
      <c r="AK1925" s="100"/>
      <c r="AL1925" s="100"/>
      <c r="AM1925" s="100"/>
      <c r="AN1925" s="100"/>
      <c r="AO1925" s="100"/>
      <c r="AP1925" s="100"/>
      <c r="AQ1925" s="100"/>
      <c r="AR1925" s="100"/>
      <c r="AS1925" s="100"/>
      <c r="AT1925" s="102"/>
      <c r="AX1925" s="100"/>
      <c r="AY1925" s="101"/>
      <c r="AZ1925" s="101"/>
      <c r="BA1925" s="100"/>
      <c r="BB1925" s="100"/>
      <c r="BC1925" s="100"/>
      <c r="BD1925" s="100"/>
      <c r="BE1925" s="100"/>
      <c r="BF1925" s="100"/>
      <c r="BG1925" s="100"/>
      <c r="BH1925" s="100"/>
      <c r="BI1925" s="100"/>
      <c r="BJ1925" s="100"/>
      <c r="BK1925" s="102"/>
    </row>
    <row r="1926" spans="1:63" x14ac:dyDescent="0.25">
      <c r="A1926" s="92"/>
      <c r="B1926" s="93"/>
      <c r="C1926" s="93"/>
      <c r="D1926" s="92"/>
      <c r="E1926" s="92"/>
      <c r="F1926" s="92"/>
      <c r="G1926" s="92"/>
      <c r="H1926" s="92"/>
      <c r="I1926" s="92"/>
      <c r="J1926" s="92"/>
      <c r="K1926" s="92"/>
      <c r="L1926" s="92"/>
      <c r="M1926" s="92"/>
      <c r="N1926" s="94"/>
      <c r="AG1926" s="100"/>
      <c r="AH1926" s="101"/>
      <c r="AI1926" s="101"/>
      <c r="AJ1926" s="101"/>
      <c r="AK1926" s="100"/>
      <c r="AL1926" s="100"/>
      <c r="AM1926" s="100"/>
      <c r="AN1926" s="100"/>
      <c r="AO1926" s="100"/>
      <c r="AP1926" s="100"/>
      <c r="AQ1926" s="100"/>
      <c r="AR1926" s="100"/>
      <c r="AS1926" s="100"/>
      <c r="AT1926" s="102"/>
      <c r="AX1926" s="100"/>
      <c r="AY1926" s="101"/>
      <c r="AZ1926" s="101"/>
      <c r="BA1926" s="100"/>
      <c r="BB1926" s="100"/>
      <c r="BC1926" s="100"/>
      <c r="BD1926" s="100"/>
      <c r="BE1926" s="100"/>
      <c r="BF1926" s="100"/>
      <c r="BG1926" s="100"/>
      <c r="BH1926" s="100"/>
      <c r="BI1926" s="100"/>
      <c r="BJ1926" s="100"/>
      <c r="BK1926" s="102"/>
    </row>
    <row r="1927" spans="1:63" x14ac:dyDescent="0.25">
      <c r="A1927" s="92"/>
      <c r="B1927" s="92"/>
      <c r="C1927" s="92"/>
      <c r="D1927" s="92"/>
      <c r="E1927" s="92"/>
      <c r="F1927" s="92"/>
      <c r="G1927" s="92"/>
      <c r="H1927" s="92"/>
      <c r="I1927" s="92"/>
      <c r="J1927" s="92"/>
      <c r="K1927" s="92"/>
      <c r="L1927" s="92"/>
      <c r="M1927" s="92"/>
      <c r="N1927" s="92"/>
      <c r="AG1927" s="100"/>
      <c r="AH1927" s="101"/>
      <c r="AI1927" s="101"/>
      <c r="AJ1927" s="101"/>
      <c r="AK1927" s="100"/>
      <c r="AL1927" s="100"/>
      <c r="AM1927" s="100"/>
      <c r="AN1927" s="100"/>
      <c r="AO1927" s="100"/>
      <c r="AP1927" s="100"/>
      <c r="AQ1927" s="100"/>
      <c r="AR1927" s="100"/>
      <c r="AS1927" s="100"/>
      <c r="AT1927" s="102"/>
      <c r="AX1927" s="100"/>
      <c r="AY1927" s="101"/>
      <c r="AZ1927" s="101"/>
      <c r="BA1927" s="100"/>
      <c r="BB1927" s="100"/>
      <c r="BC1927" s="100"/>
      <c r="BD1927" s="100"/>
      <c r="BE1927" s="100"/>
      <c r="BF1927" s="100"/>
      <c r="BG1927" s="100"/>
      <c r="BH1927" s="100"/>
      <c r="BI1927" s="100"/>
      <c r="BJ1927" s="100"/>
      <c r="BK1927" s="102"/>
    </row>
    <row r="1928" spans="1:63" x14ac:dyDescent="0.25">
      <c r="A1928" s="92"/>
      <c r="B1928" s="92"/>
      <c r="C1928" s="92"/>
      <c r="D1928" s="92"/>
      <c r="E1928" s="92"/>
      <c r="F1928" s="92"/>
      <c r="G1928" s="92"/>
      <c r="H1928" s="92"/>
      <c r="I1928" s="92"/>
      <c r="J1928" s="92"/>
      <c r="K1928" s="92"/>
      <c r="L1928" s="92"/>
      <c r="M1928" s="92"/>
      <c r="N1928" s="92"/>
      <c r="AG1928" s="100"/>
      <c r="AH1928" s="101"/>
      <c r="AI1928" s="101"/>
      <c r="AJ1928" s="101"/>
      <c r="AK1928" s="100"/>
      <c r="AL1928" s="100"/>
      <c r="AM1928" s="100"/>
      <c r="AN1928" s="100"/>
      <c r="AO1928" s="100"/>
      <c r="AP1928" s="100"/>
      <c r="AQ1928" s="100"/>
      <c r="AR1928" s="100"/>
      <c r="AS1928" s="100"/>
      <c r="AT1928" s="102"/>
      <c r="AX1928" s="100"/>
      <c r="AY1928" s="101"/>
      <c r="AZ1928" s="101"/>
      <c r="BA1928" s="100"/>
      <c r="BB1928" s="100"/>
      <c r="BC1928" s="100"/>
      <c r="BD1928" s="100"/>
      <c r="BE1928" s="100"/>
      <c r="BF1928" s="100"/>
      <c r="BG1928" s="100"/>
      <c r="BH1928" s="100"/>
      <c r="BI1928" s="100"/>
      <c r="BJ1928" s="100"/>
      <c r="BK1928" s="102"/>
    </row>
    <row r="1929" spans="1:63" x14ac:dyDescent="0.25">
      <c r="A1929" s="92"/>
      <c r="B1929" s="92"/>
      <c r="C1929" s="92"/>
      <c r="D1929" s="92"/>
      <c r="E1929" s="92"/>
      <c r="F1929" s="92"/>
      <c r="G1929" s="92"/>
      <c r="H1929" s="92"/>
      <c r="I1929" s="92"/>
      <c r="J1929" s="92"/>
      <c r="K1929" s="92"/>
      <c r="L1929" s="92"/>
      <c r="M1929" s="92"/>
      <c r="N1929" s="92"/>
      <c r="AG1929" s="100"/>
      <c r="AH1929" s="101"/>
      <c r="AI1929" s="101"/>
      <c r="AJ1929" s="100"/>
      <c r="AK1929" s="100"/>
      <c r="AL1929" s="100"/>
      <c r="AM1929" s="100"/>
      <c r="AN1929" s="100"/>
      <c r="AO1929" s="100"/>
      <c r="AP1929" s="100"/>
      <c r="AQ1929" s="100"/>
      <c r="AR1929" s="100"/>
      <c r="AS1929" s="100"/>
      <c r="AT1929" s="102"/>
      <c r="AX1929" s="100"/>
      <c r="AY1929" s="101"/>
      <c r="AZ1929" s="101"/>
      <c r="BA1929" s="100"/>
      <c r="BB1929" s="100"/>
      <c r="BC1929" s="100"/>
      <c r="BD1929" s="100"/>
      <c r="BE1929" s="100"/>
      <c r="BF1929" s="100"/>
      <c r="BG1929" s="100"/>
      <c r="BH1929" s="100"/>
      <c r="BI1929" s="100"/>
      <c r="BJ1929" s="100"/>
      <c r="BK1929" s="102"/>
    </row>
    <row r="1930" spans="1:63" x14ac:dyDescent="0.25">
      <c r="A1930" s="92"/>
      <c r="B1930" s="92"/>
      <c r="C1930" s="92"/>
      <c r="D1930" s="92"/>
      <c r="E1930" s="92"/>
      <c r="F1930" s="92"/>
      <c r="G1930" s="92"/>
      <c r="H1930" s="92"/>
      <c r="I1930" s="92"/>
      <c r="J1930" s="92"/>
      <c r="K1930" s="92"/>
      <c r="L1930" s="92"/>
      <c r="M1930" s="92"/>
      <c r="N1930" s="92"/>
      <c r="AG1930" s="100"/>
      <c r="AH1930" s="101"/>
      <c r="AI1930" s="101"/>
      <c r="AJ1930" s="100"/>
      <c r="AK1930" s="100"/>
      <c r="AL1930" s="100"/>
      <c r="AM1930" s="100"/>
      <c r="AN1930" s="100"/>
      <c r="AO1930" s="100"/>
      <c r="AP1930" s="100"/>
      <c r="AQ1930" s="100"/>
      <c r="AR1930" s="100"/>
      <c r="AS1930" s="100"/>
      <c r="AT1930" s="102"/>
      <c r="AX1930" s="100"/>
      <c r="AY1930" s="101"/>
      <c r="AZ1930" s="101"/>
      <c r="BA1930" s="101"/>
      <c r="BB1930" s="100"/>
      <c r="BC1930" s="100"/>
      <c r="BD1930" s="100"/>
      <c r="BE1930" s="100"/>
      <c r="BF1930" s="100"/>
      <c r="BG1930" s="100"/>
      <c r="BH1930" s="100"/>
      <c r="BI1930" s="100"/>
      <c r="BJ1930" s="100"/>
      <c r="BK1930" s="102"/>
    </row>
    <row r="1931" spans="1:63" x14ac:dyDescent="0.25">
      <c r="A1931" s="92"/>
      <c r="B1931" s="92"/>
      <c r="C1931" s="92"/>
      <c r="D1931" s="92"/>
      <c r="E1931" s="92"/>
      <c r="F1931" s="92"/>
      <c r="G1931" s="92"/>
      <c r="H1931" s="92"/>
      <c r="I1931" s="92"/>
      <c r="J1931" s="92"/>
      <c r="K1931" s="92"/>
      <c r="L1931" s="92"/>
      <c r="M1931" s="92"/>
      <c r="N1931" s="92"/>
      <c r="AG1931" s="100"/>
      <c r="AH1931" s="101"/>
      <c r="AI1931" s="101"/>
      <c r="AJ1931" s="100"/>
      <c r="AK1931" s="100"/>
      <c r="AL1931" s="100"/>
      <c r="AM1931" s="100"/>
      <c r="AN1931" s="100"/>
      <c r="AO1931" s="100"/>
      <c r="AP1931" s="100"/>
      <c r="AQ1931" s="100"/>
      <c r="AR1931" s="100"/>
      <c r="AS1931" s="100"/>
      <c r="AT1931" s="102"/>
      <c r="AX1931" s="100"/>
      <c r="AY1931" s="101"/>
      <c r="AZ1931" s="101"/>
      <c r="BA1931" s="100"/>
      <c r="BB1931" s="100"/>
      <c r="BC1931" s="100"/>
      <c r="BD1931" s="100"/>
      <c r="BE1931" s="100"/>
      <c r="BF1931" s="100"/>
      <c r="BG1931" s="100"/>
      <c r="BH1931" s="100"/>
      <c r="BI1931" s="100"/>
      <c r="BJ1931" s="100"/>
      <c r="BK1931" s="102"/>
    </row>
    <row r="1932" spans="1:63" x14ac:dyDescent="0.25">
      <c r="A1932" s="92"/>
      <c r="B1932" s="92"/>
      <c r="C1932" s="92"/>
      <c r="D1932" s="92"/>
      <c r="E1932" s="92"/>
      <c r="F1932" s="92"/>
      <c r="G1932" s="92"/>
      <c r="H1932" s="92"/>
      <c r="I1932" s="92"/>
      <c r="J1932" s="92"/>
      <c r="K1932" s="92"/>
      <c r="L1932" s="92"/>
      <c r="M1932" s="92"/>
      <c r="N1932" s="92"/>
      <c r="AG1932" s="100"/>
      <c r="AH1932" s="101"/>
      <c r="AI1932" s="101"/>
      <c r="AJ1932" s="100"/>
      <c r="AK1932" s="100"/>
      <c r="AL1932" s="100"/>
      <c r="AM1932" s="100"/>
      <c r="AN1932" s="100"/>
      <c r="AO1932" s="100"/>
      <c r="AP1932" s="100"/>
      <c r="AQ1932" s="100"/>
      <c r="AR1932" s="100"/>
      <c r="AS1932" s="100"/>
      <c r="AT1932" s="102"/>
      <c r="AX1932" s="100"/>
      <c r="AY1932" s="101"/>
      <c r="AZ1932" s="101"/>
      <c r="BA1932" s="100"/>
      <c r="BB1932" s="100"/>
      <c r="BC1932" s="100"/>
      <c r="BD1932" s="100"/>
      <c r="BE1932" s="100"/>
      <c r="BF1932" s="100"/>
      <c r="BG1932" s="100"/>
      <c r="BH1932" s="100"/>
      <c r="BI1932" s="100"/>
      <c r="BJ1932" s="100"/>
      <c r="BK1932" s="102"/>
    </row>
    <row r="1933" spans="1:63" x14ac:dyDescent="0.25">
      <c r="A1933" s="92"/>
      <c r="B1933" s="92"/>
      <c r="C1933" s="92"/>
      <c r="D1933" s="92"/>
      <c r="E1933" s="92"/>
      <c r="F1933" s="92"/>
      <c r="G1933" s="92"/>
      <c r="H1933" s="92"/>
      <c r="I1933" s="92"/>
      <c r="J1933" s="92"/>
      <c r="K1933" s="92"/>
      <c r="L1933" s="92"/>
      <c r="M1933" s="92"/>
      <c r="N1933" s="92"/>
      <c r="AG1933" s="100"/>
      <c r="AH1933" s="101"/>
      <c r="AI1933" s="101"/>
      <c r="AJ1933" s="100"/>
      <c r="AK1933" s="100"/>
      <c r="AL1933" s="100"/>
      <c r="AM1933" s="100"/>
      <c r="AN1933" s="100"/>
      <c r="AO1933" s="100"/>
      <c r="AP1933" s="100"/>
      <c r="AQ1933" s="100"/>
      <c r="AR1933" s="100"/>
      <c r="AS1933" s="100"/>
      <c r="AT1933" s="102"/>
      <c r="AX1933" s="100"/>
      <c r="AY1933" s="101"/>
      <c r="AZ1933" s="101"/>
      <c r="BA1933" s="100"/>
      <c r="BB1933" s="100"/>
      <c r="BC1933" s="100"/>
      <c r="BD1933" s="100"/>
      <c r="BE1933" s="100"/>
      <c r="BF1933" s="100"/>
      <c r="BG1933" s="100"/>
      <c r="BH1933" s="100"/>
      <c r="BI1933" s="100"/>
      <c r="BJ1933" s="100"/>
      <c r="BK1933" s="102"/>
    </row>
    <row r="1934" spans="1:63" x14ac:dyDescent="0.25">
      <c r="A1934" s="92"/>
      <c r="B1934" s="92"/>
      <c r="C1934" s="92"/>
      <c r="D1934" s="92"/>
      <c r="E1934" s="92"/>
      <c r="F1934" s="92"/>
      <c r="G1934" s="92"/>
      <c r="H1934" s="92"/>
      <c r="I1934" s="92"/>
      <c r="J1934" s="92"/>
      <c r="K1934" s="92"/>
      <c r="L1934" s="92"/>
      <c r="M1934" s="92"/>
      <c r="N1934" s="92"/>
      <c r="AG1934" s="100"/>
      <c r="AH1934" s="101"/>
      <c r="AI1934" s="101"/>
      <c r="AJ1934" s="100"/>
      <c r="AK1934" s="100"/>
      <c r="AL1934" s="100"/>
      <c r="AM1934" s="100"/>
      <c r="AN1934" s="100"/>
      <c r="AO1934" s="100"/>
      <c r="AP1934" s="100"/>
      <c r="AQ1934" s="100"/>
      <c r="AR1934" s="100"/>
      <c r="AS1934" s="100"/>
      <c r="AT1934" s="102"/>
      <c r="AX1934" s="100"/>
      <c r="AY1934" s="101"/>
      <c r="AZ1934" s="101"/>
      <c r="BA1934" s="101"/>
      <c r="BB1934" s="100"/>
      <c r="BC1934" s="100"/>
      <c r="BD1934" s="100"/>
      <c r="BE1934" s="100"/>
      <c r="BF1934" s="100"/>
      <c r="BG1934" s="100"/>
      <c r="BH1934" s="100"/>
      <c r="BI1934" s="100"/>
      <c r="BJ1934" s="100"/>
      <c r="BK1934" s="102"/>
    </row>
    <row r="1935" spans="1:63" x14ac:dyDescent="0.25">
      <c r="A1935" s="92"/>
      <c r="B1935" s="92"/>
      <c r="C1935" s="92"/>
      <c r="D1935" s="92"/>
      <c r="E1935" s="92"/>
      <c r="F1935" s="92"/>
      <c r="G1935" s="92"/>
      <c r="H1935" s="92"/>
      <c r="I1935" s="92"/>
      <c r="J1935" s="92"/>
      <c r="K1935" s="92"/>
      <c r="L1935" s="92"/>
      <c r="M1935" s="92"/>
      <c r="N1935" s="92"/>
      <c r="AG1935" s="100"/>
      <c r="AH1935" s="101"/>
      <c r="AI1935" s="101"/>
      <c r="AJ1935" s="100"/>
      <c r="AK1935" s="100"/>
      <c r="AL1935" s="100"/>
      <c r="AM1935" s="100"/>
      <c r="AN1935" s="100"/>
      <c r="AO1935" s="100"/>
      <c r="AP1935" s="100"/>
      <c r="AQ1935" s="100"/>
      <c r="AR1935" s="100"/>
      <c r="AS1935" s="100"/>
      <c r="AT1935" s="102"/>
      <c r="AX1935" s="100"/>
      <c r="AY1935" s="101"/>
      <c r="AZ1935" s="101"/>
      <c r="BA1935" s="100"/>
      <c r="BB1935" s="100"/>
      <c r="BC1935" s="100"/>
      <c r="BD1935" s="100"/>
      <c r="BE1935" s="100"/>
      <c r="BF1935" s="100"/>
      <c r="BG1935" s="100"/>
      <c r="BH1935" s="100"/>
      <c r="BI1935" s="100"/>
      <c r="BJ1935" s="100"/>
      <c r="BK1935" s="102"/>
    </row>
    <row r="1936" spans="1:63" x14ac:dyDescent="0.25">
      <c r="A1936" s="92"/>
      <c r="B1936" s="92"/>
      <c r="C1936" s="92"/>
      <c r="D1936" s="92"/>
      <c r="E1936" s="92"/>
      <c r="F1936" s="92"/>
      <c r="G1936" s="92"/>
      <c r="H1936" s="92"/>
      <c r="I1936" s="92"/>
      <c r="J1936" s="92"/>
      <c r="K1936" s="92"/>
      <c r="L1936" s="92"/>
      <c r="M1936" s="92"/>
      <c r="N1936" s="92"/>
      <c r="AG1936" s="100"/>
      <c r="AH1936" s="101"/>
      <c r="AI1936" s="101"/>
      <c r="AJ1936" s="101"/>
      <c r="AK1936" s="100"/>
      <c r="AL1936" s="100"/>
      <c r="AM1936" s="100"/>
      <c r="AN1936" s="100"/>
      <c r="AO1936" s="100"/>
      <c r="AP1936" s="100"/>
      <c r="AQ1936" s="100"/>
      <c r="AR1936" s="100"/>
      <c r="AS1936" s="100"/>
      <c r="AT1936" s="102"/>
      <c r="AX1936" s="100"/>
      <c r="AY1936" s="101"/>
      <c r="AZ1936" s="101"/>
      <c r="BA1936" s="100"/>
      <c r="BB1936" s="100"/>
      <c r="BC1936" s="100"/>
      <c r="BD1936" s="100"/>
      <c r="BE1936" s="100"/>
      <c r="BF1936" s="100"/>
      <c r="BG1936" s="100"/>
      <c r="BH1936" s="100"/>
      <c r="BI1936" s="100"/>
      <c r="BJ1936" s="100"/>
      <c r="BK1936" s="102"/>
    </row>
    <row r="1937" spans="1:63" x14ac:dyDescent="0.25">
      <c r="A1937" s="92"/>
      <c r="B1937" s="93"/>
      <c r="C1937" s="93"/>
      <c r="D1937" s="92"/>
      <c r="E1937" s="92"/>
      <c r="F1937" s="92"/>
      <c r="G1937" s="92"/>
      <c r="H1937" s="92"/>
      <c r="I1937" s="92"/>
      <c r="J1937" s="92"/>
      <c r="K1937" s="92"/>
      <c r="L1937" s="92"/>
      <c r="M1937" s="92"/>
      <c r="N1937" s="94"/>
      <c r="AG1937" s="100"/>
      <c r="AH1937" s="101"/>
      <c r="AI1937" s="101"/>
      <c r="AJ1937" s="100"/>
      <c r="AK1937" s="100"/>
      <c r="AL1937" s="100"/>
      <c r="AM1937" s="100"/>
      <c r="AN1937" s="100"/>
      <c r="AO1937" s="100"/>
      <c r="AP1937" s="100"/>
      <c r="AQ1937" s="100"/>
      <c r="AR1937" s="100"/>
      <c r="AS1937" s="100"/>
      <c r="AT1937" s="102"/>
      <c r="AX1937" s="100"/>
      <c r="AY1937" s="101"/>
      <c r="AZ1937" s="101"/>
      <c r="BA1937" s="100"/>
      <c r="BB1937" s="100"/>
      <c r="BC1937" s="100"/>
      <c r="BD1937" s="100"/>
      <c r="BE1937" s="100"/>
      <c r="BF1937" s="100"/>
      <c r="BG1937" s="100"/>
      <c r="BH1937" s="100"/>
      <c r="BI1937" s="100"/>
      <c r="BJ1937" s="100"/>
      <c r="BK1937" s="102"/>
    </row>
    <row r="1938" spans="1:63" x14ac:dyDescent="0.25">
      <c r="A1938" s="92"/>
      <c r="B1938" s="93"/>
      <c r="C1938" s="93"/>
      <c r="D1938" s="92"/>
      <c r="E1938" s="92"/>
      <c r="F1938" s="92"/>
      <c r="G1938" s="92"/>
      <c r="H1938" s="92"/>
      <c r="I1938" s="92"/>
      <c r="J1938" s="92"/>
      <c r="K1938" s="92"/>
      <c r="L1938" s="92"/>
      <c r="M1938" s="92"/>
      <c r="N1938" s="94"/>
      <c r="AG1938" s="100"/>
      <c r="AH1938" s="101"/>
      <c r="AI1938" s="101"/>
      <c r="AJ1938" s="100"/>
      <c r="AK1938" s="100"/>
      <c r="AL1938" s="100"/>
      <c r="AM1938" s="100"/>
      <c r="AN1938" s="100"/>
      <c r="AO1938" s="100"/>
      <c r="AP1938" s="100"/>
      <c r="AQ1938" s="100"/>
      <c r="AR1938" s="100"/>
      <c r="AS1938" s="100"/>
      <c r="AT1938" s="102"/>
      <c r="AX1938" s="100"/>
      <c r="AY1938" s="101"/>
      <c r="AZ1938" s="101"/>
      <c r="BA1938" s="100"/>
      <c r="BB1938" s="100"/>
      <c r="BC1938" s="100"/>
      <c r="BD1938" s="100"/>
      <c r="BE1938" s="100"/>
      <c r="BF1938" s="100"/>
      <c r="BG1938" s="100"/>
      <c r="BH1938" s="100"/>
      <c r="BI1938" s="100"/>
      <c r="BJ1938" s="100"/>
      <c r="BK1938" s="102"/>
    </row>
    <row r="1939" spans="1:63" x14ac:dyDescent="0.25">
      <c r="A1939" s="92"/>
      <c r="B1939" s="93"/>
      <c r="C1939" s="93"/>
      <c r="D1939" s="93"/>
      <c r="E1939" s="92"/>
      <c r="F1939" s="92"/>
      <c r="G1939" s="92"/>
      <c r="H1939" s="92"/>
      <c r="I1939" s="92"/>
      <c r="J1939" s="92"/>
      <c r="K1939" s="92"/>
      <c r="L1939" s="92"/>
      <c r="M1939" s="92"/>
      <c r="N1939" s="94"/>
      <c r="AG1939" s="100"/>
      <c r="AH1939" s="101"/>
      <c r="AI1939" s="101"/>
      <c r="AJ1939" s="100"/>
      <c r="AK1939" s="100"/>
      <c r="AL1939" s="100"/>
      <c r="AM1939" s="100"/>
      <c r="AN1939" s="100"/>
      <c r="AO1939" s="100"/>
      <c r="AP1939" s="100"/>
      <c r="AQ1939" s="100"/>
      <c r="AR1939" s="100"/>
      <c r="AS1939" s="100"/>
      <c r="AT1939" s="102"/>
      <c r="AX1939" s="100"/>
      <c r="AY1939" s="101"/>
      <c r="AZ1939" s="101"/>
      <c r="BA1939" s="100"/>
      <c r="BB1939" s="100"/>
      <c r="BC1939" s="100"/>
      <c r="BD1939" s="100"/>
      <c r="BE1939" s="100"/>
      <c r="BF1939" s="100"/>
      <c r="BG1939" s="100"/>
      <c r="BH1939" s="100"/>
      <c r="BI1939" s="100"/>
      <c r="BJ1939" s="100"/>
      <c r="BK1939" s="102"/>
    </row>
    <row r="1940" spans="1:63" x14ac:dyDescent="0.25">
      <c r="A1940" s="92"/>
      <c r="B1940" s="92"/>
      <c r="C1940" s="92"/>
      <c r="D1940" s="92"/>
      <c r="E1940" s="92"/>
      <c r="F1940" s="92"/>
      <c r="G1940" s="92"/>
      <c r="H1940" s="92"/>
      <c r="I1940" s="92"/>
      <c r="J1940" s="92"/>
      <c r="K1940" s="92"/>
      <c r="L1940" s="92"/>
      <c r="M1940" s="92"/>
      <c r="N1940" s="92"/>
      <c r="AG1940" s="100"/>
      <c r="AH1940" s="101"/>
      <c r="AI1940" s="101"/>
      <c r="AJ1940" s="100"/>
      <c r="AK1940" s="100"/>
      <c r="AL1940" s="100"/>
      <c r="AM1940" s="100"/>
      <c r="AN1940" s="100"/>
      <c r="AO1940" s="100"/>
      <c r="AP1940" s="100"/>
      <c r="AQ1940" s="100"/>
      <c r="AR1940" s="100"/>
      <c r="AS1940" s="100"/>
      <c r="AT1940" s="102"/>
      <c r="AX1940" s="100"/>
      <c r="AY1940" s="101"/>
      <c r="AZ1940" s="101"/>
      <c r="BA1940" s="100"/>
      <c r="BB1940" s="100"/>
      <c r="BC1940" s="100"/>
      <c r="BD1940" s="100"/>
      <c r="BE1940" s="100"/>
      <c r="BF1940" s="100"/>
      <c r="BG1940" s="100"/>
      <c r="BH1940" s="100"/>
      <c r="BI1940" s="100"/>
      <c r="BJ1940" s="100"/>
      <c r="BK1940" s="102"/>
    </row>
    <row r="1941" spans="1:63" x14ac:dyDescent="0.25">
      <c r="A1941" s="92"/>
      <c r="B1941" s="93"/>
      <c r="C1941" s="93"/>
      <c r="D1941" s="92"/>
      <c r="E1941" s="92"/>
      <c r="F1941" s="92"/>
      <c r="G1941" s="92"/>
      <c r="H1941" s="92"/>
      <c r="I1941" s="92"/>
      <c r="J1941" s="92"/>
      <c r="K1941" s="92"/>
      <c r="L1941" s="92"/>
      <c r="M1941" s="92"/>
      <c r="N1941" s="94"/>
      <c r="AG1941" s="100"/>
      <c r="AH1941" s="101"/>
      <c r="AI1941" s="101"/>
      <c r="AJ1941" s="100"/>
      <c r="AK1941" s="100"/>
      <c r="AL1941" s="100"/>
      <c r="AM1941" s="100"/>
      <c r="AN1941" s="100"/>
      <c r="AO1941" s="100"/>
      <c r="AP1941" s="100"/>
      <c r="AQ1941" s="100"/>
      <c r="AR1941" s="100"/>
      <c r="AS1941" s="100"/>
      <c r="AT1941" s="102"/>
      <c r="AX1941" s="100"/>
      <c r="AY1941" s="101"/>
      <c r="AZ1941" s="101"/>
      <c r="BA1941" s="100"/>
      <c r="BB1941" s="100"/>
      <c r="BC1941" s="100"/>
      <c r="BD1941" s="100"/>
      <c r="BE1941" s="100"/>
      <c r="BF1941" s="100"/>
      <c r="BG1941" s="100"/>
      <c r="BH1941" s="100"/>
      <c r="BI1941" s="100"/>
      <c r="BJ1941" s="100"/>
      <c r="BK1941" s="102"/>
    </row>
    <row r="1942" spans="1:63" x14ac:dyDescent="0.25">
      <c r="A1942" s="92"/>
      <c r="B1942" s="93"/>
      <c r="C1942" s="93"/>
      <c r="D1942" s="92"/>
      <c r="E1942" s="92"/>
      <c r="F1942" s="92"/>
      <c r="G1942" s="92"/>
      <c r="H1942" s="92"/>
      <c r="I1942" s="92"/>
      <c r="J1942" s="92"/>
      <c r="K1942" s="92"/>
      <c r="L1942" s="92"/>
      <c r="M1942" s="92"/>
      <c r="N1942" s="94"/>
      <c r="AG1942" s="100"/>
      <c r="AH1942" s="101"/>
      <c r="AI1942" s="101"/>
      <c r="AJ1942" s="101"/>
      <c r="AK1942" s="100"/>
      <c r="AL1942" s="100"/>
      <c r="AM1942" s="100"/>
      <c r="AN1942" s="100"/>
      <c r="AO1942" s="100"/>
      <c r="AP1942" s="100"/>
      <c r="AQ1942" s="100"/>
      <c r="AR1942" s="100"/>
      <c r="AS1942" s="100"/>
      <c r="AT1942" s="102"/>
      <c r="AX1942" s="100"/>
      <c r="AY1942" s="101"/>
      <c r="AZ1942" s="101"/>
      <c r="BA1942" s="100"/>
      <c r="BB1942" s="100"/>
      <c r="BC1942" s="100"/>
      <c r="BD1942" s="100"/>
      <c r="BE1942" s="100"/>
      <c r="BF1942" s="100"/>
      <c r="BG1942" s="100"/>
      <c r="BH1942" s="100"/>
      <c r="BI1942" s="100"/>
      <c r="BJ1942" s="100"/>
      <c r="BK1942" s="102"/>
    </row>
    <row r="1943" spans="1:63" x14ac:dyDescent="0.25">
      <c r="A1943" s="92"/>
      <c r="B1943" s="93"/>
      <c r="C1943" s="93"/>
      <c r="D1943" s="92"/>
      <c r="E1943" s="92"/>
      <c r="F1943" s="92"/>
      <c r="G1943" s="92"/>
      <c r="H1943" s="92"/>
      <c r="I1943" s="92"/>
      <c r="J1943" s="92"/>
      <c r="K1943" s="92"/>
      <c r="L1943" s="92"/>
      <c r="M1943" s="92"/>
      <c r="N1943" s="94"/>
      <c r="AG1943" s="100"/>
      <c r="AH1943" s="101"/>
      <c r="AI1943" s="101"/>
      <c r="AJ1943" s="100"/>
      <c r="AK1943" s="100"/>
      <c r="AL1943" s="100"/>
      <c r="AM1943" s="100"/>
      <c r="AN1943" s="100"/>
      <c r="AO1943" s="100"/>
      <c r="AP1943" s="100"/>
      <c r="AQ1943" s="100"/>
      <c r="AR1943" s="100"/>
      <c r="AS1943" s="100"/>
      <c r="AT1943" s="102"/>
      <c r="AX1943" s="100"/>
      <c r="AY1943" s="101"/>
      <c r="AZ1943" s="101"/>
      <c r="BA1943" s="100"/>
      <c r="BB1943" s="100"/>
      <c r="BC1943" s="100"/>
      <c r="BD1943" s="100"/>
      <c r="BE1943" s="100"/>
      <c r="BF1943" s="100"/>
      <c r="BG1943" s="100"/>
      <c r="BH1943" s="100"/>
      <c r="BI1943" s="100"/>
      <c r="BJ1943" s="100"/>
      <c r="BK1943" s="102"/>
    </row>
    <row r="1944" spans="1:63" x14ac:dyDescent="0.25">
      <c r="A1944" s="92"/>
      <c r="B1944" s="93"/>
      <c r="C1944" s="93"/>
      <c r="D1944" s="93"/>
      <c r="E1944" s="92"/>
      <c r="F1944" s="92"/>
      <c r="G1944" s="92"/>
      <c r="H1944" s="92"/>
      <c r="I1944" s="92"/>
      <c r="J1944" s="92"/>
      <c r="K1944" s="92"/>
      <c r="L1944" s="92"/>
      <c r="M1944" s="92"/>
      <c r="N1944" s="94"/>
      <c r="AG1944" s="100"/>
      <c r="AH1944" s="101"/>
      <c r="AI1944" s="101"/>
      <c r="AJ1944" s="101"/>
      <c r="AK1944" s="100"/>
      <c r="AL1944" s="100"/>
      <c r="AM1944" s="100"/>
      <c r="AN1944" s="100"/>
      <c r="AO1944" s="100"/>
      <c r="AP1944" s="100"/>
      <c r="AQ1944" s="100"/>
      <c r="AR1944" s="100"/>
      <c r="AS1944" s="100"/>
      <c r="AT1944" s="102"/>
      <c r="AX1944" s="100"/>
      <c r="AY1944" s="101"/>
      <c r="AZ1944" s="101"/>
      <c r="BA1944" s="101"/>
      <c r="BB1944" s="100"/>
      <c r="BC1944" s="100"/>
      <c r="BD1944" s="100"/>
      <c r="BE1944" s="100"/>
      <c r="BF1944" s="100"/>
      <c r="BG1944" s="100"/>
      <c r="BH1944" s="100"/>
      <c r="BI1944" s="100"/>
      <c r="BJ1944" s="100"/>
      <c r="BK1944" s="102"/>
    </row>
    <row r="1945" spans="1:63" x14ac:dyDescent="0.25">
      <c r="A1945" s="92"/>
      <c r="B1945" s="93"/>
      <c r="C1945" s="93"/>
      <c r="D1945" s="92"/>
      <c r="E1945" s="92"/>
      <c r="F1945" s="92"/>
      <c r="G1945" s="92"/>
      <c r="H1945" s="92"/>
      <c r="I1945" s="92"/>
      <c r="J1945" s="92"/>
      <c r="K1945" s="92"/>
      <c r="L1945" s="92"/>
      <c r="M1945" s="92"/>
      <c r="N1945" s="94"/>
      <c r="AG1945" s="100"/>
      <c r="AH1945" s="101"/>
      <c r="AI1945" s="101"/>
      <c r="AJ1945" s="100"/>
      <c r="AK1945" s="100"/>
      <c r="AL1945" s="100"/>
      <c r="AM1945" s="100"/>
      <c r="AN1945" s="100"/>
      <c r="AO1945" s="100"/>
      <c r="AP1945" s="100"/>
      <c r="AQ1945" s="100"/>
      <c r="AR1945" s="100"/>
      <c r="AS1945" s="100"/>
      <c r="AT1945" s="102"/>
      <c r="AX1945" s="100"/>
      <c r="AY1945" s="101"/>
      <c r="AZ1945" s="101"/>
      <c r="BA1945" s="100"/>
      <c r="BB1945" s="100"/>
      <c r="BC1945" s="100"/>
      <c r="BD1945" s="100"/>
      <c r="BE1945" s="100"/>
      <c r="BF1945" s="100"/>
      <c r="BG1945" s="100"/>
      <c r="BH1945" s="100"/>
      <c r="BI1945" s="100"/>
      <c r="BJ1945" s="100"/>
      <c r="BK1945" s="102"/>
    </row>
    <row r="1946" spans="1:63" x14ac:dyDescent="0.25">
      <c r="A1946" s="92"/>
      <c r="B1946" s="92"/>
      <c r="C1946" s="92"/>
      <c r="D1946" s="92"/>
      <c r="E1946" s="92"/>
      <c r="F1946" s="92"/>
      <c r="G1946" s="92"/>
      <c r="H1946" s="92"/>
      <c r="I1946" s="92"/>
      <c r="J1946" s="92"/>
      <c r="K1946" s="92"/>
      <c r="L1946" s="92"/>
      <c r="M1946" s="92"/>
      <c r="N1946" s="92"/>
      <c r="AG1946" s="100"/>
      <c r="AH1946" s="101"/>
      <c r="AI1946" s="101"/>
      <c r="AJ1946" s="100"/>
      <c r="AK1946" s="100"/>
      <c r="AL1946" s="100"/>
      <c r="AM1946" s="100"/>
      <c r="AN1946" s="100"/>
      <c r="AO1946" s="100"/>
      <c r="AP1946" s="100"/>
      <c r="AQ1946" s="100"/>
      <c r="AR1946" s="100"/>
      <c r="AS1946" s="100"/>
      <c r="AT1946" s="102"/>
      <c r="AX1946" s="100"/>
      <c r="AY1946" s="101"/>
      <c r="AZ1946" s="101"/>
      <c r="BA1946" s="101"/>
      <c r="BB1946" s="100"/>
      <c r="BC1946" s="100"/>
      <c r="BD1946" s="100"/>
      <c r="BE1946" s="100"/>
      <c r="BF1946" s="100"/>
      <c r="BG1946" s="100"/>
      <c r="BH1946" s="100"/>
      <c r="BI1946" s="100"/>
      <c r="BJ1946" s="100"/>
      <c r="BK1946" s="102"/>
    </row>
    <row r="1947" spans="1:63" x14ac:dyDescent="0.25">
      <c r="A1947" s="92"/>
      <c r="B1947" s="92"/>
      <c r="C1947" s="92"/>
      <c r="D1947" s="92"/>
      <c r="E1947" s="92"/>
      <c r="F1947" s="92"/>
      <c r="G1947" s="92"/>
      <c r="H1947" s="92"/>
      <c r="I1947" s="92"/>
      <c r="J1947" s="92"/>
      <c r="K1947" s="92"/>
      <c r="L1947" s="92"/>
      <c r="M1947" s="92"/>
      <c r="N1947" s="92"/>
      <c r="AG1947" s="100"/>
      <c r="AH1947" s="101"/>
      <c r="AI1947" s="101"/>
      <c r="AJ1947" s="100"/>
      <c r="AK1947" s="100"/>
      <c r="AL1947" s="100"/>
      <c r="AM1947" s="100"/>
      <c r="AN1947" s="100"/>
      <c r="AO1947" s="100"/>
      <c r="AP1947" s="100"/>
      <c r="AQ1947" s="100"/>
      <c r="AR1947" s="100"/>
      <c r="AS1947" s="100"/>
      <c r="AT1947" s="102"/>
      <c r="AX1947" s="100"/>
      <c r="AY1947" s="101"/>
      <c r="AZ1947" s="101"/>
      <c r="BA1947" s="101"/>
      <c r="BB1947" s="100"/>
      <c r="BC1947" s="100"/>
      <c r="BD1947" s="100"/>
      <c r="BE1947" s="100"/>
      <c r="BF1947" s="100"/>
      <c r="BG1947" s="100"/>
      <c r="BH1947" s="100"/>
      <c r="BI1947" s="100"/>
      <c r="BJ1947" s="100"/>
      <c r="BK1947" s="102"/>
    </row>
    <row r="1948" spans="1:63" x14ac:dyDescent="0.25">
      <c r="A1948" s="92"/>
      <c r="B1948" s="92"/>
      <c r="C1948" s="92"/>
      <c r="D1948" s="92"/>
      <c r="E1948" s="92"/>
      <c r="F1948" s="92"/>
      <c r="G1948" s="92"/>
      <c r="H1948" s="92"/>
      <c r="I1948" s="92"/>
      <c r="J1948" s="92"/>
      <c r="K1948" s="92"/>
      <c r="L1948" s="92"/>
      <c r="M1948" s="92"/>
      <c r="N1948" s="92"/>
      <c r="AG1948" s="100"/>
      <c r="AH1948" s="101"/>
      <c r="AI1948" s="101"/>
      <c r="AJ1948" s="100"/>
      <c r="AK1948" s="100"/>
      <c r="AL1948" s="100"/>
      <c r="AM1948" s="100"/>
      <c r="AN1948" s="100"/>
      <c r="AO1948" s="100"/>
      <c r="AP1948" s="100"/>
      <c r="AQ1948" s="100"/>
      <c r="AR1948" s="100"/>
      <c r="AS1948" s="100"/>
      <c r="AT1948" s="102"/>
      <c r="AX1948" s="100"/>
      <c r="AY1948" s="101"/>
      <c r="AZ1948" s="101"/>
      <c r="BA1948" s="101"/>
      <c r="BB1948" s="100"/>
      <c r="BC1948" s="100"/>
      <c r="BD1948" s="100"/>
      <c r="BE1948" s="100"/>
      <c r="BF1948" s="100"/>
      <c r="BG1948" s="100"/>
      <c r="BH1948" s="100"/>
      <c r="BI1948" s="100"/>
      <c r="BJ1948" s="100"/>
      <c r="BK1948" s="102"/>
    </row>
    <row r="1949" spans="1:63" x14ac:dyDescent="0.25">
      <c r="A1949" s="92"/>
      <c r="B1949" s="92"/>
      <c r="C1949" s="92"/>
      <c r="D1949" s="92"/>
      <c r="E1949" s="92"/>
      <c r="F1949" s="92"/>
      <c r="G1949" s="92"/>
      <c r="H1949" s="92"/>
      <c r="I1949" s="92"/>
      <c r="J1949" s="92"/>
      <c r="K1949" s="92"/>
      <c r="L1949" s="92"/>
      <c r="M1949" s="92"/>
      <c r="N1949" s="92"/>
      <c r="AG1949" s="100"/>
      <c r="AH1949" s="101"/>
      <c r="AI1949" s="101"/>
      <c r="AJ1949" s="101"/>
      <c r="AK1949" s="100"/>
      <c r="AL1949" s="100"/>
      <c r="AM1949" s="100"/>
      <c r="AN1949" s="100"/>
      <c r="AO1949" s="100"/>
      <c r="AP1949" s="100"/>
      <c r="AQ1949" s="100"/>
      <c r="AR1949" s="100"/>
      <c r="AS1949" s="100"/>
      <c r="AT1949" s="102"/>
      <c r="AX1949" s="100"/>
      <c r="AY1949" s="101"/>
      <c r="AZ1949" s="101"/>
      <c r="BA1949" s="100"/>
      <c r="BB1949" s="100"/>
      <c r="BC1949" s="100"/>
      <c r="BD1949" s="100"/>
      <c r="BE1949" s="100"/>
      <c r="BF1949" s="100"/>
      <c r="BG1949" s="100"/>
      <c r="BH1949" s="100"/>
      <c r="BI1949" s="100"/>
      <c r="BJ1949" s="100"/>
      <c r="BK1949" s="102"/>
    </row>
    <row r="1950" spans="1:63" x14ac:dyDescent="0.25">
      <c r="A1950" s="92"/>
      <c r="B1950" s="93"/>
      <c r="C1950" s="93"/>
      <c r="D1950" s="92"/>
      <c r="E1950" s="92"/>
      <c r="F1950" s="92"/>
      <c r="G1950" s="92"/>
      <c r="H1950" s="92"/>
      <c r="I1950" s="92"/>
      <c r="J1950" s="92"/>
      <c r="K1950" s="92"/>
      <c r="L1950" s="92"/>
      <c r="M1950" s="92"/>
      <c r="N1950" s="94"/>
      <c r="AG1950" s="100"/>
      <c r="AH1950" s="101"/>
      <c r="AI1950" s="101"/>
      <c r="AJ1950" s="100"/>
      <c r="AK1950" s="100"/>
      <c r="AL1950" s="100"/>
      <c r="AM1950" s="100"/>
      <c r="AN1950" s="100"/>
      <c r="AO1950" s="100"/>
      <c r="AP1950" s="100"/>
      <c r="AQ1950" s="100"/>
      <c r="AR1950" s="100"/>
      <c r="AS1950" s="100"/>
      <c r="AT1950" s="102"/>
      <c r="AX1950" s="100"/>
      <c r="AY1950" s="101"/>
      <c r="AZ1950" s="101"/>
      <c r="BA1950" s="100"/>
      <c r="BB1950" s="100"/>
      <c r="BC1950" s="100"/>
      <c r="BD1950" s="100"/>
      <c r="BE1950" s="100"/>
      <c r="BF1950" s="100"/>
      <c r="BG1950" s="100"/>
      <c r="BH1950" s="100"/>
      <c r="BI1950" s="100"/>
      <c r="BJ1950" s="100"/>
      <c r="BK1950" s="102"/>
    </row>
    <row r="1951" spans="1:63" x14ac:dyDescent="0.25">
      <c r="A1951" s="92"/>
      <c r="B1951" s="93"/>
      <c r="C1951" s="93"/>
      <c r="D1951" s="92"/>
      <c r="E1951" s="92"/>
      <c r="F1951" s="92"/>
      <c r="G1951" s="92"/>
      <c r="H1951" s="92"/>
      <c r="I1951" s="92"/>
      <c r="J1951" s="92"/>
      <c r="K1951" s="92"/>
      <c r="L1951" s="92"/>
      <c r="M1951" s="92"/>
      <c r="N1951" s="94"/>
      <c r="AG1951" s="100"/>
      <c r="AH1951" s="101"/>
      <c r="AI1951" s="101"/>
      <c r="AJ1951" s="101"/>
      <c r="AK1951" s="100"/>
      <c r="AL1951" s="100"/>
      <c r="AM1951" s="100"/>
      <c r="AN1951" s="100"/>
      <c r="AO1951" s="100"/>
      <c r="AP1951" s="100"/>
      <c r="AQ1951" s="100"/>
      <c r="AR1951" s="100"/>
      <c r="AS1951" s="100"/>
      <c r="AT1951" s="102"/>
      <c r="AX1951" s="100"/>
      <c r="AY1951" s="101"/>
      <c r="AZ1951" s="101"/>
      <c r="BA1951" s="100"/>
      <c r="BB1951" s="100"/>
      <c r="BC1951" s="100"/>
      <c r="BD1951" s="100"/>
      <c r="BE1951" s="100"/>
      <c r="BF1951" s="100"/>
      <c r="BG1951" s="100"/>
      <c r="BH1951" s="100"/>
      <c r="BI1951" s="100"/>
      <c r="BJ1951" s="100"/>
      <c r="BK1951" s="102"/>
    </row>
    <row r="1952" spans="1:63" x14ac:dyDescent="0.25">
      <c r="A1952" s="92"/>
      <c r="B1952" s="93"/>
      <c r="C1952" s="92"/>
      <c r="D1952" s="93"/>
      <c r="E1952" s="92"/>
      <c r="F1952" s="92"/>
      <c r="G1952" s="92"/>
      <c r="H1952" s="92"/>
      <c r="I1952" s="92"/>
      <c r="J1952" s="92"/>
      <c r="K1952" s="92"/>
      <c r="L1952" s="92"/>
      <c r="M1952" s="92"/>
      <c r="N1952" s="94"/>
      <c r="AG1952" s="100"/>
      <c r="AH1952" s="101"/>
      <c r="AI1952" s="101"/>
      <c r="AJ1952" s="100"/>
      <c r="AK1952" s="100"/>
      <c r="AL1952" s="100"/>
      <c r="AM1952" s="100"/>
      <c r="AN1952" s="100"/>
      <c r="AO1952" s="100"/>
      <c r="AP1952" s="100"/>
      <c r="AQ1952" s="100"/>
      <c r="AR1952" s="100"/>
      <c r="AS1952" s="100"/>
      <c r="AT1952" s="102"/>
      <c r="AX1952" s="100"/>
      <c r="AY1952" s="101"/>
      <c r="AZ1952" s="101"/>
      <c r="BA1952" s="100"/>
      <c r="BB1952" s="100"/>
      <c r="BC1952" s="100"/>
      <c r="BD1952" s="100"/>
      <c r="BE1952" s="100"/>
      <c r="BF1952" s="100"/>
      <c r="BG1952" s="100"/>
      <c r="BH1952" s="100"/>
      <c r="BI1952" s="100"/>
      <c r="BJ1952" s="100"/>
      <c r="BK1952" s="102"/>
    </row>
    <row r="1953" spans="1:63" x14ac:dyDescent="0.25">
      <c r="A1953" s="92"/>
      <c r="B1953" s="92"/>
      <c r="C1953" s="92"/>
      <c r="D1953" s="92"/>
      <c r="E1953" s="92"/>
      <c r="F1953" s="92"/>
      <c r="G1953" s="92"/>
      <c r="H1953" s="92"/>
      <c r="I1953" s="92"/>
      <c r="J1953" s="92"/>
      <c r="K1953" s="92"/>
      <c r="L1953" s="92"/>
      <c r="M1953" s="92"/>
      <c r="N1953" s="92"/>
      <c r="AG1953" s="100"/>
      <c r="AH1953" s="101"/>
      <c r="AI1953" s="101"/>
      <c r="AJ1953" s="100"/>
      <c r="AK1953" s="100"/>
      <c r="AL1953" s="100"/>
      <c r="AM1953" s="100"/>
      <c r="AN1953" s="100"/>
      <c r="AO1953" s="100"/>
      <c r="AP1953" s="100"/>
      <c r="AQ1953" s="100"/>
      <c r="AR1953" s="100"/>
      <c r="AS1953" s="100"/>
      <c r="AT1953" s="102"/>
      <c r="AX1953" s="100"/>
      <c r="AY1953" s="101"/>
      <c r="AZ1953" s="101"/>
      <c r="BA1953" s="100"/>
      <c r="BB1953" s="100"/>
      <c r="BC1953" s="100"/>
      <c r="BD1953" s="100"/>
      <c r="BE1953" s="100"/>
      <c r="BF1953" s="100"/>
      <c r="BG1953" s="100"/>
      <c r="BH1953" s="100"/>
      <c r="BI1953" s="100"/>
      <c r="BJ1953" s="100"/>
      <c r="BK1953" s="102"/>
    </row>
    <row r="1954" spans="1:63" x14ac:dyDescent="0.25">
      <c r="A1954" s="92"/>
      <c r="B1954" s="93"/>
      <c r="C1954" s="92"/>
      <c r="D1954" s="93"/>
      <c r="E1954" s="92"/>
      <c r="F1954" s="92"/>
      <c r="G1954" s="92"/>
      <c r="H1954" s="92"/>
      <c r="I1954" s="92"/>
      <c r="J1954" s="92"/>
      <c r="K1954" s="92"/>
      <c r="L1954" s="92"/>
      <c r="M1954" s="92"/>
      <c r="N1954" s="94"/>
      <c r="AG1954" s="100"/>
      <c r="AH1954" s="101"/>
      <c r="AI1954" s="101"/>
      <c r="AJ1954" s="100"/>
      <c r="AK1954" s="100"/>
      <c r="AL1954" s="100"/>
      <c r="AM1954" s="100"/>
      <c r="AN1954" s="100"/>
      <c r="AO1954" s="100"/>
      <c r="AP1954" s="100"/>
      <c r="AQ1954" s="100"/>
      <c r="AR1954" s="100"/>
      <c r="AS1954" s="100"/>
      <c r="AT1954" s="102"/>
      <c r="AX1954" s="100"/>
      <c r="AY1954" s="101"/>
      <c r="AZ1954" s="101"/>
      <c r="BA1954" s="100"/>
      <c r="BB1954" s="100"/>
      <c r="BC1954" s="100"/>
      <c r="BD1954" s="100"/>
      <c r="BE1954" s="100"/>
      <c r="BF1954" s="100"/>
      <c r="BG1954" s="100"/>
      <c r="BH1954" s="100"/>
      <c r="BI1954" s="100"/>
      <c r="BJ1954" s="100"/>
      <c r="BK1954" s="102"/>
    </row>
    <row r="1955" spans="1:63" x14ac:dyDescent="0.25">
      <c r="A1955" s="92"/>
      <c r="B1955" s="92"/>
      <c r="C1955" s="92"/>
      <c r="D1955" s="92"/>
      <c r="E1955" s="92"/>
      <c r="F1955" s="92"/>
      <c r="G1955" s="92"/>
      <c r="H1955" s="92"/>
      <c r="I1955" s="92"/>
      <c r="J1955" s="92"/>
      <c r="K1955" s="92"/>
      <c r="L1955" s="92"/>
      <c r="M1955" s="92"/>
      <c r="N1955" s="92"/>
      <c r="AG1955" s="100"/>
      <c r="AH1955" s="101"/>
      <c r="AI1955" s="101"/>
      <c r="AJ1955" s="101"/>
      <c r="AK1955" s="100"/>
      <c r="AL1955" s="100"/>
      <c r="AM1955" s="100"/>
      <c r="AN1955" s="100"/>
      <c r="AO1955" s="100"/>
      <c r="AP1955" s="100"/>
      <c r="AQ1955" s="100"/>
      <c r="AR1955" s="100"/>
      <c r="AS1955" s="100"/>
      <c r="AT1955" s="102"/>
      <c r="AX1955" s="100"/>
      <c r="AY1955" s="101"/>
      <c r="AZ1955" s="101"/>
      <c r="BA1955" s="100"/>
      <c r="BB1955" s="100"/>
      <c r="BC1955" s="100"/>
      <c r="BD1955" s="100"/>
      <c r="BE1955" s="100"/>
      <c r="BF1955" s="100"/>
      <c r="BG1955" s="100"/>
      <c r="BH1955" s="100"/>
      <c r="BI1955" s="100"/>
      <c r="BJ1955" s="100"/>
      <c r="BK1955" s="102"/>
    </row>
    <row r="1956" spans="1:63" x14ac:dyDescent="0.25">
      <c r="A1956" s="92"/>
      <c r="B1956" s="93"/>
      <c r="C1956" s="93"/>
      <c r="D1956" s="92"/>
      <c r="E1956" s="92"/>
      <c r="F1956" s="92"/>
      <c r="G1956" s="92"/>
      <c r="H1956" s="92"/>
      <c r="I1956" s="92"/>
      <c r="J1956" s="92"/>
      <c r="K1956" s="92"/>
      <c r="L1956" s="92"/>
      <c r="M1956" s="92"/>
      <c r="N1956" s="94"/>
      <c r="AG1956" s="100"/>
      <c r="AH1956" s="101"/>
      <c r="AI1956" s="101"/>
      <c r="AJ1956" s="100"/>
      <c r="AK1956" s="100"/>
      <c r="AL1956" s="100"/>
      <c r="AM1956" s="100"/>
      <c r="AN1956" s="100"/>
      <c r="AO1956" s="100"/>
      <c r="AP1956" s="100"/>
      <c r="AQ1956" s="100"/>
      <c r="AR1956" s="100"/>
      <c r="AS1956" s="100"/>
      <c r="AT1956" s="102"/>
      <c r="AX1956" s="100"/>
      <c r="AY1956" s="101"/>
      <c r="AZ1956" s="101"/>
      <c r="BA1956" s="101"/>
      <c r="BB1956" s="100"/>
      <c r="BC1956" s="100"/>
      <c r="BD1956" s="100"/>
      <c r="BE1956" s="100"/>
      <c r="BF1956" s="100"/>
      <c r="BG1956" s="100"/>
      <c r="BH1956" s="100"/>
      <c r="BI1956" s="100"/>
      <c r="BJ1956" s="100"/>
      <c r="BK1956" s="102"/>
    </row>
    <row r="1957" spans="1:63" x14ac:dyDescent="0.25">
      <c r="A1957" s="92"/>
      <c r="B1957" s="93"/>
      <c r="C1957" s="93"/>
      <c r="D1957" s="93"/>
      <c r="E1957" s="92"/>
      <c r="F1957" s="92"/>
      <c r="G1957" s="92"/>
      <c r="H1957" s="92"/>
      <c r="I1957" s="92"/>
      <c r="J1957" s="92"/>
      <c r="K1957" s="92"/>
      <c r="L1957" s="92"/>
      <c r="M1957" s="92"/>
      <c r="N1957" s="94"/>
      <c r="AG1957" s="100"/>
      <c r="AH1957" s="101"/>
      <c r="AI1957" s="101"/>
      <c r="AJ1957" s="101"/>
      <c r="AK1957" s="100"/>
      <c r="AL1957" s="100"/>
      <c r="AM1957" s="100"/>
      <c r="AN1957" s="100"/>
      <c r="AO1957" s="100"/>
      <c r="AP1957" s="100"/>
      <c r="AQ1957" s="100"/>
      <c r="AR1957" s="100"/>
      <c r="AS1957" s="100"/>
      <c r="AT1957" s="102"/>
      <c r="AX1957" s="100"/>
      <c r="AY1957" s="101"/>
      <c r="AZ1957" s="101"/>
      <c r="BA1957" s="100"/>
      <c r="BB1957" s="100"/>
      <c r="BC1957" s="100"/>
      <c r="BD1957" s="100"/>
      <c r="BE1957" s="100"/>
      <c r="BF1957" s="100"/>
      <c r="BG1957" s="100"/>
      <c r="BH1957" s="100"/>
      <c r="BI1957" s="100"/>
      <c r="BJ1957" s="100"/>
      <c r="BK1957" s="102"/>
    </row>
    <row r="1958" spans="1:63" x14ac:dyDescent="0.25">
      <c r="A1958" s="92"/>
      <c r="B1958" s="92"/>
      <c r="C1958" s="92"/>
      <c r="D1958" s="92"/>
      <c r="E1958" s="92"/>
      <c r="F1958" s="92"/>
      <c r="G1958" s="92"/>
      <c r="H1958" s="92"/>
      <c r="I1958" s="92"/>
      <c r="J1958" s="92"/>
      <c r="K1958" s="92"/>
      <c r="L1958" s="92"/>
      <c r="M1958" s="92"/>
      <c r="N1958" s="92"/>
      <c r="AG1958" s="100"/>
      <c r="AH1958" s="101"/>
      <c r="AI1958" s="101"/>
      <c r="AJ1958" s="101"/>
      <c r="AK1958" s="100"/>
      <c r="AL1958" s="100"/>
      <c r="AM1958" s="100"/>
      <c r="AN1958" s="100"/>
      <c r="AO1958" s="100"/>
      <c r="AP1958" s="100"/>
      <c r="AQ1958" s="100"/>
      <c r="AR1958" s="100"/>
      <c r="AS1958" s="100"/>
      <c r="AT1958" s="102"/>
      <c r="AX1958" s="100"/>
      <c r="AY1958" s="101"/>
      <c r="AZ1958" s="101"/>
      <c r="BA1958" s="100"/>
      <c r="BB1958" s="100"/>
      <c r="BC1958" s="100"/>
      <c r="BD1958" s="100"/>
      <c r="BE1958" s="100"/>
      <c r="BF1958" s="100"/>
      <c r="BG1958" s="100"/>
      <c r="BH1958" s="100"/>
      <c r="BI1958" s="100"/>
      <c r="BJ1958" s="100"/>
      <c r="BK1958" s="102"/>
    </row>
    <row r="1959" spans="1:63" x14ac:dyDescent="0.25">
      <c r="A1959" s="92"/>
      <c r="B1959" s="93"/>
      <c r="C1959" s="93"/>
      <c r="D1959" s="92"/>
      <c r="E1959" s="92"/>
      <c r="F1959" s="92"/>
      <c r="G1959" s="92"/>
      <c r="H1959" s="92"/>
      <c r="I1959" s="92"/>
      <c r="J1959" s="92"/>
      <c r="K1959" s="92"/>
      <c r="L1959" s="92"/>
      <c r="M1959" s="92"/>
      <c r="N1959" s="94"/>
      <c r="AG1959" s="100"/>
      <c r="AH1959" s="101"/>
      <c r="AI1959" s="101"/>
      <c r="AJ1959" s="100"/>
      <c r="AK1959" s="100"/>
      <c r="AL1959" s="100"/>
      <c r="AM1959" s="100"/>
      <c r="AN1959" s="100"/>
      <c r="AO1959" s="100"/>
      <c r="AP1959" s="100"/>
      <c r="AQ1959" s="100"/>
      <c r="AR1959" s="100"/>
      <c r="AS1959" s="100"/>
      <c r="AT1959" s="102"/>
      <c r="AX1959" s="100"/>
      <c r="AY1959" s="101"/>
      <c r="AZ1959" s="101"/>
      <c r="BA1959" s="100"/>
      <c r="BB1959" s="100"/>
      <c r="BC1959" s="100"/>
      <c r="BD1959" s="100"/>
      <c r="BE1959" s="100"/>
      <c r="BF1959" s="100"/>
      <c r="BG1959" s="100"/>
      <c r="BH1959" s="100"/>
      <c r="BI1959" s="100"/>
      <c r="BJ1959" s="100"/>
      <c r="BK1959" s="102"/>
    </row>
    <row r="1960" spans="1:63" x14ac:dyDescent="0.25">
      <c r="A1960" s="92"/>
      <c r="B1960" s="93"/>
      <c r="C1960" s="93"/>
      <c r="D1960" s="92"/>
      <c r="E1960" s="92"/>
      <c r="F1960" s="92"/>
      <c r="G1960" s="92"/>
      <c r="H1960" s="92"/>
      <c r="I1960" s="92"/>
      <c r="J1960" s="92"/>
      <c r="K1960" s="92"/>
      <c r="L1960" s="92"/>
      <c r="M1960" s="92"/>
      <c r="N1960" s="94"/>
      <c r="AG1960" s="100"/>
      <c r="AH1960" s="101"/>
      <c r="AI1960" s="101"/>
      <c r="AJ1960" s="100"/>
      <c r="AK1960" s="100"/>
      <c r="AL1960" s="100"/>
      <c r="AM1960" s="100"/>
      <c r="AN1960" s="100"/>
      <c r="AO1960" s="100"/>
      <c r="AP1960" s="100"/>
      <c r="AQ1960" s="100"/>
      <c r="AR1960" s="100"/>
      <c r="AS1960" s="100"/>
      <c r="AT1960" s="102"/>
      <c r="AX1960" s="100"/>
      <c r="AY1960" s="101"/>
      <c r="AZ1960" s="101"/>
      <c r="BA1960" s="100"/>
      <c r="BB1960" s="100"/>
      <c r="BC1960" s="100"/>
      <c r="BD1960" s="100"/>
      <c r="BE1960" s="100"/>
      <c r="BF1960" s="100"/>
      <c r="BG1960" s="100"/>
      <c r="BH1960" s="100"/>
      <c r="BI1960" s="100"/>
      <c r="BJ1960" s="100"/>
      <c r="BK1960" s="102"/>
    </row>
    <row r="1961" spans="1:63" x14ac:dyDescent="0.25">
      <c r="A1961" s="92"/>
      <c r="B1961" s="93"/>
      <c r="C1961" s="93"/>
      <c r="D1961" s="92"/>
      <c r="E1961" s="92"/>
      <c r="F1961" s="92"/>
      <c r="G1961" s="92"/>
      <c r="H1961" s="92"/>
      <c r="I1961" s="92"/>
      <c r="J1961" s="92"/>
      <c r="K1961" s="92"/>
      <c r="L1961" s="92"/>
      <c r="M1961" s="92"/>
      <c r="N1961" s="94"/>
      <c r="AG1961" s="100"/>
      <c r="AH1961" s="101"/>
      <c r="AI1961" s="101"/>
      <c r="AJ1961" s="100"/>
      <c r="AK1961" s="100"/>
      <c r="AL1961" s="100"/>
      <c r="AM1961" s="100"/>
      <c r="AN1961" s="100"/>
      <c r="AO1961" s="100"/>
      <c r="AP1961" s="100"/>
      <c r="AQ1961" s="100"/>
      <c r="AR1961" s="100"/>
      <c r="AS1961" s="100"/>
      <c r="AT1961" s="102"/>
      <c r="AX1961" s="100"/>
      <c r="AY1961" s="101"/>
      <c r="AZ1961" s="101"/>
      <c r="BA1961" s="100"/>
      <c r="BB1961" s="100"/>
      <c r="BC1961" s="100"/>
      <c r="BD1961" s="100"/>
      <c r="BE1961" s="100"/>
      <c r="BF1961" s="100"/>
      <c r="BG1961" s="100"/>
      <c r="BH1961" s="100"/>
      <c r="BI1961" s="100"/>
      <c r="BJ1961" s="100"/>
      <c r="BK1961" s="102"/>
    </row>
    <row r="1962" spans="1:63" x14ac:dyDescent="0.25">
      <c r="A1962" s="92"/>
      <c r="B1962" s="92"/>
      <c r="C1962" s="92"/>
      <c r="D1962" s="92"/>
      <c r="E1962" s="92"/>
      <c r="F1962" s="92"/>
      <c r="G1962" s="92"/>
      <c r="H1962" s="92"/>
      <c r="I1962" s="92"/>
      <c r="J1962" s="92"/>
      <c r="K1962" s="92"/>
      <c r="L1962" s="92"/>
      <c r="M1962" s="92"/>
      <c r="N1962" s="92"/>
      <c r="AG1962" s="100"/>
      <c r="AH1962" s="101"/>
      <c r="AI1962" s="101"/>
      <c r="AJ1962" s="100"/>
      <c r="AK1962" s="100"/>
      <c r="AL1962" s="100"/>
      <c r="AM1962" s="100"/>
      <c r="AN1962" s="100"/>
      <c r="AO1962" s="100"/>
      <c r="AP1962" s="100"/>
      <c r="AQ1962" s="100"/>
      <c r="AR1962" s="100"/>
      <c r="AS1962" s="100"/>
      <c r="AT1962" s="102"/>
      <c r="AX1962" s="100"/>
      <c r="AY1962" s="101"/>
      <c r="AZ1962" s="101"/>
      <c r="BA1962" s="101"/>
      <c r="BB1962" s="100"/>
      <c r="BC1962" s="100"/>
      <c r="BD1962" s="100"/>
      <c r="BE1962" s="100"/>
      <c r="BF1962" s="100"/>
      <c r="BG1962" s="100"/>
      <c r="BH1962" s="100"/>
      <c r="BI1962" s="100"/>
      <c r="BJ1962" s="100"/>
      <c r="BK1962" s="102"/>
    </row>
    <row r="1963" spans="1:63" x14ac:dyDescent="0.25">
      <c r="A1963" s="92"/>
      <c r="B1963" s="92"/>
      <c r="C1963" s="92"/>
      <c r="D1963" s="92"/>
      <c r="E1963" s="92"/>
      <c r="F1963" s="92"/>
      <c r="G1963" s="92"/>
      <c r="H1963" s="92"/>
      <c r="I1963" s="92"/>
      <c r="J1963" s="92"/>
      <c r="K1963" s="92"/>
      <c r="L1963" s="92"/>
      <c r="M1963" s="92"/>
      <c r="N1963" s="92"/>
      <c r="AG1963" s="100"/>
      <c r="AH1963" s="101"/>
      <c r="AI1963" s="101"/>
      <c r="AJ1963" s="100"/>
      <c r="AK1963" s="100"/>
      <c r="AL1963" s="100"/>
      <c r="AM1963" s="100"/>
      <c r="AN1963" s="100"/>
      <c r="AO1963" s="100"/>
      <c r="AP1963" s="100"/>
      <c r="AQ1963" s="100"/>
      <c r="AR1963" s="100"/>
      <c r="AS1963" s="100"/>
      <c r="AT1963" s="102"/>
      <c r="AX1963" s="100"/>
      <c r="AY1963" s="101"/>
      <c r="AZ1963" s="101"/>
      <c r="BA1963" s="100"/>
      <c r="BB1963" s="100"/>
      <c r="BC1963" s="100"/>
      <c r="BD1963" s="100"/>
      <c r="BE1963" s="100"/>
      <c r="BF1963" s="100"/>
      <c r="BG1963" s="100"/>
      <c r="BH1963" s="100"/>
      <c r="BI1963" s="100"/>
      <c r="BJ1963" s="100"/>
      <c r="BK1963" s="102"/>
    </row>
    <row r="1964" spans="1:63" x14ac:dyDescent="0.25">
      <c r="A1964" s="92"/>
      <c r="B1964" s="92"/>
      <c r="C1964" s="92"/>
      <c r="D1964" s="92"/>
      <c r="E1964" s="92"/>
      <c r="F1964" s="92"/>
      <c r="G1964" s="92"/>
      <c r="H1964" s="92"/>
      <c r="I1964" s="92"/>
      <c r="J1964" s="92"/>
      <c r="K1964" s="92"/>
      <c r="L1964" s="92"/>
      <c r="M1964" s="92"/>
      <c r="N1964" s="92"/>
      <c r="AG1964" s="100"/>
      <c r="AH1964" s="101"/>
      <c r="AI1964" s="101"/>
      <c r="AJ1964" s="100"/>
      <c r="AK1964" s="100"/>
      <c r="AL1964" s="100"/>
      <c r="AM1964" s="100"/>
      <c r="AN1964" s="100"/>
      <c r="AO1964" s="100"/>
      <c r="AP1964" s="100"/>
      <c r="AQ1964" s="100"/>
      <c r="AR1964" s="100"/>
      <c r="AS1964" s="100"/>
      <c r="AT1964" s="102"/>
      <c r="AX1964" s="100"/>
      <c r="AY1964" s="101"/>
      <c r="AZ1964" s="101"/>
      <c r="BA1964" s="101"/>
      <c r="BB1964" s="100"/>
      <c r="BC1964" s="100"/>
      <c r="BD1964" s="100"/>
      <c r="BE1964" s="100"/>
      <c r="BF1964" s="100"/>
      <c r="BG1964" s="100"/>
      <c r="BH1964" s="100"/>
      <c r="BI1964" s="100"/>
      <c r="BJ1964" s="100"/>
      <c r="BK1964" s="102"/>
    </row>
    <row r="1965" spans="1:63" x14ac:dyDescent="0.25">
      <c r="A1965" s="92"/>
      <c r="B1965" s="92"/>
      <c r="C1965" s="92"/>
      <c r="D1965" s="92"/>
      <c r="E1965" s="92"/>
      <c r="F1965" s="92"/>
      <c r="G1965" s="92"/>
      <c r="H1965" s="92"/>
      <c r="I1965" s="92"/>
      <c r="J1965" s="92"/>
      <c r="K1965" s="92"/>
      <c r="L1965" s="92"/>
      <c r="M1965" s="92"/>
      <c r="N1965" s="92"/>
      <c r="AG1965" s="100"/>
      <c r="AH1965" s="101"/>
      <c r="AI1965" s="101"/>
      <c r="AJ1965" s="101"/>
      <c r="AK1965" s="100"/>
      <c r="AL1965" s="100"/>
      <c r="AM1965" s="100"/>
      <c r="AN1965" s="100"/>
      <c r="AO1965" s="100"/>
      <c r="AP1965" s="100"/>
      <c r="AQ1965" s="100"/>
      <c r="AR1965" s="100"/>
      <c r="AS1965" s="100"/>
      <c r="AT1965" s="102"/>
      <c r="AX1965" s="100"/>
      <c r="AY1965" s="101"/>
      <c r="AZ1965" s="101"/>
      <c r="BA1965" s="100"/>
      <c r="BB1965" s="100"/>
      <c r="BC1965" s="100"/>
      <c r="BD1965" s="100"/>
      <c r="BE1965" s="100"/>
      <c r="BF1965" s="100"/>
      <c r="BG1965" s="100"/>
      <c r="BH1965" s="100"/>
      <c r="BI1965" s="100"/>
      <c r="BJ1965" s="100"/>
      <c r="BK1965" s="102"/>
    </row>
    <row r="1966" spans="1:63" x14ac:dyDescent="0.25">
      <c r="A1966" s="92"/>
      <c r="B1966" s="92"/>
      <c r="C1966" s="92"/>
      <c r="D1966" s="92"/>
      <c r="E1966" s="92"/>
      <c r="F1966" s="92"/>
      <c r="G1966" s="92"/>
      <c r="H1966" s="92"/>
      <c r="I1966" s="92"/>
      <c r="J1966" s="92"/>
      <c r="K1966" s="92"/>
      <c r="L1966" s="92"/>
      <c r="M1966" s="92"/>
      <c r="N1966" s="92"/>
      <c r="AG1966" s="100"/>
      <c r="AH1966" s="101"/>
      <c r="AI1966" s="101"/>
      <c r="AJ1966" s="100"/>
      <c r="AK1966" s="100"/>
      <c r="AL1966" s="100"/>
      <c r="AM1966" s="100"/>
      <c r="AN1966" s="100"/>
      <c r="AO1966" s="100"/>
      <c r="AP1966" s="100"/>
      <c r="AQ1966" s="100"/>
      <c r="AR1966" s="100"/>
      <c r="AS1966" s="100"/>
      <c r="AT1966" s="102"/>
      <c r="AX1966" s="100"/>
      <c r="AY1966" s="101"/>
      <c r="AZ1966" s="101"/>
      <c r="BA1966" s="100"/>
      <c r="BB1966" s="100"/>
      <c r="BC1966" s="100"/>
      <c r="BD1966" s="100"/>
      <c r="BE1966" s="100"/>
      <c r="BF1966" s="100"/>
      <c r="BG1966" s="100"/>
      <c r="BH1966" s="100"/>
      <c r="BI1966" s="100"/>
      <c r="BJ1966" s="100"/>
      <c r="BK1966" s="102"/>
    </row>
    <row r="1967" spans="1:63" x14ac:dyDescent="0.25">
      <c r="A1967" s="92"/>
      <c r="B1967" s="92"/>
      <c r="C1967" s="92"/>
      <c r="D1967" s="92"/>
      <c r="E1967" s="92"/>
      <c r="F1967" s="92"/>
      <c r="G1967" s="92"/>
      <c r="H1967" s="92"/>
      <c r="I1967" s="92"/>
      <c r="J1967" s="92"/>
      <c r="K1967" s="92"/>
      <c r="L1967" s="92"/>
      <c r="M1967" s="92"/>
      <c r="N1967" s="92"/>
      <c r="AG1967" s="100"/>
      <c r="AH1967" s="101"/>
      <c r="AI1967" s="101"/>
      <c r="AJ1967" s="100"/>
      <c r="AK1967" s="100"/>
      <c r="AL1967" s="100"/>
      <c r="AM1967" s="100"/>
      <c r="AN1967" s="100"/>
      <c r="AO1967" s="100"/>
      <c r="AP1967" s="100"/>
      <c r="AQ1967" s="100"/>
      <c r="AR1967" s="100"/>
      <c r="AS1967" s="100"/>
      <c r="AT1967" s="102"/>
      <c r="AX1967" s="100"/>
      <c r="AY1967" s="101"/>
      <c r="AZ1967" s="101"/>
      <c r="BA1967" s="100"/>
      <c r="BB1967" s="100"/>
      <c r="BC1967" s="100"/>
      <c r="BD1967" s="100"/>
      <c r="BE1967" s="100"/>
      <c r="BF1967" s="100"/>
      <c r="BG1967" s="100"/>
      <c r="BH1967" s="100"/>
      <c r="BI1967" s="100"/>
      <c r="BJ1967" s="100"/>
      <c r="BK1967" s="102"/>
    </row>
    <row r="1968" spans="1:63" x14ac:dyDescent="0.25">
      <c r="A1968" s="92"/>
      <c r="B1968" s="92"/>
      <c r="C1968" s="92"/>
      <c r="D1968" s="92"/>
      <c r="E1968" s="92"/>
      <c r="F1968" s="92"/>
      <c r="G1968" s="92"/>
      <c r="H1968" s="92"/>
      <c r="I1968" s="92"/>
      <c r="J1968" s="92"/>
      <c r="K1968" s="92"/>
      <c r="L1968" s="92"/>
      <c r="M1968" s="92"/>
      <c r="N1968" s="92"/>
      <c r="AG1968" s="100"/>
      <c r="AH1968" s="101"/>
      <c r="AI1968" s="101"/>
      <c r="AJ1968" s="100"/>
      <c r="AK1968" s="100"/>
      <c r="AL1968" s="100"/>
      <c r="AM1968" s="100"/>
      <c r="AN1968" s="100"/>
      <c r="AO1968" s="100"/>
      <c r="AP1968" s="100"/>
      <c r="AQ1968" s="100"/>
      <c r="AR1968" s="100"/>
      <c r="AS1968" s="100"/>
      <c r="AT1968" s="102"/>
      <c r="AX1968" s="100"/>
      <c r="AY1968" s="101"/>
      <c r="AZ1968" s="101"/>
      <c r="BA1968" s="100"/>
      <c r="BB1968" s="100"/>
      <c r="BC1968" s="100"/>
      <c r="BD1968" s="100"/>
      <c r="BE1968" s="100"/>
      <c r="BF1968" s="100"/>
      <c r="BG1968" s="100"/>
      <c r="BH1968" s="100"/>
      <c r="BI1968" s="100"/>
      <c r="BJ1968" s="100"/>
      <c r="BK1968" s="102"/>
    </row>
    <row r="1969" spans="1:63" x14ac:dyDescent="0.25">
      <c r="A1969" s="92"/>
      <c r="B1969" s="92"/>
      <c r="C1969" s="92"/>
      <c r="D1969" s="92"/>
      <c r="E1969" s="92"/>
      <c r="F1969" s="92"/>
      <c r="G1969" s="92"/>
      <c r="H1969" s="92"/>
      <c r="I1969" s="92"/>
      <c r="J1969" s="92"/>
      <c r="K1969" s="92"/>
      <c r="L1969" s="92"/>
      <c r="M1969" s="92"/>
      <c r="N1969" s="92"/>
      <c r="AG1969" s="100"/>
      <c r="AH1969" s="101"/>
      <c r="AI1969" s="101"/>
      <c r="AJ1969" s="100"/>
      <c r="AK1969" s="100"/>
      <c r="AL1969" s="100"/>
      <c r="AM1969" s="100"/>
      <c r="AN1969" s="100"/>
      <c r="AO1969" s="100"/>
      <c r="AP1969" s="100"/>
      <c r="AQ1969" s="100"/>
      <c r="AR1969" s="100"/>
      <c r="AS1969" s="100"/>
      <c r="AT1969" s="102"/>
      <c r="AX1969" s="100"/>
      <c r="AY1969" s="101"/>
      <c r="AZ1969" s="101"/>
      <c r="BA1969" s="101"/>
      <c r="BB1969" s="100"/>
      <c r="BC1969" s="100"/>
      <c r="BD1969" s="100"/>
      <c r="BE1969" s="100"/>
      <c r="BF1969" s="100"/>
      <c r="BG1969" s="100"/>
      <c r="BH1969" s="100"/>
      <c r="BI1969" s="100"/>
      <c r="BJ1969" s="100"/>
      <c r="BK1969" s="102"/>
    </row>
    <row r="1970" spans="1:63" x14ac:dyDescent="0.25">
      <c r="A1970" s="92"/>
      <c r="B1970" s="92"/>
      <c r="C1970" s="92"/>
      <c r="D1970" s="92"/>
      <c r="E1970" s="92"/>
      <c r="F1970" s="92"/>
      <c r="G1970" s="92"/>
      <c r="H1970" s="92"/>
      <c r="I1970" s="92"/>
      <c r="J1970" s="92"/>
      <c r="K1970" s="92"/>
      <c r="L1970" s="92"/>
      <c r="M1970" s="92"/>
      <c r="N1970" s="92"/>
      <c r="AG1970" s="100"/>
      <c r="AH1970" s="101"/>
      <c r="AI1970" s="101"/>
      <c r="AJ1970" s="100"/>
      <c r="AK1970" s="100"/>
      <c r="AL1970" s="100"/>
      <c r="AM1970" s="100"/>
      <c r="AN1970" s="100"/>
      <c r="AO1970" s="100"/>
      <c r="AP1970" s="100"/>
      <c r="AQ1970" s="100"/>
      <c r="AR1970" s="100"/>
      <c r="AS1970" s="100"/>
      <c r="AT1970" s="102"/>
      <c r="AX1970" s="100"/>
      <c r="AY1970" s="101"/>
      <c r="AZ1970" s="101"/>
      <c r="BA1970" s="100"/>
      <c r="BB1970" s="100"/>
      <c r="BC1970" s="100"/>
      <c r="BD1970" s="100"/>
      <c r="BE1970" s="100"/>
      <c r="BF1970" s="100"/>
      <c r="BG1970" s="100"/>
      <c r="BH1970" s="100"/>
      <c r="BI1970" s="100"/>
      <c r="BJ1970" s="100"/>
      <c r="BK1970" s="102"/>
    </row>
    <row r="1971" spans="1:63" x14ac:dyDescent="0.25">
      <c r="A1971" s="92"/>
      <c r="B1971" s="93"/>
      <c r="C1971" s="93"/>
      <c r="D1971" s="93"/>
      <c r="E1971" s="92"/>
      <c r="F1971" s="92"/>
      <c r="G1971" s="92"/>
      <c r="H1971" s="92"/>
      <c r="I1971" s="92"/>
      <c r="J1971" s="92"/>
      <c r="K1971" s="92"/>
      <c r="L1971" s="92"/>
      <c r="M1971" s="92"/>
      <c r="N1971" s="94"/>
      <c r="AG1971" s="100"/>
      <c r="AH1971" s="101"/>
      <c r="AI1971" s="101"/>
      <c r="AJ1971" s="100"/>
      <c r="AK1971" s="100"/>
      <c r="AL1971" s="100"/>
      <c r="AM1971" s="100"/>
      <c r="AN1971" s="100"/>
      <c r="AO1971" s="100"/>
      <c r="AP1971" s="100"/>
      <c r="AQ1971" s="100"/>
      <c r="AR1971" s="100"/>
      <c r="AS1971" s="100"/>
      <c r="AT1971" s="102"/>
      <c r="AX1971" s="100"/>
      <c r="AY1971" s="101"/>
      <c r="AZ1971" s="101"/>
      <c r="BA1971" s="101"/>
      <c r="BB1971" s="100"/>
      <c r="BC1971" s="100"/>
      <c r="BD1971" s="100"/>
      <c r="BE1971" s="100"/>
      <c r="BF1971" s="100"/>
      <c r="BG1971" s="100"/>
      <c r="BH1971" s="100"/>
      <c r="BI1971" s="100"/>
      <c r="BJ1971" s="100"/>
      <c r="BK1971" s="102"/>
    </row>
    <row r="1972" spans="1:63" x14ac:dyDescent="0.25">
      <c r="A1972" s="92"/>
      <c r="B1972" s="93"/>
      <c r="C1972" s="93"/>
      <c r="D1972" s="92"/>
      <c r="E1972" s="92"/>
      <c r="F1972" s="92"/>
      <c r="G1972" s="92"/>
      <c r="H1972" s="92"/>
      <c r="I1972" s="92"/>
      <c r="J1972" s="92"/>
      <c r="K1972" s="92"/>
      <c r="L1972" s="92"/>
      <c r="M1972" s="92"/>
      <c r="N1972" s="94"/>
      <c r="AG1972" s="100"/>
      <c r="AH1972" s="101"/>
      <c r="AI1972" s="101"/>
      <c r="AJ1972" s="100"/>
      <c r="AK1972" s="100"/>
      <c r="AL1972" s="100"/>
      <c r="AM1972" s="100"/>
      <c r="AN1972" s="100"/>
      <c r="AO1972" s="100"/>
      <c r="AP1972" s="100"/>
      <c r="AQ1972" s="100"/>
      <c r="AR1972" s="100"/>
      <c r="AS1972" s="100"/>
      <c r="AT1972" s="102"/>
      <c r="AX1972" s="100"/>
      <c r="AY1972" s="101"/>
      <c r="AZ1972" s="101"/>
      <c r="BA1972" s="100"/>
      <c r="BB1972" s="100"/>
      <c r="BC1972" s="100"/>
      <c r="BD1972" s="100"/>
      <c r="BE1972" s="100"/>
      <c r="BF1972" s="100"/>
      <c r="BG1972" s="100"/>
      <c r="BH1972" s="100"/>
      <c r="BI1972" s="100"/>
      <c r="BJ1972" s="100"/>
      <c r="BK1972" s="102"/>
    </row>
    <row r="1973" spans="1:63" x14ac:dyDescent="0.25">
      <c r="A1973" s="92"/>
      <c r="B1973" s="92"/>
      <c r="C1973" s="92"/>
      <c r="D1973" s="92"/>
      <c r="E1973" s="92"/>
      <c r="F1973" s="92"/>
      <c r="G1973" s="92"/>
      <c r="H1973" s="92"/>
      <c r="I1973" s="92"/>
      <c r="J1973" s="92"/>
      <c r="K1973" s="92"/>
      <c r="L1973" s="92"/>
      <c r="M1973" s="92"/>
      <c r="N1973" s="92"/>
      <c r="AG1973" s="100"/>
      <c r="AH1973" s="101"/>
      <c r="AI1973" s="101"/>
      <c r="AJ1973" s="101"/>
      <c r="AK1973" s="100"/>
      <c r="AL1973" s="100"/>
      <c r="AM1973" s="100"/>
      <c r="AN1973" s="100"/>
      <c r="AO1973" s="100"/>
      <c r="AP1973" s="100"/>
      <c r="AQ1973" s="100"/>
      <c r="AR1973" s="100"/>
      <c r="AS1973" s="100"/>
      <c r="AT1973" s="102"/>
      <c r="AX1973" s="100"/>
      <c r="AY1973" s="101"/>
      <c r="AZ1973" s="101"/>
      <c r="BA1973" s="100"/>
      <c r="BB1973" s="100"/>
      <c r="BC1973" s="100"/>
      <c r="BD1973" s="100"/>
      <c r="BE1973" s="100"/>
      <c r="BF1973" s="100"/>
      <c r="BG1973" s="100"/>
      <c r="BH1973" s="100"/>
      <c r="BI1973" s="100"/>
      <c r="BJ1973" s="100"/>
      <c r="BK1973" s="102"/>
    </row>
    <row r="1974" spans="1:63" x14ac:dyDescent="0.25">
      <c r="A1974" s="92"/>
      <c r="B1974" s="93"/>
      <c r="C1974" s="93"/>
      <c r="D1974" s="92"/>
      <c r="E1974" s="92"/>
      <c r="F1974" s="92"/>
      <c r="G1974" s="92"/>
      <c r="H1974" s="92"/>
      <c r="I1974" s="92"/>
      <c r="J1974" s="92"/>
      <c r="K1974" s="92"/>
      <c r="L1974" s="92"/>
      <c r="M1974" s="92"/>
      <c r="N1974" s="94"/>
      <c r="AG1974" s="100"/>
      <c r="AH1974" s="101"/>
      <c r="AI1974" s="101"/>
      <c r="AJ1974" s="100"/>
      <c r="AK1974" s="100"/>
      <c r="AL1974" s="100"/>
      <c r="AM1974" s="100"/>
      <c r="AN1974" s="100"/>
      <c r="AO1974" s="100"/>
      <c r="AP1974" s="100"/>
      <c r="AQ1974" s="100"/>
      <c r="AR1974" s="100"/>
      <c r="AS1974" s="100"/>
      <c r="AT1974" s="102"/>
      <c r="AX1974" s="100"/>
      <c r="AY1974" s="101"/>
      <c r="AZ1974" s="101"/>
      <c r="BA1974" s="100"/>
      <c r="BB1974" s="100"/>
      <c r="BC1974" s="100"/>
      <c r="BD1974" s="100"/>
      <c r="BE1974" s="100"/>
      <c r="BF1974" s="100"/>
      <c r="BG1974" s="100"/>
      <c r="BH1974" s="100"/>
      <c r="BI1974" s="100"/>
      <c r="BJ1974" s="100"/>
      <c r="BK1974" s="102"/>
    </row>
    <row r="1975" spans="1:63" x14ac:dyDescent="0.25">
      <c r="A1975" s="92"/>
      <c r="B1975" s="93"/>
      <c r="C1975" s="93"/>
      <c r="D1975" s="93"/>
      <c r="E1975" s="92"/>
      <c r="F1975" s="92"/>
      <c r="G1975" s="92"/>
      <c r="H1975" s="92"/>
      <c r="I1975" s="92"/>
      <c r="J1975" s="92"/>
      <c r="K1975" s="92"/>
      <c r="L1975" s="92"/>
      <c r="M1975" s="92"/>
      <c r="N1975" s="94"/>
      <c r="AG1975" s="100"/>
      <c r="AH1975" s="101"/>
      <c r="AI1975" s="101"/>
      <c r="AJ1975" s="100"/>
      <c r="AK1975" s="100"/>
      <c r="AL1975" s="100"/>
      <c r="AM1975" s="100"/>
      <c r="AN1975" s="100"/>
      <c r="AO1975" s="100"/>
      <c r="AP1975" s="100"/>
      <c r="AQ1975" s="100"/>
      <c r="AR1975" s="100"/>
      <c r="AS1975" s="100"/>
      <c r="AT1975" s="102"/>
      <c r="AX1975" s="100"/>
      <c r="AY1975" s="101"/>
      <c r="AZ1975" s="101"/>
      <c r="BA1975" s="101"/>
      <c r="BB1975" s="100"/>
      <c r="BC1975" s="100"/>
      <c r="BD1975" s="100"/>
      <c r="BE1975" s="100"/>
      <c r="BF1975" s="100"/>
      <c r="BG1975" s="100"/>
      <c r="BH1975" s="100"/>
      <c r="BI1975" s="100"/>
      <c r="BJ1975" s="100"/>
      <c r="BK1975" s="102"/>
    </row>
    <row r="1976" spans="1:63" x14ac:dyDescent="0.25">
      <c r="A1976" s="92"/>
      <c r="B1976" s="92"/>
      <c r="C1976" s="92"/>
      <c r="D1976" s="92"/>
      <c r="E1976" s="92"/>
      <c r="F1976" s="92"/>
      <c r="G1976" s="92"/>
      <c r="H1976" s="92"/>
      <c r="I1976" s="92"/>
      <c r="J1976" s="92"/>
      <c r="K1976" s="92"/>
      <c r="L1976" s="92"/>
      <c r="M1976" s="92"/>
      <c r="N1976" s="92"/>
      <c r="AG1976" s="100"/>
      <c r="AH1976" s="101"/>
      <c r="AI1976" s="101"/>
      <c r="AJ1976" s="100"/>
      <c r="AK1976" s="100"/>
      <c r="AL1976" s="100"/>
      <c r="AM1976" s="100"/>
      <c r="AN1976" s="100"/>
      <c r="AO1976" s="100"/>
      <c r="AP1976" s="100"/>
      <c r="AQ1976" s="100"/>
      <c r="AR1976" s="100"/>
      <c r="AS1976" s="100"/>
      <c r="AT1976" s="102"/>
      <c r="AX1976" s="100"/>
      <c r="AY1976" s="101"/>
      <c r="AZ1976" s="101"/>
      <c r="BA1976" s="100"/>
      <c r="BB1976" s="100"/>
      <c r="BC1976" s="100"/>
      <c r="BD1976" s="100"/>
      <c r="BE1976" s="100"/>
      <c r="BF1976" s="100"/>
      <c r="BG1976" s="100"/>
      <c r="BH1976" s="100"/>
      <c r="BI1976" s="100"/>
      <c r="BJ1976" s="100"/>
      <c r="BK1976" s="102"/>
    </row>
    <row r="1977" spans="1:63" x14ac:dyDescent="0.25">
      <c r="A1977" s="92"/>
      <c r="B1977" s="92"/>
      <c r="C1977" s="92"/>
      <c r="D1977" s="92"/>
      <c r="E1977" s="92"/>
      <c r="F1977" s="92"/>
      <c r="G1977" s="92"/>
      <c r="H1977" s="92"/>
      <c r="I1977" s="92"/>
      <c r="J1977" s="92"/>
      <c r="K1977" s="92"/>
      <c r="L1977" s="92"/>
      <c r="M1977" s="92"/>
      <c r="N1977" s="92"/>
      <c r="AG1977" s="100"/>
      <c r="AH1977" s="101"/>
      <c r="AI1977" s="101"/>
      <c r="AJ1977" s="100"/>
      <c r="AK1977" s="100"/>
      <c r="AL1977" s="100"/>
      <c r="AM1977" s="100"/>
      <c r="AN1977" s="100"/>
      <c r="AO1977" s="100"/>
      <c r="AP1977" s="100"/>
      <c r="AQ1977" s="100"/>
      <c r="AR1977" s="100"/>
      <c r="AS1977" s="100"/>
      <c r="AT1977" s="102"/>
      <c r="AX1977" s="100"/>
      <c r="AY1977" s="101"/>
      <c r="AZ1977" s="101"/>
      <c r="BA1977" s="101"/>
      <c r="BB1977" s="100"/>
      <c r="BC1977" s="100"/>
      <c r="BD1977" s="100"/>
      <c r="BE1977" s="100"/>
      <c r="BF1977" s="100"/>
      <c r="BG1977" s="100"/>
      <c r="BH1977" s="100"/>
      <c r="BI1977" s="100"/>
      <c r="BJ1977" s="100"/>
      <c r="BK1977" s="102"/>
    </row>
    <row r="1978" spans="1:63" x14ac:dyDescent="0.25">
      <c r="A1978" s="92"/>
      <c r="B1978" s="92"/>
      <c r="C1978" s="92"/>
      <c r="D1978" s="92"/>
      <c r="E1978" s="92"/>
      <c r="F1978" s="92"/>
      <c r="G1978" s="92"/>
      <c r="H1978" s="92"/>
      <c r="I1978" s="92"/>
      <c r="J1978" s="92"/>
      <c r="K1978" s="92"/>
      <c r="L1978" s="92"/>
      <c r="M1978" s="92"/>
      <c r="N1978" s="92"/>
      <c r="AG1978" s="100"/>
      <c r="AH1978" s="101"/>
      <c r="AI1978" s="101"/>
      <c r="AJ1978" s="100"/>
      <c r="AK1978" s="100"/>
      <c r="AL1978" s="100"/>
      <c r="AM1978" s="100"/>
      <c r="AN1978" s="100"/>
      <c r="AO1978" s="100"/>
      <c r="AP1978" s="100"/>
      <c r="AQ1978" s="100"/>
      <c r="AR1978" s="100"/>
      <c r="AS1978" s="100"/>
      <c r="AT1978" s="102"/>
      <c r="AX1978" s="100"/>
      <c r="AY1978" s="101"/>
      <c r="AZ1978" s="101"/>
      <c r="BA1978" s="101"/>
      <c r="BB1978" s="100"/>
      <c r="BC1978" s="100"/>
      <c r="BD1978" s="100"/>
      <c r="BE1978" s="100"/>
      <c r="BF1978" s="100"/>
      <c r="BG1978" s="100"/>
      <c r="BH1978" s="100"/>
      <c r="BI1978" s="100"/>
      <c r="BJ1978" s="100"/>
      <c r="BK1978" s="102"/>
    </row>
    <row r="1979" spans="1:63" x14ac:dyDescent="0.25">
      <c r="A1979" s="92"/>
      <c r="B1979" s="93"/>
      <c r="C1979" s="93"/>
      <c r="D1979" s="92"/>
      <c r="E1979" s="92"/>
      <c r="F1979" s="92"/>
      <c r="G1979" s="92"/>
      <c r="H1979" s="92"/>
      <c r="I1979" s="92"/>
      <c r="J1979" s="92"/>
      <c r="K1979" s="92"/>
      <c r="L1979" s="92"/>
      <c r="M1979" s="92"/>
      <c r="N1979" s="94"/>
      <c r="AG1979" s="100"/>
      <c r="AH1979" s="101"/>
      <c r="AI1979" s="101"/>
      <c r="AJ1979" s="100"/>
      <c r="AK1979" s="100"/>
      <c r="AL1979" s="100"/>
      <c r="AM1979" s="100"/>
      <c r="AN1979" s="100"/>
      <c r="AO1979" s="100"/>
      <c r="AP1979" s="100"/>
      <c r="AQ1979" s="100"/>
      <c r="AR1979" s="100"/>
      <c r="AS1979" s="100"/>
      <c r="AT1979" s="102"/>
      <c r="AX1979" s="100"/>
      <c r="AY1979" s="101"/>
      <c r="AZ1979" s="101"/>
      <c r="BA1979" s="100"/>
      <c r="BB1979" s="100"/>
      <c r="BC1979" s="100"/>
      <c r="BD1979" s="100"/>
      <c r="BE1979" s="100"/>
      <c r="BF1979" s="100"/>
      <c r="BG1979" s="100"/>
      <c r="BH1979" s="100"/>
      <c r="BI1979" s="100"/>
      <c r="BJ1979" s="100"/>
      <c r="BK1979" s="102"/>
    </row>
    <row r="1980" spans="1:63" x14ac:dyDescent="0.25">
      <c r="A1980" s="92"/>
      <c r="B1980" s="93"/>
      <c r="C1980" s="93"/>
      <c r="D1980" s="92"/>
      <c r="E1980" s="92"/>
      <c r="F1980" s="92"/>
      <c r="G1980" s="92"/>
      <c r="H1980" s="92"/>
      <c r="I1980" s="92"/>
      <c r="J1980" s="92"/>
      <c r="K1980" s="92"/>
      <c r="L1980" s="92"/>
      <c r="M1980" s="92"/>
      <c r="N1980" s="94"/>
      <c r="AG1980" s="100"/>
      <c r="AH1980" s="101"/>
      <c r="AI1980" s="101"/>
      <c r="AJ1980" s="100"/>
      <c r="AK1980" s="100"/>
      <c r="AL1980" s="100"/>
      <c r="AM1980" s="100"/>
      <c r="AN1980" s="100"/>
      <c r="AO1980" s="100"/>
      <c r="AP1980" s="100"/>
      <c r="AQ1980" s="100"/>
      <c r="AR1980" s="100"/>
      <c r="AS1980" s="100"/>
      <c r="AT1980" s="102"/>
      <c r="AX1980" s="100"/>
      <c r="AY1980" s="101"/>
      <c r="AZ1980" s="101"/>
      <c r="BA1980" s="100"/>
      <c r="BB1980" s="100"/>
      <c r="BC1980" s="100"/>
      <c r="BD1980" s="100"/>
      <c r="BE1980" s="100"/>
      <c r="BF1980" s="100"/>
      <c r="BG1980" s="100"/>
      <c r="BH1980" s="100"/>
      <c r="BI1980" s="100"/>
      <c r="BJ1980" s="100"/>
      <c r="BK1980" s="102"/>
    </row>
    <row r="1981" spans="1:63" x14ac:dyDescent="0.25">
      <c r="A1981" s="92"/>
      <c r="B1981" s="92"/>
      <c r="C1981" s="92"/>
      <c r="D1981" s="92"/>
      <c r="E1981" s="92"/>
      <c r="F1981" s="92"/>
      <c r="G1981" s="92"/>
      <c r="H1981" s="92"/>
      <c r="I1981" s="92"/>
      <c r="J1981" s="92"/>
      <c r="K1981" s="92"/>
      <c r="L1981" s="92"/>
      <c r="M1981" s="92"/>
      <c r="N1981" s="92"/>
      <c r="AG1981" s="100"/>
      <c r="AH1981" s="101"/>
      <c r="AI1981" s="101"/>
      <c r="AJ1981" s="100"/>
      <c r="AK1981" s="100"/>
      <c r="AL1981" s="100"/>
      <c r="AM1981" s="100"/>
      <c r="AN1981" s="100"/>
      <c r="AO1981" s="100"/>
      <c r="AP1981" s="100"/>
      <c r="AQ1981" s="100"/>
      <c r="AR1981" s="100"/>
      <c r="AS1981" s="100"/>
      <c r="AT1981" s="102"/>
      <c r="AX1981" s="100"/>
      <c r="AY1981" s="101"/>
      <c r="AZ1981" s="101"/>
      <c r="BA1981" s="100"/>
      <c r="BB1981" s="100"/>
      <c r="BC1981" s="100"/>
      <c r="BD1981" s="100"/>
      <c r="BE1981" s="100"/>
      <c r="BF1981" s="100"/>
      <c r="BG1981" s="100"/>
      <c r="BH1981" s="100"/>
      <c r="BI1981" s="100"/>
      <c r="BJ1981" s="100"/>
      <c r="BK1981" s="102"/>
    </row>
    <row r="1982" spans="1:63" x14ac:dyDescent="0.25">
      <c r="A1982" s="92"/>
      <c r="B1982" s="93"/>
      <c r="C1982" s="93"/>
      <c r="D1982" s="92"/>
      <c r="E1982" s="92"/>
      <c r="F1982" s="92"/>
      <c r="G1982" s="92"/>
      <c r="H1982" s="92"/>
      <c r="I1982" s="92"/>
      <c r="J1982" s="92"/>
      <c r="K1982" s="92"/>
      <c r="L1982" s="92"/>
      <c r="M1982" s="92"/>
      <c r="N1982" s="94"/>
      <c r="AG1982" s="100"/>
      <c r="AH1982" s="101"/>
      <c r="AI1982" s="101"/>
      <c r="AJ1982" s="100"/>
      <c r="AK1982" s="100"/>
      <c r="AL1982" s="100"/>
      <c r="AM1982" s="100"/>
      <c r="AN1982" s="100"/>
      <c r="AO1982" s="100"/>
      <c r="AP1982" s="100"/>
      <c r="AQ1982" s="100"/>
      <c r="AR1982" s="100"/>
      <c r="AS1982" s="100"/>
      <c r="AT1982" s="102"/>
      <c r="AX1982" s="100"/>
      <c r="AY1982" s="101"/>
      <c r="AZ1982" s="101"/>
      <c r="BA1982" s="100"/>
      <c r="BB1982" s="100"/>
      <c r="BC1982" s="100"/>
      <c r="BD1982" s="100"/>
      <c r="BE1982" s="100"/>
      <c r="BF1982" s="100"/>
      <c r="BG1982" s="100"/>
      <c r="BH1982" s="100"/>
      <c r="BI1982" s="100"/>
      <c r="BJ1982" s="100"/>
      <c r="BK1982" s="102"/>
    </row>
    <row r="1983" spans="1:63" x14ac:dyDescent="0.25">
      <c r="A1983" s="92"/>
      <c r="B1983" s="93"/>
      <c r="C1983" s="93"/>
      <c r="D1983" s="92"/>
      <c r="E1983" s="92"/>
      <c r="F1983" s="92"/>
      <c r="G1983" s="92"/>
      <c r="H1983" s="92"/>
      <c r="I1983" s="92"/>
      <c r="J1983" s="92"/>
      <c r="K1983" s="92"/>
      <c r="L1983" s="92"/>
      <c r="M1983" s="92"/>
      <c r="N1983" s="94"/>
      <c r="AG1983" s="100"/>
      <c r="AH1983" s="101"/>
      <c r="AI1983" s="101"/>
      <c r="AJ1983" s="100"/>
      <c r="AK1983" s="100"/>
      <c r="AL1983" s="100"/>
      <c r="AM1983" s="100"/>
      <c r="AN1983" s="100"/>
      <c r="AO1983" s="100"/>
      <c r="AP1983" s="100"/>
      <c r="AQ1983" s="100"/>
      <c r="AR1983" s="100"/>
      <c r="AS1983" s="100"/>
      <c r="AT1983" s="102"/>
      <c r="AX1983" s="100"/>
      <c r="AY1983" s="101"/>
      <c r="AZ1983" s="101"/>
      <c r="BA1983" s="100"/>
      <c r="BB1983" s="100"/>
      <c r="BC1983" s="100"/>
      <c r="BD1983" s="100"/>
      <c r="BE1983" s="100"/>
      <c r="BF1983" s="100"/>
      <c r="BG1983" s="100"/>
      <c r="BH1983" s="100"/>
      <c r="BI1983" s="100"/>
      <c r="BJ1983" s="100"/>
      <c r="BK1983" s="102"/>
    </row>
    <row r="1984" spans="1:63" x14ac:dyDescent="0.25">
      <c r="A1984" s="92"/>
      <c r="B1984" s="93"/>
      <c r="C1984" s="93"/>
      <c r="D1984" s="92"/>
      <c r="E1984" s="92"/>
      <c r="F1984" s="92"/>
      <c r="G1984" s="92"/>
      <c r="H1984" s="92"/>
      <c r="I1984" s="92"/>
      <c r="J1984" s="92"/>
      <c r="K1984" s="92"/>
      <c r="L1984" s="92"/>
      <c r="M1984" s="92"/>
      <c r="N1984" s="94"/>
      <c r="AG1984" s="100"/>
      <c r="AH1984" s="101"/>
      <c r="AI1984" s="101"/>
      <c r="AJ1984" s="100"/>
      <c r="AK1984" s="100"/>
      <c r="AL1984" s="100"/>
      <c r="AM1984" s="100"/>
      <c r="AN1984" s="100"/>
      <c r="AO1984" s="100"/>
      <c r="AP1984" s="100"/>
      <c r="AQ1984" s="100"/>
      <c r="AR1984" s="100"/>
      <c r="AS1984" s="100"/>
      <c r="AT1984" s="102"/>
      <c r="AX1984" s="100"/>
      <c r="AY1984" s="101"/>
      <c r="AZ1984" s="101"/>
      <c r="BA1984" s="100"/>
      <c r="BB1984" s="100"/>
      <c r="BC1984" s="100"/>
      <c r="BD1984" s="100"/>
      <c r="BE1984" s="100"/>
      <c r="BF1984" s="100"/>
      <c r="BG1984" s="100"/>
      <c r="BH1984" s="100"/>
      <c r="BI1984" s="100"/>
      <c r="BJ1984" s="100"/>
      <c r="BK1984" s="102"/>
    </row>
    <row r="1985" spans="1:63" x14ac:dyDescent="0.25">
      <c r="A1985" s="92"/>
      <c r="B1985" s="93"/>
      <c r="C1985" s="93"/>
      <c r="D1985" s="92"/>
      <c r="E1985" s="92"/>
      <c r="F1985" s="92"/>
      <c r="G1985" s="92"/>
      <c r="H1985" s="92"/>
      <c r="I1985" s="92"/>
      <c r="J1985" s="92"/>
      <c r="K1985" s="92"/>
      <c r="L1985" s="92"/>
      <c r="M1985" s="92"/>
      <c r="N1985" s="94"/>
      <c r="AG1985" s="100"/>
      <c r="AH1985" s="101"/>
      <c r="AI1985" s="101"/>
      <c r="AJ1985" s="101"/>
      <c r="AK1985" s="100"/>
      <c r="AL1985" s="100"/>
      <c r="AM1985" s="100"/>
      <c r="AN1985" s="100"/>
      <c r="AO1985" s="100"/>
      <c r="AP1985" s="100"/>
      <c r="AQ1985" s="100"/>
      <c r="AR1985" s="100"/>
      <c r="AS1985" s="100"/>
      <c r="AT1985" s="102"/>
      <c r="AX1985" s="100"/>
      <c r="AY1985" s="101"/>
      <c r="AZ1985" s="101"/>
      <c r="BA1985" s="101"/>
      <c r="BB1985" s="100"/>
      <c r="BC1985" s="100"/>
      <c r="BD1985" s="100"/>
      <c r="BE1985" s="100"/>
      <c r="BF1985" s="100"/>
      <c r="BG1985" s="100"/>
      <c r="BH1985" s="100"/>
      <c r="BI1985" s="100"/>
      <c r="BJ1985" s="100"/>
      <c r="BK1985" s="102"/>
    </row>
    <row r="1986" spans="1:63" x14ac:dyDescent="0.25">
      <c r="A1986" s="92"/>
      <c r="B1986" s="93"/>
      <c r="C1986" s="93"/>
      <c r="D1986" s="92"/>
      <c r="E1986" s="92"/>
      <c r="F1986" s="92"/>
      <c r="G1986" s="92"/>
      <c r="H1986" s="92"/>
      <c r="I1986" s="92"/>
      <c r="J1986" s="92"/>
      <c r="K1986" s="92"/>
      <c r="L1986" s="92"/>
      <c r="M1986" s="92"/>
      <c r="N1986" s="94"/>
      <c r="AG1986" s="100"/>
      <c r="AH1986" s="101"/>
      <c r="AI1986" s="101"/>
      <c r="AJ1986" s="101"/>
      <c r="AK1986" s="100"/>
      <c r="AL1986" s="100"/>
      <c r="AM1986" s="100"/>
      <c r="AN1986" s="100"/>
      <c r="AO1986" s="100"/>
      <c r="AP1986" s="100"/>
      <c r="AQ1986" s="100"/>
      <c r="AR1986" s="100"/>
      <c r="AS1986" s="100"/>
      <c r="AT1986" s="102"/>
      <c r="AX1986" s="100"/>
      <c r="AY1986" s="101"/>
      <c r="AZ1986" s="101"/>
      <c r="BA1986" s="100"/>
      <c r="BB1986" s="100"/>
      <c r="BC1986" s="100"/>
      <c r="BD1986" s="100"/>
      <c r="BE1986" s="100"/>
      <c r="BF1986" s="100"/>
      <c r="BG1986" s="100"/>
      <c r="BH1986" s="100"/>
      <c r="BI1986" s="100"/>
      <c r="BJ1986" s="100"/>
      <c r="BK1986" s="102"/>
    </row>
    <row r="1987" spans="1:63" x14ac:dyDescent="0.25">
      <c r="A1987" s="92"/>
      <c r="B1987" s="93"/>
      <c r="C1987" s="93"/>
      <c r="D1987" s="92"/>
      <c r="E1987" s="92"/>
      <c r="F1987" s="92"/>
      <c r="G1987" s="92"/>
      <c r="H1987" s="92"/>
      <c r="I1987" s="92"/>
      <c r="J1987" s="92"/>
      <c r="K1987" s="92"/>
      <c r="L1987" s="92"/>
      <c r="M1987" s="92"/>
      <c r="N1987" s="94"/>
      <c r="AG1987" s="100"/>
      <c r="AH1987" s="101"/>
      <c r="AI1987" s="101"/>
      <c r="AJ1987" s="100"/>
      <c r="AK1987" s="100"/>
      <c r="AL1987" s="100"/>
      <c r="AM1987" s="100"/>
      <c r="AN1987" s="100"/>
      <c r="AO1987" s="100"/>
      <c r="AP1987" s="100"/>
      <c r="AQ1987" s="100"/>
      <c r="AR1987" s="100"/>
      <c r="AS1987" s="100"/>
      <c r="AT1987" s="102"/>
      <c r="AX1987" s="100"/>
      <c r="AY1987" s="101"/>
      <c r="AZ1987" s="101"/>
      <c r="BA1987" s="100"/>
      <c r="BB1987" s="100"/>
      <c r="BC1987" s="100"/>
      <c r="BD1987" s="100"/>
      <c r="BE1987" s="100"/>
      <c r="BF1987" s="100"/>
      <c r="BG1987" s="100"/>
      <c r="BH1987" s="100"/>
      <c r="BI1987" s="100"/>
      <c r="BJ1987" s="100"/>
      <c r="BK1987" s="102"/>
    </row>
    <row r="1988" spans="1:63" x14ac:dyDescent="0.25">
      <c r="A1988" s="92"/>
      <c r="B1988" s="93"/>
      <c r="C1988" s="93"/>
      <c r="D1988" s="93"/>
      <c r="E1988" s="92"/>
      <c r="F1988" s="92"/>
      <c r="G1988" s="92"/>
      <c r="H1988" s="92"/>
      <c r="I1988" s="92"/>
      <c r="J1988" s="92"/>
      <c r="K1988" s="92"/>
      <c r="L1988" s="92"/>
      <c r="M1988" s="92"/>
      <c r="N1988" s="94"/>
      <c r="AG1988" s="100"/>
      <c r="AH1988" s="101"/>
      <c r="AI1988" s="101"/>
      <c r="AJ1988" s="100"/>
      <c r="AK1988" s="100"/>
      <c r="AL1988" s="100"/>
      <c r="AM1988" s="100"/>
      <c r="AN1988" s="100"/>
      <c r="AO1988" s="100"/>
      <c r="AP1988" s="100"/>
      <c r="AQ1988" s="100"/>
      <c r="AR1988" s="100"/>
      <c r="AS1988" s="100"/>
      <c r="AT1988" s="102"/>
      <c r="AX1988" s="100"/>
      <c r="AY1988" s="101"/>
      <c r="AZ1988" s="101"/>
      <c r="BA1988" s="100"/>
      <c r="BB1988" s="100"/>
      <c r="BC1988" s="100"/>
      <c r="BD1988" s="100"/>
      <c r="BE1988" s="100"/>
      <c r="BF1988" s="100"/>
      <c r="BG1988" s="100"/>
      <c r="BH1988" s="100"/>
      <c r="BI1988" s="100"/>
      <c r="BJ1988" s="100"/>
      <c r="BK1988" s="102"/>
    </row>
    <row r="1989" spans="1:63" x14ac:dyDescent="0.25">
      <c r="A1989" s="92"/>
      <c r="B1989" s="92"/>
      <c r="C1989" s="92"/>
      <c r="D1989" s="92"/>
      <c r="E1989" s="92"/>
      <c r="F1989" s="92"/>
      <c r="G1989" s="92"/>
      <c r="H1989" s="92"/>
      <c r="I1989" s="92"/>
      <c r="J1989" s="92"/>
      <c r="K1989" s="92"/>
      <c r="L1989" s="92"/>
      <c r="M1989" s="92"/>
      <c r="N1989" s="92"/>
      <c r="AG1989" s="100"/>
      <c r="AH1989" s="101"/>
      <c r="AI1989" s="101"/>
      <c r="AJ1989" s="100"/>
      <c r="AK1989" s="100"/>
      <c r="AL1989" s="100"/>
      <c r="AM1989" s="100"/>
      <c r="AN1989" s="100"/>
      <c r="AO1989" s="100"/>
      <c r="AP1989" s="100"/>
      <c r="AQ1989" s="100"/>
      <c r="AR1989" s="100"/>
      <c r="AS1989" s="100"/>
      <c r="AT1989" s="102"/>
      <c r="AX1989" s="100"/>
      <c r="AY1989" s="101"/>
      <c r="AZ1989" s="101"/>
      <c r="BA1989" s="100"/>
      <c r="BB1989" s="100"/>
      <c r="BC1989" s="100"/>
      <c r="BD1989" s="100"/>
      <c r="BE1989" s="100"/>
      <c r="BF1989" s="100"/>
      <c r="BG1989" s="100"/>
      <c r="BH1989" s="100"/>
      <c r="BI1989" s="100"/>
      <c r="BJ1989" s="100"/>
      <c r="BK1989" s="102"/>
    </row>
    <row r="1990" spans="1:63" x14ac:dyDescent="0.25">
      <c r="A1990" s="92"/>
      <c r="B1990" s="92"/>
      <c r="C1990" s="92"/>
      <c r="D1990" s="92"/>
      <c r="E1990" s="92"/>
      <c r="F1990" s="92"/>
      <c r="G1990" s="92"/>
      <c r="H1990" s="92"/>
      <c r="I1990" s="92"/>
      <c r="J1990" s="92"/>
      <c r="K1990" s="92"/>
      <c r="L1990" s="92"/>
      <c r="M1990" s="92"/>
      <c r="N1990" s="92"/>
      <c r="AG1990" s="100"/>
      <c r="AH1990" s="101"/>
      <c r="AI1990" s="101"/>
      <c r="AJ1990" s="100"/>
      <c r="AK1990" s="100"/>
      <c r="AL1990" s="100"/>
      <c r="AM1990" s="100"/>
      <c r="AN1990" s="100"/>
      <c r="AO1990" s="100"/>
      <c r="AP1990" s="100"/>
      <c r="AQ1990" s="100"/>
      <c r="AR1990" s="100"/>
      <c r="AS1990" s="100"/>
      <c r="AT1990" s="102"/>
      <c r="AX1990" s="100"/>
      <c r="AY1990" s="101"/>
      <c r="AZ1990" s="101"/>
      <c r="BA1990" s="100"/>
      <c r="BB1990" s="100"/>
      <c r="BC1990" s="100"/>
      <c r="BD1990" s="100"/>
      <c r="BE1990" s="100"/>
      <c r="BF1990" s="100"/>
      <c r="BG1990" s="100"/>
      <c r="BH1990" s="100"/>
      <c r="BI1990" s="100"/>
      <c r="BJ1990" s="100"/>
      <c r="BK1990" s="102"/>
    </row>
    <row r="1991" spans="1:63" x14ac:dyDescent="0.25">
      <c r="A1991" s="92"/>
      <c r="B1991" s="92"/>
      <c r="C1991" s="92"/>
      <c r="D1991" s="92"/>
      <c r="E1991" s="92"/>
      <c r="F1991" s="92"/>
      <c r="G1991" s="92"/>
      <c r="H1991" s="92"/>
      <c r="I1991" s="92"/>
      <c r="J1991" s="92"/>
      <c r="K1991" s="92"/>
      <c r="L1991" s="92"/>
      <c r="M1991" s="92"/>
      <c r="N1991" s="92"/>
      <c r="AG1991" s="100"/>
      <c r="AH1991" s="101"/>
      <c r="AI1991" s="101"/>
      <c r="AJ1991" s="100"/>
      <c r="AK1991" s="100"/>
      <c r="AL1991" s="100"/>
      <c r="AM1991" s="100"/>
      <c r="AN1991" s="100"/>
      <c r="AO1991" s="100"/>
      <c r="AP1991" s="100"/>
      <c r="AQ1991" s="100"/>
      <c r="AR1991" s="100"/>
      <c r="AS1991" s="100"/>
      <c r="AT1991" s="102"/>
      <c r="AX1991" s="100"/>
      <c r="AY1991" s="101"/>
      <c r="AZ1991" s="101"/>
      <c r="BA1991" s="100"/>
      <c r="BB1991" s="100"/>
      <c r="BC1991" s="100"/>
      <c r="BD1991" s="100"/>
      <c r="BE1991" s="100"/>
      <c r="BF1991" s="100"/>
      <c r="BG1991" s="100"/>
      <c r="BH1991" s="100"/>
      <c r="BI1991" s="100"/>
      <c r="BJ1991" s="100"/>
      <c r="BK1991" s="102"/>
    </row>
    <row r="1992" spans="1:63" x14ac:dyDescent="0.25">
      <c r="A1992" s="92"/>
      <c r="B1992" s="92"/>
      <c r="C1992" s="92"/>
      <c r="D1992" s="92"/>
      <c r="E1992" s="92"/>
      <c r="F1992" s="92"/>
      <c r="G1992" s="92"/>
      <c r="H1992" s="92"/>
      <c r="I1992" s="92"/>
      <c r="J1992" s="92"/>
      <c r="K1992" s="92"/>
      <c r="L1992" s="92"/>
      <c r="M1992" s="92"/>
      <c r="N1992" s="92"/>
      <c r="AG1992" s="100"/>
      <c r="AH1992" s="101"/>
      <c r="AI1992" s="101"/>
      <c r="AJ1992" s="100"/>
      <c r="AK1992" s="100"/>
      <c r="AL1992" s="100"/>
      <c r="AM1992" s="100"/>
      <c r="AN1992" s="100"/>
      <c r="AO1992" s="100"/>
      <c r="AP1992" s="100"/>
      <c r="AQ1992" s="100"/>
      <c r="AR1992" s="100"/>
      <c r="AS1992" s="100"/>
      <c r="AT1992" s="102"/>
      <c r="AX1992" s="100"/>
      <c r="AY1992" s="101"/>
      <c r="AZ1992" s="101"/>
      <c r="BA1992" s="100"/>
      <c r="BB1992" s="100"/>
      <c r="BC1992" s="100"/>
      <c r="BD1992" s="100"/>
      <c r="BE1992" s="100"/>
      <c r="BF1992" s="100"/>
      <c r="BG1992" s="100"/>
      <c r="BH1992" s="100"/>
      <c r="BI1992" s="100"/>
      <c r="BJ1992" s="100"/>
      <c r="BK1992" s="102"/>
    </row>
    <row r="1993" spans="1:63" x14ac:dyDescent="0.25">
      <c r="A1993" s="92"/>
      <c r="B1993" s="93"/>
      <c r="C1993" s="93"/>
      <c r="D1993" s="93"/>
      <c r="E1993" s="92"/>
      <c r="F1993" s="92"/>
      <c r="G1993" s="92"/>
      <c r="H1993" s="92"/>
      <c r="I1993" s="92"/>
      <c r="J1993" s="92"/>
      <c r="K1993" s="92"/>
      <c r="L1993" s="92"/>
      <c r="M1993" s="92"/>
      <c r="N1993" s="94"/>
      <c r="AG1993" s="100"/>
      <c r="AH1993" s="101"/>
      <c r="AI1993" s="101"/>
      <c r="AJ1993" s="100"/>
      <c r="AK1993" s="100"/>
      <c r="AL1993" s="100"/>
      <c r="AM1993" s="100"/>
      <c r="AN1993" s="100"/>
      <c r="AO1993" s="100"/>
      <c r="AP1993" s="100"/>
      <c r="AQ1993" s="100"/>
      <c r="AR1993" s="100"/>
      <c r="AS1993" s="100"/>
      <c r="AT1993" s="102"/>
      <c r="AX1993" s="100"/>
      <c r="AY1993" s="101"/>
      <c r="AZ1993" s="101"/>
      <c r="BA1993" s="101"/>
      <c r="BB1993" s="100"/>
      <c r="BC1993" s="100"/>
      <c r="BD1993" s="100"/>
      <c r="BE1993" s="100"/>
      <c r="BF1993" s="100"/>
      <c r="BG1993" s="100"/>
      <c r="BH1993" s="100"/>
      <c r="BI1993" s="100"/>
      <c r="BJ1993" s="100"/>
      <c r="BK1993" s="102"/>
    </row>
    <row r="1994" spans="1:63" x14ac:dyDescent="0.25">
      <c r="A1994" s="92"/>
      <c r="B1994" s="92"/>
      <c r="C1994" s="92"/>
      <c r="D1994" s="92"/>
      <c r="E1994" s="92"/>
      <c r="F1994" s="92"/>
      <c r="G1994" s="92"/>
      <c r="H1994" s="92"/>
      <c r="I1994" s="92"/>
      <c r="J1994" s="92"/>
      <c r="K1994" s="92"/>
      <c r="L1994" s="92"/>
      <c r="M1994" s="92"/>
      <c r="N1994" s="92"/>
      <c r="AG1994" s="100"/>
      <c r="AH1994" s="101"/>
      <c r="AI1994" s="101"/>
      <c r="AJ1994" s="101"/>
      <c r="AK1994" s="100"/>
      <c r="AL1994" s="100"/>
      <c r="AM1994" s="100"/>
      <c r="AN1994" s="100"/>
      <c r="AO1994" s="100"/>
      <c r="AP1994" s="100"/>
      <c r="AQ1994" s="100"/>
      <c r="AR1994" s="100"/>
      <c r="AS1994" s="100"/>
      <c r="AT1994" s="102"/>
      <c r="AX1994" s="100"/>
      <c r="AY1994" s="101"/>
      <c r="AZ1994" s="101"/>
      <c r="BA1994" s="100"/>
      <c r="BB1994" s="100"/>
      <c r="BC1994" s="100"/>
      <c r="BD1994" s="100"/>
      <c r="BE1994" s="100"/>
      <c r="BF1994" s="100"/>
      <c r="BG1994" s="100"/>
      <c r="BH1994" s="100"/>
      <c r="BI1994" s="100"/>
      <c r="BJ1994" s="100"/>
      <c r="BK1994" s="102"/>
    </row>
    <row r="1995" spans="1:63" x14ac:dyDescent="0.25">
      <c r="A1995" s="92"/>
      <c r="B1995" s="92"/>
      <c r="C1995" s="92"/>
      <c r="D1995" s="92"/>
      <c r="E1995" s="92"/>
      <c r="F1995" s="92"/>
      <c r="G1995" s="92"/>
      <c r="H1995" s="92"/>
      <c r="I1995" s="92"/>
      <c r="J1995" s="92"/>
      <c r="K1995" s="92"/>
      <c r="L1995" s="92"/>
      <c r="M1995" s="92"/>
      <c r="N1995" s="92"/>
      <c r="AG1995" s="100"/>
      <c r="AH1995" s="101"/>
      <c r="AI1995" s="101"/>
      <c r="AJ1995" s="100"/>
      <c r="AK1995" s="100"/>
      <c r="AL1995" s="100"/>
      <c r="AM1995" s="100"/>
      <c r="AN1995" s="100"/>
      <c r="AO1995" s="100"/>
      <c r="AP1995" s="100"/>
      <c r="AQ1995" s="100"/>
      <c r="AR1995" s="100"/>
      <c r="AS1995" s="100"/>
      <c r="AT1995" s="102"/>
      <c r="AX1995" s="100"/>
      <c r="AY1995" s="101"/>
      <c r="AZ1995" s="101"/>
      <c r="BA1995" s="100"/>
      <c r="BB1995" s="100"/>
      <c r="BC1995" s="100"/>
      <c r="BD1995" s="100"/>
      <c r="BE1995" s="100"/>
      <c r="BF1995" s="100"/>
      <c r="BG1995" s="100"/>
      <c r="BH1995" s="100"/>
      <c r="BI1995" s="100"/>
      <c r="BJ1995" s="100"/>
      <c r="BK1995" s="102"/>
    </row>
    <row r="1996" spans="1:63" x14ac:dyDescent="0.25">
      <c r="A1996" s="92"/>
      <c r="B1996" s="92"/>
      <c r="C1996" s="92"/>
      <c r="D1996" s="92"/>
      <c r="E1996" s="92"/>
      <c r="F1996" s="92"/>
      <c r="G1996" s="92"/>
      <c r="H1996" s="92"/>
      <c r="I1996" s="92"/>
      <c r="J1996" s="92"/>
      <c r="K1996" s="92"/>
      <c r="L1996" s="92"/>
      <c r="M1996" s="92"/>
      <c r="N1996" s="92"/>
      <c r="AG1996" s="100"/>
      <c r="AH1996" s="101"/>
      <c r="AI1996" s="101"/>
      <c r="AJ1996" s="100"/>
      <c r="AK1996" s="100"/>
      <c r="AL1996" s="100"/>
      <c r="AM1996" s="100"/>
      <c r="AN1996" s="100"/>
      <c r="AO1996" s="100"/>
      <c r="AP1996" s="100"/>
      <c r="AQ1996" s="100"/>
      <c r="AR1996" s="100"/>
      <c r="AS1996" s="100"/>
      <c r="AT1996" s="102"/>
      <c r="AX1996" s="100"/>
      <c r="AY1996" s="101"/>
      <c r="AZ1996" s="101"/>
      <c r="BA1996" s="100"/>
      <c r="BB1996" s="100"/>
      <c r="BC1996" s="100"/>
      <c r="BD1996" s="100"/>
      <c r="BE1996" s="100"/>
      <c r="BF1996" s="100"/>
      <c r="BG1996" s="100"/>
      <c r="BH1996" s="100"/>
      <c r="BI1996" s="100"/>
      <c r="BJ1996" s="100"/>
      <c r="BK1996" s="102"/>
    </row>
    <row r="1997" spans="1:63" x14ac:dyDescent="0.25">
      <c r="A1997" s="92"/>
      <c r="B1997" s="93"/>
      <c r="C1997" s="93"/>
      <c r="D1997" s="93"/>
      <c r="E1997" s="92"/>
      <c r="F1997" s="92"/>
      <c r="G1997" s="92"/>
      <c r="H1997" s="92"/>
      <c r="I1997" s="92"/>
      <c r="J1997" s="92"/>
      <c r="K1997" s="92"/>
      <c r="L1997" s="92"/>
      <c r="M1997" s="92"/>
      <c r="N1997" s="94"/>
      <c r="AG1997" s="100"/>
      <c r="AH1997" s="101"/>
      <c r="AI1997" s="101"/>
      <c r="AJ1997" s="100"/>
      <c r="AK1997" s="100"/>
      <c r="AL1997" s="100"/>
      <c r="AM1997" s="100"/>
      <c r="AN1997" s="100"/>
      <c r="AO1997" s="100"/>
      <c r="AP1997" s="100"/>
      <c r="AQ1997" s="100"/>
      <c r="AR1997" s="100"/>
      <c r="AS1997" s="100"/>
      <c r="AT1997" s="102"/>
      <c r="AX1997" s="100"/>
      <c r="AY1997" s="101"/>
      <c r="AZ1997" s="101"/>
      <c r="BA1997" s="100"/>
      <c r="BB1997" s="100"/>
      <c r="BC1997" s="100"/>
      <c r="BD1997" s="100"/>
      <c r="BE1997" s="100"/>
      <c r="BF1997" s="100"/>
      <c r="BG1997" s="100"/>
      <c r="BH1997" s="100"/>
      <c r="BI1997" s="100"/>
      <c r="BJ1997" s="100"/>
      <c r="BK1997" s="102"/>
    </row>
    <row r="1998" spans="1:63" x14ac:dyDescent="0.25">
      <c r="A1998" s="92"/>
      <c r="B1998" s="93"/>
      <c r="C1998" s="93"/>
      <c r="D1998" s="92"/>
      <c r="E1998" s="92"/>
      <c r="F1998" s="92"/>
      <c r="G1998" s="92"/>
      <c r="H1998" s="92"/>
      <c r="I1998" s="92"/>
      <c r="J1998" s="92"/>
      <c r="K1998" s="92"/>
      <c r="L1998" s="92"/>
      <c r="M1998" s="92"/>
      <c r="N1998" s="94"/>
      <c r="AG1998" s="100"/>
      <c r="AH1998" s="101"/>
      <c r="AI1998" s="101"/>
      <c r="AJ1998" s="100"/>
      <c r="AK1998" s="100"/>
      <c r="AL1998" s="100"/>
      <c r="AM1998" s="100"/>
      <c r="AN1998" s="100"/>
      <c r="AO1998" s="100"/>
      <c r="AP1998" s="100"/>
      <c r="AQ1998" s="100"/>
      <c r="AR1998" s="100"/>
      <c r="AS1998" s="100"/>
      <c r="AT1998" s="102"/>
      <c r="AX1998" s="100"/>
      <c r="AY1998" s="101"/>
      <c r="AZ1998" s="101"/>
      <c r="BA1998" s="100"/>
      <c r="BB1998" s="100"/>
      <c r="BC1998" s="100"/>
      <c r="BD1998" s="100"/>
      <c r="BE1998" s="100"/>
      <c r="BF1998" s="100"/>
      <c r="BG1998" s="100"/>
      <c r="BH1998" s="100"/>
      <c r="BI1998" s="100"/>
      <c r="BJ1998" s="100"/>
      <c r="BK1998" s="102"/>
    </row>
    <row r="1999" spans="1:63" x14ac:dyDescent="0.25">
      <c r="A1999" s="92"/>
      <c r="B1999" s="93"/>
      <c r="C1999" s="93"/>
      <c r="D1999" s="92"/>
      <c r="E1999" s="92"/>
      <c r="F1999" s="92"/>
      <c r="G1999" s="92"/>
      <c r="H1999" s="92"/>
      <c r="I1999" s="92"/>
      <c r="J1999" s="92"/>
      <c r="K1999" s="92"/>
      <c r="L1999" s="92"/>
      <c r="M1999" s="92"/>
      <c r="N1999" s="94"/>
      <c r="AG1999" s="100"/>
      <c r="AH1999" s="101"/>
      <c r="AI1999" s="101"/>
      <c r="AJ1999" s="100"/>
      <c r="AK1999" s="100"/>
      <c r="AL1999" s="100"/>
      <c r="AM1999" s="100"/>
      <c r="AN1999" s="100"/>
      <c r="AO1999" s="100"/>
      <c r="AP1999" s="100"/>
      <c r="AQ1999" s="100"/>
      <c r="AR1999" s="100"/>
      <c r="AS1999" s="100"/>
      <c r="AT1999" s="102"/>
      <c r="AX1999" s="100"/>
      <c r="AY1999" s="101"/>
      <c r="AZ1999" s="101"/>
      <c r="BA1999" s="100"/>
      <c r="BB1999" s="100"/>
      <c r="BC1999" s="100"/>
      <c r="BD1999" s="100"/>
      <c r="BE1999" s="100"/>
      <c r="BF1999" s="100"/>
      <c r="BG1999" s="100"/>
      <c r="BH1999" s="100"/>
      <c r="BI1999" s="100"/>
      <c r="BJ1999" s="100"/>
      <c r="BK1999" s="102"/>
    </row>
    <row r="2000" spans="1:63" x14ac:dyDescent="0.25">
      <c r="A2000" s="92"/>
      <c r="B2000" s="93"/>
      <c r="C2000" s="93"/>
      <c r="D2000" s="92"/>
      <c r="E2000" s="92"/>
      <c r="F2000" s="92"/>
      <c r="G2000" s="92"/>
      <c r="H2000" s="92"/>
      <c r="I2000" s="92"/>
      <c r="J2000" s="92"/>
      <c r="K2000" s="92"/>
      <c r="L2000" s="92"/>
      <c r="M2000" s="92"/>
      <c r="N2000" s="94"/>
      <c r="AG2000" s="100"/>
      <c r="AH2000" s="101"/>
      <c r="AI2000" s="101"/>
      <c r="AJ2000" s="100"/>
      <c r="AK2000" s="100"/>
      <c r="AL2000" s="100"/>
      <c r="AM2000" s="100"/>
      <c r="AN2000" s="100"/>
      <c r="AO2000" s="100"/>
      <c r="AP2000" s="100"/>
      <c r="AQ2000" s="100"/>
      <c r="AR2000" s="100"/>
      <c r="AS2000" s="100"/>
      <c r="AT2000" s="102"/>
      <c r="AX2000" s="100"/>
      <c r="AY2000" s="101"/>
      <c r="AZ2000" s="101"/>
      <c r="BA2000" s="100"/>
      <c r="BB2000" s="100"/>
      <c r="BC2000" s="100"/>
      <c r="BD2000" s="100"/>
      <c r="BE2000" s="100"/>
      <c r="BF2000" s="100"/>
      <c r="BG2000" s="100"/>
      <c r="BH2000" s="100"/>
      <c r="BI2000" s="100"/>
      <c r="BJ2000" s="100"/>
      <c r="BK2000" s="102"/>
    </row>
    <row r="2001" spans="1:63" x14ac:dyDescent="0.25">
      <c r="A2001" s="92"/>
      <c r="B2001" s="93"/>
      <c r="C2001" s="93"/>
      <c r="D2001" s="92"/>
      <c r="E2001" s="92"/>
      <c r="F2001" s="92"/>
      <c r="G2001" s="92"/>
      <c r="H2001" s="92"/>
      <c r="I2001" s="92"/>
      <c r="J2001" s="92"/>
      <c r="K2001" s="92"/>
      <c r="L2001" s="92"/>
      <c r="M2001" s="92"/>
      <c r="N2001" s="94"/>
      <c r="AG2001" s="100"/>
      <c r="AH2001" s="101"/>
      <c r="AI2001" s="101"/>
      <c r="AJ2001" s="100"/>
      <c r="AK2001" s="100"/>
      <c r="AL2001" s="100"/>
      <c r="AM2001" s="100"/>
      <c r="AN2001" s="100"/>
      <c r="AO2001" s="100"/>
      <c r="AP2001" s="100"/>
      <c r="AQ2001" s="100"/>
      <c r="AR2001" s="100"/>
      <c r="AS2001" s="100"/>
      <c r="AT2001" s="102"/>
      <c r="AX2001" s="100"/>
      <c r="AY2001" s="101"/>
      <c r="AZ2001" s="101"/>
      <c r="BA2001" s="100"/>
      <c r="BB2001" s="100"/>
      <c r="BC2001" s="100"/>
      <c r="BD2001" s="100"/>
      <c r="BE2001" s="100"/>
      <c r="BF2001" s="100"/>
      <c r="BG2001" s="100"/>
      <c r="BH2001" s="100"/>
      <c r="BI2001" s="100"/>
      <c r="BJ2001" s="100"/>
      <c r="BK2001" s="102"/>
    </row>
    <row r="2002" spans="1:63" x14ac:dyDescent="0.25">
      <c r="A2002" s="92"/>
      <c r="B2002" s="92"/>
      <c r="C2002" s="92"/>
      <c r="D2002" s="92"/>
      <c r="E2002" s="92"/>
      <c r="F2002" s="92"/>
      <c r="G2002" s="92"/>
      <c r="H2002" s="92"/>
      <c r="I2002" s="92"/>
      <c r="J2002" s="92"/>
      <c r="K2002" s="92"/>
      <c r="L2002" s="92"/>
      <c r="M2002" s="92"/>
      <c r="N2002" s="92"/>
      <c r="AG2002" s="100"/>
      <c r="AH2002" s="101"/>
      <c r="AI2002" s="101"/>
      <c r="AJ2002" s="101"/>
      <c r="AK2002" s="100"/>
      <c r="AL2002" s="100"/>
      <c r="AM2002" s="100"/>
      <c r="AN2002" s="100"/>
      <c r="AO2002" s="100"/>
      <c r="AP2002" s="100"/>
      <c r="AQ2002" s="100"/>
      <c r="AR2002" s="100"/>
      <c r="AS2002" s="100"/>
      <c r="AT2002" s="102"/>
      <c r="AX2002" s="100"/>
      <c r="AY2002" s="101"/>
      <c r="AZ2002" s="101"/>
      <c r="BA2002" s="100"/>
      <c r="BB2002" s="100"/>
      <c r="BC2002" s="100"/>
      <c r="BD2002" s="100"/>
      <c r="BE2002" s="100"/>
      <c r="BF2002" s="100"/>
      <c r="BG2002" s="100"/>
      <c r="BH2002" s="100"/>
      <c r="BI2002" s="100"/>
      <c r="BJ2002" s="100"/>
      <c r="BK2002" s="102"/>
    </row>
    <row r="2003" spans="1:63" x14ac:dyDescent="0.25">
      <c r="A2003" s="92"/>
      <c r="B2003" s="92"/>
      <c r="C2003" s="92"/>
      <c r="D2003" s="92"/>
      <c r="E2003" s="92"/>
      <c r="F2003" s="92"/>
      <c r="G2003" s="92"/>
      <c r="H2003" s="92"/>
      <c r="I2003" s="92"/>
      <c r="J2003" s="92"/>
      <c r="K2003" s="92"/>
      <c r="L2003" s="92"/>
      <c r="M2003" s="92"/>
      <c r="N2003" s="92"/>
      <c r="AG2003" s="100"/>
      <c r="AH2003" s="101"/>
      <c r="AI2003" s="101"/>
      <c r="AJ2003" s="100"/>
      <c r="AK2003" s="100"/>
      <c r="AL2003" s="100"/>
      <c r="AM2003" s="100"/>
      <c r="AN2003" s="100"/>
      <c r="AO2003" s="100"/>
      <c r="AP2003" s="100"/>
      <c r="AQ2003" s="100"/>
      <c r="AR2003" s="100"/>
      <c r="AS2003" s="100"/>
      <c r="AT2003" s="102"/>
      <c r="AX2003" s="100"/>
      <c r="AY2003" s="101"/>
      <c r="AZ2003" s="101"/>
      <c r="BA2003" s="100"/>
      <c r="BB2003" s="100"/>
      <c r="BC2003" s="100"/>
      <c r="BD2003" s="100"/>
      <c r="BE2003" s="100"/>
      <c r="BF2003" s="100"/>
      <c r="BG2003" s="100"/>
      <c r="BH2003" s="100"/>
      <c r="BI2003" s="100"/>
      <c r="BJ2003" s="100"/>
      <c r="BK2003" s="102"/>
    </row>
    <row r="2004" spans="1:63" x14ac:dyDescent="0.25">
      <c r="A2004" s="92"/>
      <c r="B2004" s="92"/>
      <c r="C2004" s="92"/>
      <c r="D2004" s="92"/>
      <c r="E2004" s="92"/>
      <c r="F2004" s="92"/>
      <c r="G2004" s="92"/>
      <c r="H2004" s="92"/>
      <c r="I2004" s="92"/>
      <c r="J2004" s="92"/>
      <c r="K2004" s="92"/>
      <c r="L2004" s="92"/>
      <c r="M2004" s="92"/>
      <c r="N2004" s="92"/>
      <c r="AG2004" s="100"/>
      <c r="AH2004" s="101"/>
      <c r="AI2004" s="101"/>
      <c r="AJ2004" s="100"/>
      <c r="AK2004" s="100"/>
      <c r="AL2004" s="100"/>
      <c r="AM2004" s="100"/>
      <c r="AN2004" s="100"/>
      <c r="AO2004" s="100"/>
      <c r="AP2004" s="100"/>
      <c r="AQ2004" s="100"/>
      <c r="AR2004" s="100"/>
      <c r="AS2004" s="100"/>
      <c r="AT2004" s="102"/>
      <c r="AX2004" s="100"/>
      <c r="AY2004" s="101"/>
      <c r="AZ2004" s="101"/>
      <c r="BA2004" s="100"/>
      <c r="BB2004" s="100"/>
      <c r="BC2004" s="100"/>
      <c r="BD2004" s="100"/>
      <c r="BE2004" s="100"/>
      <c r="BF2004" s="100"/>
      <c r="BG2004" s="100"/>
      <c r="BH2004" s="100"/>
      <c r="BI2004" s="100"/>
      <c r="BJ2004" s="100"/>
      <c r="BK2004" s="102"/>
    </row>
    <row r="2005" spans="1:63" x14ac:dyDescent="0.25">
      <c r="A2005" s="92"/>
      <c r="B2005" s="92"/>
      <c r="C2005" s="92"/>
      <c r="D2005" s="92"/>
      <c r="E2005" s="92"/>
      <c r="F2005" s="92"/>
      <c r="G2005" s="92"/>
      <c r="H2005" s="92"/>
      <c r="I2005" s="92"/>
      <c r="J2005" s="92"/>
      <c r="K2005" s="92"/>
      <c r="L2005" s="92"/>
      <c r="M2005" s="92"/>
      <c r="N2005" s="92"/>
      <c r="AG2005" s="100"/>
      <c r="AH2005" s="101"/>
      <c r="AI2005" s="101"/>
      <c r="AJ2005" s="100"/>
      <c r="AK2005" s="100"/>
      <c r="AL2005" s="100"/>
      <c r="AM2005" s="100"/>
      <c r="AN2005" s="100"/>
      <c r="AO2005" s="100"/>
      <c r="AP2005" s="100"/>
      <c r="AQ2005" s="100"/>
      <c r="AR2005" s="100"/>
      <c r="AS2005" s="100"/>
      <c r="AT2005" s="102"/>
      <c r="AX2005" s="100"/>
      <c r="AY2005" s="101"/>
      <c r="AZ2005" s="101"/>
      <c r="BA2005" s="101"/>
      <c r="BB2005" s="100"/>
      <c r="BC2005" s="100"/>
      <c r="BD2005" s="100"/>
      <c r="BE2005" s="100"/>
      <c r="BF2005" s="100"/>
      <c r="BG2005" s="100"/>
      <c r="BH2005" s="100"/>
      <c r="BI2005" s="100"/>
      <c r="BJ2005" s="100"/>
      <c r="BK2005" s="102"/>
    </row>
    <row r="2006" spans="1:63" x14ac:dyDescent="0.25">
      <c r="A2006" s="92"/>
      <c r="B2006" s="92"/>
      <c r="C2006" s="92"/>
      <c r="D2006" s="92"/>
      <c r="E2006" s="92"/>
      <c r="F2006" s="92"/>
      <c r="G2006" s="92"/>
      <c r="H2006" s="92"/>
      <c r="I2006" s="92"/>
      <c r="J2006" s="92"/>
      <c r="K2006" s="92"/>
      <c r="L2006" s="92"/>
      <c r="M2006" s="92"/>
      <c r="N2006" s="92"/>
      <c r="AG2006" s="100"/>
      <c r="AH2006" s="101"/>
      <c r="AI2006" s="101"/>
      <c r="AJ2006" s="100"/>
      <c r="AK2006" s="100"/>
      <c r="AL2006" s="100"/>
      <c r="AM2006" s="100"/>
      <c r="AN2006" s="100"/>
      <c r="AO2006" s="100"/>
      <c r="AP2006" s="100"/>
      <c r="AQ2006" s="100"/>
      <c r="AR2006" s="100"/>
      <c r="AS2006" s="100"/>
      <c r="AT2006" s="102"/>
      <c r="AX2006" s="100"/>
      <c r="AY2006" s="101"/>
      <c r="AZ2006" s="101"/>
      <c r="BA2006" s="101"/>
      <c r="BB2006" s="100"/>
      <c r="BC2006" s="100"/>
      <c r="BD2006" s="100"/>
      <c r="BE2006" s="100"/>
      <c r="BF2006" s="100"/>
      <c r="BG2006" s="100"/>
      <c r="BH2006" s="100"/>
      <c r="BI2006" s="100"/>
      <c r="BJ2006" s="100"/>
      <c r="BK2006" s="102"/>
    </row>
    <row r="2007" spans="1:63" x14ac:dyDescent="0.25">
      <c r="A2007" s="92"/>
      <c r="B2007" s="92"/>
      <c r="C2007" s="92"/>
      <c r="D2007" s="92"/>
      <c r="E2007" s="92"/>
      <c r="F2007" s="92"/>
      <c r="G2007" s="92"/>
      <c r="H2007" s="92"/>
      <c r="I2007" s="92"/>
      <c r="J2007" s="92"/>
      <c r="K2007" s="92"/>
      <c r="L2007" s="92"/>
      <c r="M2007" s="92"/>
      <c r="N2007" s="92"/>
      <c r="AG2007" s="100"/>
      <c r="AH2007" s="101"/>
      <c r="AI2007" s="101"/>
      <c r="AJ2007" s="101"/>
      <c r="AK2007" s="100"/>
      <c r="AL2007" s="100"/>
      <c r="AM2007" s="100"/>
      <c r="AN2007" s="100"/>
      <c r="AO2007" s="100"/>
      <c r="AP2007" s="100"/>
      <c r="AQ2007" s="100"/>
      <c r="AR2007" s="100"/>
      <c r="AS2007" s="100"/>
      <c r="AT2007" s="102"/>
      <c r="AX2007" s="100"/>
      <c r="AY2007" s="101"/>
      <c r="AZ2007" s="101"/>
      <c r="BA2007" s="100"/>
      <c r="BB2007" s="100"/>
      <c r="BC2007" s="100"/>
      <c r="BD2007" s="100"/>
      <c r="BE2007" s="100"/>
      <c r="BF2007" s="100"/>
      <c r="BG2007" s="100"/>
      <c r="BH2007" s="100"/>
      <c r="BI2007" s="100"/>
      <c r="BJ2007" s="100"/>
      <c r="BK2007" s="102"/>
    </row>
    <row r="2008" spans="1:63" x14ac:dyDescent="0.25">
      <c r="A2008" s="92"/>
      <c r="B2008" s="92"/>
      <c r="C2008" s="92"/>
      <c r="D2008" s="92"/>
      <c r="E2008" s="92"/>
      <c r="F2008" s="92"/>
      <c r="G2008" s="92"/>
      <c r="H2008" s="92"/>
      <c r="I2008" s="92"/>
      <c r="J2008" s="92"/>
      <c r="K2008" s="92"/>
      <c r="L2008" s="92"/>
      <c r="M2008" s="92"/>
      <c r="N2008" s="92"/>
      <c r="AG2008" s="100"/>
      <c r="AH2008" s="101"/>
      <c r="AI2008" s="101"/>
      <c r="AJ2008" s="101"/>
      <c r="AK2008" s="100"/>
      <c r="AL2008" s="100"/>
      <c r="AM2008" s="100"/>
      <c r="AN2008" s="100"/>
      <c r="AO2008" s="100"/>
      <c r="AP2008" s="100"/>
      <c r="AQ2008" s="100"/>
      <c r="AR2008" s="100"/>
      <c r="AS2008" s="100"/>
      <c r="AT2008" s="102"/>
      <c r="AX2008" s="100"/>
      <c r="AY2008" s="101"/>
      <c r="AZ2008" s="101"/>
      <c r="BA2008" s="100"/>
      <c r="BB2008" s="100"/>
      <c r="BC2008" s="100"/>
      <c r="BD2008" s="100"/>
      <c r="BE2008" s="100"/>
      <c r="BF2008" s="100"/>
      <c r="BG2008" s="100"/>
      <c r="BH2008" s="100"/>
      <c r="BI2008" s="100"/>
      <c r="BJ2008" s="100"/>
      <c r="BK2008" s="102"/>
    </row>
    <row r="2009" spans="1:63" x14ac:dyDescent="0.25">
      <c r="A2009" s="92"/>
      <c r="B2009" s="92"/>
      <c r="C2009" s="92"/>
      <c r="D2009" s="92"/>
      <c r="E2009" s="92"/>
      <c r="F2009" s="92"/>
      <c r="G2009" s="92"/>
      <c r="H2009" s="92"/>
      <c r="I2009" s="92"/>
      <c r="J2009" s="92"/>
      <c r="K2009" s="92"/>
      <c r="L2009" s="92"/>
      <c r="M2009" s="92"/>
      <c r="N2009" s="92"/>
      <c r="AG2009" s="100"/>
      <c r="AH2009" s="101"/>
      <c r="AI2009" s="101"/>
      <c r="AJ2009" s="100"/>
      <c r="AK2009" s="100"/>
      <c r="AL2009" s="100"/>
      <c r="AM2009" s="100"/>
      <c r="AN2009" s="100"/>
      <c r="AO2009" s="100"/>
      <c r="AP2009" s="100"/>
      <c r="AQ2009" s="100"/>
      <c r="AR2009" s="100"/>
      <c r="AS2009" s="100"/>
      <c r="AT2009" s="102"/>
      <c r="AX2009" s="100"/>
      <c r="AY2009" s="101"/>
      <c r="AZ2009" s="101"/>
      <c r="BA2009" s="100"/>
      <c r="BB2009" s="100"/>
      <c r="BC2009" s="100"/>
      <c r="BD2009" s="100"/>
      <c r="BE2009" s="100"/>
      <c r="BF2009" s="100"/>
      <c r="BG2009" s="100"/>
      <c r="BH2009" s="100"/>
      <c r="BI2009" s="100"/>
      <c r="BJ2009" s="100"/>
      <c r="BK2009" s="102"/>
    </row>
    <row r="2010" spans="1:63" x14ac:dyDescent="0.25">
      <c r="A2010" s="92"/>
      <c r="B2010" s="93"/>
      <c r="C2010" s="93"/>
      <c r="D2010" s="92"/>
      <c r="E2010" s="92"/>
      <c r="F2010" s="92"/>
      <c r="G2010" s="92"/>
      <c r="H2010" s="92"/>
      <c r="I2010" s="92"/>
      <c r="J2010" s="92"/>
      <c r="K2010" s="92"/>
      <c r="L2010" s="92"/>
      <c r="M2010" s="92"/>
      <c r="N2010" s="94"/>
      <c r="AG2010" s="100"/>
      <c r="AH2010" s="101"/>
      <c r="AI2010" s="101"/>
      <c r="AJ2010" s="100"/>
      <c r="AK2010" s="100"/>
      <c r="AL2010" s="100"/>
      <c r="AM2010" s="100"/>
      <c r="AN2010" s="100"/>
      <c r="AO2010" s="100"/>
      <c r="AP2010" s="100"/>
      <c r="AQ2010" s="100"/>
      <c r="AR2010" s="100"/>
      <c r="AS2010" s="100"/>
      <c r="AT2010" s="102"/>
      <c r="AX2010" s="100"/>
      <c r="AY2010" s="101"/>
      <c r="AZ2010" s="101"/>
      <c r="BA2010" s="100"/>
      <c r="BB2010" s="100"/>
      <c r="BC2010" s="100"/>
      <c r="BD2010" s="100"/>
      <c r="BE2010" s="100"/>
      <c r="BF2010" s="100"/>
      <c r="BG2010" s="100"/>
      <c r="BH2010" s="100"/>
      <c r="BI2010" s="100"/>
      <c r="BJ2010" s="100"/>
      <c r="BK2010" s="102"/>
    </row>
    <row r="2011" spans="1:63" x14ac:dyDescent="0.25">
      <c r="A2011" s="92"/>
      <c r="B2011" s="93"/>
      <c r="C2011" s="93"/>
      <c r="D2011" s="92"/>
      <c r="E2011" s="92"/>
      <c r="F2011" s="92"/>
      <c r="G2011" s="92"/>
      <c r="H2011" s="92"/>
      <c r="I2011" s="92"/>
      <c r="J2011" s="92"/>
      <c r="K2011" s="92"/>
      <c r="L2011" s="92"/>
      <c r="M2011" s="92"/>
      <c r="N2011" s="94"/>
      <c r="AG2011" s="100"/>
      <c r="AH2011" s="101"/>
      <c r="AI2011" s="101"/>
      <c r="AJ2011" s="100"/>
      <c r="AK2011" s="100"/>
      <c r="AL2011" s="100"/>
      <c r="AM2011" s="100"/>
      <c r="AN2011" s="100"/>
      <c r="AO2011" s="100"/>
      <c r="AP2011" s="100"/>
      <c r="AQ2011" s="100"/>
      <c r="AR2011" s="100"/>
      <c r="AS2011" s="100"/>
      <c r="AT2011" s="102"/>
      <c r="AX2011" s="100"/>
      <c r="AY2011" s="101"/>
      <c r="AZ2011" s="101"/>
      <c r="BA2011" s="100"/>
      <c r="BB2011" s="100"/>
      <c r="BC2011" s="100"/>
      <c r="BD2011" s="100"/>
      <c r="BE2011" s="100"/>
      <c r="BF2011" s="100"/>
      <c r="BG2011" s="100"/>
      <c r="BH2011" s="100"/>
      <c r="BI2011" s="100"/>
      <c r="BJ2011" s="100"/>
      <c r="BK2011" s="102"/>
    </row>
    <row r="2012" spans="1:63" x14ac:dyDescent="0.25">
      <c r="A2012" s="92"/>
      <c r="B2012" s="93"/>
      <c r="C2012" s="93"/>
      <c r="D2012" s="92"/>
      <c r="E2012" s="92"/>
      <c r="F2012" s="92"/>
      <c r="G2012" s="92"/>
      <c r="H2012" s="92"/>
      <c r="I2012" s="92"/>
      <c r="J2012" s="92"/>
      <c r="K2012" s="92"/>
      <c r="L2012" s="92"/>
      <c r="M2012" s="92"/>
      <c r="N2012" s="94"/>
      <c r="AG2012" s="100"/>
      <c r="AH2012" s="101"/>
      <c r="AI2012" s="101"/>
      <c r="AJ2012" s="100"/>
      <c r="AK2012" s="100"/>
      <c r="AL2012" s="100"/>
      <c r="AM2012" s="100"/>
      <c r="AN2012" s="100"/>
      <c r="AO2012" s="100"/>
      <c r="AP2012" s="100"/>
      <c r="AQ2012" s="100"/>
      <c r="AR2012" s="100"/>
      <c r="AS2012" s="100"/>
      <c r="AT2012" s="102"/>
      <c r="AX2012" s="100"/>
      <c r="AY2012" s="101"/>
      <c r="AZ2012" s="101"/>
      <c r="BA2012" s="100"/>
      <c r="BB2012" s="100"/>
      <c r="BC2012" s="100"/>
      <c r="BD2012" s="100"/>
      <c r="BE2012" s="100"/>
      <c r="BF2012" s="100"/>
      <c r="BG2012" s="100"/>
      <c r="BH2012" s="100"/>
      <c r="BI2012" s="100"/>
      <c r="BJ2012" s="100"/>
      <c r="BK2012" s="102"/>
    </row>
    <row r="2013" spans="1:63" x14ac:dyDescent="0.25">
      <c r="A2013" s="92"/>
      <c r="B2013" s="92"/>
      <c r="C2013" s="92"/>
      <c r="D2013" s="92"/>
      <c r="E2013" s="92"/>
      <c r="F2013" s="92"/>
      <c r="G2013" s="92"/>
      <c r="H2013" s="92"/>
      <c r="I2013" s="92"/>
      <c r="J2013" s="92"/>
      <c r="K2013" s="92"/>
      <c r="L2013" s="92"/>
      <c r="M2013" s="92"/>
      <c r="N2013" s="92"/>
      <c r="AG2013" s="100"/>
      <c r="AH2013" s="101"/>
      <c r="AI2013" s="101"/>
      <c r="AJ2013" s="100"/>
      <c r="AK2013" s="100"/>
      <c r="AL2013" s="100"/>
      <c r="AM2013" s="100"/>
      <c r="AN2013" s="100"/>
      <c r="AO2013" s="100"/>
      <c r="AP2013" s="100"/>
      <c r="AQ2013" s="100"/>
      <c r="AR2013" s="100"/>
      <c r="AS2013" s="100"/>
      <c r="AT2013" s="102"/>
      <c r="AX2013" s="100"/>
      <c r="AY2013" s="101"/>
      <c r="AZ2013" s="101"/>
      <c r="BA2013" s="100"/>
      <c r="BB2013" s="100"/>
      <c r="BC2013" s="100"/>
      <c r="BD2013" s="100"/>
      <c r="BE2013" s="100"/>
      <c r="BF2013" s="100"/>
      <c r="BG2013" s="100"/>
      <c r="BH2013" s="100"/>
      <c r="BI2013" s="100"/>
      <c r="BJ2013" s="100"/>
      <c r="BK2013" s="102"/>
    </row>
    <row r="2014" spans="1:63" x14ac:dyDescent="0.25">
      <c r="A2014" s="92"/>
      <c r="B2014" s="92"/>
      <c r="C2014" s="92"/>
      <c r="D2014" s="92"/>
      <c r="E2014" s="92"/>
      <c r="F2014" s="92"/>
      <c r="G2014" s="92"/>
      <c r="H2014" s="92"/>
      <c r="I2014" s="92"/>
      <c r="J2014" s="92"/>
      <c r="K2014" s="92"/>
      <c r="L2014" s="92"/>
      <c r="M2014" s="92"/>
      <c r="N2014" s="92"/>
      <c r="AG2014" s="100"/>
      <c r="AH2014" s="101"/>
      <c r="AI2014" s="101"/>
      <c r="AJ2014" s="100"/>
      <c r="AK2014" s="100"/>
      <c r="AL2014" s="100"/>
      <c r="AM2014" s="100"/>
      <c r="AN2014" s="100"/>
      <c r="AO2014" s="100"/>
      <c r="AP2014" s="100"/>
      <c r="AQ2014" s="100"/>
      <c r="AR2014" s="100"/>
      <c r="AS2014" s="100"/>
      <c r="AT2014" s="102"/>
      <c r="AX2014" s="100"/>
      <c r="AY2014" s="101"/>
      <c r="AZ2014" s="101"/>
      <c r="BA2014" s="101"/>
      <c r="BB2014" s="100"/>
      <c r="BC2014" s="100"/>
      <c r="BD2014" s="100"/>
      <c r="BE2014" s="100"/>
      <c r="BF2014" s="100"/>
      <c r="BG2014" s="100"/>
      <c r="BH2014" s="100"/>
      <c r="BI2014" s="100"/>
      <c r="BJ2014" s="100"/>
      <c r="BK2014" s="102"/>
    </row>
    <row r="2015" spans="1:63" x14ac:dyDescent="0.25">
      <c r="A2015" s="92"/>
      <c r="B2015" s="92"/>
      <c r="C2015" s="92"/>
      <c r="D2015" s="92"/>
      <c r="E2015" s="92"/>
      <c r="F2015" s="92"/>
      <c r="G2015" s="92"/>
      <c r="H2015" s="92"/>
      <c r="I2015" s="92"/>
      <c r="J2015" s="92"/>
      <c r="K2015" s="92"/>
      <c r="L2015" s="92"/>
      <c r="M2015" s="92"/>
      <c r="N2015" s="92"/>
      <c r="AG2015" s="100"/>
      <c r="AH2015" s="101"/>
      <c r="AI2015" s="101"/>
      <c r="AJ2015" s="100"/>
      <c r="AK2015" s="100"/>
      <c r="AL2015" s="100"/>
      <c r="AM2015" s="100"/>
      <c r="AN2015" s="100"/>
      <c r="AO2015" s="100"/>
      <c r="AP2015" s="100"/>
      <c r="AQ2015" s="100"/>
      <c r="AR2015" s="100"/>
      <c r="AS2015" s="100"/>
      <c r="AT2015" s="102"/>
      <c r="AX2015" s="100"/>
      <c r="AY2015" s="101"/>
      <c r="AZ2015" s="101"/>
      <c r="BA2015" s="100"/>
      <c r="BB2015" s="100"/>
      <c r="BC2015" s="100"/>
      <c r="BD2015" s="100"/>
      <c r="BE2015" s="100"/>
      <c r="BF2015" s="100"/>
      <c r="BG2015" s="100"/>
      <c r="BH2015" s="100"/>
      <c r="BI2015" s="100"/>
      <c r="BJ2015" s="100"/>
      <c r="BK2015" s="102"/>
    </row>
    <row r="2016" spans="1:63" x14ac:dyDescent="0.25">
      <c r="A2016" s="92"/>
      <c r="B2016" s="93"/>
      <c r="C2016" s="93"/>
      <c r="D2016" s="92"/>
      <c r="E2016" s="92"/>
      <c r="F2016" s="92"/>
      <c r="G2016" s="92"/>
      <c r="H2016" s="92"/>
      <c r="I2016" s="92"/>
      <c r="J2016" s="92"/>
      <c r="K2016" s="92"/>
      <c r="L2016" s="92"/>
      <c r="M2016" s="92"/>
      <c r="N2016" s="94"/>
      <c r="AG2016" s="100"/>
      <c r="AH2016" s="101"/>
      <c r="AI2016" s="101"/>
      <c r="AJ2016" s="100"/>
      <c r="AK2016" s="100"/>
      <c r="AL2016" s="100"/>
      <c r="AM2016" s="100"/>
      <c r="AN2016" s="100"/>
      <c r="AO2016" s="100"/>
      <c r="AP2016" s="100"/>
      <c r="AQ2016" s="100"/>
      <c r="AR2016" s="100"/>
      <c r="AS2016" s="100"/>
      <c r="AT2016" s="102"/>
      <c r="AX2016" s="100"/>
      <c r="AY2016" s="101"/>
      <c r="AZ2016" s="101"/>
      <c r="BA2016" s="100"/>
      <c r="BB2016" s="100"/>
      <c r="BC2016" s="100"/>
      <c r="BD2016" s="100"/>
      <c r="BE2016" s="100"/>
      <c r="BF2016" s="100"/>
      <c r="BG2016" s="100"/>
      <c r="BH2016" s="100"/>
      <c r="BI2016" s="100"/>
      <c r="BJ2016" s="100"/>
      <c r="BK2016" s="102"/>
    </row>
    <row r="2017" spans="1:63" x14ac:dyDescent="0.25">
      <c r="A2017" s="92"/>
      <c r="B2017" s="93"/>
      <c r="C2017" s="93"/>
      <c r="D2017" s="92"/>
      <c r="E2017" s="92"/>
      <c r="F2017" s="92"/>
      <c r="G2017" s="92"/>
      <c r="H2017" s="92"/>
      <c r="I2017" s="92"/>
      <c r="J2017" s="92"/>
      <c r="K2017" s="92"/>
      <c r="L2017" s="92"/>
      <c r="M2017" s="92"/>
      <c r="N2017" s="94"/>
      <c r="AG2017" s="100"/>
      <c r="AH2017" s="101"/>
      <c r="AI2017" s="101"/>
      <c r="AJ2017" s="100"/>
      <c r="AK2017" s="100"/>
      <c r="AL2017" s="100"/>
      <c r="AM2017" s="100"/>
      <c r="AN2017" s="100"/>
      <c r="AO2017" s="100"/>
      <c r="AP2017" s="100"/>
      <c r="AQ2017" s="100"/>
      <c r="AR2017" s="100"/>
      <c r="AS2017" s="100"/>
      <c r="AT2017" s="102"/>
      <c r="AX2017" s="100"/>
      <c r="AY2017" s="101"/>
      <c r="AZ2017" s="101"/>
      <c r="BA2017" s="100"/>
      <c r="BB2017" s="100"/>
      <c r="BC2017" s="100"/>
      <c r="BD2017" s="100"/>
      <c r="BE2017" s="100"/>
      <c r="BF2017" s="100"/>
      <c r="BG2017" s="100"/>
      <c r="BH2017" s="100"/>
      <c r="BI2017" s="100"/>
      <c r="BJ2017" s="100"/>
      <c r="BK2017" s="102"/>
    </row>
    <row r="2018" spans="1:63" x14ac:dyDescent="0.25">
      <c r="A2018" s="92"/>
      <c r="B2018" s="92"/>
      <c r="C2018" s="92"/>
      <c r="D2018" s="92"/>
      <c r="E2018" s="92"/>
      <c r="F2018" s="92"/>
      <c r="G2018" s="92"/>
      <c r="H2018" s="92"/>
      <c r="I2018" s="92"/>
      <c r="J2018" s="92"/>
      <c r="K2018" s="92"/>
      <c r="L2018" s="92"/>
      <c r="M2018" s="92"/>
      <c r="N2018" s="92"/>
      <c r="AG2018" s="100"/>
      <c r="AH2018" s="101"/>
      <c r="AI2018" s="101"/>
      <c r="AJ2018" s="100"/>
      <c r="AK2018" s="100"/>
      <c r="AL2018" s="100"/>
      <c r="AM2018" s="100"/>
      <c r="AN2018" s="100"/>
      <c r="AO2018" s="100"/>
      <c r="AP2018" s="100"/>
      <c r="AQ2018" s="100"/>
      <c r="AR2018" s="100"/>
      <c r="AS2018" s="100"/>
      <c r="AT2018" s="102"/>
      <c r="AX2018" s="100"/>
      <c r="AY2018" s="101"/>
      <c r="AZ2018" s="101"/>
      <c r="BA2018" s="100"/>
      <c r="BB2018" s="100"/>
      <c r="BC2018" s="100"/>
      <c r="BD2018" s="100"/>
      <c r="BE2018" s="100"/>
      <c r="BF2018" s="100"/>
      <c r="BG2018" s="100"/>
      <c r="BH2018" s="100"/>
      <c r="BI2018" s="100"/>
      <c r="BJ2018" s="100"/>
      <c r="BK2018" s="102"/>
    </row>
    <row r="2019" spans="1:63" x14ac:dyDescent="0.25">
      <c r="A2019" s="92"/>
      <c r="B2019" s="92"/>
      <c r="C2019" s="92"/>
      <c r="D2019" s="92"/>
      <c r="E2019" s="92"/>
      <c r="F2019" s="92"/>
      <c r="G2019" s="92"/>
      <c r="H2019" s="92"/>
      <c r="I2019" s="92"/>
      <c r="J2019" s="92"/>
      <c r="K2019" s="92"/>
      <c r="L2019" s="92"/>
      <c r="M2019" s="92"/>
      <c r="N2019" s="92"/>
      <c r="AG2019" s="100"/>
      <c r="AH2019" s="101"/>
      <c r="AI2019" s="100"/>
      <c r="AJ2019" s="101"/>
      <c r="AK2019" s="100"/>
      <c r="AL2019" s="100"/>
      <c r="AM2019" s="100"/>
      <c r="AN2019" s="100"/>
      <c r="AO2019" s="100"/>
      <c r="AP2019" s="100"/>
      <c r="AQ2019" s="100"/>
      <c r="AR2019" s="100"/>
      <c r="AS2019" s="100"/>
      <c r="AT2019" s="102"/>
      <c r="AX2019" s="100"/>
      <c r="AY2019" s="101"/>
      <c r="AZ2019" s="101"/>
      <c r="BA2019" s="100"/>
      <c r="BB2019" s="100"/>
      <c r="BC2019" s="100"/>
      <c r="BD2019" s="100"/>
      <c r="BE2019" s="100"/>
      <c r="BF2019" s="100"/>
      <c r="BG2019" s="100"/>
      <c r="BH2019" s="100"/>
      <c r="BI2019" s="100"/>
      <c r="BJ2019" s="100"/>
      <c r="BK2019" s="102"/>
    </row>
    <row r="2020" spans="1:63" x14ac:dyDescent="0.25">
      <c r="A2020" s="92"/>
      <c r="B2020" s="93"/>
      <c r="C2020" s="93"/>
      <c r="D2020" s="92"/>
      <c r="E2020" s="92"/>
      <c r="F2020" s="92"/>
      <c r="G2020" s="92"/>
      <c r="H2020" s="92"/>
      <c r="I2020" s="92"/>
      <c r="J2020" s="92"/>
      <c r="K2020" s="92"/>
      <c r="L2020" s="92"/>
      <c r="M2020" s="92"/>
      <c r="N2020" s="94"/>
      <c r="AG2020" s="100"/>
      <c r="AH2020" s="101"/>
      <c r="AI2020" s="100"/>
      <c r="AJ2020" s="101"/>
      <c r="AK2020" s="100"/>
      <c r="AL2020" s="100"/>
      <c r="AM2020" s="100"/>
      <c r="AN2020" s="100"/>
      <c r="AO2020" s="100"/>
      <c r="AP2020" s="100"/>
      <c r="AQ2020" s="100"/>
      <c r="AR2020" s="100"/>
      <c r="AS2020" s="100"/>
      <c r="AT2020" s="102"/>
      <c r="AX2020" s="100"/>
      <c r="AY2020" s="101"/>
      <c r="AZ2020" s="101"/>
      <c r="BA2020" s="100"/>
      <c r="BB2020" s="100"/>
      <c r="BC2020" s="100"/>
      <c r="BD2020" s="100"/>
      <c r="BE2020" s="100"/>
      <c r="BF2020" s="100"/>
      <c r="BG2020" s="100"/>
      <c r="BH2020" s="100"/>
      <c r="BI2020" s="100"/>
      <c r="BJ2020" s="100"/>
      <c r="BK2020" s="102"/>
    </row>
    <row r="2021" spans="1:63" x14ac:dyDescent="0.25">
      <c r="A2021" s="92"/>
      <c r="B2021" s="93"/>
      <c r="C2021" s="93"/>
      <c r="D2021" s="92"/>
      <c r="E2021" s="92"/>
      <c r="F2021" s="92"/>
      <c r="G2021" s="92"/>
      <c r="H2021" s="92"/>
      <c r="I2021" s="92"/>
      <c r="J2021" s="92"/>
      <c r="K2021" s="92"/>
      <c r="L2021" s="92"/>
      <c r="M2021" s="92"/>
      <c r="N2021" s="94"/>
      <c r="AG2021" s="100"/>
      <c r="AH2021" s="101"/>
      <c r="AI2021" s="100"/>
      <c r="AJ2021" s="101"/>
      <c r="AK2021" s="100"/>
      <c r="AL2021" s="100"/>
      <c r="AM2021" s="100"/>
      <c r="AN2021" s="100"/>
      <c r="AO2021" s="100"/>
      <c r="AP2021" s="100"/>
      <c r="AQ2021" s="100"/>
      <c r="AR2021" s="100"/>
      <c r="AS2021" s="100"/>
      <c r="AT2021" s="102"/>
      <c r="AX2021" s="100"/>
      <c r="AY2021" s="101"/>
      <c r="AZ2021" s="101"/>
      <c r="BA2021" s="100"/>
      <c r="BB2021" s="100"/>
      <c r="BC2021" s="100"/>
      <c r="BD2021" s="100"/>
      <c r="BE2021" s="100"/>
      <c r="BF2021" s="100"/>
      <c r="BG2021" s="100"/>
      <c r="BH2021" s="100"/>
      <c r="BI2021" s="100"/>
      <c r="BJ2021" s="100"/>
      <c r="BK2021" s="102"/>
    </row>
    <row r="2022" spans="1:63" x14ac:dyDescent="0.25">
      <c r="A2022" s="92"/>
      <c r="B2022" s="93"/>
      <c r="C2022" s="93"/>
      <c r="D2022" s="93"/>
      <c r="E2022" s="92"/>
      <c r="F2022" s="92"/>
      <c r="G2022" s="92"/>
      <c r="H2022" s="92"/>
      <c r="I2022" s="92"/>
      <c r="J2022" s="92"/>
      <c r="K2022" s="92"/>
      <c r="L2022" s="92"/>
      <c r="M2022" s="92"/>
      <c r="N2022" s="94"/>
      <c r="AG2022" s="100"/>
      <c r="AH2022" s="101"/>
      <c r="AI2022" s="101"/>
      <c r="AJ2022" s="100"/>
      <c r="AK2022" s="100"/>
      <c r="AL2022" s="100"/>
      <c r="AM2022" s="100"/>
      <c r="AN2022" s="100"/>
      <c r="AO2022" s="100"/>
      <c r="AP2022" s="100"/>
      <c r="AQ2022" s="100"/>
      <c r="AR2022" s="100"/>
      <c r="AS2022" s="100"/>
      <c r="AT2022" s="102"/>
      <c r="AX2022" s="100"/>
      <c r="AY2022" s="101"/>
      <c r="AZ2022" s="101"/>
      <c r="BA2022" s="101"/>
      <c r="BB2022" s="100"/>
      <c r="BC2022" s="100"/>
      <c r="BD2022" s="100"/>
      <c r="BE2022" s="100"/>
      <c r="BF2022" s="100"/>
      <c r="BG2022" s="100"/>
      <c r="BH2022" s="100"/>
      <c r="BI2022" s="100"/>
      <c r="BJ2022" s="100"/>
      <c r="BK2022" s="102"/>
    </row>
    <row r="2023" spans="1:63" x14ac:dyDescent="0.25">
      <c r="A2023" s="92"/>
      <c r="B2023" s="93"/>
      <c r="C2023" s="93"/>
      <c r="D2023" s="92"/>
      <c r="E2023" s="92"/>
      <c r="F2023" s="92"/>
      <c r="G2023" s="92"/>
      <c r="H2023" s="92"/>
      <c r="I2023" s="92"/>
      <c r="J2023" s="92"/>
      <c r="K2023" s="92"/>
      <c r="L2023" s="92"/>
      <c r="M2023" s="92"/>
      <c r="N2023" s="94"/>
      <c r="AG2023" s="100"/>
      <c r="AH2023" s="101"/>
      <c r="AI2023" s="101"/>
      <c r="AJ2023" s="100"/>
      <c r="AK2023" s="100"/>
      <c r="AL2023" s="100"/>
      <c r="AM2023" s="100"/>
      <c r="AN2023" s="100"/>
      <c r="AO2023" s="100"/>
      <c r="AP2023" s="100"/>
      <c r="AQ2023" s="100"/>
      <c r="AR2023" s="100"/>
      <c r="AS2023" s="100"/>
      <c r="AT2023" s="102"/>
      <c r="AX2023" s="100"/>
      <c r="AY2023" s="101"/>
      <c r="AZ2023" s="101"/>
      <c r="BA2023" s="100"/>
      <c r="BB2023" s="100"/>
      <c r="BC2023" s="100"/>
      <c r="BD2023" s="100"/>
      <c r="BE2023" s="100"/>
      <c r="BF2023" s="100"/>
      <c r="BG2023" s="100"/>
      <c r="BH2023" s="100"/>
      <c r="BI2023" s="100"/>
      <c r="BJ2023" s="100"/>
      <c r="BK2023" s="102"/>
    </row>
    <row r="2024" spans="1:63" x14ac:dyDescent="0.25">
      <c r="A2024" s="92"/>
      <c r="B2024" s="93"/>
      <c r="C2024" s="93"/>
      <c r="D2024" s="92"/>
      <c r="E2024" s="92"/>
      <c r="F2024" s="92"/>
      <c r="G2024" s="92"/>
      <c r="H2024" s="92"/>
      <c r="I2024" s="92"/>
      <c r="J2024" s="92"/>
      <c r="K2024" s="92"/>
      <c r="L2024" s="92"/>
      <c r="M2024" s="92"/>
      <c r="N2024" s="94"/>
      <c r="AG2024" s="100"/>
      <c r="AH2024" s="101"/>
      <c r="AI2024" s="101"/>
      <c r="AJ2024" s="101"/>
      <c r="AK2024" s="100"/>
      <c r="AL2024" s="100"/>
      <c r="AM2024" s="100"/>
      <c r="AN2024" s="100"/>
      <c r="AO2024" s="100"/>
      <c r="AP2024" s="100"/>
      <c r="AQ2024" s="100"/>
      <c r="AR2024" s="100"/>
      <c r="AS2024" s="100"/>
      <c r="AT2024" s="102"/>
      <c r="AX2024" s="100"/>
      <c r="AY2024" s="101"/>
      <c r="AZ2024" s="101"/>
      <c r="BA2024" s="100"/>
      <c r="BB2024" s="100"/>
      <c r="BC2024" s="100"/>
      <c r="BD2024" s="100"/>
      <c r="BE2024" s="100"/>
      <c r="BF2024" s="100"/>
      <c r="BG2024" s="100"/>
      <c r="BH2024" s="100"/>
      <c r="BI2024" s="100"/>
      <c r="BJ2024" s="100"/>
      <c r="BK2024" s="102"/>
    </row>
    <row r="2025" spans="1:63" x14ac:dyDescent="0.25">
      <c r="A2025" s="92"/>
      <c r="B2025" s="93"/>
      <c r="C2025" s="93"/>
      <c r="D2025" s="92"/>
      <c r="E2025" s="92"/>
      <c r="F2025" s="92"/>
      <c r="G2025" s="92"/>
      <c r="H2025" s="92"/>
      <c r="I2025" s="92"/>
      <c r="J2025" s="92"/>
      <c r="K2025" s="92"/>
      <c r="L2025" s="92"/>
      <c r="M2025" s="92"/>
      <c r="N2025" s="94"/>
      <c r="AG2025" s="100"/>
      <c r="AH2025" s="101"/>
      <c r="AI2025" s="101"/>
      <c r="AJ2025" s="100"/>
      <c r="AK2025" s="100"/>
      <c r="AL2025" s="100"/>
      <c r="AM2025" s="100"/>
      <c r="AN2025" s="100"/>
      <c r="AO2025" s="100"/>
      <c r="AP2025" s="100"/>
      <c r="AQ2025" s="100"/>
      <c r="AR2025" s="100"/>
      <c r="AS2025" s="100"/>
      <c r="AT2025" s="102"/>
      <c r="AX2025" s="100"/>
      <c r="AY2025" s="101"/>
      <c r="AZ2025" s="101"/>
      <c r="BA2025" s="100"/>
      <c r="BB2025" s="100"/>
      <c r="BC2025" s="100"/>
      <c r="BD2025" s="100"/>
      <c r="BE2025" s="100"/>
      <c r="BF2025" s="100"/>
      <c r="BG2025" s="100"/>
      <c r="BH2025" s="100"/>
      <c r="BI2025" s="100"/>
      <c r="BJ2025" s="100"/>
      <c r="BK2025" s="102"/>
    </row>
    <row r="2026" spans="1:63" x14ac:dyDescent="0.25">
      <c r="A2026" s="92"/>
      <c r="B2026" s="93"/>
      <c r="C2026" s="93"/>
      <c r="D2026" s="93"/>
      <c r="E2026" s="92"/>
      <c r="F2026" s="92"/>
      <c r="G2026" s="92"/>
      <c r="H2026" s="92"/>
      <c r="I2026" s="92"/>
      <c r="J2026" s="92"/>
      <c r="K2026" s="92"/>
      <c r="L2026" s="92"/>
      <c r="M2026" s="92"/>
      <c r="N2026" s="94"/>
      <c r="AG2026" s="100"/>
      <c r="AH2026" s="101"/>
      <c r="AI2026" s="101"/>
      <c r="AJ2026" s="100"/>
      <c r="AK2026" s="100"/>
      <c r="AL2026" s="100"/>
      <c r="AM2026" s="100"/>
      <c r="AN2026" s="100"/>
      <c r="AO2026" s="100"/>
      <c r="AP2026" s="100"/>
      <c r="AQ2026" s="100"/>
      <c r="AR2026" s="100"/>
      <c r="AS2026" s="100"/>
      <c r="AT2026" s="102"/>
      <c r="AX2026" s="100"/>
      <c r="AY2026" s="101"/>
      <c r="AZ2026" s="101"/>
      <c r="BA2026" s="100"/>
      <c r="BB2026" s="100"/>
      <c r="BC2026" s="100"/>
      <c r="BD2026" s="100"/>
      <c r="BE2026" s="100"/>
      <c r="BF2026" s="100"/>
      <c r="BG2026" s="100"/>
      <c r="BH2026" s="100"/>
      <c r="BI2026" s="100"/>
      <c r="BJ2026" s="100"/>
      <c r="BK2026" s="102"/>
    </row>
    <row r="2027" spans="1:63" x14ac:dyDescent="0.25">
      <c r="A2027" s="92"/>
      <c r="B2027" s="92"/>
      <c r="C2027" s="92"/>
      <c r="D2027" s="93"/>
      <c r="E2027" s="92"/>
      <c r="F2027" s="92"/>
      <c r="G2027" s="92"/>
      <c r="H2027" s="92"/>
      <c r="I2027" s="92"/>
      <c r="J2027" s="92"/>
      <c r="K2027" s="92"/>
      <c r="L2027" s="92"/>
      <c r="M2027" s="92"/>
      <c r="N2027" s="92"/>
      <c r="AG2027" s="100"/>
      <c r="AH2027" s="101"/>
      <c r="AI2027" s="101"/>
      <c r="AJ2027" s="100"/>
      <c r="AK2027" s="100"/>
      <c r="AL2027" s="100"/>
      <c r="AM2027" s="100"/>
      <c r="AN2027" s="100"/>
      <c r="AO2027" s="100"/>
      <c r="AP2027" s="100"/>
      <c r="AQ2027" s="100"/>
      <c r="AR2027" s="100"/>
      <c r="AS2027" s="100"/>
      <c r="AT2027" s="102"/>
      <c r="AX2027" s="100"/>
      <c r="AY2027" s="101"/>
      <c r="AZ2027" s="101"/>
      <c r="BA2027" s="101"/>
      <c r="BB2027" s="100"/>
      <c r="BC2027" s="100"/>
      <c r="BD2027" s="100"/>
      <c r="BE2027" s="100"/>
      <c r="BF2027" s="100"/>
      <c r="BG2027" s="100"/>
      <c r="BH2027" s="100"/>
      <c r="BI2027" s="100"/>
      <c r="BJ2027" s="100"/>
      <c r="BK2027" s="102"/>
    </row>
    <row r="2028" spans="1:63" x14ac:dyDescent="0.25">
      <c r="A2028" s="92"/>
      <c r="B2028" s="92"/>
      <c r="C2028" s="92"/>
      <c r="D2028" s="92"/>
      <c r="E2028" s="92"/>
      <c r="F2028" s="92"/>
      <c r="G2028" s="92"/>
      <c r="H2028" s="92"/>
      <c r="I2028" s="92"/>
      <c r="J2028" s="92"/>
      <c r="K2028" s="92"/>
      <c r="L2028" s="92"/>
      <c r="M2028" s="92"/>
      <c r="N2028" s="92"/>
      <c r="AG2028" s="100"/>
      <c r="AH2028" s="101"/>
      <c r="AI2028" s="101"/>
      <c r="AJ2028" s="100"/>
      <c r="AK2028" s="100"/>
      <c r="AL2028" s="100"/>
      <c r="AM2028" s="100"/>
      <c r="AN2028" s="100"/>
      <c r="AO2028" s="100"/>
      <c r="AP2028" s="100"/>
      <c r="AQ2028" s="100"/>
      <c r="AR2028" s="100"/>
      <c r="AS2028" s="100"/>
      <c r="AT2028" s="102"/>
      <c r="AX2028" s="100"/>
      <c r="AY2028" s="101"/>
      <c r="AZ2028" s="101"/>
      <c r="BA2028" s="101"/>
      <c r="BB2028" s="100"/>
      <c r="BC2028" s="100"/>
      <c r="BD2028" s="100"/>
      <c r="BE2028" s="100"/>
      <c r="BF2028" s="100"/>
      <c r="BG2028" s="100"/>
      <c r="BH2028" s="100"/>
      <c r="BI2028" s="100"/>
      <c r="BJ2028" s="100"/>
      <c r="BK2028" s="102"/>
    </row>
    <row r="2029" spans="1:63" x14ac:dyDescent="0.25">
      <c r="A2029" s="92"/>
      <c r="B2029" s="92"/>
      <c r="C2029" s="92"/>
      <c r="D2029" s="92"/>
      <c r="E2029" s="92"/>
      <c r="F2029" s="92"/>
      <c r="G2029" s="92"/>
      <c r="H2029" s="92"/>
      <c r="I2029" s="92"/>
      <c r="J2029" s="92"/>
      <c r="K2029" s="92"/>
      <c r="L2029" s="92"/>
      <c r="M2029" s="92"/>
      <c r="N2029" s="92"/>
      <c r="AG2029" s="100"/>
      <c r="AH2029" s="101"/>
      <c r="AI2029" s="101"/>
      <c r="AJ2029" s="100"/>
      <c r="AK2029" s="100"/>
      <c r="AL2029" s="100"/>
      <c r="AM2029" s="100"/>
      <c r="AN2029" s="100"/>
      <c r="AO2029" s="100"/>
      <c r="AP2029" s="100"/>
      <c r="AQ2029" s="100"/>
      <c r="AR2029" s="100"/>
      <c r="AS2029" s="100"/>
      <c r="AT2029" s="102"/>
      <c r="AX2029" s="100"/>
      <c r="AY2029" s="101"/>
      <c r="AZ2029" s="101"/>
      <c r="BA2029" s="100"/>
      <c r="BB2029" s="100"/>
      <c r="BC2029" s="100"/>
      <c r="BD2029" s="100"/>
      <c r="BE2029" s="100"/>
      <c r="BF2029" s="100"/>
      <c r="BG2029" s="100"/>
      <c r="BH2029" s="100"/>
      <c r="BI2029" s="100"/>
      <c r="BJ2029" s="100"/>
      <c r="BK2029" s="102"/>
    </row>
    <row r="2030" spans="1:63" x14ac:dyDescent="0.25">
      <c r="A2030" s="92"/>
      <c r="B2030" s="92"/>
      <c r="C2030" s="92"/>
      <c r="D2030" s="92"/>
      <c r="E2030" s="92"/>
      <c r="F2030" s="92"/>
      <c r="G2030" s="92"/>
      <c r="H2030" s="92"/>
      <c r="I2030" s="92"/>
      <c r="J2030" s="92"/>
      <c r="K2030" s="92"/>
      <c r="L2030" s="92"/>
      <c r="M2030" s="92"/>
      <c r="N2030" s="92"/>
      <c r="AG2030" s="100"/>
      <c r="AH2030" s="101"/>
      <c r="AI2030" s="101"/>
      <c r="AJ2030" s="100"/>
      <c r="AK2030" s="100"/>
      <c r="AL2030" s="100"/>
      <c r="AM2030" s="100"/>
      <c r="AN2030" s="100"/>
      <c r="AO2030" s="100"/>
      <c r="AP2030" s="100"/>
      <c r="AQ2030" s="100"/>
      <c r="AR2030" s="100"/>
      <c r="AS2030" s="100"/>
      <c r="AT2030" s="102"/>
      <c r="AX2030" s="100"/>
      <c r="AY2030" s="101"/>
      <c r="AZ2030" s="101"/>
      <c r="BA2030" s="100"/>
      <c r="BB2030" s="100"/>
      <c r="BC2030" s="100"/>
      <c r="BD2030" s="100"/>
      <c r="BE2030" s="100"/>
      <c r="BF2030" s="100"/>
      <c r="BG2030" s="100"/>
      <c r="BH2030" s="100"/>
      <c r="BI2030" s="100"/>
      <c r="BJ2030" s="100"/>
      <c r="BK2030" s="102"/>
    </row>
    <row r="2031" spans="1:63" x14ac:dyDescent="0.25">
      <c r="A2031" s="92"/>
      <c r="B2031" s="92"/>
      <c r="C2031" s="92"/>
      <c r="D2031" s="92"/>
      <c r="E2031" s="92"/>
      <c r="F2031" s="92"/>
      <c r="G2031" s="92"/>
      <c r="H2031" s="92"/>
      <c r="I2031" s="92"/>
      <c r="J2031" s="92"/>
      <c r="K2031" s="92"/>
      <c r="L2031" s="92"/>
      <c r="M2031" s="92"/>
      <c r="N2031" s="92"/>
      <c r="AG2031" s="100"/>
      <c r="AH2031" s="101"/>
      <c r="AI2031" s="101"/>
      <c r="AJ2031" s="100"/>
      <c r="AK2031" s="100"/>
      <c r="AL2031" s="100"/>
      <c r="AM2031" s="100"/>
      <c r="AN2031" s="100"/>
      <c r="AO2031" s="100"/>
      <c r="AP2031" s="100"/>
      <c r="AQ2031" s="100"/>
      <c r="AR2031" s="100"/>
      <c r="AS2031" s="100"/>
      <c r="AT2031" s="102"/>
      <c r="AX2031" s="100"/>
      <c r="AY2031" s="101"/>
      <c r="AZ2031" s="101"/>
      <c r="BA2031" s="100"/>
      <c r="BB2031" s="100"/>
      <c r="BC2031" s="100"/>
      <c r="BD2031" s="100"/>
      <c r="BE2031" s="100"/>
      <c r="BF2031" s="100"/>
      <c r="BG2031" s="100"/>
      <c r="BH2031" s="100"/>
      <c r="BI2031" s="100"/>
      <c r="BJ2031" s="100"/>
      <c r="BK2031" s="102"/>
    </row>
    <row r="2032" spans="1:63" x14ac:dyDescent="0.25">
      <c r="A2032" s="92"/>
      <c r="B2032" s="92"/>
      <c r="C2032" s="92"/>
      <c r="D2032" s="92"/>
      <c r="E2032" s="92"/>
      <c r="F2032" s="92"/>
      <c r="G2032" s="92"/>
      <c r="H2032" s="92"/>
      <c r="I2032" s="92"/>
      <c r="J2032" s="92"/>
      <c r="K2032" s="92"/>
      <c r="L2032" s="92"/>
      <c r="M2032" s="92"/>
      <c r="N2032" s="92"/>
      <c r="AG2032" s="100"/>
      <c r="AH2032" s="101"/>
      <c r="AI2032" s="101"/>
      <c r="AJ2032" s="100"/>
      <c r="AK2032" s="100"/>
      <c r="AL2032" s="100"/>
      <c r="AM2032" s="100"/>
      <c r="AN2032" s="100"/>
      <c r="AO2032" s="100"/>
      <c r="AP2032" s="100"/>
      <c r="AQ2032" s="100"/>
      <c r="AR2032" s="100"/>
      <c r="AS2032" s="100"/>
      <c r="AT2032" s="102"/>
      <c r="AX2032" s="100"/>
      <c r="AY2032" s="101"/>
      <c r="AZ2032" s="101"/>
      <c r="BA2032" s="100"/>
      <c r="BB2032" s="100"/>
      <c r="BC2032" s="100"/>
      <c r="BD2032" s="100"/>
      <c r="BE2032" s="100"/>
      <c r="BF2032" s="100"/>
      <c r="BG2032" s="100"/>
      <c r="BH2032" s="100"/>
      <c r="BI2032" s="100"/>
      <c r="BJ2032" s="100"/>
      <c r="BK2032" s="102"/>
    </row>
    <row r="2033" spans="1:63" x14ac:dyDescent="0.25">
      <c r="A2033" s="92"/>
      <c r="B2033" s="93"/>
      <c r="C2033" s="93"/>
      <c r="D2033" s="93"/>
      <c r="E2033" s="92"/>
      <c r="F2033" s="92"/>
      <c r="G2033" s="92"/>
      <c r="H2033" s="92"/>
      <c r="I2033" s="92"/>
      <c r="J2033" s="92"/>
      <c r="K2033" s="92"/>
      <c r="L2033" s="92"/>
      <c r="M2033" s="92"/>
      <c r="N2033" s="94"/>
      <c r="AG2033" s="100"/>
      <c r="AH2033" s="101"/>
      <c r="AI2033" s="101"/>
      <c r="AJ2033" s="100"/>
      <c r="AK2033" s="100"/>
      <c r="AL2033" s="100"/>
      <c r="AM2033" s="100"/>
      <c r="AN2033" s="100"/>
      <c r="AO2033" s="100"/>
      <c r="AP2033" s="100"/>
      <c r="AQ2033" s="100"/>
      <c r="AR2033" s="100"/>
      <c r="AS2033" s="100"/>
      <c r="AT2033" s="102"/>
      <c r="AX2033" s="100"/>
      <c r="AY2033" s="101"/>
      <c r="AZ2033" s="101"/>
      <c r="BA2033" s="100"/>
      <c r="BB2033" s="100"/>
      <c r="BC2033" s="100"/>
      <c r="BD2033" s="100"/>
      <c r="BE2033" s="100"/>
      <c r="BF2033" s="100"/>
      <c r="BG2033" s="100"/>
      <c r="BH2033" s="100"/>
      <c r="BI2033" s="100"/>
      <c r="BJ2033" s="100"/>
      <c r="BK2033" s="102"/>
    </row>
    <row r="2034" spans="1:63" x14ac:dyDescent="0.25">
      <c r="A2034" s="92"/>
      <c r="B2034" s="92"/>
      <c r="C2034" s="92"/>
      <c r="D2034" s="92"/>
      <c r="E2034" s="92"/>
      <c r="F2034" s="92"/>
      <c r="G2034" s="92"/>
      <c r="H2034" s="92"/>
      <c r="I2034" s="92"/>
      <c r="J2034" s="92"/>
      <c r="K2034" s="92"/>
      <c r="L2034" s="92"/>
      <c r="M2034" s="92"/>
      <c r="N2034" s="92"/>
      <c r="AG2034" s="100"/>
      <c r="AH2034" s="101"/>
      <c r="AI2034" s="101"/>
      <c r="AJ2034" s="100"/>
      <c r="AK2034" s="100"/>
      <c r="AL2034" s="100"/>
      <c r="AM2034" s="100"/>
      <c r="AN2034" s="100"/>
      <c r="AO2034" s="100"/>
      <c r="AP2034" s="100"/>
      <c r="AQ2034" s="100"/>
      <c r="AR2034" s="100"/>
      <c r="AS2034" s="100"/>
      <c r="AT2034" s="102"/>
      <c r="AX2034" s="100"/>
      <c r="AY2034" s="101"/>
      <c r="AZ2034" s="101"/>
      <c r="BA2034" s="100"/>
      <c r="BB2034" s="100"/>
      <c r="BC2034" s="100"/>
      <c r="BD2034" s="100"/>
      <c r="BE2034" s="100"/>
      <c r="BF2034" s="100"/>
      <c r="BG2034" s="100"/>
      <c r="BH2034" s="100"/>
      <c r="BI2034" s="100"/>
      <c r="BJ2034" s="100"/>
      <c r="BK2034" s="102"/>
    </row>
    <row r="2035" spans="1:63" x14ac:dyDescent="0.25">
      <c r="A2035" s="92"/>
      <c r="B2035" s="93"/>
      <c r="C2035" s="93"/>
      <c r="D2035" s="92"/>
      <c r="E2035" s="92"/>
      <c r="F2035" s="92"/>
      <c r="G2035" s="92"/>
      <c r="H2035" s="92"/>
      <c r="I2035" s="92"/>
      <c r="J2035" s="92"/>
      <c r="K2035" s="92"/>
      <c r="L2035" s="92"/>
      <c r="M2035" s="92"/>
      <c r="N2035" s="94"/>
      <c r="AG2035" s="100"/>
      <c r="AH2035" s="101"/>
      <c r="AI2035" s="101"/>
      <c r="AJ2035" s="100"/>
      <c r="AK2035" s="100"/>
      <c r="AL2035" s="100"/>
      <c r="AM2035" s="100"/>
      <c r="AN2035" s="100"/>
      <c r="AO2035" s="100"/>
      <c r="AP2035" s="100"/>
      <c r="AQ2035" s="100"/>
      <c r="AR2035" s="100"/>
      <c r="AS2035" s="100"/>
      <c r="AT2035" s="102"/>
      <c r="AX2035" s="100"/>
      <c r="AY2035" s="101"/>
      <c r="AZ2035" s="101"/>
      <c r="BA2035" s="100"/>
      <c r="BB2035" s="100"/>
      <c r="BC2035" s="100"/>
      <c r="BD2035" s="100"/>
      <c r="BE2035" s="100"/>
      <c r="BF2035" s="100"/>
      <c r="BG2035" s="100"/>
      <c r="BH2035" s="100"/>
      <c r="BI2035" s="100"/>
      <c r="BJ2035" s="100"/>
      <c r="BK2035" s="102"/>
    </row>
    <row r="2036" spans="1:63" x14ac:dyDescent="0.25">
      <c r="A2036" s="92"/>
      <c r="B2036" s="93"/>
      <c r="C2036" s="93"/>
      <c r="D2036" s="92"/>
      <c r="E2036" s="92"/>
      <c r="F2036" s="92"/>
      <c r="G2036" s="92"/>
      <c r="H2036" s="92"/>
      <c r="I2036" s="92"/>
      <c r="J2036" s="92"/>
      <c r="K2036" s="92"/>
      <c r="L2036" s="92"/>
      <c r="M2036" s="92"/>
      <c r="N2036" s="94"/>
      <c r="AG2036" s="100"/>
      <c r="AH2036" s="101"/>
      <c r="AI2036" s="101"/>
      <c r="AJ2036" s="100"/>
      <c r="AK2036" s="100"/>
      <c r="AL2036" s="100"/>
      <c r="AM2036" s="100"/>
      <c r="AN2036" s="100"/>
      <c r="AO2036" s="100"/>
      <c r="AP2036" s="100"/>
      <c r="AQ2036" s="100"/>
      <c r="AR2036" s="100"/>
      <c r="AS2036" s="100"/>
      <c r="AT2036" s="102"/>
      <c r="AX2036" s="100"/>
      <c r="AY2036" s="101"/>
      <c r="AZ2036" s="101"/>
      <c r="BA2036" s="100"/>
      <c r="BB2036" s="100"/>
      <c r="BC2036" s="100"/>
      <c r="BD2036" s="100"/>
      <c r="BE2036" s="100"/>
      <c r="BF2036" s="100"/>
      <c r="BG2036" s="100"/>
      <c r="BH2036" s="100"/>
      <c r="BI2036" s="100"/>
      <c r="BJ2036" s="100"/>
      <c r="BK2036" s="102"/>
    </row>
    <row r="2037" spans="1:63" x14ac:dyDescent="0.25">
      <c r="A2037" s="92"/>
      <c r="B2037" s="93"/>
      <c r="C2037" s="93"/>
      <c r="D2037" s="93"/>
      <c r="E2037" s="92"/>
      <c r="F2037" s="92"/>
      <c r="G2037" s="92"/>
      <c r="H2037" s="92"/>
      <c r="I2037" s="92"/>
      <c r="J2037" s="92"/>
      <c r="K2037" s="92"/>
      <c r="L2037" s="92"/>
      <c r="M2037" s="92"/>
      <c r="N2037" s="94"/>
      <c r="AG2037" s="100"/>
      <c r="AH2037" s="101"/>
      <c r="AI2037" s="101"/>
      <c r="AJ2037" s="101"/>
      <c r="AK2037" s="100"/>
      <c r="AL2037" s="100"/>
      <c r="AM2037" s="100"/>
      <c r="AN2037" s="100"/>
      <c r="AO2037" s="100"/>
      <c r="AP2037" s="100"/>
      <c r="AQ2037" s="100"/>
      <c r="AR2037" s="100"/>
      <c r="AS2037" s="100"/>
      <c r="AT2037" s="102"/>
      <c r="AX2037" s="100"/>
      <c r="AY2037" s="101"/>
      <c r="AZ2037" s="101"/>
      <c r="BA2037" s="100"/>
      <c r="BB2037" s="100"/>
      <c r="BC2037" s="100"/>
      <c r="BD2037" s="100"/>
      <c r="BE2037" s="100"/>
      <c r="BF2037" s="100"/>
      <c r="BG2037" s="100"/>
      <c r="BH2037" s="100"/>
      <c r="BI2037" s="100"/>
      <c r="BJ2037" s="100"/>
      <c r="BK2037" s="102"/>
    </row>
    <row r="2038" spans="1:63" x14ac:dyDescent="0.25">
      <c r="A2038" s="92"/>
      <c r="B2038" s="93"/>
      <c r="C2038" s="93"/>
      <c r="D2038" s="92"/>
      <c r="E2038" s="92"/>
      <c r="F2038" s="92"/>
      <c r="G2038" s="92"/>
      <c r="H2038" s="92"/>
      <c r="I2038" s="92"/>
      <c r="J2038" s="92"/>
      <c r="K2038" s="92"/>
      <c r="L2038" s="92"/>
      <c r="M2038" s="92"/>
      <c r="N2038" s="94"/>
      <c r="AG2038" s="100"/>
      <c r="AH2038" s="101"/>
      <c r="AI2038" s="101"/>
      <c r="AJ2038" s="100"/>
      <c r="AK2038" s="100"/>
      <c r="AL2038" s="100"/>
      <c r="AM2038" s="100"/>
      <c r="AN2038" s="100"/>
      <c r="AO2038" s="100"/>
      <c r="AP2038" s="100"/>
      <c r="AQ2038" s="100"/>
      <c r="AR2038" s="100"/>
      <c r="AS2038" s="100"/>
      <c r="AT2038" s="102"/>
      <c r="AX2038" s="100"/>
      <c r="AY2038" s="101"/>
      <c r="AZ2038" s="101"/>
      <c r="BA2038" s="100"/>
      <c r="BB2038" s="100"/>
      <c r="BC2038" s="100"/>
      <c r="BD2038" s="100"/>
      <c r="BE2038" s="100"/>
      <c r="BF2038" s="100"/>
      <c r="BG2038" s="100"/>
      <c r="BH2038" s="100"/>
      <c r="BI2038" s="100"/>
      <c r="BJ2038" s="100"/>
      <c r="BK2038" s="102"/>
    </row>
    <row r="2039" spans="1:63" x14ac:dyDescent="0.25">
      <c r="A2039" s="92"/>
      <c r="B2039" s="92"/>
      <c r="C2039" s="92"/>
      <c r="D2039" s="92"/>
      <c r="E2039" s="92"/>
      <c r="F2039" s="92"/>
      <c r="G2039" s="92"/>
      <c r="H2039" s="92"/>
      <c r="I2039" s="92"/>
      <c r="J2039" s="92"/>
      <c r="K2039" s="92"/>
      <c r="L2039" s="92"/>
      <c r="M2039" s="92"/>
      <c r="N2039" s="92"/>
      <c r="AG2039" s="100"/>
      <c r="AH2039" s="101"/>
      <c r="AI2039" s="101"/>
      <c r="AJ2039" s="100"/>
      <c r="AK2039" s="100"/>
      <c r="AL2039" s="100"/>
      <c r="AM2039" s="100"/>
      <c r="AN2039" s="100"/>
      <c r="AO2039" s="100"/>
      <c r="AP2039" s="100"/>
      <c r="AQ2039" s="100"/>
      <c r="AR2039" s="100"/>
      <c r="AS2039" s="100"/>
      <c r="AT2039" s="102"/>
      <c r="AX2039" s="100"/>
      <c r="AY2039" s="101"/>
      <c r="AZ2039" s="100"/>
      <c r="BA2039" s="101"/>
      <c r="BB2039" s="100"/>
      <c r="BC2039" s="100"/>
      <c r="BD2039" s="100"/>
      <c r="BE2039" s="100"/>
      <c r="BF2039" s="100"/>
      <c r="BG2039" s="100"/>
      <c r="BH2039" s="100"/>
      <c r="BI2039" s="100"/>
      <c r="BJ2039" s="100"/>
      <c r="BK2039" s="102"/>
    </row>
    <row r="2040" spans="1:63" x14ac:dyDescent="0.25">
      <c r="A2040" s="92"/>
      <c r="B2040" s="93"/>
      <c r="C2040" s="93"/>
      <c r="D2040" s="92"/>
      <c r="E2040" s="92"/>
      <c r="F2040" s="92"/>
      <c r="G2040" s="92"/>
      <c r="H2040" s="92"/>
      <c r="I2040" s="92"/>
      <c r="J2040" s="92"/>
      <c r="K2040" s="92"/>
      <c r="L2040" s="92"/>
      <c r="M2040" s="92"/>
      <c r="N2040" s="94"/>
      <c r="AG2040" s="100"/>
      <c r="AH2040" s="101"/>
      <c r="AI2040" s="101"/>
      <c r="AJ2040" s="100"/>
      <c r="AK2040" s="100"/>
      <c r="AL2040" s="100"/>
      <c r="AM2040" s="100"/>
      <c r="AN2040" s="100"/>
      <c r="AO2040" s="100"/>
      <c r="AP2040" s="100"/>
      <c r="AQ2040" s="100"/>
      <c r="AR2040" s="100"/>
      <c r="AS2040" s="100"/>
      <c r="AT2040" s="102"/>
      <c r="AX2040" s="100"/>
      <c r="AY2040" s="101"/>
      <c r="AZ2040" s="100"/>
      <c r="BA2040" s="101"/>
      <c r="BB2040" s="100"/>
      <c r="BC2040" s="100"/>
      <c r="BD2040" s="100"/>
      <c r="BE2040" s="100"/>
      <c r="BF2040" s="100"/>
      <c r="BG2040" s="100"/>
      <c r="BH2040" s="100"/>
      <c r="BI2040" s="100"/>
      <c r="BJ2040" s="100"/>
      <c r="BK2040" s="102"/>
    </row>
    <row r="2041" spans="1:63" x14ac:dyDescent="0.25">
      <c r="A2041" s="92"/>
      <c r="B2041" s="93"/>
      <c r="C2041" s="93"/>
      <c r="D2041" s="93"/>
      <c r="E2041" s="92"/>
      <c r="F2041" s="92"/>
      <c r="G2041" s="92"/>
      <c r="H2041" s="92"/>
      <c r="I2041" s="92"/>
      <c r="J2041" s="92"/>
      <c r="K2041" s="92"/>
      <c r="L2041" s="92"/>
      <c r="M2041" s="92"/>
      <c r="N2041" s="94"/>
      <c r="AG2041" s="100"/>
      <c r="AH2041" s="101"/>
      <c r="AI2041" s="101"/>
      <c r="AJ2041" s="100"/>
      <c r="AK2041" s="100"/>
      <c r="AL2041" s="100"/>
      <c r="AM2041" s="100"/>
      <c r="AN2041" s="100"/>
      <c r="AO2041" s="100"/>
      <c r="AP2041" s="100"/>
      <c r="AQ2041" s="100"/>
      <c r="AR2041" s="100"/>
      <c r="AS2041" s="100"/>
      <c r="AT2041" s="102"/>
      <c r="AX2041" s="100"/>
      <c r="AY2041" s="101"/>
      <c r="AZ2041" s="100"/>
      <c r="BA2041" s="101"/>
      <c r="BB2041" s="100"/>
      <c r="BC2041" s="100"/>
      <c r="BD2041" s="100"/>
      <c r="BE2041" s="100"/>
      <c r="BF2041" s="100"/>
      <c r="BG2041" s="100"/>
      <c r="BH2041" s="100"/>
      <c r="BI2041" s="100"/>
      <c r="BJ2041" s="100"/>
      <c r="BK2041" s="102"/>
    </row>
    <row r="2042" spans="1:63" x14ac:dyDescent="0.25">
      <c r="A2042" s="92"/>
      <c r="B2042" s="93"/>
      <c r="C2042" s="93"/>
      <c r="D2042" s="93"/>
      <c r="E2042" s="92"/>
      <c r="F2042" s="92"/>
      <c r="G2042" s="92"/>
      <c r="H2042" s="92"/>
      <c r="I2042" s="92"/>
      <c r="J2042" s="92"/>
      <c r="K2042" s="92"/>
      <c r="L2042" s="92"/>
      <c r="M2042" s="92"/>
      <c r="N2042" s="94"/>
      <c r="AG2042" s="100"/>
      <c r="AH2042" s="101"/>
      <c r="AI2042" s="101"/>
      <c r="AJ2042" s="100"/>
      <c r="AK2042" s="100"/>
      <c r="AL2042" s="100"/>
      <c r="AM2042" s="100"/>
      <c r="AN2042" s="100"/>
      <c r="AO2042" s="100"/>
      <c r="AP2042" s="100"/>
      <c r="AQ2042" s="100"/>
      <c r="AR2042" s="100"/>
      <c r="AS2042" s="100"/>
      <c r="AT2042" s="102"/>
      <c r="AX2042" s="100"/>
      <c r="AY2042" s="101"/>
      <c r="AZ2042" s="101"/>
      <c r="BA2042" s="100"/>
      <c r="BB2042" s="100"/>
      <c r="BC2042" s="100"/>
      <c r="BD2042" s="100"/>
      <c r="BE2042" s="100"/>
      <c r="BF2042" s="100"/>
      <c r="BG2042" s="100"/>
      <c r="BH2042" s="100"/>
      <c r="BI2042" s="100"/>
      <c r="BJ2042" s="100"/>
      <c r="BK2042" s="102"/>
    </row>
    <row r="2043" spans="1:63" x14ac:dyDescent="0.25">
      <c r="A2043" s="92"/>
      <c r="B2043" s="93"/>
      <c r="C2043" s="93"/>
      <c r="D2043" s="93"/>
      <c r="E2043" s="92"/>
      <c r="F2043" s="92"/>
      <c r="G2043" s="92"/>
      <c r="H2043" s="92"/>
      <c r="I2043" s="92"/>
      <c r="J2043" s="92"/>
      <c r="K2043" s="92"/>
      <c r="L2043" s="92"/>
      <c r="M2043" s="92"/>
      <c r="N2043" s="94"/>
      <c r="AG2043" s="100"/>
      <c r="AH2043" s="101"/>
      <c r="AI2043" s="101"/>
      <c r="AJ2043" s="100"/>
      <c r="AK2043" s="100"/>
      <c r="AL2043" s="100"/>
      <c r="AM2043" s="100"/>
      <c r="AN2043" s="100"/>
      <c r="AO2043" s="100"/>
      <c r="AP2043" s="100"/>
      <c r="AQ2043" s="100"/>
      <c r="AR2043" s="100"/>
      <c r="AS2043" s="100"/>
      <c r="AT2043" s="102"/>
      <c r="AX2043" s="100"/>
      <c r="AY2043" s="101"/>
      <c r="AZ2043" s="101"/>
      <c r="BA2043" s="100"/>
      <c r="BB2043" s="100"/>
      <c r="BC2043" s="100"/>
      <c r="BD2043" s="100"/>
      <c r="BE2043" s="100"/>
      <c r="BF2043" s="100"/>
      <c r="BG2043" s="100"/>
      <c r="BH2043" s="100"/>
      <c r="BI2043" s="100"/>
      <c r="BJ2043" s="100"/>
      <c r="BK2043" s="102"/>
    </row>
    <row r="2044" spans="1:63" x14ac:dyDescent="0.25">
      <c r="A2044" s="92"/>
      <c r="B2044" s="93"/>
      <c r="C2044" s="93"/>
      <c r="D2044" s="92"/>
      <c r="E2044" s="92"/>
      <c r="F2044" s="92"/>
      <c r="G2044" s="92"/>
      <c r="H2044" s="92"/>
      <c r="I2044" s="92"/>
      <c r="J2044" s="92"/>
      <c r="K2044" s="92"/>
      <c r="L2044" s="92"/>
      <c r="M2044" s="92"/>
      <c r="N2044" s="94"/>
      <c r="AG2044" s="100"/>
      <c r="AH2044" s="101"/>
      <c r="AI2044" s="101"/>
      <c r="AJ2044" s="101"/>
      <c r="AK2044" s="100"/>
      <c r="AL2044" s="100"/>
      <c r="AM2044" s="100"/>
      <c r="AN2044" s="100"/>
      <c r="AO2044" s="100"/>
      <c r="AP2044" s="100"/>
      <c r="AQ2044" s="100"/>
      <c r="AR2044" s="100"/>
      <c r="AS2044" s="100"/>
      <c r="AT2044" s="102"/>
      <c r="AX2044" s="100"/>
      <c r="AY2044" s="101"/>
      <c r="AZ2044" s="101"/>
      <c r="BA2044" s="101"/>
      <c r="BB2044" s="100"/>
      <c r="BC2044" s="100"/>
      <c r="BD2044" s="100"/>
      <c r="BE2044" s="100"/>
      <c r="BF2044" s="100"/>
      <c r="BG2044" s="100"/>
      <c r="BH2044" s="100"/>
      <c r="BI2044" s="100"/>
      <c r="BJ2044" s="100"/>
      <c r="BK2044" s="102"/>
    </row>
    <row r="2045" spans="1:63" x14ac:dyDescent="0.25">
      <c r="A2045" s="92"/>
      <c r="B2045" s="92"/>
      <c r="C2045" s="92"/>
      <c r="D2045" s="92"/>
      <c r="E2045" s="92"/>
      <c r="F2045" s="92"/>
      <c r="G2045" s="92"/>
      <c r="H2045" s="92"/>
      <c r="I2045" s="92"/>
      <c r="J2045" s="92"/>
      <c r="K2045" s="92"/>
      <c r="L2045" s="92"/>
      <c r="M2045" s="92"/>
      <c r="N2045" s="92"/>
      <c r="AG2045" s="100"/>
      <c r="AH2045" s="101"/>
      <c r="AI2045" s="101"/>
      <c r="AJ2045" s="100"/>
      <c r="AK2045" s="100"/>
      <c r="AL2045" s="100"/>
      <c r="AM2045" s="100"/>
      <c r="AN2045" s="100"/>
      <c r="AO2045" s="100"/>
      <c r="AP2045" s="100"/>
      <c r="AQ2045" s="100"/>
      <c r="AR2045" s="100"/>
      <c r="AS2045" s="100"/>
      <c r="AT2045" s="102"/>
      <c r="AX2045" s="100"/>
      <c r="AY2045" s="101"/>
      <c r="AZ2045" s="101"/>
      <c r="BA2045" s="100"/>
      <c r="BB2045" s="100"/>
      <c r="BC2045" s="100"/>
      <c r="BD2045" s="100"/>
      <c r="BE2045" s="100"/>
      <c r="BF2045" s="100"/>
      <c r="BG2045" s="100"/>
      <c r="BH2045" s="100"/>
      <c r="BI2045" s="100"/>
      <c r="BJ2045" s="100"/>
      <c r="BK2045" s="102"/>
    </row>
    <row r="2046" spans="1:63" x14ac:dyDescent="0.25">
      <c r="A2046" s="92"/>
      <c r="B2046" s="92"/>
      <c r="C2046" s="92"/>
      <c r="D2046" s="92"/>
      <c r="E2046" s="92"/>
      <c r="F2046" s="92"/>
      <c r="G2046" s="92"/>
      <c r="H2046" s="92"/>
      <c r="I2046" s="92"/>
      <c r="J2046" s="92"/>
      <c r="K2046" s="92"/>
      <c r="L2046" s="92"/>
      <c r="M2046" s="92"/>
      <c r="N2046" s="92"/>
      <c r="AG2046" s="100"/>
      <c r="AH2046" s="101"/>
      <c r="AI2046" s="101"/>
      <c r="AJ2046" s="101"/>
      <c r="AK2046" s="100"/>
      <c r="AL2046" s="100"/>
      <c r="AM2046" s="100"/>
      <c r="AN2046" s="100"/>
      <c r="AO2046" s="100"/>
      <c r="AP2046" s="100"/>
      <c r="AQ2046" s="100"/>
      <c r="AR2046" s="100"/>
      <c r="AS2046" s="100"/>
      <c r="AT2046" s="102"/>
      <c r="AX2046" s="100"/>
      <c r="AY2046" s="101"/>
      <c r="AZ2046" s="101"/>
      <c r="BA2046" s="100"/>
      <c r="BB2046" s="100"/>
      <c r="BC2046" s="100"/>
      <c r="BD2046" s="100"/>
      <c r="BE2046" s="100"/>
      <c r="BF2046" s="100"/>
      <c r="BG2046" s="100"/>
      <c r="BH2046" s="100"/>
      <c r="BI2046" s="100"/>
      <c r="BJ2046" s="100"/>
      <c r="BK2046" s="102"/>
    </row>
    <row r="2047" spans="1:63" x14ac:dyDescent="0.25">
      <c r="A2047" s="92"/>
      <c r="B2047" s="92"/>
      <c r="C2047" s="92"/>
      <c r="D2047" s="92"/>
      <c r="E2047" s="92"/>
      <c r="F2047" s="92"/>
      <c r="G2047" s="92"/>
      <c r="H2047" s="92"/>
      <c r="I2047" s="92"/>
      <c r="J2047" s="92"/>
      <c r="K2047" s="92"/>
      <c r="L2047" s="92"/>
      <c r="M2047" s="92"/>
      <c r="N2047" s="92"/>
      <c r="AG2047" s="100"/>
      <c r="AH2047" s="101"/>
      <c r="AI2047" s="101"/>
      <c r="AJ2047" s="101"/>
      <c r="AK2047" s="100"/>
      <c r="AL2047" s="100"/>
      <c r="AM2047" s="100"/>
      <c r="AN2047" s="100"/>
      <c r="AO2047" s="100"/>
      <c r="AP2047" s="100"/>
      <c r="AQ2047" s="100"/>
      <c r="AR2047" s="100"/>
      <c r="AS2047" s="100"/>
      <c r="AT2047" s="102"/>
      <c r="AX2047" s="100"/>
      <c r="AY2047" s="101"/>
      <c r="AZ2047" s="101"/>
      <c r="BA2047" s="100"/>
      <c r="BB2047" s="100"/>
      <c r="BC2047" s="100"/>
      <c r="BD2047" s="100"/>
      <c r="BE2047" s="100"/>
      <c r="BF2047" s="100"/>
      <c r="BG2047" s="100"/>
      <c r="BH2047" s="100"/>
      <c r="BI2047" s="100"/>
      <c r="BJ2047" s="100"/>
      <c r="BK2047" s="102"/>
    </row>
    <row r="2048" spans="1:63" x14ac:dyDescent="0.25">
      <c r="A2048" s="92"/>
      <c r="B2048" s="92"/>
      <c r="C2048" s="92"/>
      <c r="D2048" s="92"/>
      <c r="E2048" s="92"/>
      <c r="F2048" s="92"/>
      <c r="G2048" s="92"/>
      <c r="H2048" s="92"/>
      <c r="I2048" s="92"/>
      <c r="J2048" s="92"/>
      <c r="K2048" s="92"/>
      <c r="L2048" s="92"/>
      <c r="M2048" s="92"/>
      <c r="N2048" s="92"/>
      <c r="AG2048" s="100"/>
      <c r="AH2048" s="101"/>
      <c r="AI2048" s="101"/>
      <c r="AJ2048" s="100"/>
      <c r="AK2048" s="100"/>
      <c r="AL2048" s="100"/>
      <c r="AM2048" s="100"/>
      <c r="AN2048" s="100"/>
      <c r="AO2048" s="100"/>
      <c r="AP2048" s="100"/>
      <c r="AQ2048" s="100"/>
      <c r="AR2048" s="100"/>
      <c r="AS2048" s="100"/>
      <c r="AT2048" s="102"/>
      <c r="AX2048" s="100"/>
      <c r="AY2048" s="101"/>
      <c r="AZ2048" s="101"/>
      <c r="BA2048" s="100"/>
      <c r="BB2048" s="100"/>
      <c r="BC2048" s="100"/>
      <c r="BD2048" s="100"/>
      <c r="BE2048" s="100"/>
      <c r="BF2048" s="100"/>
      <c r="BG2048" s="100"/>
      <c r="BH2048" s="100"/>
      <c r="BI2048" s="100"/>
      <c r="BJ2048" s="100"/>
      <c r="BK2048" s="102"/>
    </row>
    <row r="2049" spans="1:63" x14ac:dyDescent="0.25">
      <c r="A2049" s="92"/>
      <c r="B2049" s="92"/>
      <c r="C2049" s="92"/>
      <c r="D2049" s="92"/>
      <c r="E2049" s="92"/>
      <c r="F2049" s="92"/>
      <c r="G2049" s="92"/>
      <c r="H2049" s="92"/>
      <c r="I2049" s="92"/>
      <c r="J2049" s="92"/>
      <c r="K2049" s="92"/>
      <c r="L2049" s="92"/>
      <c r="M2049" s="92"/>
      <c r="N2049" s="92"/>
      <c r="AG2049" s="100"/>
      <c r="AH2049" s="101"/>
      <c r="AI2049" s="101"/>
      <c r="AJ2049" s="100"/>
      <c r="AK2049" s="100"/>
      <c r="AL2049" s="100"/>
      <c r="AM2049" s="100"/>
      <c r="AN2049" s="100"/>
      <c r="AO2049" s="100"/>
      <c r="AP2049" s="100"/>
      <c r="AQ2049" s="100"/>
      <c r="AR2049" s="100"/>
      <c r="AS2049" s="100"/>
      <c r="AT2049" s="102"/>
      <c r="AX2049" s="100"/>
      <c r="AY2049" s="101"/>
      <c r="AZ2049" s="101"/>
      <c r="BA2049" s="100"/>
      <c r="BB2049" s="100"/>
      <c r="BC2049" s="100"/>
      <c r="BD2049" s="100"/>
      <c r="BE2049" s="100"/>
      <c r="BF2049" s="100"/>
      <c r="BG2049" s="100"/>
      <c r="BH2049" s="100"/>
      <c r="BI2049" s="100"/>
      <c r="BJ2049" s="100"/>
      <c r="BK2049" s="102"/>
    </row>
    <row r="2050" spans="1:63" x14ac:dyDescent="0.25">
      <c r="A2050" s="92"/>
      <c r="B2050" s="92"/>
      <c r="C2050" s="92"/>
      <c r="D2050" s="92"/>
      <c r="E2050" s="92"/>
      <c r="F2050" s="92"/>
      <c r="G2050" s="92"/>
      <c r="H2050" s="92"/>
      <c r="I2050" s="92"/>
      <c r="J2050" s="92"/>
      <c r="K2050" s="92"/>
      <c r="L2050" s="92"/>
      <c r="M2050" s="92"/>
      <c r="N2050" s="92"/>
      <c r="AG2050" s="100"/>
      <c r="AH2050" s="101"/>
      <c r="AI2050" s="101"/>
      <c r="AJ2050" s="100"/>
      <c r="AK2050" s="100"/>
      <c r="AL2050" s="100"/>
      <c r="AM2050" s="100"/>
      <c r="AN2050" s="100"/>
      <c r="AO2050" s="100"/>
      <c r="AP2050" s="100"/>
      <c r="AQ2050" s="100"/>
      <c r="AR2050" s="100"/>
      <c r="AS2050" s="100"/>
      <c r="AT2050" s="102"/>
      <c r="AX2050" s="100"/>
      <c r="AY2050" s="101"/>
      <c r="AZ2050" s="101"/>
      <c r="BA2050" s="100"/>
      <c r="BB2050" s="100"/>
      <c r="BC2050" s="100"/>
      <c r="BD2050" s="100"/>
      <c r="BE2050" s="100"/>
      <c r="BF2050" s="100"/>
      <c r="BG2050" s="100"/>
      <c r="BH2050" s="100"/>
      <c r="BI2050" s="100"/>
      <c r="BJ2050" s="100"/>
      <c r="BK2050" s="102"/>
    </row>
    <row r="2051" spans="1:63" x14ac:dyDescent="0.25">
      <c r="A2051" s="92"/>
      <c r="B2051" s="92"/>
      <c r="C2051" s="92"/>
      <c r="D2051" s="92"/>
      <c r="E2051" s="92"/>
      <c r="F2051" s="92"/>
      <c r="G2051" s="92"/>
      <c r="H2051" s="92"/>
      <c r="I2051" s="92"/>
      <c r="J2051" s="92"/>
      <c r="K2051" s="92"/>
      <c r="L2051" s="92"/>
      <c r="M2051" s="92"/>
      <c r="N2051" s="92"/>
      <c r="AG2051" s="100"/>
      <c r="AH2051" s="101"/>
      <c r="AI2051" s="101"/>
      <c r="AJ2051" s="100"/>
      <c r="AK2051" s="100"/>
      <c r="AL2051" s="100"/>
      <c r="AM2051" s="100"/>
      <c r="AN2051" s="100"/>
      <c r="AO2051" s="100"/>
      <c r="AP2051" s="100"/>
      <c r="AQ2051" s="100"/>
      <c r="AR2051" s="100"/>
      <c r="AS2051" s="100"/>
      <c r="AT2051" s="102"/>
      <c r="AX2051" s="100"/>
      <c r="AY2051" s="101"/>
      <c r="AZ2051" s="101"/>
      <c r="BA2051" s="100"/>
      <c r="BB2051" s="100"/>
      <c r="BC2051" s="100"/>
      <c r="BD2051" s="100"/>
      <c r="BE2051" s="100"/>
      <c r="BF2051" s="100"/>
      <c r="BG2051" s="100"/>
      <c r="BH2051" s="100"/>
      <c r="BI2051" s="100"/>
      <c r="BJ2051" s="100"/>
      <c r="BK2051" s="102"/>
    </row>
    <row r="2052" spans="1:63" x14ac:dyDescent="0.25">
      <c r="A2052" s="92"/>
      <c r="B2052" s="92"/>
      <c r="C2052" s="92"/>
      <c r="D2052" s="92"/>
      <c r="E2052" s="92"/>
      <c r="F2052" s="92"/>
      <c r="G2052" s="92"/>
      <c r="H2052" s="92"/>
      <c r="I2052" s="92"/>
      <c r="J2052" s="92"/>
      <c r="K2052" s="92"/>
      <c r="L2052" s="92"/>
      <c r="M2052" s="92"/>
      <c r="N2052" s="92"/>
      <c r="AG2052" s="100"/>
      <c r="AH2052" s="101"/>
      <c r="AI2052" s="101"/>
      <c r="AJ2052" s="100"/>
      <c r="AK2052" s="100"/>
      <c r="AL2052" s="100"/>
      <c r="AM2052" s="100"/>
      <c r="AN2052" s="100"/>
      <c r="AO2052" s="100"/>
      <c r="AP2052" s="100"/>
      <c r="AQ2052" s="100"/>
      <c r="AR2052" s="100"/>
      <c r="AS2052" s="100"/>
      <c r="AT2052" s="102"/>
      <c r="AX2052" s="100"/>
      <c r="AY2052" s="101"/>
      <c r="AZ2052" s="101"/>
      <c r="BA2052" s="100"/>
      <c r="BB2052" s="100"/>
      <c r="BC2052" s="100"/>
      <c r="BD2052" s="100"/>
      <c r="BE2052" s="100"/>
      <c r="BF2052" s="100"/>
      <c r="BG2052" s="100"/>
      <c r="BH2052" s="100"/>
      <c r="BI2052" s="100"/>
      <c r="BJ2052" s="100"/>
      <c r="BK2052" s="102"/>
    </row>
    <row r="2053" spans="1:63" x14ac:dyDescent="0.25">
      <c r="A2053" s="92"/>
      <c r="B2053" s="93"/>
      <c r="C2053" s="93"/>
      <c r="D2053" s="92"/>
      <c r="E2053" s="92"/>
      <c r="F2053" s="92"/>
      <c r="G2053" s="92"/>
      <c r="H2053" s="92"/>
      <c r="I2053" s="92"/>
      <c r="J2053" s="92"/>
      <c r="K2053" s="92"/>
      <c r="L2053" s="92"/>
      <c r="M2053" s="92"/>
      <c r="N2053" s="94"/>
      <c r="AG2053" s="100"/>
      <c r="AH2053" s="101"/>
      <c r="AI2053" s="101"/>
      <c r="AJ2053" s="101"/>
      <c r="AK2053" s="100"/>
      <c r="AL2053" s="100"/>
      <c r="AM2053" s="100"/>
      <c r="AN2053" s="100"/>
      <c r="AO2053" s="100"/>
      <c r="AP2053" s="100"/>
      <c r="AQ2053" s="100"/>
      <c r="AR2053" s="100"/>
      <c r="AS2053" s="100"/>
      <c r="AT2053" s="102"/>
      <c r="AX2053" s="100"/>
      <c r="AY2053" s="101"/>
      <c r="AZ2053" s="101"/>
      <c r="BA2053" s="100"/>
      <c r="BB2053" s="100"/>
      <c r="BC2053" s="100"/>
      <c r="BD2053" s="100"/>
      <c r="BE2053" s="100"/>
      <c r="BF2053" s="100"/>
      <c r="BG2053" s="100"/>
      <c r="BH2053" s="100"/>
      <c r="BI2053" s="100"/>
      <c r="BJ2053" s="100"/>
      <c r="BK2053" s="102"/>
    </row>
    <row r="2054" spans="1:63" x14ac:dyDescent="0.25">
      <c r="A2054" s="92"/>
      <c r="B2054" s="92"/>
      <c r="C2054" s="92"/>
      <c r="D2054" s="92"/>
      <c r="E2054" s="92"/>
      <c r="F2054" s="92"/>
      <c r="G2054" s="92"/>
      <c r="H2054" s="92"/>
      <c r="I2054" s="92"/>
      <c r="J2054" s="92"/>
      <c r="K2054" s="92"/>
      <c r="L2054" s="92"/>
      <c r="M2054" s="92"/>
      <c r="N2054" s="92"/>
      <c r="AG2054" s="100"/>
      <c r="AH2054" s="101"/>
      <c r="AI2054" s="101"/>
      <c r="AJ2054" s="101"/>
      <c r="AK2054" s="100"/>
      <c r="AL2054" s="100"/>
      <c r="AM2054" s="100"/>
      <c r="AN2054" s="100"/>
      <c r="AO2054" s="100"/>
      <c r="AP2054" s="100"/>
      <c r="AQ2054" s="100"/>
      <c r="AR2054" s="100"/>
      <c r="AS2054" s="100"/>
      <c r="AT2054" s="102"/>
      <c r="AX2054" s="100"/>
      <c r="AY2054" s="101"/>
      <c r="AZ2054" s="101"/>
      <c r="BA2054" s="100"/>
      <c r="BB2054" s="100"/>
      <c r="BC2054" s="100"/>
      <c r="BD2054" s="100"/>
      <c r="BE2054" s="100"/>
      <c r="BF2054" s="100"/>
      <c r="BG2054" s="100"/>
      <c r="BH2054" s="100"/>
      <c r="BI2054" s="100"/>
      <c r="BJ2054" s="100"/>
      <c r="BK2054" s="102"/>
    </row>
    <row r="2055" spans="1:63" x14ac:dyDescent="0.25">
      <c r="A2055" s="92"/>
      <c r="B2055" s="93"/>
      <c r="C2055" s="93"/>
      <c r="D2055" s="92"/>
      <c r="E2055" s="92"/>
      <c r="F2055" s="92"/>
      <c r="G2055" s="92"/>
      <c r="H2055" s="92"/>
      <c r="I2055" s="92"/>
      <c r="J2055" s="92"/>
      <c r="K2055" s="92"/>
      <c r="L2055" s="92"/>
      <c r="M2055" s="92"/>
      <c r="N2055" s="94"/>
      <c r="AG2055" s="100"/>
      <c r="AH2055" s="101"/>
      <c r="AI2055" s="101"/>
      <c r="AJ2055" s="100"/>
      <c r="AK2055" s="100"/>
      <c r="AL2055" s="100"/>
      <c r="AM2055" s="100"/>
      <c r="AN2055" s="100"/>
      <c r="AO2055" s="100"/>
      <c r="AP2055" s="100"/>
      <c r="AQ2055" s="100"/>
      <c r="AR2055" s="100"/>
      <c r="AS2055" s="100"/>
      <c r="AT2055" s="102"/>
      <c r="AX2055" s="100"/>
      <c r="AY2055" s="101"/>
      <c r="AZ2055" s="101"/>
      <c r="BA2055" s="100"/>
      <c r="BB2055" s="100"/>
      <c r="BC2055" s="100"/>
      <c r="BD2055" s="100"/>
      <c r="BE2055" s="100"/>
      <c r="BF2055" s="100"/>
      <c r="BG2055" s="100"/>
      <c r="BH2055" s="100"/>
      <c r="BI2055" s="100"/>
      <c r="BJ2055" s="100"/>
      <c r="BK2055" s="102"/>
    </row>
    <row r="2056" spans="1:63" x14ac:dyDescent="0.25">
      <c r="A2056" s="92"/>
      <c r="B2056" s="93"/>
      <c r="C2056" s="93"/>
      <c r="D2056" s="93"/>
      <c r="E2056" s="92"/>
      <c r="F2056" s="92"/>
      <c r="G2056" s="92"/>
      <c r="H2056" s="92"/>
      <c r="I2056" s="92"/>
      <c r="J2056" s="92"/>
      <c r="K2056" s="92"/>
      <c r="L2056" s="92"/>
      <c r="M2056" s="92"/>
      <c r="N2056" s="94"/>
      <c r="AG2056" s="100"/>
      <c r="AH2056" s="101"/>
      <c r="AI2056" s="101"/>
      <c r="AJ2056" s="101"/>
      <c r="AK2056" s="100"/>
      <c r="AL2056" s="100"/>
      <c r="AM2056" s="100"/>
      <c r="AN2056" s="100"/>
      <c r="AO2056" s="100"/>
      <c r="AP2056" s="100"/>
      <c r="AQ2056" s="100"/>
      <c r="AR2056" s="100"/>
      <c r="AS2056" s="100"/>
      <c r="AT2056" s="102"/>
      <c r="AX2056" s="100"/>
      <c r="AY2056" s="101"/>
      <c r="AZ2056" s="101"/>
      <c r="BA2056" s="100"/>
      <c r="BB2056" s="100"/>
      <c r="BC2056" s="100"/>
      <c r="BD2056" s="100"/>
      <c r="BE2056" s="100"/>
      <c r="BF2056" s="100"/>
      <c r="BG2056" s="100"/>
      <c r="BH2056" s="100"/>
      <c r="BI2056" s="100"/>
      <c r="BJ2056" s="100"/>
      <c r="BK2056" s="102"/>
    </row>
    <row r="2057" spans="1:63" x14ac:dyDescent="0.25">
      <c r="A2057" s="92"/>
      <c r="B2057" s="93"/>
      <c r="C2057" s="93"/>
      <c r="D2057" s="93"/>
      <c r="E2057" s="92"/>
      <c r="F2057" s="92"/>
      <c r="G2057" s="92"/>
      <c r="H2057" s="92"/>
      <c r="I2057" s="92"/>
      <c r="J2057" s="92"/>
      <c r="K2057" s="92"/>
      <c r="L2057" s="92"/>
      <c r="M2057" s="92"/>
      <c r="N2057" s="94"/>
      <c r="AG2057" s="100"/>
      <c r="AH2057" s="101"/>
      <c r="AI2057" s="101"/>
      <c r="AJ2057" s="100"/>
      <c r="AK2057" s="100"/>
      <c r="AL2057" s="100"/>
      <c r="AM2057" s="100"/>
      <c r="AN2057" s="100"/>
      <c r="AO2057" s="100"/>
      <c r="AP2057" s="100"/>
      <c r="AQ2057" s="100"/>
      <c r="AR2057" s="100"/>
      <c r="AS2057" s="100"/>
      <c r="AT2057" s="102"/>
      <c r="AX2057" s="100"/>
      <c r="AY2057" s="101"/>
      <c r="AZ2057" s="101"/>
      <c r="BA2057" s="101"/>
      <c r="BB2057" s="100"/>
      <c r="BC2057" s="100"/>
      <c r="BD2057" s="100"/>
      <c r="BE2057" s="100"/>
      <c r="BF2057" s="100"/>
      <c r="BG2057" s="100"/>
      <c r="BH2057" s="100"/>
      <c r="BI2057" s="100"/>
      <c r="BJ2057" s="100"/>
      <c r="BK2057" s="102"/>
    </row>
    <row r="2058" spans="1:63" x14ac:dyDescent="0.25">
      <c r="A2058" s="92"/>
      <c r="B2058" s="92"/>
      <c r="C2058" s="92"/>
      <c r="D2058" s="93"/>
      <c r="E2058" s="92"/>
      <c r="F2058" s="92"/>
      <c r="G2058" s="92"/>
      <c r="H2058" s="92"/>
      <c r="I2058" s="92"/>
      <c r="J2058" s="92"/>
      <c r="K2058" s="92"/>
      <c r="L2058" s="92"/>
      <c r="M2058" s="92"/>
      <c r="N2058" s="92"/>
      <c r="AG2058" s="100"/>
      <c r="AH2058" s="101"/>
      <c r="AI2058" s="101"/>
      <c r="AJ2058" s="101"/>
      <c r="AK2058" s="100"/>
      <c r="AL2058" s="100"/>
      <c r="AM2058" s="100"/>
      <c r="AN2058" s="100"/>
      <c r="AO2058" s="100"/>
      <c r="AP2058" s="100"/>
      <c r="AQ2058" s="100"/>
      <c r="AR2058" s="100"/>
      <c r="AS2058" s="100"/>
      <c r="AT2058" s="102"/>
      <c r="AX2058" s="100"/>
      <c r="AY2058" s="101"/>
      <c r="AZ2058" s="101"/>
      <c r="BA2058" s="100"/>
      <c r="BB2058" s="100"/>
      <c r="BC2058" s="100"/>
      <c r="BD2058" s="100"/>
      <c r="BE2058" s="100"/>
      <c r="BF2058" s="100"/>
      <c r="BG2058" s="100"/>
      <c r="BH2058" s="100"/>
      <c r="BI2058" s="100"/>
      <c r="BJ2058" s="100"/>
      <c r="BK2058" s="102"/>
    </row>
    <row r="2059" spans="1:63" x14ac:dyDescent="0.25">
      <c r="A2059" s="92"/>
      <c r="B2059" s="92"/>
      <c r="C2059" s="92"/>
      <c r="D2059" s="93"/>
      <c r="E2059" s="92"/>
      <c r="F2059" s="92"/>
      <c r="G2059" s="92"/>
      <c r="H2059" s="92"/>
      <c r="I2059" s="92"/>
      <c r="J2059" s="92"/>
      <c r="K2059" s="92"/>
      <c r="L2059" s="92"/>
      <c r="M2059" s="92"/>
      <c r="N2059" s="92"/>
      <c r="AG2059" s="100"/>
      <c r="AH2059" s="101"/>
      <c r="AI2059" s="101"/>
      <c r="AJ2059" s="101"/>
      <c r="AK2059" s="100"/>
      <c r="AL2059" s="100"/>
      <c r="AM2059" s="100"/>
      <c r="AN2059" s="100"/>
      <c r="AO2059" s="100"/>
      <c r="AP2059" s="100"/>
      <c r="AQ2059" s="100"/>
      <c r="AR2059" s="100"/>
      <c r="AS2059" s="100"/>
      <c r="AT2059" s="102"/>
      <c r="AX2059" s="100"/>
      <c r="AY2059" s="101"/>
      <c r="AZ2059" s="101"/>
      <c r="BA2059" s="100"/>
      <c r="BB2059" s="100"/>
      <c r="BC2059" s="100"/>
      <c r="BD2059" s="100"/>
      <c r="BE2059" s="100"/>
      <c r="BF2059" s="100"/>
      <c r="BG2059" s="100"/>
      <c r="BH2059" s="100"/>
      <c r="BI2059" s="100"/>
      <c r="BJ2059" s="100"/>
      <c r="BK2059" s="102"/>
    </row>
    <row r="2060" spans="1:63" x14ac:dyDescent="0.25">
      <c r="A2060" s="92"/>
      <c r="B2060" s="92"/>
      <c r="C2060" s="92"/>
      <c r="D2060" s="92"/>
      <c r="E2060" s="92"/>
      <c r="F2060" s="92"/>
      <c r="G2060" s="92"/>
      <c r="H2060" s="92"/>
      <c r="I2060" s="92"/>
      <c r="J2060" s="92"/>
      <c r="K2060" s="92"/>
      <c r="L2060" s="92"/>
      <c r="M2060" s="92"/>
      <c r="N2060" s="92"/>
      <c r="AG2060" s="100"/>
      <c r="AH2060" s="101"/>
      <c r="AI2060" s="101"/>
      <c r="AJ2060" s="100"/>
      <c r="AK2060" s="100"/>
      <c r="AL2060" s="100"/>
      <c r="AM2060" s="100"/>
      <c r="AN2060" s="100"/>
      <c r="AO2060" s="100"/>
      <c r="AP2060" s="100"/>
      <c r="AQ2060" s="100"/>
      <c r="AR2060" s="100"/>
      <c r="AS2060" s="100"/>
      <c r="AT2060" s="102"/>
      <c r="AX2060" s="100"/>
      <c r="AY2060" s="101"/>
      <c r="AZ2060" s="101"/>
      <c r="BA2060" s="100"/>
      <c r="BB2060" s="100"/>
      <c r="BC2060" s="100"/>
      <c r="BD2060" s="100"/>
      <c r="BE2060" s="100"/>
      <c r="BF2060" s="100"/>
      <c r="BG2060" s="100"/>
      <c r="BH2060" s="100"/>
      <c r="BI2060" s="100"/>
      <c r="BJ2060" s="100"/>
      <c r="BK2060" s="102"/>
    </row>
    <row r="2061" spans="1:63" x14ac:dyDescent="0.25">
      <c r="A2061" s="92"/>
      <c r="B2061" s="92"/>
      <c r="C2061" s="92"/>
      <c r="D2061" s="92"/>
      <c r="E2061" s="92"/>
      <c r="F2061" s="92"/>
      <c r="G2061" s="92"/>
      <c r="H2061" s="92"/>
      <c r="I2061" s="92"/>
      <c r="J2061" s="92"/>
      <c r="K2061" s="92"/>
      <c r="L2061" s="92"/>
      <c r="M2061" s="92"/>
      <c r="N2061" s="92"/>
      <c r="AG2061" s="100"/>
      <c r="AH2061" s="101"/>
      <c r="AI2061" s="101"/>
      <c r="AJ2061" s="100"/>
      <c r="AK2061" s="100"/>
      <c r="AL2061" s="100"/>
      <c r="AM2061" s="100"/>
      <c r="AN2061" s="100"/>
      <c r="AO2061" s="100"/>
      <c r="AP2061" s="100"/>
      <c r="AQ2061" s="100"/>
      <c r="AR2061" s="100"/>
      <c r="AS2061" s="100"/>
      <c r="AT2061" s="102"/>
      <c r="AX2061" s="100"/>
      <c r="AY2061" s="101"/>
      <c r="AZ2061" s="101"/>
      <c r="BA2061" s="100"/>
      <c r="BB2061" s="100"/>
      <c r="BC2061" s="100"/>
      <c r="BD2061" s="100"/>
      <c r="BE2061" s="100"/>
      <c r="BF2061" s="100"/>
      <c r="BG2061" s="100"/>
      <c r="BH2061" s="100"/>
      <c r="BI2061" s="100"/>
      <c r="BJ2061" s="100"/>
      <c r="BK2061" s="102"/>
    </row>
    <row r="2062" spans="1:63" x14ac:dyDescent="0.25">
      <c r="A2062" s="92"/>
      <c r="B2062" s="92"/>
      <c r="C2062" s="92"/>
      <c r="D2062" s="92"/>
      <c r="E2062" s="92"/>
      <c r="F2062" s="92"/>
      <c r="G2062" s="92"/>
      <c r="H2062" s="92"/>
      <c r="I2062" s="92"/>
      <c r="J2062" s="92"/>
      <c r="K2062" s="92"/>
      <c r="L2062" s="92"/>
      <c r="M2062" s="92"/>
      <c r="N2062" s="92"/>
      <c r="AG2062" s="100"/>
      <c r="AH2062" s="101"/>
      <c r="AI2062" s="101"/>
      <c r="AJ2062" s="101"/>
      <c r="AK2062" s="100"/>
      <c r="AL2062" s="100"/>
      <c r="AM2062" s="100"/>
      <c r="AN2062" s="100"/>
      <c r="AO2062" s="100"/>
      <c r="AP2062" s="100"/>
      <c r="AQ2062" s="100"/>
      <c r="AR2062" s="100"/>
      <c r="AS2062" s="100"/>
      <c r="AT2062" s="102"/>
      <c r="AX2062" s="100"/>
      <c r="AY2062" s="101"/>
      <c r="AZ2062" s="101"/>
      <c r="BA2062" s="100"/>
      <c r="BB2062" s="100"/>
      <c r="BC2062" s="100"/>
      <c r="BD2062" s="100"/>
      <c r="BE2062" s="100"/>
      <c r="BF2062" s="100"/>
      <c r="BG2062" s="100"/>
      <c r="BH2062" s="100"/>
      <c r="BI2062" s="100"/>
      <c r="BJ2062" s="100"/>
      <c r="BK2062" s="102"/>
    </row>
    <row r="2063" spans="1:63" x14ac:dyDescent="0.25">
      <c r="A2063" s="92"/>
      <c r="B2063" s="92"/>
      <c r="C2063" s="92"/>
      <c r="D2063" s="92"/>
      <c r="E2063" s="92"/>
      <c r="F2063" s="92"/>
      <c r="G2063" s="92"/>
      <c r="H2063" s="92"/>
      <c r="I2063" s="92"/>
      <c r="J2063" s="92"/>
      <c r="K2063" s="92"/>
      <c r="L2063" s="92"/>
      <c r="M2063" s="92"/>
      <c r="N2063" s="92"/>
      <c r="AG2063" s="100"/>
      <c r="AH2063" s="101"/>
      <c r="AI2063" s="101"/>
      <c r="AJ2063" s="100"/>
      <c r="AK2063" s="100"/>
      <c r="AL2063" s="100"/>
      <c r="AM2063" s="100"/>
      <c r="AN2063" s="100"/>
      <c r="AO2063" s="100"/>
      <c r="AP2063" s="100"/>
      <c r="AQ2063" s="100"/>
      <c r="AR2063" s="100"/>
      <c r="AS2063" s="100"/>
      <c r="AT2063" s="102"/>
      <c r="AX2063" s="100"/>
      <c r="AY2063" s="101"/>
      <c r="AZ2063" s="101"/>
      <c r="BA2063" s="100"/>
      <c r="BB2063" s="100"/>
      <c r="BC2063" s="100"/>
      <c r="BD2063" s="100"/>
      <c r="BE2063" s="100"/>
      <c r="BF2063" s="100"/>
      <c r="BG2063" s="100"/>
      <c r="BH2063" s="100"/>
      <c r="BI2063" s="100"/>
      <c r="BJ2063" s="100"/>
      <c r="BK2063" s="102"/>
    </row>
    <row r="2064" spans="1:63" x14ac:dyDescent="0.25">
      <c r="A2064" s="92"/>
      <c r="B2064" s="92"/>
      <c r="C2064" s="92"/>
      <c r="D2064" s="92"/>
      <c r="E2064" s="92"/>
      <c r="F2064" s="92"/>
      <c r="G2064" s="92"/>
      <c r="H2064" s="92"/>
      <c r="I2064" s="92"/>
      <c r="J2064" s="92"/>
      <c r="K2064" s="92"/>
      <c r="L2064" s="92"/>
      <c r="M2064" s="92"/>
      <c r="N2064" s="92"/>
      <c r="AG2064" s="100"/>
      <c r="AH2064" s="101"/>
      <c r="AI2064" s="101"/>
      <c r="AJ2064" s="100"/>
      <c r="AK2064" s="100"/>
      <c r="AL2064" s="100"/>
      <c r="AM2064" s="100"/>
      <c r="AN2064" s="100"/>
      <c r="AO2064" s="100"/>
      <c r="AP2064" s="100"/>
      <c r="AQ2064" s="100"/>
      <c r="AR2064" s="100"/>
      <c r="AS2064" s="100"/>
      <c r="AT2064" s="102"/>
      <c r="AX2064" s="100"/>
      <c r="AY2064" s="101"/>
      <c r="AZ2064" s="101"/>
      <c r="BA2064" s="101"/>
      <c r="BB2064" s="100"/>
      <c r="BC2064" s="100"/>
      <c r="BD2064" s="100"/>
      <c r="BE2064" s="100"/>
      <c r="BF2064" s="100"/>
      <c r="BG2064" s="100"/>
      <c r="BH2064" s="100"/>
      <c r="BI2064" s="100"/>
      <c r="BJ2064" s="100"/>
      <c r="BK2064" s="102"/>
    </row>
    <row r="2065" spans="1:63" x14ac:dyDescent="0.25">
      <c r="A2065" s="92"/>
      <c r="B2065" s="92"/>
      <c r="C2065" s="92"/>
      <c r="D2065" s="92"/>
      <c r="E2065" s="92"/>
      <c r="F2065" s="92"/>
      <c r="G2065" s="92"/>
      <c r="H2065" s="92"/>
      <c r="I2065" s="92"/>
      <c r="J2065" s="92"/>
      <c r="K2065" s="92"/>
      <c r="L2065" s="92"/>
      <c r="M2065" s="92"/>
      <c r="N2065" s="92"/>
      <c r="AG2065" s="100"/>
      <c r="AH2065" s="101"/>
      <c r="AI2065" s="101"/>
      <c r="AJ2065" s="100"/>
      <c r="AK2065" s="100"/>
      <c r="AL2065" s="100"/>
      <c r="AM2065" s="100"/>
      <c r="AN2065" s="100"/>
      <c r="AO2065" s="100"/>
      <c r="AP2065" s="100"/>
      <c r="AQ2065" s="100"/>
      <c r="AR2065" s="100"/>
      <c r="AS2065" s="100"/>
      <c r="AT2065" s="102"/>
      <c r="AX2065" s="100"/>
      <c r="AY2065" s="101"/>
      <c r="AZ2065" s="101"/>
      <c r="BA2065" s="100"/>
      <c r="BB2065" s="100"/>
      <c r="BC2065" s="100"/>
      <c r="BD2065" s="100"/>
      <c r="BE2065" s="100"/>
      <c r="BF2065" s="100"/>
      <c r="BG2065" s="100"/>
      <c r="BH2065" s="100"/>
      <c r="BI2065" s="100"/>
      <c r="BJ2065" s="100"/>
      <c r="BK2065" s="102"/>
    </row>
    <row r="2066" spans="1:63" x14ac:dyDescent="0.25">
      <c r="A2066" s="92"/>
      <c r="B2066" s="92"/>
      <c r="C2066" s="92"/>
      <c r="D2066" s="92"/>
      <c r="E2066" s="92"/>
      <c r="F2066" s="92"/>
      <c r="G2066" s="92"/>
      <c r="H2066" s="92"/>
      <c r="I2066" s="92"/>
      <c r="J2066" s="92"/>
      <c r="K2066" s="92"/>
      <c r="L2066" s="92"/>
      <c r="M2066" s="92"/>
      <c r="N2066" s="92"/>
      <c r="AG2066" s="100"/>
      <c r="AH2066" s="101"/>
      <c r="AI2066" s="101"/>
      <c r="AJ2066" s="101"/>
      <c r="AK2066" s="100"/>
      <c r="AL2066" s="100"/>
      <c r="AM2066" s="100"/>
      <c r="AN2066" s="100"/>
      <c r="AO2066" s="100"/>
      <c r="AP2066" s="100"/>
      <c r="AQ2066" s="100"/>
      <c r="AR2066" s="100"/>
      <c r="AS2066" s="100"/>
      <c r="AT2066" s="102"/>
      <c r="AX2066" s="100"/>
      <c r="AY2066" s="101"/>
      <c r="AZ2066" s="101"/>
      <c r="BA2066" s="101"/>
      <c r="BB2066" s="100"/>
      <c r="BC2066" s="100"/>
      <c r="BD2066" s="100"/>
      <c r="BE2066" s="100"/>
      <c r="BF2066" s="100"/>
      <c r="BG2066" s="100"/>
      <c r="BH2066" s="100"/>
      <c r="BI2066" s="100"/>
      <c r="BJ2066" s="100"/>
      <c r="BK2066" s="102"/>
    </row>
    <row r="2067" spans="1:63" x14ac:dyDescent="0.25">
      <c r="A2067" s="92"/>
      <c r="B2067" s="92"/>
      <c r="C2067" s="92"/>
      <c r="D2067" s="92"/>
      <c r="E2067" s="92"/>
      <c r="F2067" s="92"/>
      <c r="G2067" s="92"/>
      <c r="H2067" s="92"/>
      <c r="I2067" s="92"/>
      <c r="J2067" s="92"/>
      <c r="K2067" s="92"/>
      <c r="L2067" s="92"/>
      <c r="M2067" s="92"/>
      <c r="N2067" s="92"/>
      <c r="AG2067" s="100"/>
      <c r="AH2067" s="101"/>
      <c r="AI2067" s="101"/>
      <c r="AJ2067" s="100"/>
      <c r="AK2067" s="100"/>
      <c r="AL2067" s="100"/>
      <c r="AM2067" s="100"/>
      <c r="AN2067" s="100"/>
      <c r="AO2067" s="100"/>
      <c r="AP2067" s="100"/>
      <c r="AQ2067" s="100"/>
      <c r="AR2067" s="100"/>
      <c r="AS2067" s="100"/>
      <c r="AT2067" s="102"/>
      <c r="AX2067" s="100"/>
      <c r="AY2067" s="101"/>
      <c r="AZ2067" s="101"/>
      <c r="BA2067" s="101"/>
      <c r="BB2067" s="100"/>
      <c r="BC2067" s="100"/>
      <c r="BD2067" s="100"/>
      <c r="BE2067" s="100"/>
      <c r="BF2067" s="100"/>
      <c r="BG2067" s="100"/>
      <c r="BH2067" s="100"/>
      <c r="BI2067" s="100"/>
      <c r="BJ2067" s="100"/>
      <c r="BK2067" s="102"/>
    </row>
    <row r="2068" spans="1:63" x14ac:dyDescent="0.25">
      <c r="A2068" s="92"/>
      <c r="B2068" s="92"/>
      <c r="C2068" s="92"/>
      <c r="D2068" s="92"/>
      <c r="E2068" s="92"/>
      <c r="F2068" s="92"/>
      <c r="G2068" s="92"/>
      <c r="H2068" s="92"/>
      <c r="I2068" s="92"/>
      <c r="J2068" s="92"/>
      <c r="K2068" s="92"/>
      <c r="L2068" s="92"/>
      <c r="M2068" s="92"/>
      <c r="N2068" s="92"/>
      <c r="AG2068" s="100"/>
      <c r="AH2068" s="101"/>
      <c r="AI2068" s="101"/>
      <c r="AJ2068" s="100"/>
      <c r="AK2068" s="100"/>
      <c r="AL2068" s="100"/>
      <c r="AM2068" s="100"/>
      <c r="AN2068" s="100"/>
      <c r="AO2068" s="100"/>
      <c r="AP2068" s="100"/>
      <c r="AQ2068" s="100"/>
      <c r="AR2068" s="100"/>
      <c r="AS2068" s="100"/>
      <c r="AT2068" s="102"/>
      <c r="AX2068" s="100"/>
      <c r="AY2068" s="101"/>
      <c r="AZ2068" s="101"/>
      <c r="BA2068" s="100"/>
      <c r="BB2068" s="100"/>
      <c r="BC2068" s="100"/>
      <c r="BD2068" s="100"/>
      <c r="BE2068" s="100"/>
      <c r="BF2068" s="100"/>
      <c r="BG2068" s="100"/>
      <c r="BH2068" s="100"/>
      <c r="BI2068" s="100"/>
      <c r="BJ2068" s="100"/>
      <c r="BK2068" s="102"/>
    </row>
    <row r="2069" spans="1:63" x14ac:dyDescent="0.25">
      <c r="A2069" s="92"/>
      <c r="B2069" s="92"/>
      <c r="C2069" s="92"/>
      <c r="D2069" s="92"/>
      <c r="E2069" s="92"/>
      <c r="F2069" s="92"/>
      <c r="G2069" s="92"/>
      <c r="H2069" s="92"/>
      <c r="I2069" s="92"/>
      <c r="J2069" s="92"/>
      <c r="K2069" s="92"/>
      <c r="L2069" s="92"/>
      <c r="M2069" s="92"/>
      <c r="N2069" s="92"/>
      <c r="AG2069" s="100"/>
      <c r="AH2069" s="101"/>
      <c r="AI2069" s="101"/>
      <c r="AJ2069" s="101"/>
      <c r="AK2069" s="100"/>
      <c r="AL2069" s="100"/>
      <c r="AM2069" s="100"/>
      <c r="AN2069" s="100"/>
      <c r="AO2069" s="100"/>
      <c r="AP2069" s="100"/>
      <c r="AQ2069" s="100"/>
      <c r="AR2069" s="100"/>
      <c r="AS2069" s="100"/>
      <c r="AT2069" s="102"/>
      <c r="AX2069" s="100"/>
      <c r="AY2069" s="101"/>
      <c r="AZ2069" s="101"/>
      <c r="BA2069" s="100"/>
      <c r="BB2069" s="100"/>
      <c r="BC2069" s="100"/>
      <c r="BD2069" s="100"/>
      <c r="BE2069" s="100"/>
      <c r="BF2069" s="100"/>
      <c r="BG2069" s="100"/>
      <c r="BH2069" s="100"/>
      <c r="BI2069" s="100"/>
      <c r="BJ2069" s="100"/>
      <c r="BK2069" s="102"/>
    </row>
    <row r="2070" spans="1:63" x14ac:dyDescent="0.25">
      <c r="A2070" s="92"/>
      <c r="B2070" s="92"/>
      <c r="C2070" s="92"/>
      <c r="D2070" s="92"/>
      <c r="E2070" s="92"/>
      <c r="F2070" s="92"/>
      <c r="G2070" s="92"/>
      <c r="H2070" s="92"/>
      <c r="I2070" s="92"/>
      <c r="J2070" s="92"/>
      <c r="K2070" s="92"/>
      <c r="L2070" s="92"/>
      <c r="M2070" s="92"/>
      <c r="N2070" s="92"/>
      <c r="AG2070" s="100"/>
      <c r="AH2070" s="101"/>
      <c r="AI2070" s="101"/>
      <c r="AJ2070" s="100"/>
      <c r="AK2070" s="100"/>
      <c r="AL2070" s="100"/>
      <c r="AM2070" s="100"/>
      <c r="AN2070" s="100"/>
      <c r="AO2070" s="100"/>
      <c r="AP2070" s="100"/>
      <c r="AQ2070" s="100"/>
      <c r="AR2070" s="100"/>
      <c r="AS2070" s="100"/>
      <c r="AT2070" s="102"/>
      <c r="AX2070" s="100"/>
      <c r="AY2070" s="101"/>
      <c r="AZ2070" s="101"/>
      <c r="BA2070" s="100"/>
      <c r="BB2070" s="100"/>
      <c r="BC2070" s="100"/>
      <c r="BD2070" s="100"/>
      <c r="BE2070" s="100"/>
      <c r="BF2070" s="100"/>
      <c r="BG2070" s="100"/>
      <c r="BH2070" s="100"/>
      <c r="BI2070" s="100"/>
      <c r="BJ2070" s="100"/>
      <c r="BK2070" s="102"/>
    </row>
    <row r="2071" spans="1:63" x14ac:dyDescent="0.25">
      <c r="A2071" s="92"/>
      <c r="B2071" s="93"/>
      <c r="C2071" s="93"/>
      <c r="D2071" s="92"/>
      <c r="E2071" s="92"/>
      <c r="F2071" s="92"/>
      <c r="G2071" s="92"/>
      <c r="H2071" s="92"/>
      <c r="I2071" s="92"/>
      <c r="J2071" s="92"/>
      <c r="K2071" s="92"/>
      <c r="L2071" s="92"/>
      <c r="M2071" s="92"/>
      <c r="N2071" s="94"/>
      <c r="AG2071" s="100"/>
      <c r="AH2071" s="101"/>
      <c r="AI2071" s="101"/>
      <c r="AJ2071" s="100"/>
      <c r="AK2071" s="100"/>
      <c r="AL2071" s="100"/>
      <c r="AM2071" s="100"/>
      <c r="AN2071" s="100"/>
      <c r="AO2071" s="100"/>
      <c r="AP2071" s="100"/>
      <c r="AQ2071" s="100"/>
      <c r="AR2071" s="100"/>
      <c r="AS2071" s="100"/>
      <c r="AT2071" s="102"/>
      <c r="AX2071" s="100"/>
      <c r="AY2071" s="101"/>
      <c r="AZ2071" s="101"/>
      <c r="BA2071" s="100"/>
      <c r="BB2071" s="100"/>
      <c r="BC2071" s="100"/>
      <c r="BD2071" s="100"/>
      <c r="BE2071" s="100"/>
      <c r="BF2071" s="100"/>
      <c r="BG2071" s="100"/>
      <c r="BH2071" s="100"/>
      <c r="BI2071" s="100"/>
      <c r="BJ2071" s="100"/>
      <c r="BK2071" s="102"/>
    </row>
    <row r="2072" spans="1:63" x14ac:dyDescent="0.25">
      <c r="A2072" s="92"/>
      <c r="B2072" s="93"/>
      <c r="C2072" s="93"/>
      <c r="D2072" s="92"/>
      <c r="E2072" s="92"/>
      <c r="F2072" s="92"/>
      <c r="G2072" s="92"/>
      <c r="H2072" s="92"/>
      <c r="I2072" s="92"/>
      <c r="J2072" s="92"/>
      <c r="K2072" s="92"/>
      <c r="L2072" s="92"/>
      <c r="M2072" s="92"/>
      <c r="N2072" s="94"/>
      <c r="AG2072" s="100"/>
      <c r="AH2072" s="101"/>
      <c r="AI2072" s="101"/>
      <c r="AJ2072" s="100"/>
      <c r="AK2072" s="100"/>
      <c r="AL2072" s="100"/>
      <c r="AM2072" s="100"/>
      <c r="AN2072" s="100"/>
      <c r="AO2072" s="100"/>
      <c r="AP2072" s="100"/>
      <c r="AQ2072" s="100"/>
      <c r="AR2072" s="100"/>
      <c r="AS2072" s="100"/>
      <c r="AT2072" s="102"/>
      <c r="AX2072" s="100"/>
      <c r="AY2072" s="101"/>
      <c r="AZ2072" s="101"/>
      <c r="BA2072" s="100"/>
      <c r="BB2072" s="100"/>
      <c r="BC2072" s="100"/>
      <c r="BD2072" s="100"/>
      <c r="BE2072" s="100"/>
      <c r="BF2072" s="100"/>
      <c r="BG2072" s="100"/>
      <c r="BH2072" s="100"/>
      <c r="BI2072" s="100"/>
      <c r="BJ2072" s="100"/>
      <c r="BK2072" s="102"/>
    </row>
    <row r="2073" spans="1:63" x14ac:dyDescent="0.25">
      <c r="A2073" s="92"/>
      <c r="B2073" s="93"/>
      <c r="C2073" s="93"/>
      <c r="D2073" s="92"/>
      <c r="E2073" s="92"/>
      <c r="F2073" s="92"/>
      <c r="G2073" s="92"/>
      <c r="H2073" s="92"/>
      <c r="I2073" s="92"/>
      <c r="J2073" s="92"/>
      <c r="K2073" s="92"/>
      <c r="L2073" s="92"/>
      <c r="M2073" s="92"/>
      <c r="N2073" s="94"/>
      <c r="AG2073" s="100"/>
      <c r="AH2073" s="101"/>
      <c r="AI2073" s="101"/>
      <c r="AJ2073" s="100"/>
      <c r="AK2073" s="100"/>
      <c r="AL2073" s="100"/>
      <c r="AM2073" s="100"/>
      <c r="AN2073" s="100"/>
      <c r="AO2073" s="100"/>
      <c r="AP2073" s="100"/>
      <c r="AQ2073" s="100"/>
      <c r="AR2073" s="100"/>
      <c r="AS2073" s="100"/>
      <c r="AT2073" s="102"/>
      <c r="AX2073" s="100"/>
      <c r="AY2073" s="101"/>
      <c r="AZ2073" s="101"/>
      <c r="BA2073" s="101"/>
      <c r="BB2073" s="100"/>
      <c r="BC2073" s="100"/>
      <c r="BD2073" s="100"/>
      <c r="BE2073" s="100"/>
      <c r="BF2073" s="100"/>
      <c r="BG2073" s="100"/>
      <c r="BH2073" s="100"/>
      <c r="BI2073" s="100"/>
      <c r="BJ2073" s="100"/>
      <c r="BK2073" s="102"/>
    </row>
    <row r="2074" spans="1:63" x14ac:dyDescent="0.25">
      <c r="A2074" s="92"/>
      <c r="B2074" s="93"/>
      <c r="C2074" s="93"/>
      <c r="D2074" s="92"/>
      <c r="E2074" s="92"/>
      <c r="F2074" s="92"/>
      <c r="G2074" s="92"/>
      <c r="H2074" s="92"/>
      <c r="I2074" s="92"/>
      <c r="J2074" s="92"/>
      <c r="K2074" s="92"/>
      <c r="L2074" s="92"/>
      <c r="M2074" s="92"/>
      <c r="N2074" s="94"/>
      <c r="AG2074" s="100"/>
      <c r="AH2074" s="101"/>
      <c r="AI2074" s="101"/>
      <c r="AJ2074" s="101"/>
      <c r="AK2074" s="100"/>
      <c r="AL2074" s="100"/>
      <c r="AM2074" s="100"/>
      <c r="AN2074" s="100"/>
      <c r="AO2074" s="100"/>
      <c r="AP2074" s="100"/>
      <c r="AQ2074" s="100"/>
      <c r="AR2074" s="100"/>
      <c r="AS2074" s="100"/>
      <c r="AT2074" s="102"/>
      <c r="AX2074" s="100"/>
      <c r="AY2074" s="101"/>
      <c r="AZ2074" s="101"/>
      <c r="BA2074" s="101"/>
      <c r="BB2074" s="100"/>
      <c r="BC2074" s="100"/>
      <c r="BD2074" s="100"/>
      <c r="BE2074" s="100"/>
      <c r="BF2074" s="100"/>
      <c r="BG2074" s="100"/>
      <c r="BH2074" s="100"/>
      <c r="BI2074" s="100"/>
      <c r="BJ2074" s="100"/>
      <c r="BK2074" s="102"/>
    </row>
    <row r="2075" spans="1:63" x14ac:dyDescent="0.25">
      <c r="A2075" s="92"/>
      <c r="B2075" s="92"/>
      <c r="C2075" s="92"/>
      <c r="D2075" s="92"/>
      <c r="E2075" s="92"/>
      <c r="F2075" s="92"/>
      <c r="G2075" s="92"/>
      <c r="H2075" s="92"/>
      <c r="I2075" s="92"/>
      <c r="J2075" s="92"/>
      <c r="K2075" s="92"/>
      <c r="L2075" s="92"/>
      <c r="M2075" s="92"/>
      <c r="N2075" s="92"/>
      <c r="AG2075" s="100"/>
      <c r="AH2075" s="101"/>
      <c r="AI2075" s="101"/>
      <c r="AJ2075" s="100"/>
      <c r="AK2075" s="100"/>
      <c r="AL2075" s="100"/>
      <c r="AM2075" s="100"/>
      <c r="AN2075" s="100"/>
      <c r="AO2075" s="100"/>
      <c r="AP2075" s="100"/>
      <c r="AQ2075" s="100"/>
      <c r="AR2075" s="100"/>
      <c r="AS2075" s="100"/>
      <c r="AT2075" s="102"/>
      <c r="AX2075" s="100"/>
      <c r="AY2075" s="101"/>
      <c r="AZ2075" s="101"/>
      <c r="BA2075" s="100"/>
      <c r="BB2075" s="100"/>
      <c r="BC2075" s="100"/>
      <c r="BD2075" s="100"/>
      <c r="BE2075" s="100"/>
      <c r="BF2075" s="100"/>
      <c r="BG2075" s="100"/>
      <c r="BH2075" s="100"/>
      <c r="BI2075" s="100"/>
      <c r="BJ2075" s="100"/>
      <c r="BK2075" s="102"/>
    </row>
    <row r="2076" spans="1:63" x14ac:dyDescent="0.25">
      <c r="A2076" s="92"/>
      <c r="B2076" s="92"/>
      <c r="C2076" s="92"/>
      <c r="D2076" s="92"/>
      <c r="E2076" s="92"/>
      <c r="F2076" s="92"/>
      <c r="G2076" s="92"/>
      <c r="H2076" s="92"/>
      <c r="I2076" s="92"/>
      <c r="J2076" s="92"/>
      <c r="K2076" s="92"/>
      <c r="L2076" s="92"/>
      <c r="M2076" s="92"/>
      <c r="N2076" s="92"/>
      <c r="AG2076" s="100"/>
      <c r="AH2076" s="101"/>
      <c r="AI2076" s="101"/>
      <c r="AJ2076" s="101"/>
      <c r="AK2076" s="100"/>
      <c r="AL2076" s="100"/>
      <c r="AM2076" s="100"/>
      <c r="AN2076" s="100"/>
      <c r="AO2076" s="100"/>
      <c r="AP2076" s="100"/>
      <c r="AQ2076" s="100"/>
      <c r="AR2076" s="100"/>
      <c r="AS2076" s="100"/>
      <c r="AT2076" s="102"/>
      <c r="AX2076" s="100"/>
      <c r="AY2076" s="101"/>
      <c r="AZ2076" s="101"/>
      <c r="BA2076" s="101"/>
      <c r="BB2076" s="100"/>
      <c r="BC2076" s="100"/>
      <c r="BD2076" s="100"/>
      <c r="BE2076" s="100"/>
      <c r="BF2076" s="100"/>
      <c r="BG2076" s="100"/>
      <c r="BH2076" s="100"/>
      <c r="BI2076" s="100"/>
      <c r="BJ2076" s="100"/>
      <c r="BK2076" s="102"/>
    </row>
    <row r="2077" spans="1:63" x14ac:dyDescent="0.25">
      <c r="A2077" s="92"/>
      <c r="B2077" s="92"/>
      <c r="C2077" s="92"/>
      <c r="D2077" s="92"/>
      <c r="E2077" s="92"/>
      <c r="F2077" s="92"/>
      <c r="G2077" s="92"/>
      <c r="H2077" s="92"/>
      <c r="I2077" s="92"/>
      <c r="J2077" s="92"/>
      <c r="K2077" s="92"/>
      <c r="L2077" s="92"/>
      <c r="M2077" s="92"/>
      <c r="N2077" s="92"/>
      <c r="AG2077" s="100"/>
      <c r="AH2077" s="101"/>
      <c r="AI2077" s="101"/>
      <c r="AJ2077" s="100"/>
      <c r="AK2077" s="100"/>
      <c r="AL2077" s="100"/>
      <c r="AM2077" s="100"/>
      <c r="AN2077" s="100"/>
      <c r="AO2077" s="100"/>
      <c r="AP2077" s="100"/>
      <c r="AQ2077" s="100"/>
      <c r="AR2077" s="100"/>
      <c r="AS2077" s="100"/>
      <c r="AT2077" s="102"/>
      <c r="AX2077" s="100"/>
      <c r="AY2077" s="101"/>
      <c r="AZ2077" s="101"/>
      <c r="BA2077" s="100"/>
      <c r="BB2077" s="100"/>
      <c r="BC2077" s="100"/>
      <c r="BD2077" s="100"/>
      <c r="BE2077" s="100"/>
      <c r="BF2077" s="100"/>
      <c r="BG2077" s="100"/>
      <c r="BH2077" s="100"/>
      <c r="BI2077" s="100"/>
      <c r="BJ2077" s="100"/>
      <c r="BK2077" s="102"/>
    </row>
    <row r="2078" spans="1:63" x14ac:dyDescent="0.25">
      <c r="A2078" s="92"/>
      <c r="B2078" s="92"/>
      <c r="C2078" s="92"/>
      <c r="D2078" s="92"/>
      <c r="E2078" s="92"/>
      <c r="F2078" s="92"/>
      <c r="G2078" s="92"/>
      <c r="H2078" s="92"/>
      <c r="I2078" s="92"/>
      <c r="J2078" s="92"/>
      <c r="K2078" s="92"/>
      <c r="L2078" s="92"/>
      <c r="M2078" s="92"/>
      <c r="N2078" s="92"/>
      <c r="AG2078" s="100"/>
      <c r="AH2078" s="101"/>
      <c r="AI2078" s="101"/>
      <c r="AJ2078" s="101"/>
      <c r="AK2078" s="100"/>
      <c r="AL2078" s="100"/>
      <c r="AM2078" s="100"/>
      <c r="AN2078" s="100"/>
      <c r="AO2078" s="100"/>
      <c r="AP2078" s="100"/>
      <c r="AQ2078" s="100"/>
      <c r="AR2078" s="100"/>
      <c r="AS2078" s="100"/>
      <c r="AT2078" s="102"/>
      <c r="AX2078" s="100"/>
      <c r="AY2078" s="101"/>
      <c r="AZ2078" s="101"/>
      <c r="BA2078" s="101"/>
      <c r="BB2078" s="100"/>
      <c r="BC2078" s="100"/>
      <c r="BD2078" s="100"/>
      <c r="BE2078" s="100"/>
      <c r="BF2078" s="100"/>
      <c r="BG2078" s="100"/>
      <c r="BH2078" s="100"/>
      <c r="BI2078" s="100"/>
      <c r="BJ2078" s="100"/>
      <c r="BK2078" s="102"/>
    </row>
    <row r="2079" spans="1:63" x14ac:dyDescent="0.25">
      <c r="A2079" s="92"/>
      <c r="B2079" s="93"/>
      <c r="C2079" s="93"/>
      <c r="D2079" s="92"/>
      <c r="E2079" s="92"/>
      <c r="F2079" s="92"/>
      <c r="G2079" s="92"/>
      <c r="H2079" s="92"/>
      <c r="I2079" s="92"/>
      <c r="J2079" s="92"/>
      <c r="K2079" s="92"/>
      <c r="L2079" s="92"/>
      <c r="M2079" s="92"/>
      <c r="N2079" s="94"/>
      <c r="AG2079" s="100"/>
      <c r="AH2079" s="101"/>
      <c r="AI2079" s="101"/>
      <c r="AJ2079" s="100"/>
      <c r="AK2079" s="100"/>
      <c r="AL2079" s="100"/>
      <c r="AM2079" s="100"/>
      <c r="AN2079" s="100"/>
      <c r="AO2079" s="100"/>
      <c r="AP2079" s="100"/>
      <c r="AQ2079" s="100"/>
      <c r="AR2079" s="100"/>
      <c r="AS2079" s="100"/>
      <c r="AT2079" s="102"/>
      <c r="AX2079" s="100"/>
      <c r="AY2079" s="101"/>
      <c r="AZ2079" s="101"/>
      <c r="BA2079" s="101"/>
      <c r="BB2079" s="100"/>
      <c r="BC2079" s="100"/>
      <c r="BD2079" s="100"/>
      <c r="BE2079" s="100"/>
      <c r="BF2079" s="100"/>
      <c r="BG2079" s="100"/>
      <c r="BH2079" s="100"/>
      <c r="BI2079" s="100"/>
      <c r="BJ2079" s="100"/>
      <c r="BK2079" s="102"/>
    </row>
    <row r="2080" spans="1:63" x14ac:dyDescent="0.25">
      <c r="A2080" s="92"/>
      <c r="B2080" s="93"/>
      <c r="C2080" s="93"/>
      <c r="D2080" s="93"/>
      <c r="E2080" s="92"/>
      <c r="F2080" s="92"/>
      <c r="G2080" s="92"/>
      <c r="H2080" s="92"/>
      <c r="I2080" s="92"/>
      <c r="J2080" s="92"/>
      <c r="K2080" s="92"/>
      <c r="L2080" s="92"/>
      <c r="M2080" s="92"/>
      <c r="N2080" s="94"/>
      <c r="AG2080" s="100"/>
      <c r="AH2080" s="101"/>
      <c r="AI2080" s="101"/>
      <c r="AJ2080" s="101"/>
      <c r="AK2080" s="100"/>
      <c r="AL2080" s="100"/>
      <c r="AM2080" s="100"/>
      <c r="AN2080" s="100"/>
      <c r="AO2080" s="100"/>
      <c r="AP2080" s="100"/>
      <c r="AQ2080" s="100"/>
      <c r="AR2080" s="100"/>
      <c r="AS2080" s="100"/>
      <c r="AT2080" s="102"/>
      <c r="AX2080" s="100"/>
      <c r="AY2080" s="101"/>
      <c r="AZ2080" s="101"/>
      <c r="BA2080" s="100"/>
      <c r="BB2080" s="100"/>
      <c r="BC2080" s="100"/>
      <c r="BD2080" s="100"/>
      <c r="BE2080" s="100"/>
      <c r="BF2080" s="100"/>
      <c r="BG2080" s="100"/>
      <c r="BH2080" s="100"/>
      <c r="BI2080" s="100"/>
      <c r="BJ2080" s="100"/>
      <c r="BK2080" s="102"/>
    </row>
    <row r="2081" spans="1:63" x14ac:dyDescent="0.25">
      <c r="A2081" s="92"/>
      <c r="B2081" s="93"/>
      <c r="C2081" s="93"/>
      <c r="D2081" s="92"/>
      <c r="E2081" s="92"/>
      <c r="F2081" s="92"/>
      <c r="G2081" s="92"/>
      <c r="H2081" s="92"/>
      <c r="I2081" s="92"/>
      <c r="J2081" s="92"/>
      <c r="K2081" s="92"/>
      <c r="L2081" s="92"/>
      <c r="M2081" s="92"/>
      <c r="N2081" s="94"/>
      <c r="AG2081" s="100"/>
      <c r="AH2081" s="101"/>
      <c r="AI2081" s="101"/>
      <c r="AJ2081" s="101"/>
      <c r="AK2081" s="100"/>
      <c r="AL2081" s="100"/>
      <c r="AM2081" s="100"/>
      <c r="AN2081" s="100"/>
      <c r="AO2081" s="100"/>
      <c r="AP2081" s="100"/>
      <c r="AQ2081" s="100"/>
      <c r="AR2081" s="100"/>
      <c r="AS2081" s="100"/>
      <c r="AT2081" s="102"/>
      <c r="AX2081" s="100"/>
      <c r="AY2081" s="101"/>
      <c r="AZ2081" s="101"/>
      <c r="BA2081" s="100"/>
      <c r="BB2081" s="100"/>
      <c r="BC2081" s="100"/>
      <c r="BD2081" s="100"/>
      <c r="BE2081" s="100"/>
      <c r="BF2081" s="100"/>
      <c r="BG2081" s="100"/>
      <c r="BH2081" s="100"/>
      <c r="BI2081" s="100"/>
      <c r="BJ2081" s="100"/>
      <c r="BK2081" s="102"/>
    </row>
    <row r="2082" spans="1:63" x14ac:dyDescent="0.25">
      <c r="A2082" s="92"/>
      <c r="B2082" s="93"/>
      <c r="C2082" s="93"/>
      <c r="D2082" s="92"/>
      <c r="E2082" s="92"/>
      <c r="F2082" s="92"/>
      <c r="G2082" s="92"/>
      <c r="H2082" s="92"/>
      <c r="I2082" s="92"/>
      <c r="J2082" s="92"/>
      <c r="K2082" s="92"/>
      <c r="L2082" s="92"/>
      <c r="M2082" s="92"/>
      <c r="N2082" s="94"/>
      <c r="AG2082" s="100"/>
      <c r="AH2082" s="101"/>
      <c r="AI2082" s="101"/>
      <c r="AJ2082" s="100"/>
      <c r="AK2082" s="100"/>
      <c r="AL2082" s="100"/>
      <c r="AM2082" s="100"/>
      <c r="AN2082" s="100"/>
      <c r="AO2082" s="100"/>
      <c r="AP2082" s="100"/>
      <c r="AQ2082" s="100"/>
      <c r="AR2082" s="100"/>
      <c r="AS2082" s="100"/>
      <c r="AT2082" s="102"/>
      <c r="AX2082" s="100"/>
      <c r="AY2082" s="101"/>
      <c r="AZ2082" s="101"/>
      <c r="BA2082" s="101"/>
      <c r="BB2082" s="100"/>
      <c r="BC2082" s="100"/>
      <c r="BD2082" s="100"/>
      <c r="BE2082" s="100"/>
      <c r="BF2082" s="100"/>
      <c r="BG2082" s="100"/>
      <c r="BH2082" s="100"/>
      <c r="BI2082" s="100"/>
      <c r="BJ2082" s="100"/>
      <c r="BK2082" s="102"/>
    </row>
    <row r="2083" spans="1:63" x14ac:dyDescent="0.25">
      <c r="A2083" s="92"/>
      <c r="B2083" s="93"/>
      <c r="C2083" s="93"/>
      <c r="D2083" s="92"/>
      <c r="E2083" s="92"/>
      <c r="F2083" s="92"/>
      <c r="G2083" s="92"/>
      <c r="H2083" s="92"/>
      <c r="I2083" s="92"/>
      <c r="J2083" s="92"/>
      <c r="K2083" s="92"/>
      <c r="L2083" s="92"/>
      <c r="M2083" s="92"/>
      <c r="N2083" s="94"/>
      <c r="AG2083" s="100"/>
      <c r="AH2083" s="101"/>
      <c r="AI2083" s="101"/>
      <c r="AJ2083" s="101"/>
      <c r="AK2083" s="100"/>
      <c r="AL2083" s="100"/>
      <c r="AM2083" s="100"/>
      <c r="AN2083" s="100"/>
      <c r="AO2083" s="100"/>
      <c r="AP2083" s="100"/>
      <c r="AQ2083" s="100"/>
      <c r="AR2083" s="100"/>
      <c r="AS2083" s="100"/>
      <c r="AT2083" s="102"/>
      <c r="AX2083" s="100"/>
      <c r="AY2083" s="101"/>
      <c r="AZ2083" s="101"/>
      <c r="BA2083" s="100"/>
      <c r="BB2083" s="100"/>
      <c r="BC2083" s="100"/>
      <c r="BD2083" s="100"/>
      <c r="BE2083" s="100"/>
      <c r="BF2083" s="100"/>
      <c r="BG2083" s="100"/>
      <c r="BH2083" s="100"/>
      <c r="BI2083" s="100"/>
      <c r="BJ2083" s="100"/>
      <c r="BK2083" s="102"/>
    </row>
    <row r="2084" spans="1:63" x14ac:dyDescent="0.25">
      <c r="A2084" s="92"/>
      <c r="B2084" s="93"/>
      <c r="C2084" s="93"/>
      <c r="D2084" s="92"/>
      <c r="E2084" s="92"/>
      <c r="F2084" s="92"/>
      <c r="G2084" s="92"/>
      <c r="H2084" s="92"/>
      <c r="I2084" s="92"/>
      <c r="J2084" s="92"/>
      <c r="K2084" s="92"/>
      <c r="L2084" s="92"/>
      <c r="M2084" s="92"/>
      <c r="N2084" s="94"/>
      <c r="AG2084" s="100"/>
      <c r="AH2084" s="101"/>
      <c r="AI2084" s="101"/>
      <c r="AJ2084" s="101"/>
      <c r="AK2084" s="100"/>
      <c r="AL2084" s="100"/>
      <c r="AM2084" s="100"/>
      <c r="AN2084" s="100"/>
      <c r="AO2084" s="100"/>
      <c r="AP2084" s="100"/>
      <c r="AQ2084" s="100"/>
      <c r="AR2084" s="100"/>
      <c r="AS2084" s="100"/>
      <c r="AT2084" s="102"/>
      <c r="AX2084" s="100"/>
      <c r="AY2084" s="101"/>
      <c r="AZ2084" s="101"/>
      <c r="BA2084" s="100"/>
      <c r="BB2084" s="100"/>
      <c r="BC2084" s="100"/>
      <c r="BD2084" s="100"/>
      <c r="BE2084" s="100"/>
      <c r="BF2084" s="100"/>
      <c r="BG2084" s="100"/>
      <c r="BH2084" s="100"/>
      <c r="BI2084" s="100"/>
      <c r="BJ2084" s="100"/>
      <c r="BK2084" s="102"/>
    </row>
    <row r="2085" spans="1:63" x14ac:dyDescent="0.25">
      <c r="A2085" s="92"/>
      <c r="B2085" s="92"/>
      <c r="C2085" s="92"/>
      <c r="D2085" s="92"/>
      <c r="E2085" s="92"/>
      <c r="F2085" s="92"/>
      <c r="G2085" s="92"/>
      <c r="H2085" s="92"/>
      <c r="I2085" s="92"/>
      <c r="J2085" s="92"/>
      <c r="K2085" s="92"/>
      <c r="L2085" s="92"/>
      <c r="M2085" s="92"/>
      <c r="N2085" s="92"/>
      <c r="AG2085" s="100"/>
      <c r="AH2085" s="101"/>
      <c r="AI2085" s="101"/>
      <c r="AJ2085" s="101"/>
      <c r="AK2085" s="100"/>
      <c r="AL2085" s="100"/>
      <c r="AM2085" s="100"/>
      <c r="AN2085" s="100"/>
      <c r="AO2085" s="100"/>
      <c r="AP2085" s="100"/>
      <c r="AQ2085" s="100"/>
      <c r="AR2085" s="100"/>
      <c r="AS2085" s="100"/>
      <c r="AT2085" s="102"/>
      <c r="AX2085" s="100"/>
      <c r="AY2085" s="101"/>
      <c r="AZ2085" s="101"/>
      <c r="BA2085" s="100"/>
      <c r="BB2085" s="100"/>
      <c r="BC2085" s="100"/>
      <c r="BD2085" s="100"/>
      <c r="BE2085" s="100"/>
      <c r="BF2085" s="100"/>
      <c r="BG2085" s="100"/>
      <c r="BH2085" s="100"/>
      <c r="BI2085" s="100"/>
      <c r="BJ2085" s="100"/>
      <c r="BK2085" s="102"/>
    </row>
    <row r="2086" spans="1:63" x14ac:dyDescent="0.25">
      <c r="A2086" s="92"/>
      <c r="B2086" s="93"/>
      <c r="C2086" s="93"/>
      <c r="D2086" s="92"/>
      <c r="E2086" s="92"/>
      <c r="F2086" s="92"/>
      <c r="G2086" s="92"/>
      <c r="H2086" s="92"/>
      <c r="I2086" s="92"/>
      <c r="J2086" s="92"/>
      <c r="K2086" s="92"/>
      <c r="L2086" s="92"/>
      <c r="M2086" s="92"/>
      <c r="N2086" s="94"/>
      <c r="AG2086" s="100"/>
      <c r="AH2086" s="101"/>
      <c r="AI2086" s="101"/>
      <c r="AJ2086" s="100"/>
      <c r="AK2086" s="100"/>
      <c r="AL2086" s="100"/>
      <c r="AM2086" s="100"/>
      <c r="AN2086" s="100"/>
      <c r="AO2086" s="100"/>
      <c r="AP2086" s="100"/>
      <c r="AQ2086" s="100"/>
      <c r="AR2086" s="100"/>
      <c r="AS2086" s="100"/>
      <c r="AT2086" s="102"/>
      <c r="AX2086" s="100"/>
      <c r="AY2086" s="101"/>
      <c r="AZ2086" s="101"/>
      <c r="BA2086" s="101"/>
      <c r="BB2086" s="100"/>
      <c r="BC2086" s="100"/>
      <c r="BD2086" s="100"/>
      <c r="BE2086" s="100"/>
      <c r="BF2086" s="100"/>
      <c r="BG2086" s="100"/>
      <c r="BH2086" s="100"/>
      <c r="BI2086" s="100"/>
      <c r="BJ2086" s="100"/>
      <c r="BK2086" s="102"/>
    </row>
    <row r="2087" spans="1:63" x14ac:dyDescent="0.25">
      <c r="A2087" s="92"/>
      <c r="B2087" s="93"/>
      <c r="C2087" s="93"/>
      <c r="D2087" s="92"/>
      <c r="E2087" s="92"/>
      <c r="F2087" s="92"/>
      <c r="G2087" s="92"/>
      <c r="H2087" s="92"/>
      <c r="I2087" s="92"/>
      <c r="J2087" s="92"/>
      <c r="K2087" s="92"/>
      <c r="L2087" s="92"/>
      <c r="M2087" s="92"/>
      <c r="N2087" s="94"/>
      <c r="AG2087" s="100"/>
      <c r="AH2087" s="101"/>
      <c r="AI2087" s="101"/>
      <c r="AJ2087" s="100"/>
      <c r="AK2087" s="100"/>
      <c r="AL2087" s="100"/>
      <c r="AM2087" s="100"/>
      <c r="AN2087" s="100"/>
      <c r="AO2087" s="100"/>
      <c r="AP2087" s="100"/>
      <c r="AQ2087" s="100"/>
      <c r="AR2087" s="100"/>
      <c r="AS2087" s="100"/>
      <c r="AT2087" s="102"/>
      <c r="AX2087" s="100"/>
      <c r="AY2087" s="101"/>
      <c r="AZ2087" s="101"/>
      <c r="BA2087" s="100"/>
      <c r="BB2087" s="100"/>
      <c r="BC2087" s="100"/>
      <c r="BD2087" s="100"/>
      <c r="BE2087" s="100"/>
      <c r="BF2087" s="100"/>
      <c r="BG2087" s="100"/>
      <c r="BH2087" s="100"/>
      <c r="BI2087" s="100"/>
      <c r="BJ2087" s="100"/>
      <c r="BK2087" s="102"/>
    </row>
    <row r="2088" spans="1:63" x14ac:dyDescent="0.25">
      <c r="A2088" s="92"/>
      <c r="B2088" s="93"/>
      <c r="C2088" s="93"/>
      <c r="D2088" s="92"/>
      <c r="E2088" s="92"/>
      <c r="F2088" s="92"/>
      <c r="G2088" s="92"/>
      <c r="H2088" s="92"/>
      <c r="I2088" s="92"/>
      <c r="J2088" s="92"/>
      <c r="K2088" s="92"/>
      <c r="L2088" s="92"/>
      <c r="M2088" s="92"/>
      <c r="N2088" s="94"/>
      <c r="AG2088" s="100"/>
      <c r="AH2088" s="101"/>
      <c r="AI2088" s="101"/>
      <c r="AJ2088" s="100"/>
      <c r="AK2088" s="100"/>
      <c r="AL2088" s="100"/>
      <c r="AM2088" s="100"/>
      <c r="AN2088" s="100"/>
      <c r="AO2088" s="100"/>
      <c r="AP2088" s="100"/>
      <c r="AQ2088" s="100"/>
      <c r="AR2088" s="100"/>
      <c r="AS2088" s="100"/>
      <c r="AT2088" s="102"/>
      <c r="AX2088" s="100"/>
      <c r="AY2088" s="101"/>
      <c r="AZ2088" s="101"/>
      <c r="BA2088" s="100"/>
      <c r="BB2088" s="100"/>
      <c r="BC2088" s="100"/>
      <c r="BD2088" s="100"/>
      <c r="BE2088" s="100"/>
      <c r="BF2088" s="100"/>
      <c r="BG2088" s="100"/>
      <c r="BH2088" s="100"/>
      <c r="BI2088" s="100"/>
      <c r="BJ2088" s="100"/>
      <c r="BK2088" s="102"/>
    </row>
    <row r="2089" spans="1:63" x14ac:dyDescent="0.25">
      <c r="A2089" s="92"/>
      <c r="B2089" s="93"/>
      <c r="C2089" s="93"/>
      <c r="D2089" s="93"/>
      <c r="E2089" s="92"/>
      <c r="F2089" s="92"/>
      <c r="G2089" s="92"/>
      <c r="H2089" s="92"/>
      <c r="I2089" s="92"/>
      <c r="J2089" s="92"/>
      <c r="K2089" s="92"/>
      <c r="L2089" s="92"/>
      <c r="M2089" s="92"/>
      <c r="N2089" s="94"/>
      <c r="AG2089" s="100"/>
      <c r="AH2089" s="101"/>
      <c r="AI2089" s="101"/>
      <c r="AJ2089" s="100"/>
      <c r="AK2089" s="100"/>
      <c r="AL2089" s="100"/>
      <c r="AM2089" s="100"/>
      <c r="AN2089" s="100"/>
      <c r="AO2089" s="100"/>
      <c r="AP2089" s="100"/>
      <c r="AQ2089" s="100"/>
      <c r="AR2089" s="100"/>
      <c r="AS2089" s="100"/>
      <c r="AT2089" s="102"/>
      <c r="AX2089" s="100"/>
      <c r="AY2089" s="101"/>
      <c r="AZ2089" s="101"/>
      <c r="BA2089" s="101"/>
      <c r="BB2089" s="100"/>
      <c r="BC2089" s="100"/>
      <c r="BD2089" s="100"/>
      <c r="BE2089" s="100"/>
      <c r="BF2089" s="100"/>
      <c r="BG2089" s="100"/>
      <c r="BH2089" s="100"/>
      <c r="BI2089" s="100"/>
      <c r="BJ2089" s="100"/>
      <c r="BK2089" s="102"/>
    </row>
    <row r="2090" spans="1:63" x14ac:dyDescent="0.25">
      <c r="A2090" s="92"/>
      <c r="B2090" s="93"/>
      <c r="C2090" s="93"/>
      <c r="D2090" s="92"/>
      <c r="E2090" s="92"/>
      <c r="F2090" s="92"/>
      <c r="G2090" s="92"/>
      <c r="H2090" s="92"/>
      <c r="I2090" s="92"/>
      <c r="J2090" s="92"/>
      <c r="K2090" s="92"/>
      <c r="L2090" s="92"/>
      <c r="M2090" s="92"/>
      <c r="N2090" s="94"/>
      <c r="AG2090" s="100"/>
      <c r="AH2090" s="101"/>
      <c r="AI2090" s="101"/>
      <c r="AJ2090" s="101"/>
      <c r="AK2090" s="100"/>
      <c r="AL2090" s="100"/>
      <c r="AM2090" s="100"/>
      <c r="AN2090" s="100"/>
      <c r="AO2090" s="100"/>
      <c r="AP2090" s="100"/>
      <c r="AQ2090" s="100"/>
      <c r="AR2090" s="100"/>
      <c r="AS2090" s="100"/>
      <c r="AT2090" s="102"/>
      <c r="AX2090" s="100"/>
      <c r="AY2090" s="101"/>
      <c r="AZ2090" s="101"/>
      <c r="BA2090" s="100"/>
      <c r="BB2090" s="100"/>
      <c r="BC2090" s="100"/>
      <c r="BD2090" s="100"/>
      <c r="BE2090" s="100"/>
      <c r="BF2090" s="100"/>
      <c r="BG2090" s="100"/>
      <c r="BH2090" s="100"/>
      <c r="BI2090" s="100"/>
      <c r="BJ2090" s="100"/>
      <c r="BK2090" s="102"/>
    </row>
    <row r="2091" spans="1:63" x14ac:dyDescent="0.25">
      <c r="A2091" s="92"/>
      <c r="B2091" s="93"/>
      <c r="C2091" s="93"/>
      <c r="D2091" s="92"/>
      <c r="E2091" s="92"/>
      <c r="F2091" s="92"/>
      <c r="G2091" s="92"/>
      <c r="H2091" s="92"/>
      <c r="I2091" s="92"/>
      <c r="J2091" s="92"/>
      <c r="K2091" s="92"/>
      <c r="L2091" s="92"/>
      <c r="M2091" s="92"/>
      <c r="N2091" s="94"/>
      <c r="AG2091" s="100"/>
      <c r="AH2091" s="101"/>
      <c r="AI2091" s="101"/>
      <c r="AJ2091" s="100"/>
      <c r="AK2091" s="100"/>
      <c r="AL2091" s="100"/>
      <c r="AM2091" s="100"/>
      <c r="AN2091" s="100"/>
      <c r="AO2091" s="100"/>
      <c r="AP2091" s="100"/>
      <c r="AQ2091" s="100"/>
      <c r="AR2091" s="100"/>
      <c r="AS2091" s="100"/>
      <c r="AT2091" s="102"/>
      <c r="AX2091" s="100"/>
      <c r="AY2091" s="101"/>
      <c r="AZ2091" s="101"/>
      <c r="BA2091" s="100"/>
      <c r="BB2091" s="100"/>
      <c r="BC2091" s="100"/>
      <c r="BD2091" s="100"/>
      <c r="BE2091" s="100"/>
      <c r="BF2091" s="100"/>
      <c r="BG2091" s="100"/>
      <c r="BH2091" s="100"/>
      <c r="BI2091" s="100"/>
      <c r="BJ2091" s="100"/>
      <c r="BK2091" s="102"/>
    </row>
    <row r="2092" spans="1:63" x14ac:dyDescent="0.25">
      <c r="A2092" s="92"/>
      <c r="B2092" s="92"/>
      <c r="C2092" s="92"/>
      <c r="D2092" s="92"/>
      <c r="E2092" s="92"/>
      <c r="F2092" s="92"/>
      <c r="G2092" s="92"/>
      <c r="H2092" s="92"/>
      <c r="I2092" s="92"/>
      <c r="J2092" s="92"/>
      <c r="K2092" s="92"/>
      <c r="L2092" s="92"/>
      <c r="M2092" s="92"/>
      <c r="N2092" s="92"/>
      <c r="AG2092" s="100"/>
      <c r="AH2092" s="101"/>
      <c r="AI2092" s="101"/>
      <c r="AJ2092" s="101"/>
      <c r="AK2092" s="100"/>
      <c r="AL2092" s="100"/>
      <c r="AM2092" s="100"/>
      <c r="AN2092" s="100"/>
      <c r="AO2092" s="100"/>
      <c r="AP2092" s="100"/>
      <c r="AQ2092" s="100"/>
      <c r="AR2092" s="100"/>
      <c r="AS2092" s="100"/>
      <c r="AT2092" s="102"/>
      <c r="AX2092" s="100"/>
      <c r="AY2092" s="101"/>
      <c r="AZ2092" s="101"/>
      <c r="BA2092" s="100"/>
      <c r="BB2092" s="100"/>
      <c r="BC2092" s="100"/>
      <c r="BD2092" s="100"/>
      <c r="BE2092" s="100"/>
      <c r="BF2092" s="100"/>
      <c r="BG2092" s="100"/>
      <c r="BH2092" s="100"/>
      <c r="BI2092" s="100"/>
      <c r="BJ2092" s="100"/>
      <c r="BK2092" s="102"/>
    </row>
    <row r="2093" spans="1:63" x14ac:dyDescent="0.25">
      <c r="A2093" s="92"/>
      <c r="B2093" s="93"/>
      <c r="C2093" s="93"/>
      <c r="D2093" s="92"/>
      <c r="E2093" s="92"/>
      <c r="F2093" s="92"/>
      <c r="G2093" s="92"/>
      <c r="H2093" s="92"/>
      <c r="I2093" s="92"/>
      <c r="J2093" s="92"/>
      <c r="K2093" s="92"/>
      <c r="L2093" s="92"/>
      <c r="M2093" s="92"/>
      <c r="N2093" s="94"/>
      <c r="AG2093" s="100"/>
      <c r="AH2093" s="101"/>
      <c r="AI2093" s="101"/>
      <c r="AJ2093" s="101"/>
      <c r="AK2093" s="100"/>
      <c r="AL2093" s="100"/>
      <c r="AM2093" s="100"/>
      <c r="AN2093" s="100"/>
      <c r="AO2093" s="100"/>
      <c r="AP2093" s="100"/>
      <c r="AQ2093" s="100"/>
      <c r="AR2093" s="100"/>
      <c r="AS2093" s="100"/>
      <c r="AT2093" s="102"/>
      <c r="AX2093" s="100"/>
      <c r="AY2093" s="101"/>
      <c r="AZ2093" s="101"/>
      <c r="BA2093" s="100"/>
      <c r="BB2093" s="100"/>
      <c r="BC2093" s="100"/>
      <c r="BD2093" s="100"/>
      <c r="BE2093" s="100"/>
      <c r="BF2093" s="100"/>
      <c r="BG2093" s="100"/>
      <c r="BH2093" s="100"/>
      <c r="BI2093" s="100"/>
      <c r="BJ2093" s="100"/>
      <c r="BK2093" s="102"/>
    </row>
    <row r="2094" spans="1:63" x14ac:dyDescent="0.25">
      <c r="A2094" s="92"/>
      <c r="B2094" s="93"/>
      <c r="C2094" s="93"/>
      <c r="D2094" s="93"/>
      <c r="E2094" s="92"/>
      <c r="F2094" s="92"/>
      <c r="G2094" s="92"/>
      <c r="H2094" s="92"/>
      <c r="I2094" s="92"/>
      <c r="J2094" s="92"/>
      <c r="K2094" s="92"/>
      <c r="L2094" s="92"/>
      <c r="M2094" s="92"/>
      <c r="N2094" s="94"/>
      <c r="AG2094" s="100"/>
      <c r="AH2094" s="101"/>
      <c r="AI2094" s="101"/>
      <c r="AJ2094" s="100"/>
      <c r="AK2094" s="100"/>
      <c r="AL2094" s="100"/>
      <c r="AM2094" s="100"/>
      <c r="AN2094" s="100"/>
      <c r="AO2094" s="100"/>
      <c r="AP2094" s="100"/>
      <c r="AQ2094" s="100"/>
      <c r="AR2094" s="100"/>
      <c r="AS2094" s="100"/>
      <c r="AT2094" s="102"/>
      <c r="AX2094" s="100"/>
      <c r="AY2094" s="101"/>
      <c r="AZ2094" s="101"/>
      <c r="BA2094" s="101"/>
      <c r="BB2094" s="100"/>
      <c r="BC2094" s="100"/>
      <c r="BD2094" s="100"/>
      <c r="BE2094" s="100"/>
      <c r="BF2094" s="100"/>
      <c r="BG2094" s="100"/>
      <c r="BH2094" s="100"/>
      <c r="BI2094" s="100"/>
      <c r="BJ2094" s="100"/>
      <c r="BK2094" s="102"/>
    </row>
    <row r="2095" spans="1:63" x14ac:dyDescent="0.25">
      <c r="A2095" s="92"/>
      <c r="B2095" s="93"/>
      <c r="C2095" s="93"/>
      <c r="D2095" s="92"/>
      <c r="E2095" s="92"/>
      <c r="F2095" s="92"/>
      <c r="G2095" s="92"/>
      <c r="H2095" s="92"/>
      <c r="I2095" s="92"/>
      <c r="J2095" s="92"/>
      <c r="K2095" s="92"/>
      <c r="L2095" s="92"/>
      <c r="M2095" s="92"/>
      <c r="N2095" s="94"/>
      <c r="AG2095" s="100"/>
      <c r="AH2095" s="101"/>
      <c r="AI2095" s="101"/>
      <c r="AJ2095" s="100"/>
      <c r="AK2095" s="100"/>
      <c r="AL2095" s="100"/>
      <c r="AM2095" s="100"/>
      <c r="AN2095" s="100"/>
      <c r="AO2095" s="100"/>
      <c r="AP2095" s="100"/>
      <c r="AQ2095" s="100"/>
      <c r="AR2095" s="100"/>
      <c r="AS2095" s="100"/>
      <c r="AT2095" s="102"/>
      <c r="AX2095" s="100"/>
      <c r="AY2095" s="101"/>
      <c r="AZ2095" s="101"/>
      <c r="BA2095" s="100"/>
      <c r="BB2095" s="100"/>
      <c r="BC2095" s="100"/>
      <c r="BD2095" s="100"/>
      <c r="BE2095" s="100"/>
      <c r="BF2095" s="100"/>
      <c r="BG2095" s="100"/>
      <c r="BH2095" s="100"/>
      <c r="BI2095" s="100"/>
      <c r="BJ2095" s="100"/>
      <c r="BK2095" s="102"/>
    </row>
    <row r="2096" spans="1:63" x14ac:dyDescent="0.25">
      <c r="A2096" s="92"/>
      <c r="B2096" s="92"/>
      <c r="C2096" s="92"/>
      <c r="D2096" s="92"/>
      <c r="E2096" s="92"/>
      <c r="F2096" s="92"/>
      <c r="G2096" s="92"/>
      <c r="H2096" s="92"/>
      <c r="I2096" s="92"/>
      <c r="J2096" s="92"/>
      <c r="K2096" s="92"/>
      <c r="L2096" s="92"/>
      <c r="M2096" s="92"/>
      <c r="N2096" s="92"/>
      <c r="AG2096" s="100"/>
      <c r="AH2096" s="101"/>
      <c r="AI2096" s="101"/>
      <c r="AJ2096" s="101"/>
      <c r="AK2096" s="100"/>
      <c r="AL2096" s="100"/>
      <c r="AM2096" s="100"/>
      <c r="AN2096" s="100"/>
      <c r="AO2096" s="100"/>
      <c r="AP2096" s="100"/>
      <c r="AQ2096" s="100"/>
      <c r="AR2096" s="100"/>
      <c r="AS2096" s="100"/>
      <c r="AT2096" s="102"/>
      <c r="AX2096" s="100"/>
      <c r="AY2096" s="101"/>
      <c r="AZ2096" s="101"/>
      <c r="BA2096" s="101"/>
      <c r="BB2096" s="100"/>
      <c r="BC2096" s="100"/>
      <c r="BD2096" s="100"/>
      <c r="BE2096" s="100"/>
      <c r="BF2096" s="100"/>
      <c r="BG2096" s="100"/>
      <c r="BH2096" s="100"/>
      <c r="BI2096" s="100"/>
      <c r="BJ2096" s="100"/>
      <c r="BK2096" s="102"/>
    </row>
    <row r="2097" spans="1:63" x14ac:dyDescent="0.25">
      <c r="A2097" s="92"/>
      <c r="B2097" s="92"/>
      <c r="C2097" s="92"/>
      <c r="D2097" s="92"/>
      <c r="E2097" s="92"/>
      <c r="F2097" s="92"/>
      <c r="G2097" s="92"/>
      <c r="H2097" s="92"/>
      <c r="I2097" s="92"/>
      <c r="J2097" s="92"/>
      <c r="K2097" s="92"/>
      <c r="L2097" s="92"/>
      <c r="M2097" s="92"/>
      <c r="N2097" s="92"/>
      <c r="AG2097" s="100"/>
      <c r="AH2097" s="101"/>
      <c r="AI2097" s="101"/>
      <c r="AJ2097" s="100"/>
      <c r="AK2097" s="100"/>
      <c r="AL2097" s="100"/>
      <c r="AM2097" s="100"/>
      <c r="AN2097" s="100"/>
      <c r="AO2097" s="100"/>
      <c r="AP2097" s="100"/>
      <c r="AQ2097" s="100"/>
      <c r="AR2097" s="100"/>
      <c r="AS2097" s="100"/>
      <c r="AT2097" s="102"/>
      <c r="AX2097" s="100"/>
      <c r="AY2097" s="101"/>
      <c r="AZ2097" s="101"/>
      <c r="BA2097" s="100"/>
      <c r="BB2097" s="100"/>
      <c r="BC2097" s="100"/>
      <c r="BD2097" s="100"/>
      <c r="BE2097" s="100"/>
      <c r="BF2097" s="100"/>
      <c r="BG2097" s="100"/>
      <c r="BH2097" s="100"/>
      <c r="BI2097" s="100"/>
      <c r="BJ2097" s="100"/>
      <c r="BK2097" s="102"/>
    </row>
    <row r="2098" spans="1:63" x14ac:dyDescent="0.25">
      <c r="A2098" s="92"/>
      <c r="B2098" s="92"/>
      <c r="C2098" s="92"/>
      <c r="D2098" s="92"/>
      <c r="E2098" s="92"/>
      <c r="F2098" s="92"/>
      <c r="G2098" s="92"/>
      <c r="H2098" s="92"/>
      <c r="I2098" s="92"/>
      <c r="J2098" s="92"/>
      <c r="K2098" s="92"/>
      <c r="L2098" s="92"/>
      <c r="M2098" s="92"/>
      <c r="N2098" s="92"/>
      <c r="AG2098" s="100"/>
      <c r="AH2098" s="101"/>
      <c r="AI2098" s="101"/>
      <c r="AJ2098" s="101"/>
      <c r="AK2098" s="100"/>
      <c r="AL2098" s="100"/>
      <c r="AM2098" s="100"/>
      <c r="AN2098" s="100"/>
      <c r="AO2098" s="100"/>
      <c r="AP2098" s="100"/>
      <c r="AQ2098" s="100"/>
      <c r="AR2098" s="100"/>
      <c r="AS2098" s="100"/>
      <c r="AT2098" s="102"/>
      <c r="AX2098" s="100"/>
      <c r="AY2098" s="101"/>
      <c r="AZ2098" s="101"/>
      <c r="BA2098" s="101"/>
      <c r="BB2098" s="100"/>
      <c r="BC2098" s="100"/>
      <c r="BD2098" s="100"/>
      <c r="BE2098" s="100"/>
      <c r="BF2098" s="100"/>
      <c r="BG2098" s="100"/>
      <c r="BH2098" s="100"/>
      <c r="BI2098" s="100"/>
      <c r="BJ2098" s="100"/>
      <c r="BK2098" s="102"/>
    </row>
    <row r="2099" spans="1:63" x14ac:dyDescent="0.25">
      <c r="A2099" s="92"/>
      <c r="B2099" s="92"/>
      <c r="C2099" s="92"/>
      <c r="D2099" s="92"/>
      <c r="E2099" s="92"/>
      <c r="F2099" s="92"/>
      <c r="G2099" s="92"/>
      <c r="H2099" s="92"/>
      <c r="I2099" s="92"/>
      <c r="J2099" s="92"/>
      <c r="K2099" s="92"/>
      <c r="L2099" s="92"/>
      <c r="M2099" s="92"/>
      <c r="N2099" s="92"/>
      <c r="AG2099" s="100"/>
      <c r="AH2099" s="101"/>
      <c r="AI2099" s="101"/>
      <c r="AJ2099" s="100"/>
      <c r="AK2099" s="100"/>
      <c r="AL2099" s="100"/>
      <c r="AM2099" s="100"/>
      <c r="AN2099" s="100"/>
      <c r="AO2099" s="100"/>
      <c r="AP2099" s="100"/>
      <c r="AQ2099" s="100"/>
      <c r="AR2099" s="100"/>
      <c r="AS2099" s="100"/>
      <c r="AT2099" s="102"/>
      <c r="AX2099" s="100"/>
      <c r="AY2099" s="101"/>
      <c r="AZ2099" s="101"/>
      <c r="BA2099" s="100"/>
      <c r="BB2099" s="100"/>
      <c r="BC2099" s="100"/>
      <c r="BD2099" s="100"/>
      <c r="BE2099" s="100"/>
      <c r="BF2099" s="100"/>
      <c r="BG2099" s="100"/>
      <c r="BH2099" s="100"/>
      <c r="BI2099" s="100"/>
      <c r="BJ2099" s="100"/>
      <c r="BK2099" s="102"/>
    </row>
    <row r="2100" spans="1:63" x14ac:dyDescent="0.25">
      <c r="A2100" s="92"/>
      <c r="B2100" s="92"/>
      <c r="C2100" s="92"/>
      <c r="D2100" s="92"/>
      <c r="E2100" s="92"/>
      <c r="F2100" s="92"/>
      <c r="G2100" s="92"/>
      <c r="H2100" s="92"/>
      <c r="I2100" s="92"/>
      <c r="J2100" s="92"/>
      <c r="K2100" s="92"/>
      <c r="L2100" s="92"/>
      <c r="M2100" s="92"/>
      <c r="N2100" s="92"/>
      <c r="AG2100" s="100"/>
      <c r="AH2100" s="101"/>
      <c r="AI2100" s="101"/>
      <c r="AJ2100" s="100"/>
      <c r="AK2100" s="100"/>
      <c r="AL2100" s="100"/>
      <c r="AM2100" s="100"/>
      <c r="AN2100" s="100"/>
      <c r="AO2100" s="100"/>
      <c r="AP2100" s="100"/>
      <c r="AQ2100" s="100"/>
      <c r="AR2100" s="100"/>
      <c r="AS2100" s="100"/>
      <c r="AT2100" s="102"/>
      <c r="AX2100" s="100"/>
      <c r="AY2100" s="101"/>
      <c r="AZ2100" s="101"/>
      <c r="BA2100" s="101"/>
      <c r="BB2100" s="100"/>
      <c r="BC2100" s="100"/>
      <c r="BD2100" s="100"/>
      <c r="BE2100" s="100"/>
      <c r="BF2100" s="100"/>
      <c r="BG2100" s="100"/>
      <c r="BH2100" s="100"/>
      <c r="BI2100" s="100"/>
      <c r="BJ2100" s="100"/>
      <c r="BK2100" s="102"/>
    </row>
    <row r="2101" spans="1:63" x14ac:dyDescent="0.25">
      <c r="A2101" s="92"/>
      <c r="B2101" s="93"/>
      <c r="C2101" s="93"/>
      <c r="D2101" s="93"/>
      <c r="E2101" s="92"/>
      <c r="F2101" s="92"/>
      <c r="G2101" s="92"/>
      <c r="H2101" s="92"/>
      <c r="I2101" s="92"/>
      <c r="J2101" s="92"/>
      <c r="K2101" s="92"/>
      <c r="L2101" s="92"/>
      <c r="M2101" s="92"/>
      <c r="N2101" s="94"/>
      <c r="AG2101" s="100"/>
      <c r="AH2101" s="101"/>
      <c r="AI2101" s="101"/>
      <c r="AJ2101" s="101"/>
      <c r="AK2101" s="100"/>
      <c r="AL2101" s="100"/>
      <c r="AM2101" s="100"/>
      <c r="AN2101" s="100"/>
      <c r="AO2101" s="100"/>
      <c r="AP2101" s="100"/>
      <c r="AQ2101" s="100"/>
      <c r="AR2101" s="100"/>
      <c r="AS2101" s="100"/>
      <c r="AT2101" s="102"/>
      <c r="AX2101" s="100"/>
      <c r="AY2101" s="101"/>
      <c r="AZ2101" s="101"/>
      <c r="BA2101" s="101"/>
      <c r="BB2101" s="100"/>
      <c r="BC2101" s="100"/>
      <c r="BD2101" s="100"/>
      <c r="BE2101" s="100"/>
      <c r="BF2101" s="100"/>
      <c r="BG2101" s="100"/>
      <c r="BH2101" s="100"/>
      <c r="BI2101" s="100"/>
      <c r="BJ2101" s="100"/>
      <c r="BK2101" s="102"/>
    </row>
    <row r="2102" spans="1:63" x14ac:dyDescent="0.25">
      <c r="A2102" s="92"/>
      <c r="B2102" s="93"/>
      <c r="C2102" s="93"/>
      <c r="D2102" s="92"/>
      <c r="E2102" s="92"/>
      <c r="F2102" s="92"/>
      <c r="G2102" s="92"/>
      <c r="H2102" s="92"/>
      <c r="I2102" s="92"/>
      <c r="J2102" s="92"/>
      <c r="K2102" s="92"/>
      <c r="L2102" s="92"/>
      <c r="M2102" s="92"/>
      <c r="N2102" s="94"/>
      <c r="AG2102" s="100"/>
      <c r="AH2102" s="101"/>
      <c r="AI2102" s="101"/>
      <c r="AJ2102" s="101"/>
      <c r="AK2102" s="100"/>
      <c r="AL2102" s="100"/>
      <c r="AM2102" s="100"/>
      <c r="AN2102" s="100"/>
      <c r="AO2102" s="100"/>
      <c r="AP2102" s="100"/>
      <c r="AQ2102" s="100"/>
      <c r="AR2102" s="100"/>
      <c r="AS2102" s="100"/>
      <c r="AT2102" s="102"/>
      <c r="AX2102" s="100"/>
      <c r="AY2102" s="101"/>
      <c r="AZ2102" s="101"/>
      <c r="BA2102" s="100"/>
      <c r="BB2102" s="100"/>
      <c r="BC2102" s="100"/>
      <c r="BD2102" s="100"/>
      <c r="BE2102" s="100"/>
      <c r="BF2102" s="100"/>
      <c r="BG2102" s="100"/>
      <c r="BH2102" s="100"/>
      <c r="BI2102" s="100"/>
      <c r="BJ2102" s="100"/>
      <c r="BK2102" s="102"/>
    </row>
    <row r="2103" spans="1:63" x14ac:dyDescent="0.25">
      <c r="A2103" s="92"/>
      <c r="B2103" s="93"/>
      <c r="C2103" s="93"/>
      <c r="D2103" s="93"/>
      <c r="E2103" s="92"/>
      <c r="F2103" s="92"/>
      <c r="G2103" s="92"/>
      <c r="H2103" s="92"/>
      <c r="I2103" s="92"/>
      <c r="J2103" s="92"/>
      <c r="K2103" s="92"/>
      <c r="L2103" s="92"/>
      <c r="M2103" s="92"/>
      <c r="N2103" s="94"/>
      <c r="AG2103" s="100"/>
      <c r="AH2103" s="101"/>
      <c r="AI2103" s="101"/>
      <c r="AJ2103" s="100"/>
      <c r="AK2103" s="100"/>
      <c r="AL2103" s="100"/>
      <c r="AM2103" s="100"/>
      <c r="AN2103" s="100"/>
      <c r="AO2103" s="100"/>
      <c r="AP2103" s="100"/>
      <c r="AQ2103" s="100"/>
      <c r="AR2103" s="100"/>
      <c r="AS2103" s="100"/>
      <c r="AT2103" s="102"/>
      <c r="AX2103" s="100"/>
      <c r="AY2103" s="101"/>
      <c r="AZ2103" s="101"/>
      <c r="BA2103" s="101"/>
      <c r="BB2103" s="100"/>
      <c r="BC2103" s="100"/>
      <c r="BD2103" s="100"/>
      <c r="BE2103" s="100"/>
      <c r="BF2103" s="100"/>
      <c r="BG2103" s="100"/>
      <c r="BH2103" s="100"/>
      <c r="BI2103" s="100"/>
      <c r="BJ2103" s="100"/>
      <c r="BK2103" s="102"/>
    </row>
    <row r="2104" spans="1:63" x14ac:dyDescent="0.25">
      <c r="A2104" s="92"/>
      <c r="B2104" s="92"/>
      <c r="C2104" s="92"/>
      <c r="D2104" s="92"/>
      <c r="E2104" s="92"/>
      <c r="F2104" s="92"/>
      <c r="G2104" s="92"/>
      <c r="H2104" s="92"/>
      <c r="I2104" s="92"/>
      <c r="J2104" s="92"/>
      <c r="K2104" s="92"/>
      <c r="L2104" s="92"/>
      <c r="M2104" s="92"/>
      <c r="N2104" s="92"/>
      <c r="AG2104" s="100"/>
      <c r="AH2104" s="101"/>
      <c r="AI2104" s="101"/>
      <c r="AJ2104" s="101"/>
      <c r="AK2104" s="100"/>
      <c r="AL2104" s="100"/>
      <c r="AM2104" s="100"/>
      <c r="AN2104" s="100"/>
      <c r="AO2104" s="100"/>
      <c r="AP2104" s="100"/>
      <c r="AQ2104" s="100"/>
      <c r="AR2104" s="100"/>
      <c r="AS2104" s="100"/>
      <c r="AT2104" s="102"/>
      <c r="AX2104" s="100"/>
      <c r="AY2104" s="101"/>
      <c r="AZ2104" s="101"/>
      <c r="BA2104" s="101"/>
      <c r="BB2104" s="100"/>
      <c r="BC2104" s="100"/>
      <c r="BD2104" s="100"/>
      <c r="BE2104" s="100"/>
      <c r="BF2104" s="100"/>
      <c r="BG2104" s="100"/>
      <c r="BH2104" s="100"/>
      <c r="BI2104" s="100"/>
      <c r="BJ2104" s="100"/>
      <c r="BK2104" s="102"/>
    </row>
    <row r="2105" spans="1:63" x14ac:dyDescent="0.25">
      <c r="A2105" s="92"/>
      <c r="B2105" s="92"/>
      <c r="C2105" s="92"/>
      <c r="D2105" s="92"/>
      <c r="E2105" s="92"/>
      <c r="F2105" s="92"/>
      <c r="G2105" s="92"/>
      <c r="H2105" s="92"/>
      <c r="I2105" s="92"/>
      <c r="J2105" s="92"/>
      <c r="K2105" s="92"/>
      <c r="L2105" s="92"/>
      <c r="M2105" s="92"/>
      <c r="N2105" s="92"/>
      <c r="AG2105" s="100"/>
      <c r="AH2105" s="101"/>
      <c r="AI2105" s="101"/>
      <c r="AJ2105" s="100"/>
      <c r="AK2105" s="100"/>
      <c r="AL2105" s="100"/>
      <c r="AM2105" s="100"/>
      <c r="AN2105" s="100"/>
      <c r="AO2105" s="100"/>
      <c r="AP2105" s="100"/>
      <c r="AQ2105" s="100"/>
      <c r="AR2105" s="100"/>
      <c r="AS2105" s="100"/>
      <c r="AT2105" s="102"/>
      <c r="AX2105" s="100"/>
      <c r="AY2105" s="101"/>
      <c r="AZ2105" s="101"/>
      <c r="BA2105" s="101"/>
      <c r="BB2105" s="100"/>
      <c r="BC2105" s="100"/>
      <c r="BD2105" s="100"/>
      <c r="BE2105" s="100"/>
      <c r="BF2105" s="100"/>
      <c r="BG2105" s="100"/>
      <c r="BH2105" s="100"/>
      <c r="BI2105" s="100"/>
      <c r="BJ2105" s="100"/>
      <c r="BK2105" s="102"/>
    </row>
    <row r="2106" spans="1:63" x14ac:dyDescent="0.25">
      <c r="A2106" s="92"/>
      <c r="B2106" s="92"/>
      <c r="C2106" s="92"/>
      <c r="D2106" s="92"/>
      <c r="E2106" s="92"/>
      <c r="F2106" s="92"/>
      <c r="G2106" s="92"/>
      <c r="H2106" s="92"/>
      <c r="I2106" s="92"/>
      <c r="J2106" s="92"/>
      <c r="K2106" s="92"/>
      <c r="L2106" s="92"/>
      <c r="M2106" s="92"/>
      <c r="N2106" s="92"/>
      <c r="AG2106" s="100"/>
      <c r="AH2106" s="101"/>
      <c r="AI2106" s="101"/>
      <c r="AJ2106" s="100"/>
      <c r="AK2106" s="100"/>
      <c r="AL2106" s="100"/>
      <c r="AM2106" s="100"/>
      <c r="AN2106" s="100"/>
      <c r="AO2106" s="100"/>
      <c r="AP2106" s="100"/>
      <c r="AQ2106" s="100"/>
      <c r="AR2106" s="100"/>
      <c r="AS2106" s="100"/>
      <c r="AT2106" s="102"/>
      <c r="AX2106" s="100"/>
      <c r="AY2106" s="101"/>
      <c r="AZ2106" s="101"/>
      <c r="BA2106" s="100"/>
      <c r="BB2106" s="100"/>
      <c r="BC2106" s="100"/>
      <c r="BD2106" s="100"/>
      <c r="BE2106" s="100"/>
      <c r="BF2106" s="100"/>
      <c r="BG2106" s="100"/>
      <c r="BH2106" s="100"/>
      <c r="BI2106" s="100"/>
      <c r="BJ2106" s="100"/>
      <c r="BK2106" s="102"/>
    </row>
    <row r="2107" spans="1:63" x14ac:dyDescent="0.25">
      <c r="A2107" s="92"/>
      <c r="B2107" s="92"/>
      <c r="C2107" s="92"/>
      <c r="D2107" s="92"/>
      <c r="E2107" s="92"/>
      <c r="F2107" s="92"/>
      <c r="G2107" s="92"/>
      <c r="H2107" s="92"/>
      <c r="I2107" s="92"/>
      <c r="J2107" s="92"/>
      <c r="K2107" s="92"/>
      <c r="L2107" s="92"/>
      <c r="M2107" s="92"/>
      <c r="N2107" s="92"/>
      <c r="AG2107" s="100"/>
      <c r="AH2107" s="101"/>
      <c r="AI2107" s="101"/>
      <c r="AJ2107" s="100"/>
      <c r="AK2107" s="100"/>
      <c r="AL2107" s="100"/>
      <c r="AM2107" s="100"/>
      <c r="AN2107" s="100"/>
      <c r="AO2107" s="100"/>
      <c r="AP2107" s="100"/>
      <c r="AQ2107" s="100"/>
      <c r="AR2107" s="100"/>
      <c r="AS2107" s="100"/>
      <c r="AT2107" s="102"/>
      <c r="AX2107" s="100"/>
      <c r="AY2107" s="101"/>
      <c r="AZ2107" s="101"/>
      <c r="BA2107" s="100"/>
      <c r="BB2107" s="100"/>
      <c r="BC2107" s="100"/>
      <c r="BD2107" s="100"/>
      <c r="BE2107" s="100"/>
      <c r="BF2107" s="100"/>
      <c r="BG2107" s="100"/>
      <c r="BH2107" s="100"/>
      <c r="BI2107" s="100"/>
      <c r="BJ2107" s="100"/>
      <c r="BK2107" s="102"/>
    </row>
    <row r="2108" spans="1:63" x14ac:dyDescent="0.25">
      <c r="A2108" s="92"/>
      <c r="B2108" s="93"/>
      <c r="C2108" s="93"/>
      <c r="D2108" s="93"/>
      <c r="E2108" s="92"/>
      <c r="F2108" s="92"/>
      <c r="G2108" s="92"/>
      <c r="H2108" s="92"/>
      <c r="I2108" s="92"/>
      <c r="J2108" s="92"/>
      <c r="K2108" s="92"/>
      <c r="L2108" s="92"/>
      <c r="M2108" s="92"/>
      <c r="N2108" s="94"/>
      <c r="AG2108" s="100"/>
      <c r="AH2108" s="101"/>
      <c r="AI2108" s="101"/>
      <c r="AJ2108" s="100"/>
      <c r="AK2108" s="100"/>
      <c r="AL2108" s="100"/>
      <c r="AM2108" s="100"/>
      <c r="AN2108" s="100"/>
      <c r="AO2108" s="100"/>
      <c r="AP2108" s="100"/>
      <c r="AQ2108" s="100"/>
      <c r="AR2108" s="100"/>
      <c r="AS2108" s="100"/>
      <c r="AT2108" s="102"/>
      <c r="AX2108" s="100"/>
      <c r="AY2108" s="101"/>
      <c r="AZ2108" s="101"/>
      <c r="BA2108" s="100"/>
      <c r="BB2108" s="100"/>
      <c r="BC2108" s="100"/>
      <c r="BD2108" s="100"/>
      <c r="BE2108" s="100"/>
      <c r="BF2108" s="100"/>
      <c r="BG2108" s="100"/>
      <c r="BH2108" s="100"/>
      <c r="BI2108" s="100"/>
      <c r="BJ2108" s="100"/>
      <c r="BK2108" s="102"/>
    </row>
    <row r="2109" spans="1:63" x14ac:dyDescent="0.25">
      <c r="A2109" s="92"/>
      <c r="B2109" s="92"/>
      <c r="C2109" s="92"/>
      <c r="D2109" s="92"/>
      <c r="E2109" s="92"/>
      <c r="F2109" s="92"/>
      <c r="G2109" s="92"/>
      <c r="H2109" s="92"/>
      <c r="I2109" s="92"/>
      <c r="J2109" s="92"/>
      <c r="K2109" s="92"/>
      <c r="L2109" s="92"/>
      <c r="M2109" s="92"/>
      <c r="N2109" s="92"/>
      <c r="AG2109" s="100"/>
      <c r="AH2109" s="101"/>
      <c r="AI2109" s="101"/>
      <c r="AJ2109" s="100"/>
      <c r="AK2109" s="100"/>
      <c r="AL2109" s="100"/>
      <c r="AM2109" s="100"/>
      <c r="AN2109" s="100"/>
      <c r="AO2109" s="100"/>
      <c r="AP2109" s="100"/>
      <c r="AQ2109" s="100"/>
      <c r="AR2109" s="100"/>
      <c r="AS2109" s="100"/>
      <c r="AT2109" s="102"/>
      <c r="AX2109" s="100"/>
      <c r="AY2109" s="101"/>
      <c r="AZ2109" s="101"/>
      <c r="BA2109" s="100"/>
      <c r="BB2109" s="100"/>
      <c r="BC2109" s="100"/>
      <c r="BD2109" s="100"/>
      <c r="BE2109" s="100"/>
      <c r="BF2109" s="100"/>
      <c r="BG2109" s="100"/>
      <c r="BH2109" s="100"/>
      <c r="BI2109" s="100"/>
      <c r="BJ2109" s="100"/>
      <c r="BK2109" s="102"/>
    </row>
    <row r="2110" spans="1:63" x14ac:dyDescent="0.25">
      <c r="A2110" s="92"/>
      <c r="B2110" s="92"/>
      <c r="C2110" s="92"/>
      <c r="D2110" s="92"/>
      <c r="E2110" s="92"/>
      <c r="F2110" s="92"/>
      <c r="G2110" s="92"/>
      <c r="H2110" s="92"/>
      <c r="I2110" s="92"/>
      <c r="J2110" s="92"/>
      <c r="K2110" s="92"/>
      <c r="L2110" s="92"/>
      <c r="M2110" s="92"/>
      <c r="N2110" s="92"/>
      <c r="AG2110" s="100"/>
      <c r="AH2110" s="101"/>
      <c r="AI2110" s="101"/>
      <c r="AJ2110" s="100"/>
      <c r="AK2110" s="100"/>
      <c r="AL2110" s="100"/>
      <c r="AM2110" s="100"/>
      <c r="AN2110" s="100"/>
      <c r="AO2110" s="100"/>
      <c r="AP2110" s="100"/>
      <c r="AQ2110" s="100"/>
      <c r="AR2110" s="100"/>
      <c r="AS2110" s="100"/>
      <c r="AT2110" s="102"/>
      <c r="AX2110" s="100"/>
      <c r="AY2110" s="101"/>
      <c r="AZ2110" s="101"/>
      <c r="BA2110" s="101"/>
      <c r="BB2110" s="100"/>
      <c r="BC2110" s="100"/>
      <c r="BD2110" s="100"/>
      <c r="BE2110" s="100"/>
      <c r="BF2110" s="100"/>
      <c r="BG2110" s="100"/>
      <c r="BH2110" s="100"/>
      <c r="BI2110" s="100"/>
      <c r="BJ2110" s="100"/>
      <c r="BK2110" s="102"/>
    </row>
    <row r="2111" spans="1:63" x14ac:dyDescent="0.25">
      <c r="A2111" s="92"/>
      <c r="B2111" s="92"/>
      <c r="C2111" s="92"/>
      <c r="D2111" s="92"/>
      <c r="E2111" s="92"/>
      <c r="F2111" s="92"/>
      <c r="G2111" s="92"/>
      <c r="H2111" s="92"/>
      <c r="I2111" s="92"/>
      <c r="J2111" s="92"/>
      <c r="K2111" s="92"/>
      <c r="L2111" s="92"/>
      <c r="M2111" s="92"/>
      <c r="N2111" s="92"/>
      <c r="AG2111" s="100"/>
      <c r="AH2111" s="101"/>
      <c r="AI2111" s="101"/>
      <c r="AJ2111" s="101"/>
      <c r="AK2111" s="100"/>
      <c r="AL2111" s="100"/>
      <c r="AM2111" s="100"/>
      <c r="AN2111" s="100"/>
      <c r="AO2111" s="100"/>
      <c r="AP2111" s="100"/>
      <c r="AQ2111" s="100"/>
      <c r="AR2111" s="100"/>
      <c r="AS2111" s="100"/>
      <c r="AT2111" s="102"/>
      <c r="AX2111" s="100"/>
      <c r="AY2111" s="101"/>
      <c r="AZ2111" s="101"/>
      <c r="BA2111" s="100"/>
      <c r="BB2111" s="100"/>
      <c r="BC2111" s="100"/>
      <c r="BD2111" s="100"/>
      <c r="BE2111" s="100"/>
      <c r="BF2111" s="100"/>
      <c r="BG2111" s="100"/>
      <c r="BH2111" s="100"/>
      <c r="BI2111" s="100"/>
      <c r="BJ2111" s="100"/>
      <c r="BK2111" s="102"/>
    </row>
    <row r="2112" spans="1:63" x14ac:dyDescent="0.25">
      <c r="A2112" s="92"/>
      <c r="B2112" s="92"/>
      <c r="C2112" s="92"/>
      <c r="D2112" s="92"/>
      <c r="E2112" s="92"/>
      <c r="F2112" s="92"/>
      <c r="G2112" s="92"/>
      <c r="H2112" s="92"/>
      <c r="I2112" s="92"/>
      <c r="J2112" s="92"/>
      <c r="K2112" s="92"/>
      <c r="L2112" s="92"/>
      <c r="M2112" s="92"/>
      <c r="N2112" s="92"/>
      <c r="AG2112" s="100"/>
      <c r="AH2112" s="101"/>
      <c r="AI2112" s="101"/>
      <c r="AJ2112" s="100"/>
      <c r="AK2112" s="100"/>
      <c r="AL2112" s="100"/>
      <c r="AM2112" s="100"/>
      <c r="AN2112" s="100"/>
      <c r="AO2112" s="100"/>
      <c r="AP2112" s="100"/>
      <c r="AQ2112" s="100"/>
      <c r="AR2112" s="100"/>
      <c r="AS2112" s="100"/>
      <c r="AT2112" s="102"/>
      <c r="AX2112" s="100"/>
      <c r="AY2112" s="101"/>
      <c r="AZ2112" s="101"/>
      <c r="BA2112" s="101"/>
      <c r="BB2112" s="100"/>
      <c r="BC2112" s="100"/>
      <c r="BD2112" s="100"/>
      <c r="BE2112" s="100"/>
      <c r="BF2112" s="100"/>
      <c r="BG2112" s="100"/>
      <c r="BH2112" s="100"/>
      <c r="BI2112" s="100"/>
      <c r="BJ2112" s="100"/>
      <c r="BK2112" s="102"/>
    </row>
    <row r="2113" spans="1:63" x14ac:dyDescent="0.25">
      <c r="A2113" s="92"/>
      <c r="B2113" s="92"/>
      <c r="C2113" s="92"/>
      <c r="D2113" s="92"/>
      <c r="E2113" s="92"/>
      <c r="F2113" s="92"/>
      <c r="G2113" s="92"/>
      <c r="H2113" s="92"/>
      <c r="I2113" s="92"/>
      <c r="J2113" s="92"/>
      <c r="K2113" s="92"/>
      <c r="L2113" s="92"/>
      <c r="M2113" s="92"/>
      <c r="N2113" s="92"/>
      <c r="AG2113" s="100"/>
      <c r="AH2113" s="101"/>
      <c r="AI2113" s="101"/>
      <c r="AJ2113" s="100"/>
      <c r="AK2113" s="100"/>
      <c r="AL2113" s="100"/>
      <c r="AM2113" s="100"/>
      <c r="AN2113" s="100"/>
      <c r="AO2113" s="100"/>
      <c r="AP2113" s="100"/>
      <c r="AQ2113" s="100"/>
      <c r="AR2113" s="100"/>
      <c r="AS2113" s="100"/>
      <c r="AT2113" s="102"/>
      <c r="AX2113" s="100"/>
      <c r="AY2113" s="101"/>
      <c r="AZ2113" s="101"/>
      <c r="BA2113" s="101"/>
      <c r="BB2113" s="100"/>
      <c r="BC2113" s="100"/>
      <c r="BD2113" s="100"/>
      <c r="BE2113" s="100"/>
      <c r="BF2113" s="100"/>
      <c r="BG2113" s="100"/>
      <c r="BH2113" s="100"/>
      <c r="BI2113" s="100"/>
      <c r="BJ2113" s="100"/>
      <c r="BK2113" s="102"/>
    </row>
    <row r="2114" spans="1:63" x14ac:dyDescent="0.25">
      <c r="A2114" s="92"/>
      <c r="B2114" s="92"/>
      <c r="C2114" s="92"/>
      <c r="D2114" s="92"/>
      <c r="E2114" s="92"/>
      <c r="F2114" s="92"/>
      <c r="G2114" s="92"/>
      <c r="H2114" s="92"/>
      <c r="I2114" s="92"/>
      <c r="J2114" s="92"/>
      <c r="K2114" s="92"/>
      <c r="L2114" s="92"/>
      <c r="M2114" s="92"/>
      <c r="N2114" s="92"/>
      <c r="AG2114" s="100"/>
      <c r="AH2114" s="101"/>
      <c r="AI2114" s="101"/>
      <c r="AJ2114" s="101"/>
      <c r="AK2114" s="100"/>
      <c r="AL2114" s="100"/>
      <c r="AM2114" s="100"/>
      <c r="AN2114" s="100"/>
      <c r="AO2114" s="100"/>
      <c r="AP2114" s="100"/>
      <c r="AQ2114" s="100"/>
      <c r="AR2114" s="100"/>
      <c r="AS2114" s="100"/>
      <c r="AT2114" s="102"/>
      <c r="AX2114" s="100"/>
      <c r="AY2114" s="101"/>
      <c r="AZ2114" s="101"/>
      <c r="BA2114" s="100"/>
      <c r="BB2114" s="100"/>
      <c r="BC2114" s="100"/>
      <c r="BD2114" s="100"/>
      <c r="BE2114" s="100"/>
      <c r="BF2114" s="100"/>
      <c r="BG2114" s="100"/>
      <c r="BH2114" s="100"/>
      <c r="BI2114" s="100"/>
      <c r="BJ2114" s="100"/>
      <c r="BK2114" s="102"/>
    </row>
    <row r="2115" spans="1:63" x14ac:dyDescent="0.25">
      <c r="A2115" s="92"/>
      <c r="B2115" s="92"/>
      <c r="C2115" s="92"/>
      <c r="D2115" s="92"/>
      <c r="E2115" s="92"/>
      <c r="F2115" s="92"/>
      <c r="G2115" s="92"/>
      <c r="H2115" s="92"/>
      <c r="I2115" s="92"/>
      <c r="J2115" s="92"/>
      <c r="K2115" s="92"/>
      <c r="L2115" s="92"/>
      <c r="M2115" s="92"/>
      <c r="N2115" s="92"/>
      <c r="AG2115" s="100"/>
      <c r="AH2115" s="101"/>
      <c r="AI2115" s="101"/>
      <c r="AJ2115" s="100"/>
      <c r="AK2115" s="100"/>
      <c r="AL2115" s="100"/>
      <c r="AM2115" s="100"/>
      <c r="AN2115" s="100"/>
      <c r="AO2115" s="100"/>
      <c r="AP2115" s="100"/>
      <c r="AQ2115" s="100"/>
      <c r="AR2115" s="100"/>
      <c r="AS2115" s="100"/>
      <c r="AT2115" s="102"/>
      <c r="AX2115" s="100"/>
      <c r="AY2115" s="101"/>
      <c r="AZ2115" s="101"/>
      <c r="BA2115" s="100"/>
      <c r="BB2115" s="100"/>
      <c r="BC2115" s="100"/>
      <c r="BD2115" s="100"/>
      <c r="BE2115" s="100"/>
      <c r="BF2115" s="100"/>
      <c r="BG2115" s="100"/>
      <c r="BH2115" s="100"/>
      <c r="BI2115" s="100"/>
      <c r="BJ2115" s="100"/>
      <c r="BK2115" s="102"/>
    </row>
    <row r="2116" spans="1:63" x14ac:dyDescent="0.25">
      <c r="A2116" s="92"/>
      <c r="B2116" s="93"/>
      <c r="C2116" s="93"/>
      <c r="D2116" s="92"/>
      <c r="E2116" s="92"/>
      <c r="F2116" s="92"/>
      <c r="G2116" s="92"/>
      <c r="H2116" s="92"/>
      <c r="I2116" s="92"/>
      <c r="J2116" s="92"/>
      <c r="K2116" s="92"/>
      <c r="L2116" s="92"/>
      <c r="M2116" s="92"/>
      <c r="N2116" s="94"/>
      <c r="AG2116" s="100"/>
      <c r="AH2116" s="101"/>
      <c r="AI2116" s="101"/>
      <c r="AJ2116" s="100"/>
      <c r="AK2116" s="100"/>
      <c r="AL2116" s="100"/>
      <c r="AM2116" s="100"/>
      <c r="AN2116" s="100"/>
      <c r="AO2116" s="100"/>
      <c r="AP2116" s="100"/>
      <c r="AQ2116" s="100"/>
      <c r="AR2116" s="100"/>
      <c r="AS2116" s="100"/>
      <c r="AT2116" s="102"/>
      <c r="AX2116" s="100"/>
      <c r="AY2116" s="101"/>
      <c r="AZ2116" s="101"/>
      <c r="BA2116" s="101"/>
      <c r="BB2116" s="100"/>
      <c r="BC2116" s="100"/>
      <c r="BD2116" s="100"/>
      <c r="BE2116" s="100"/>
      <c r="BF2116" s="100"/>
      <c r="BG2116" s="100"/>
      <c r="BH2116" s="100"/>
      <c r="BI2116" s="100"/>
      <c r="BJ2116" s="100"/>
      <c r="BK2116" s="102"/>
    </row>
    <row r="2117" spans="1:63" x14ac:dyDescent="0.25">
      <c r="A2117" s="92"/>
      <c r="B2117" s="93"/>
      <c r="C2117" s="93"/>
      <c r="D2117" s="92"/>
      <c r="E2117" s="92"/>
      <c r="F2117" s="92"/>
      <c r="G2117" s="92"/>
      <c r="H2117" s="92"/>
      <c r="I2117" s="92"/>
      <c r="J2117" s="92"/>
      <c r="K2117" s="92"/>
      <c r="L2117" s="92"/>
      <c r="M2117" s="92"/>
      <c r="N2117" s="94"/>
      <c r="AG2117" s="100"/>
      <c r="AH2117" s="101"/>
      <c r="AI2117" s="101"/>
      <c r="AJ2117" s="101"/>
      <c r="AK2117" s="100"/>
      <c r="AL2117" s="100"/>
      <c r="AM2117" s="100"/>
      <c r="AN2117" s="100"/>
      <c r="AO2117" s="100"/>
      <c r="AP2117" s="100"/>
      <c r="AQ2117" s="100"/>
      <c r="AR2117" s="100"/>
      <c r="AS2117" s="100"/>
      <c r="AT2117" s="102"/>
      <c r="AX2117" s="100"/>
      <c r="AY2117" s="101"/>
      <c r="AZ2117" s="101"/>
      <c r="BA2117" s="100"/>
      <c r="BB2117" s="100"/>
      <c r="BC2117" s="100"/>
      <c r="BD2117" s="100"/>
      <c r="BE2117" s="100"/>
      <c r="BF2117" s="100"/>
      <c r="BG2117" s="100"/>
      <c r="BH2117" s="100"/>
      <c r="BI2117" s="100"/>
      <c r="BJ2117" s="100"/>
      <c r="BK2117" s="102"/>
    </row>
    <row r="2118" spans="1:63" x14ac:dyDescent="0.25">
      <c r="A2118" s="92"/>
      <c r="B2118" s="93"/>
      <c r="C2118" s="93"/>
      <c r="D2118" s="92"/>
      <c r="E2118" s="92"/>
      <c r="F2118" s="92"/>
      <c r="G2118" s="92"/>
      <c r="H2118" s="92"/>
      <c r="I2118" s="92"/>
      <c r="J2118" s="92"/>
      <c r="K2118" s="92"/>
      <c r="L2118" s="92"/>
      <c r="M2118" s="92"/>
      <c r="N2118" s="94"/>
      <c r="AG2118" s="100"/>
      <c r="AH2118" s="101"/>
      <c r="AI2118" s="101"/>
      <c r="AJ2118" s="100"/>
      <c r="AK2118" s="100"/>
      <c r="AL2118" s="100"/>
      <c r="AM2118" s="100"/>
      <c r="AN2118" s="100"/>
      <c r="AO2118" s="100"/>
      <c r="AP2118" s="100"/>
      <c r="AQ2118" s="100"/>
      <c r="AR2118" s="100"/>
      <c r="AS2118" s="100"/>
      <c r="AT2118" s="102"/>
      <c r="AX2118" s="100"/>
      <c r="AY2118" s="101"/>
      <c r="AZ2118" s="101"/>
      <c r="BA2118" s="101"/>
      <c r="BB2118" s="100"/>
      <c r="BC2118" s="100"/>
      <c r="BD2118" s="100"/>
      <c r="BE2118" s="100"/>
      <c r="BF2118" s="100"/>
      <c r="BG2118" s="100"/>
      <c r="BH2118" s="100"/>
      <c r="BI2118" s="100"/>
      <c r="BJ2118" s="100"/>
      <c r="BK2118" s="102"/>
    </row>
    <row r="2119" spans="1:63" x14ac:dyDescent="0.25">
      <c r="A2119" s="92"/>
      <c r="B2119" s="93"/>
      <c r="C2119" s="93"/>
      <c r="D2119" s="92"/>
      <c r="E2119" s="92"/>
      <c r="F2119" s="92"/>
      <c r="G2119" s="92"/>
      <c r="H2119" s="92"/>
      <c r="I2119" s="92"/>
      <c r="J2119" s="92"/>
      <c r="K2119" s="92"/>
      <c r="L2119" s="92"/>
      <c r="M2119" s="92"/>
      <c r="N2119" s="94"/>
      <c r="AG2119" s="100"/>
      <c r="AH2119" s="101"/>
      <c r="AI2119" s="101"/>
      <c r="AJ2119" s="100"/>
      <c r="AK2119" s="100"/>
      <c r="AL2119" s="100"/>
      <c r="AM2119" s="100"/>
      <c r="AN2119" s="100"/>
      <c r="AO2119" s="100"/>
      <c r="AP2119" s="100"/>
      <c r="AQ2119" s="100"/>
      <c r="AR2119" s="100"/>
      <c r="AS2119" s="100"/>
      <c r="AT2119" s="102"/>
      <c r="AX2119" s="100"/>
      <c r="AY2119" s="101"/>
      <c r="AZ2119" s="101"/>
      <c r="BA2119" s="100"/>
      <c r="BB2119" s="100"/>
      <c r="BC2119" s="100"/>
      <c r="BD2119" s="100"/>
      <c r="BE2119" s="100"/>
      <c r="BF2119" s="100"/>
      <c r="BG2119" s="100"/>
      <c r="BH2119" s="100"/>
      <c r="BI2119" s="100"/>
      <c r="BJ2119" s="100"/>
      <c r="BK2119" s="102"/>
    </row>
    <row r="2120" spans="1:63" x14ac:dyDescent="0.25">
      <c r="A2120" s="92"/>
      <c r="B2120" s="93"/>
      <c r="C2120" s="93"/>
      <c r="D2120" s="92"/>
      <c r="E2120" s="92"/>
      <c r="F2120" s="92"/>
      <c r="G2120" s="92"/>
      <c r="H2120" s="92"/>
      <c r="I2120" s="92"/>
      <c r="J2120" s="92"/>
      <c r="K2120" s="92"/>
      <c r="L2120" s="92"/>
      <c r="M2120" s="92"/>
      <c r="N2120" s="94"/>
      <c r="AG2120" s="100"/>
      <c r="AH2120" s="101"/>
      <c r="AI2120" s="101"/>
      <c r="AJ2120" s="101"/>
      <c r="AK2120" s="100"/>
      <c r="AL2120" s="100"/>
      <c r="AM2120" s="100"/>
      <c r="AN2120" s="100"/>
      <c r="AO2120" s="100"/>
      <c r="AP2120" s="100"/>
      <c r="AQ2120" s="100"/>
      <c r="AR2120" s="100"/>
      <c r="AS2120" s="100"/>
      <c r="AT2120" s="102"/>
      <c r="AX2120" s="100"/>
      <c r="AY2120" s="101"/>
      <c r="AZ2120" s="101"/>
      <c r="BA2120" s="100"/>
      <c r="BB2120" s="100"/>
      <c r="BC2120" s="100"/>
      <c r="BD2120" s="100"/>
      <c r="BE2120" s="100"/>
      <c r="BF2120" s="100"/>
      <c r="BG2120" s="100"/>
      <c r="BH2120" s="100"/>
      <c r="BI2120" s="100"/>
      <c r="BJ2120" s="100"/>
      <c r="BK2120" s="102"/>
    </row>
    <row r="2121" spans="1:63" x14ac:dyDescent="0.25">
      <c r="A2121" s="92"/>
      <c r="B2121" s="92"/>
      <c r="C2121" s="92"/>
      <c r="D2121" s="92"/>
      <c r="E2121" s="92"/>
      <c r="F2121" s="92"/>
      <c r="G2121" s="92"/>
      <c r="H2121" s="92"/>
      <c r="I2121" s="92"/>
      <c r="J2121" s="92"/>
      <c r="K2121" s="92"/>
      <c r="L2121" s="92"/>
      <c r="M2121" s="92"/>
      <c r="N2121" s="92"/>
      <c r="AG2121" s="100"/>
      <c r="AH2121" s="101"/>
      <c r="AI2121" s="101"/>
      <c r="AJ2121" s="101"/>
      <c r="AK2121" s="100"/>
      <c r="AL2121" s="100"/>
      <c r="AM2121" s="100"/>
      <c r="AN2121" s="100"/>
      <c r="AO2121" s="100"/>
      <c r="AP2121" s="100"/>
      <c r="AQ2121" s="100"/>
      <c r="AR2121" s="100"/>
      <c r="AS2121" s="100"/>
      <c r="AT2121" s="102"/>
      <c r="AX2121" s="100"/>
      <c r="AY2121" s="101"/>
      <c r="AZ2121" s="101"/>
      <c r="BA2121" s="101"/>
      <c r="BB2121" s="100"/>
      <c r="BC2121" s="100"/>
      <c r="BD2121" s="100"/>
      <c r="BE2121" s="100"/>
      <c r="BF2121" s="100"/>
      <c r="BG2121" s="100"/>
      <c r="BH2121" s="100"/>
      <c r="BI2121" s="100"/>
      <c r="BJ2121" s="100"/>
      <c r="BK2121" s="102"/>
    </row>
    <row r="2122" spans="1:63" x14ac:dyDescent="0.25">
      <c r="A2122" s="92"/>
      <c r="B2122" s="92"/>
      <c r="C2122" s="92"/>
      <c r="D2122" s="92"/>
      <c r="E2122" s="92"/>
      <c r="F2122" s="92"/>
      <c r="G2122" s="92"/>
      <c r="H2122" s="92"/>
      <c r="I2122" s="92"/>
      <c r="J2122" s="92"/>
      <c r="K2122" s="92"/>
      <c r="L2122" s="92"/>
      <c r="M2122" s="92"/>
      <c r="N2122" s="92"/>
      <c r="AG2122" s="100"/>
      <c r="AH2122" s="101"/>
      <c r="AI2122" s="101"/>
      <c r="AJ2122" s="100"/>
      <c r="AK2122" s="100"/>
      <c r="AL2122" s="100"/>
      <c r="AM2122" s="100"/>
      <c r="AN2122" s="100"/>
      <c r="AO2122" s="100"/>
      <c r="AP2122" s="100"/>
      <c r="AQ2122" s="100"/>
      <c r="AR2122" s="100"/>
      <c r="AS2122" s="100"/>
      <c r="AT2122" s="102"/>
      <c r="AX2122" s="100"/>
      <c r="AY2122" s="101"/>
      <c r="AZ2122" s="101"/>
      <c r="BA2122" s="101"/>
      <c r="BB2122" s="100"/>
      <c r="BC2122" s="100"/>
      <c r="BD2122" s="100"/>
      <c r="BE2122" s="100"/>
      <c r="BF2122" s="100"/>
      <c r="BG2122" s="100"/>
      <c r="BH2122" s="100"/>
      <c r="BI2122" s="100"/>
      <c r="BJ2122" s="100"/>
      <c r="BK2122" s="102"/>
    </row>
    <row r="2123" spans="1:63" x14ac:dyDescent="0.25">
      <c r="A2123" s="92"/>
      <c r="B2123" s="92"/>
      <c r="C2123" s="92"/>
      <c r="D2123" s="92"/>
      <c r="E2123" s="92"/>
      <c r="F2123" s="92"/>
      <c r="G2123" s="92"/>
      <c r="H2123" s="92"/>
      <c r="I2123" s="92"/>
      <c r="J2123" s="92"/>
      <c r="K2123" s="92"/>
      <c r="L2123" s="92"/>
      <c r="M2123" s="92"/>
      <c r="N2123" s="92"/>
      <c r="AG2123" s="100"/>
      <c r="AH2123" s="101"/>
      <c r="AI2123" s="101"/>
      <c r="AJ2123" s="101"/>
      <c r="AK2123" s="100"/>
      <c r="AL2123" s="100"/>
      <c r="AM2123" s="100"/>
      <c r="AN2123" s="100"/>
      <c r="AO2123" s="100"/>
      <c r="AP2123" s="100"/>
      <c r="AQ2123" s="100"/>
      <c r="AR2123" s="100"/>
      <c r="AS2123" s="100"/>
      <c r="AT2123" s="102"/>
      <c r="AX2123" s="100"/>
      <c r="AY2123" s="101"/>
      <c r="AZ2123" s="101"/>
      <c r="BA2123" s="100"/>
      <c r="BB2123" s="100"/>
      <c r="BC2123" s="100"/>
      <c r="BD2123" s="100"/>
      <c r="BE2123" s="100"/>
      <c r="BF2123" s="100"/>
      <c r="BG2123" s="100"/>
      <c r="BH2123" s="100"/>
      <c r="BI2123" s="100"/>
      <c r="BJ2123" s="100"/>
      <c r="BK2123" s="102"/>
    </row>
    <row r="2124" spans="1:63" x14ac:dyDescent="0.25">
      <c r="A2124" s="92"/>
      <c r="B2124" s="92"/>
      <c r="C2124" s="92"/>
      <c r="D2124" s="92"/>
      <c r="E2124" s="92"/>
      <c r="F2124" s="92"/>
      <c r="G2124" s="92"/>
      <c r="H2124" s="92"/>
      <c r="I2124" s="92"/>
      <c r="J2124" s="92"/>
      <c r="K2124" s="92"/>
      <c r="L2124" s="92"/>
      <c r="M2124" s="92"/>
      <c r="N2124" s="92"/>
      <c r="AG2124" s="100"/>
      <c r="AH2124" s="101"/>
      <c r="AI2124" s="101"/>
      <c r="AJ2124" s="100"/>
      <c r="AK2124" s="100"/>
      <c r="AL2124" s="100"/>
      <c r="AM2124" s="100"/>
      <c r="AN2124" s="100"/>
      <c r="AO2124" s="100"/>
      <c r="AP2124" s="100"/>
      <c r="AQ2124" s="100"/>
      <c r="AR2124" s="100"/>
      <c r="AS2124" s="100"/>
      <c r="AT2124" s="102"/>
      <c r="AX2124" s="100"/>
      <c r="AY2124" s="101"/>
      <c r="AZ2124" s="101"/>
      <c r="BA2124" s="101"/>
      <c r="BB2124" s="100"/>
      <c r="BC2124" s="100"/>
      <c r="BD2124" s="100"/>
      <c r="BE2124" s="100"/>
      <c r="BF2124" s="100"/>
      <c r="BG2124" s="100"/>
      <c r="BH2124" s="100"/>
      <c r="BI2124" s="100"/>
      <c r="BJ2124" s="100"/>
      <c r="BK2124" s="102"/>
    </row>
    <row r="2125" spans="1:63" x14ac:dyDescent="0.25">
      <c r="A2125" s="92"/>
      <c r="B2125" s="93"/>
      <c r="C2125" s="93"/>
      <c r="D2125" s="92"/>
      <c r="E2125" s="92"/>
      <c r="F2125" s="92"/>
      <c r="G2125" s="92"/>
      <c r="H2125" s="92"/>
      <c r="I2125" s="92"/>
      <c r="J2125" s="92"/>
      <c r="K2125" s="92"/>
      <c r="L2125" s="92"/>
      <c r="M2125" s="92"/>
      <c r="N2125" s="94"/>
      <c r="AG2125" s="100"/>
      <c r="AH2125" s="101"/>
      <c r="AI2125" s="101"/>
      <c r="AJ2125" s="100"/>
      <c r="AK2125" s="100"/>
      <c r="AL2125" s="100"/>
      <c r="AM2125" s="100"/>
      <c r="AN2125" s="100"/>
      <c r="AO2125" s="100"/>
      <c r="AP2125" s="100"/>
      <c r="AQ2125" s="100"/>
      <c r="AR2125" s="100"/>
      <c r="AS2125" s="100"/>
      <c r="AT2125" s="102"/>
      <c r="AX2125" s="100"/>
      <c r="AY2125" s="101"/>
      <c r="AZ2125" s="101"/>
      <c r="BA2125" s="100"/>
      <c r="BB2125" s="100"/>
      <c r="BC2125" s="100"/>
      <c r="BD2125" s="100"/>
      <c r="BE2125" s="100"/>
      <c r="BF2125" s="100"/>
      <c r="BG2125" s="100"/>
      <c r="BH2125" s="100"/>
      <c r="BI2125" s="100"/>
      <c r="BJ2125" s="100"/>
      <c r="BK2125" s="102"/>
    </row>
    <row r="2126" spans="1:63" x14ac:dyDescent="0.25">
      <c r="A2126" s="92"/>
      <c r="B2126" s="92"/>
      <c r="C2126" s="92"/>
      <c r="D2126" s="92"/>
      <c r="E2126" s="92"/>
      <c r="F2126" s="92"/>
      <c r="G2126" s="92"/>
      <c r="H2126" s="92"/>
      <c r="I2126" s="92"/>
      <c r="J2126" s="92"/>
      <c r="K2126" s="92"/>
      <c r="L2126" s="92"/>
      <c r="M2126" s="92"/>
      <c r="N2126" s="92"/>
      <c r="AG2126" s="100"/>
      <c r="AH2126" s="101"/>
      <c r="AI2126" s="101"/>
      <c r="AJ2126" s="100"/>
      <c r="AK2126" s="100"/>
      <c r="AL2126" s="100"/>
      <c r="AM2126" s="100"/>
      <c r="AN2126" s="100"/>
      <c r="AO2126" s="100"/>
      <c r="AP2126" s="100"/>
      <c r="AQ2126" s="100"/>
      <c r="AR2126" s="100"/>
      <c r="AS2126" s="100"/>
      <c r="AT2126" s="102"/>
      <c r="AX2126" s="100"/>
      <c r="AY2126" s="101"/>
      <c r="AZ2126" s="101"/>
      <c r="BA2126" s="100"/>
      <c r="BB2126" s="100"/>
      <c r="BC2126" s="100"/>
      <c r="BD2126" s="100"/>
      <c r="BE2126" s="100"/>
      <c r="BF2126" s="100"/>
      <c r="BG2126" s="100"/>
      <c r="BH2126" s="100"/>
      <c r="BI2126" s="100"/>
      <c r="BJ2126" s="100"/>
      <c r="BK2126" s="102"/>
    </row>
    <row r="2127" spans="1:63" x14ac:dyDescent="0.25">
      <c r="A2127" s="92"/>
      <c r="B2127" s="92"/>
      <c r="C2127" s="92"/>
      <c r="D2127" s="92"/>
      <c r="E2127" s="92"/>
      <c r="F2127" s="92"/>
      <c r="G2127" s="92"/>
      <c r="H2127" s="92"/>
      <c r="I2127" s="92"/>
      <c r="J2127" s="92"/>
      <c r="K2127" s="92"/>
      <c r="L2127" s="92"/>
      <c r="M2127" s="92"/>
      <c r="N2127" s="92"/>
      <c r="AG2127" s="100"/>
      <c r="AH2127" s="101"/>
      <c r="AI2127" s="101"/>
      <c r="AJ2127" s="100"/>
      <c r="AK2127" s="100"/>
      <c r="AL2127" s="100"/>
      <c r="AM2127" s="100"/>
      <c r="AN2127" s="100"/>
      <c r="AO2127" s="100"/>
      <c r="AP2127" s="100"/>
      <c r="AQ2127" s="100"/>
      <c r="AR2127" s="100"/>
      <c r="AS2127" s="100"/>
      <c r="AT2127" s="102"/>
      <c r="AX2127" s="100"/>
      <c r="AY2127" s="101"/>
      <c r="AZ2127" s="101"/>
      <c r="BA2127" s="100"/>
      <c r="BB2127" s="100"/>
      <c r="BC2127" s="100"/>
      <c r="BD2127" s="100"/>
      <c r="BE2127" s="100"/>
      <c r="BF2127" s="100"/>
      <c r="BG2127" s="100"/>
      <c r="BH2127" s="100"/>
      <c r="BI2127" s="100"/>
      <c r="BJ2127" s="100"/>
      <c r="BK2127" s="102"/>
    </row>
    <row r="2128" spans="1:63" x14ac:dyDescent="0.25">
      <c r="A2128" s="92"/>
      <c r="B2128" s="93"/>
      <c r="C2128" s="93"/>
      <c r="D2128" s="92"/>
      <c r="E2128" s="92"/>
      <c r="F2128" s="92"/>
      <c r="G2128" s="92"/>
      <c r="H2128" s="92"/>
      <c r="I2128" s="92"/>
      <c r="J2128" s="92"/>
      <c r="K2128" s="92"/>
      <c r="L2128" s="92"/>
      <c r="M2128" s="92"/>
      <c r="N2128" s="94"/>
      <c r="AG2128" s="100"/>
      <c r="AH2128" s="101"/>
      <c r="AI2128" s="101"/>
      <c r="AJ2128" s="100"/>
      <c r="AK2128" s="100"/>
      <c r="AL2128" s="100"/>
      <c r="AM2128" s="100"/>
      <c r="AN2128" s="100"/>
      <c r="AO2128" s="100"/>
      <c r="AP2128" s="100"/>
      <c r="AQ2128" s="100"/>
      <c r="AR2128" s="100"/>
      <c r="AS2128" s="100"/>
      <c r="AT2128" s="102"/>
      <c r="AX2128" s="100"/>
      <c r="AY2128" s="101"/>
      <c r="AZ2128" s="101"/>
      <c r="BA2128" s="100"/>
      <c r="BB2128" s="100"/>
      <c r="BC2128" s="100"/>
      <c r="BD2128" s="100"/>
      <c r="BE2128" s="100"/>
      <c r="BF2128" s="100"/>
      <c r="BG2128" s="100"/>
      <c r="BH2128" s="100"/>
      <c r="BI2128" s="100"/>
      <c r="BJ2128" s="100"/>
      <c r="BK2128" s="102"/>
    </row>
    <row r="2129" spans="1:63" x14ac:dyDescent="0.25">
      <c r="A2129" s="92"/>
      <c r="B2129" s="93"/>
      <c r="C2129" s="93"/>
      <c r="D2129" s="92"/>
      <c r="E2129" s="92"/>
      <c r="F2129" s="92"/>
      <c r="G2129" s="92"/>
      <c r="H2129" s="92"/>
      <c r="I2129" s="92"/>
      <c r="J2129" s="92"/>
      <c r="K2129" s="92"/>
      <c r="L2129" s="92"/>
      <c r="M2129" s="92"/>
      <c r="N2129" s="94"/>
      <c r="AG2129" s="100"/>
      <c r="AH2129" s="101"/>
      <c r="AI2129" s="101"/>
      <c r="AJ2129" s="100"/>
      <c r="AK2129" s="100"/>
      <c r="AL2129" s="100"/>
      <c r="AM2129" s="100"/>
      <c r="AN2129" s="100"/>
      <c r="AO2129" s="100"/>
      <c r="AP2129" s="100"/>
      <c r="AQ2129" s="100"/>
      <c r="AR2129" s="100"/>
      <c r="AS2129" s="100"/>
      <c r="AT2129" s="102"/>
      <c r="AX2129" s="100"/>
      <c r="AY2129" s="101"/>
      <c r="AZ2129" s="101"/>
      <c r="BA2129" s="100"/>
      <c r="BB2129" s="100"/>
      <c r="BC2129" s="100"/>
      <c r="BD2129" s="100"/>
      <c r="BE2129" s="100"/>
      <c r="BF2129" s="100"/>
      <c r="BG2129" s="100"/>
      <c r="BH2129" s="100"/>
      <c r="BI2129" s="100"/>
      <c r="BJ2129" s="100"/>
      <c r="BK2129" s="102"/>
    </row>
    <row r="2130" spans="1:63" x14ac:dyDescent="0.25">
      <c r="A2130" s="92"/>
      <c r="B2130" s="93"/>
      <c r="C2130" s="93"/>
      <c r="D2130" s="92"/>
      <c r="E2130" s="92"/>
      <c r="F2130" s="92"/>
      <c r="G2130" s="92"/>
      <c r="H2130" s="92"/>
      <c r="I2130" s="92"/>
      <c r="J2130" s="92"/>
      <c r="K2130" s="92"/>
      <c r="L2130" s="92"/>
      <c r="M2130" s="92"/>
      <c r="N2130" s="94"/>
      <c r="AG2130" s="100"/>
      <c r="AH2130" s="101"/>
      <c r="AI2130" s="101"/>
      <c r="AJ2130" s="100"/>
      <c r="AK2130" s="100"/>
      <c r="AL2130" s="100"/>
      <c r="AM2130" s="100"/>
      <c r="AN2130" s="100"/>
      <c r="AO2130" s="100"/>
      <c r="AP2130" s="100"/>
      <c r="AQ2130" s="100"/>
      <c r="AR2130" s="100"/>
      <c r="AS2130" s="100"/>
      <c r="AT2130" s="102"/>
      <c r="AX2130" s="100"/>
      <c r="AY2130" s="101"/>
      <c r="AZ2130" s="101"/>
      <c r="BA2130" s="100"/>
      <c r="BB2130" s="100"/>
      <c r="BC2130" s="100"/>
      <c r="BD2130" s="100"/>
      <c r="BE2130" s="100"/>
      <c r="BF2130" s="100"/>
      <c r="BG2130" s="100"/>
      <c r="BH2130" s="100"/>
      <c r="BI2130" s="100"/>
      <c r="BJ2130" s="100"/>
      <c r="BK2130" s="102"/>
    </row>
    <row r="2131" spans="1:63" x14ac:dyDescent="0.25">
      <c r="A2131" s="92"/>
      <c r="B2131" s="92"/>
      <c r="C2131" s="92"/>
      <c r="D2131" s="92"/>
      <c r="E2131" s="92"/>
      <c r="F2131" s="92"/>
      <c r="G2131" s="92"/>
      <c r="H2131" s="92"/>
      <c r="I2131" s="92"/>
      <c r="J2131" s="92"/>
      <c r="K2131" s="92"/>
      <c r="L2131" s="92"/>
      <c r="M2131" s="92"/>
      <c r="N2131" s="92"/>
      <c r="AG2131" s="100"/>
      <c r="AH2131" s="101"/>
      <c r="AI2131" s="101"/>
      <c r="AJ2131" s="100"/>
      <c r="AK2131" s="100"/>
      <c r="AL2131" s="100"/>
      <c r="AM2131" s="100"/>
      <c r="AN2131" s="100"/>
      <c r="AO2131" s="100"/>
      <c r="AP2131" s="100"/>
      <c r="AQ2131" s="100"/>
      <c r="AR2131" s="100"/>
      <c r="AS2131" s="100"/>
      <c r="AT2131" s="102"/>
      <c r="AX2131" s="100"/>
      <c r="AY2131" s="101"/>
      <c r="AZ2131" s="101"/>
      <c r="BA2131" s="101"/>
      <c r="BB2131" s="100"/>
      <c r="BC2131" s="100"/>
      <c r="BD2131" s="100"/>
      <c r="BE2131" s="100"/>
      <c r="BF2131" s="100"/>
      <c r="BG2131" s="100"/>
      <c r="BH2131" s="100"/>
      <c r="BI2131" s="100"/>
      <c r="BJ2131" s="100"/>
      <c r="BK2131" s="102"/>
    </row>
    <row r="2132" spans="1:63" x14ac:dyDescent="0.25">
      <c r="A2132" s="92"/>
      <c r="B2132" s="93"/>
      <c r="C2132" s="93"/>
      <c r="D2132" s="93"/>
      <c r="E2132" s="92"/>
      <c r="F2132" s="92"/>
      <c r="G2132" s="92"/>
      <c r="H2132" s="92"/>
      <c r="I2132" s="92"/>
      <c r="J2132" s="92"/>
      <c r="K2132" s="92"/>
      <c r="L2132" s="92"/>
      <c r="M2132" s="92"/>
      <c r="N2132" s="94"/>
      <c r="AG2132" s="100"/>
      <c r="AH2132" s="101"/>
      <c r="AI2132" s="101"/>
      <c r="AJ2132" s="101"/>
      <c r="AK2132" s="100"/>
      <c r="AL2132" s="100"/>
      <c r="AM2132" s="100"/>
      <c r="AN2132" s="100"/>
      <c r="AO2132" s="100"/>
      <c r="AP2132" s="100"/>
      <c r="AQ2132" s="100"/>
      <c r="AR2132" s="100"/>
      <c r="AS2132" s="100"/>
      <c r="AT2132" s="102"/>
      <c r="AX2132" s="100"/>
      <c r="AY2132" s="101"/>
      <c r="AZ2132" s="101"/>
      <c r="BA2132" s="100"/>
      <c r="BB2132" s="100"/>
      <c r="BC2132" s="100"/>
      <c r="BD2132" s="100"/>
      <c r="BE2132" s="100"/>
      <c r="BF2132" s="100"/>
      <c r="BG2132" s="100"/>
      <c r="BH2132" s="100"/>
      <c r="BI2132" s="100"/>
      <c r="BJ2132" s="100"/>
      <c r="BK2132" s="102"/>
    </row>
    <row r="2133" spans="1:63" x14ac:dyDescent="0.25">
      <c r="A2133" s="92"/>
      <c r="B2133" s="92"/>
      <c r="C2133" s="92"/>
      <c r="D2133" s="92"/>
      <c r="E2133" s="92"/>
      <c r="F2133" s="92"/>
      <c r="G2133" s="92"/>
      <c r="H2133" s="92"/>
      <c r="I2133" s="92"/>
      <c r="J2133" s="92"/>
      <c r="K2133" s="92"/>
      <c r="L2133" s="92"/>
      <c r="M2133" s="92"/>
      <c r="N2133" s="92"/>
      <c r="AG2133" s="100"/>
      <c r="AH2133" s="101"/>
      <c r="AI2133" s="101"/>
      <c r="AJ2133" s="100"/>
      <c r="AK2133" s="100"/>
      <c r="AL2133" s="100"/>
      <c r="AM2133" s="100"/>
      <c r="AN2133" s="100"/>
      <c r="AO2133" s="100"/>
      <c r="AP2133" s="100"/>
      <c r="AQ2133" s="100"/>
      <c r="AR2133" s="100"/>
      <c r="AS2133" s="100"/>
      <c r="AT2133" s="102"/>
      <c r="AX2133" s="100"/>
      <c r="AY2133" s="101"/>
      <c r="AZ2133" s="101"/>
      <c r="BA2133" s="100"/>
      <c r="BB2133" s="100"/>
      <c r="BC2133" s="100"/>
      <c r="BD2133" s="100"/>
      <c r="BE2133" s="100"/>
      <c r="BF2133" s="100"/>
      <c r="BG2133" s="100"/>
      <c r="BH2133" s="100"/>
      <c r="BI2133" s="100"/>
      <c r="BJ2133" s="100"/>
      <c r="BK2133" s="102"/>
    </row>
    <row r="2134" spans="1:63" x14ac:dyDescent="0.25">
      <c r="A2134" s="92"/>
      <c r="B2134" s="92"/>
      <c r="C2134" s="92"/>
      <c r="D2134" s="92"/>
      <c r="E2134" s="92"/>
      <c r="F2134" s="92"/>
      <c r="G2134" s="92"/>
      <c r="H2134" s="92"/>
      <c r="I2134" s="92"/>
      <c r="J2134" s="92"/>
      <c r="K2134" s="92"/>
      <c r="L2134" s="92"/>
      <c r="M2134" s="92"/>
      <c r="N2134" s="92"/>
      <c r="AG2134" s="100"/>
      <c r="AH2134" s="101"/>
      <c r="AI2134" s="101"/>
      <c r="AJ2134" s="100"/>
      <c r="AK2134" s="100"/>
      <c r="AL2134" s="100"/>
      <c r="AM2134" s="100"/>
      <c r="AN2134" s="100"/>
      <c r="AO2134" s="100"/>
      <c r="AP2134" s="100"/>
      <c r="AQ2134" s="100"/>
      <c r="AR2134" s="100"/>
      <c r="AS2134" s="100"/>
      <c r="AT2134" s="102"/>
      <c r="AX2134" s="100"/>
      <c r="AY2134" s="101"/>
      <c r="AZ2134" s="101"/>
      <c r="BA2134" s="101"/>
      <c r="BB2134" s="100"/>
      <c r="BC2134" s="100"/>
      <c r="BD2134" s="100"/>
      <c r="BE2134" s="100"/>
      <c r="BF2134" s="100"/>
      <c r="BG2134" s="100"/>
      <c r="BH2134" s="100"/>
      <c r="BI2134" s="100"/>
      <c r="BJ2134" s="100"/>
      <c r="BK2134" s="102"/>
    </row>
    <row r="2135" spans="1:63" x14ac:dyDescent="0.25">
      <c r="A2135" s="92"/>
      <c r="B2135" s="92"/>
      <c r="C2135" s="92"/>
      <c r="D2135" s="92"/>
      <c r="E2135" s="92"/>
      <c r="F2135" s="92"/>
      <c r="G2135" s="92"/>
      <c r="H2135" s="92"/>
      <c r="I2135" s="92"/>
      <c r="J2135" s="92"/>
      <c r="K2135" s="92"/>
      <c r="L2135" s="92"/>
      <c r="M2135" s="92"/>
      <c r="N2135" s="92"/>
      <c r="AG2135" s="100"/>
      <c r="AH2135" s="101"/>
      <c r="AI2135" s="101"/>
      <c r="AJ2135" s="100"/>
      <c r="AK2135" s="100"/>
      <c r="AL2135" s="100"/>
      <c r="AM2135" s="100"/>
      <c r="AN2135" s="100"/>
      <c r="AO2135" s="100"/>
      <c r="AP2135" s="100"/>
      <c r="AQ2135" s="100"/>
      <c r="AR2135" s="100"/>
      <c r="AS2135" s="100"/>
      <c r="AT2135" s="102"/>
      <c r="AX2135" s="100"/>
      <c r="AY2135" s="101"/>
      <c r="AZ2135" s="101"/>
      <c r="BA2135" s="100"/>
      <c r="BB2135" s="100"/>
      <c r="BC2135" s="100"/>
      <c r="BD2135" s="100"/>
      <c r="BE2135" s="100"/>
      <c r="BF2135" s="100"/>
      <c r="BG2135" s="100"/>
      <c r="BH2135" s="100"/>
      <c r="BI2135" s="100"/>
      <c r="BJ2135" s="100"/>
      <c r="BK2135" s="102"/>
    </row>
    <row r="2136" spans="1:63" x14ac:dyDescent="0.25">
      <c r="A2136" s="92"/>
      <c r="B2136" s="93"/>
      <c r="C2136" s="93"/>
      <c r="D2136" s="92"/>
      <c r="E2136" s="92"/>
      <c r="F2136" s="92"/>
      <c r="G2136" s="92"/>
      <c r="H2136" s="92"/>
      <c r="I2136" s="92"/>
      <c r="J2136" s="92"/>
      <c r="K2136" s="92"/>
      <c r="L2136" s="92"/>
      <c r="M2136" s="92"/>
      <c r="N2136" s="94"/>
      <c r="AG2136" s="100"/>
      <c r="AH2136" s="101"/>
      <c r="AI2136" s="101"/>
      <c r="AJ2136" s="100"/>
      <c r="AK2136" s="100"/>
      <c r="AL2136" s="100"/>
      <c r="AM2136" s="100"/>
      <c r="AN2136" s="100"/>
      <c r="AO2136" s="100"/>
      <c r="AP2136" s="100"/>
      <c r="AQ2136" s="100"/>
      <c r="AR2136" s="100"/>
      <c r="AS2136" s="100"/>
      <c r="AT2136" s="102"/>
      <c r="AX2136" s="100"/>
      <c r="AY2136" s="101"/>
      <c r="AZ2136" s="101"/>
      <c r="BA2136" s="100"/>
      <c r="BB2136" s="100"/>
      <c r="BC2136" s="100"/>
      <c r="BD2136" s="100"/>
      <c r="BE2136" s="100"/>
      <c r="BF2136" s="100"/>
      <c r="BG2136" s="100"/>
      <c r="BH2136" s="100"/>
      <c r="BI2136" s="100"/>
      <c r="BJ2136" s="100"/>
      <c r="BK2136" s="102"/>
    </row>
    <row r="2137" spans="1:63" x14ac:dyDescent="0.25">
      <c r="A2137" s="92"/>
      <c r="B2137" s="93"/>
      <c r="C2137" s="93"/>
      <c r="D2137" s="92"/>
      <c r="E2137" s="92"/>
      <c r="F2137" s="92"/>
      <c r="G2137" s="92"/>
      <c r="H2137" s="92"/>
      <c r="I2137" s="92"/>
      <c r="J2137" s="92"/>
      <c r="K2137" s="92"/>
      <c r="L2137" s="92"/>
      <c r="M2137" s="92"/>
      <c r="N2137" s="94"/>
      <c r="AG2137" s="100"/>
      <c r="AH2137" s="101"/>
      <c r="AI2137" s="101"/>
      <c r="AJ2137" s="100"/>
      <c r="AK2137" s="100"/>
      <c r="AL2137" s="100"/>
      <c r="AM2137" s="100"/>
      <c r="AN2137" s="100"/>
      <c r="AO2137" s="100"/>
      <c r="AP2137" s="100"/>
      <c r="AQ2137" s="100"/>
      <c r="AR2137" s="100"/>
      <c r="AS2137" s="100"/>
      <c r="AT2137" s="102"/>
      <c r="AX2137" s="100"/>
      <c r="AY2137" s="101"/>
      <c r="AZ2137" s="101"/>
      <c r="BA2137" s="101"/>
      <c r="BB2137" s="100"/>
      <c r="BC2137" s="100"/>
      <c r="BD2137" s="100"/>
      <c r="BE2137" s="100"/>
      <c r="BF2137" s="100"/>
      <c r="BG2137" s="100"/>
      <c r="BH2137" s="100"/>
      <c r="BI2137" s="100"/>
      <c r="BJ2137" s="100"/>
      <c r="BK2137" s="102"/>
    </row>
    <row r="2138" spans="1:63" x14ac:dyDescent="0.25">
      <c r="A2138" s="92"/>
      <c r="B2138" s="92"/>
      <c r="C2138" s="92"/>
      <c r="D2138" s="92"/>
      <c r="E2138" s="92"/>
      <c r="F2138" s="92"/>
      <c r="G2138" s="92"/>
      <c r="H2138" s="92"/>
      <c r="I2138" s="92"/>
      <c r="J2138" s="92"/>
      <c r="K2138" s="92"/>
      <c r="L2138" s="92"/>
      <c r="M2138" s="92"/>
      <c r="N2138" s="92"/>
      <c r="AG2138" s="100"/>
      <c r="AH2138" s="101"/>
      <c r="AI2138" s="101"/>
      <c r="AJ2138" s="101"/>
      <c r="AK2138" s="100"/>
      <c r="AL2138" s="100"/>
      <c r="AM2138" s="100"/>
      <c r="AN2138" s="100"/>
      <c r="AO2138" s="100"/>
      <c r="AP2138" s="100"/>
      <c r="AQ2138" s="100"/>
      <c r="AR2138" s="100"/>
      <c r="AS2138" s="100"/>
      <c r="AT2138" s="102"/>
      <c r="AX2138" s="100"/>
      <c r="AY2138" s="101"/>
      <c r="AZ2138" s="101"/>
      <c r="BA2138" s="100"/>
      <c r="BB2138" s="100"/>
      <c r="BC2138" s="100"/>
      <c r="BD2138" s="100"/>
      <c r="BE2138" s="100"/>
      <c r="BF2138" s="100"/>
      <c r="BG2138" s="100"/>
      <c r="BH2138" s="100"/>
      <c r="BI2138" s="100"/>
      <c r="BJ2138" s="100"/>
      <c r="BK2138" s="102"/>
    </row>
    <row r="2139" spans="1:63" x14ac:dyDescent="0.25">
      <c r="A2139" s="92"/>
      <c r="B2139" s="92"/>
      <c r="C2139" s="92"/>
      <c r="D2139" s="92"/>
      <c r="E2139" s="92"/>
      <c r="F2139" s="92"/>
      <c r="G2139" s="92"/>
      <c r="H2139" s="92"/>
      <c r="I2139" s="92"/>
      <c r="J2139" s="92"/>
      <c r="K2139" s="92"/>
      <c r="L2139" s="92"/>
      <c r="M2139" s="92"/>
      <c r="N2139" s="92"/>
      <c r="AG2139" s="100"/>
      <c r="AH2139" s="101"/>
      <c r="AI2139" s="101"/>
      <c r="AJ2139" s="100"/>
      <c r="AK2139" s="100"/>
      <c r="AL2139" s="100"/>
      <c r="AM2139" s="100"/>
      <c r="AN2139" s="100"/>
      <c r="AO2139" s="100"/>
      <c r="AP2139" s="100"/>
      <c r="AQ2139" s="100"/>
      <c r="AR2139" s="100"/>
      <c r="AS2139" s="100"/>
      <c r="AT2139" s="102"/>
      <c r="AX2139" s="100"/>
      <c r="AY2139" s="101"/>
      <c r="AZ2139" s="101"/>
      <c r="BA2139" s="100"/>
      <c r="BB2139" s="100"/>
      <c r="BC2139" s="100"/>
      <c r="BD2139" s="100"/>
      <c r="BE2139" s="100"/>
      <c r="BF2139" s="100"/>
      <c r="BG2139" s="100"/>
      <c r="BH2139" s="100"/>
      <c r="BI2139" s="100"/>
      <c r="BJ2139" s="100"/>
      <c r="BK2139" s="102"/>
    </row>
    <row r="2140" spans="1:63" x14ac:dyDescent="0.25">
      <c r="A2140" s="92"/>
      <c r="B2140" s="93"/>
      <c r="C2140" s="93"/>
      <c r="D2140" s="92"/>
      <c r="E2140" s="92"/>
      <c r="F2140" s="92"/>
      <c r="G2140" s="92"/>
      <c r="H2140" s="92"/>
      <c r="I2140" s="92"/>
      <c r="J2140" s="92"/>
      <c r="K2140" s="92"/>
      <c r="L2140" s="92"/>
      <c r="M2140" s="92"/>
      <c r="N2140" s="94"/>
      <c r="AG2140" s="100"/>
      <c r="AH2140" s="101"/>
      <c r="AI2140" s="101"/>
      <c r="AJ2140" s="100"/>
      <c r="AK2140" s="100"/>
      <c r="AL2140" s="100"/>
      <c r="AM2140" s="100"/>
      <c r="AN2140" s="100"/>
      <c r="AO2140" s="100"/>
      <c r="AP2140" s="100"/>
      <c r="AQ2140" s="100"/>
      <c r="AR2140" s="100"/>
      <c r="AS2140" s="100"/>
      <c r="AT2140" s="102"/>
      <c r="AX2140" s="100"/>
      <c r="AY2140" s="101"/>
      <c r="AZ2140" s="101"/>
      <c r="BA2140" s="101"/>
      <c r="BB2140" s="100"/>
      <c r="BC2140" s="100"/>
      <c r="BD2140" s="100"/>
      <c r="BE2140" s="100"/>
      <c r="BF2140" s="100"/>
      <c r="BG2140" s="100"/>
      <c r="BH2140" s="100"/>
      <c r="BI2140" s="100"/>
      <c r="BJ2140" s="100"/>
      <c r="BK2140" s="102"/>
    </row>
    <row r="2141" spans="1:63" x14ac:dyDescent="0.25">
      <c r="A2141" s="92"/>
      <c r="B2141" s="93"/>
      <c r="C2141" s="93"/>
      <c r="D2141" s="92"/>
      <c r="E2141" s="92"/>
      <c r="F2141" s="92"/>
      <c r="G2141" s="92"/>
      <c r="H2141" s="92"/>
      <c r="I2141" s="92"/>
      <c r="J2141" s="92"/>
      <c r="K2141" s="92"/>
      <c r="L2141" s="92"/>
      <c r="M2141" s="92"/>
      <c r="N2141" s="94"/>
      <c r="AG2141" s="100"/>
      <c r="AH2141" s="101"/>
      <c r="AI2141" s="101"/>
      <c r="AJ2141" s="100"/>
      <c r="AK2141" s="100"/>
      <c r="AL2141" s="100"/>
      <c r="AM2141" s="100"/>
      <c r="AN2141" s="100"/>
      <c r="AO2141" s="100"/>
      <c r="AP2141" s="100"/>
      <c r="AQ2141" s="100"/>
      <c r="AR2141" s="100"/>
      <c r="AS2141" s="100"/>
      <c r="AT2141" s="102"/>
      <c r="AX2141" s="100"/>
      <c r="AY2141" s="101"/>
      <c r="AZ2141" s="101"/>
      <c r="BA2141" s="101"/>
      <c r="BB2141" s="100"/>
      <c r="BC2141" s="100"/>
      <c r="BD2141" s="100"/>
      <c r="BE2141" s="100"/>
      <c r="BF2141" s="100"/>
      <c r="BG2141" s="100"/>
      <c r="BH2141" s="100"/>
      <c r="BI2141" s="100"/>
      <c r="BJ2141" s="100"/>
      <c r="BK2141" s="102"/>
    </row>
    <row r="2142" spans="1:63" x14ac:dyDescent="0.25">
      <c r="A2142" s="92"/>
      <c r="B2142" s="92"/>
      <c r="C2142" s="92"/>
      <c r="D2142" s="92"/>
      <c r="E2142" s="92"/>
      <c r="F2142" s="92"/>
      <c r="G2142" s="92"/>
      <c r="H2142" s="92"/>
      <c r="I2142" s="92"/>
      <c r="J2142" s="92"/>
      <c r="K2142" s="92"/>
      <c r="L2142" s="92"/>
      <c r="M2142" s="92"/>
      <c r="N2142" s="92"/>
      <c r="AG2142" s="100"/>
      <c r="AH2142" s="101"/>
      <c r="AI2142" s="101"/>
      <c r="AJ2142" s="100"/>
      <c r="AK2142" s="100"/>
      <c r="AL2142" s="100"/>
      <c r="AM2142" s="100"/>
      <c r="AN2142" s="100"/>
      <c r="AO2142" s="100"/>
      <c r="AP2142" s="100"/>
      <c r="AQ2142" s="100"/>
      <c r="AR2142" s="100"/>
      <c r="AS2142" s="100"/>
      <c r="AT2142" s="102"/>
      <c r="AX2142" s="100"/>
      <c r="AY2142" s="101"/>
      <c r="AZ2142" s="101"/>
      <c r="BA2142" s="100"/>
      <c r="BB2142" s="100"/>
      <c r="BC2142" s="100"/>
      <c r="BD2142" s="100"/>
      <c r="BE2142" s="100"/>
      <c r="BF2142" s="100"/>
      <c r="BG2142" s="100"/>
      <c r="BH2142" s="100"/>
      <c r="BI2142" s="100"/>
      <c r="BJ2142" s="100"/>
      <c r="BK2142" s="102"/>
    </row>
    <row r="2143" spans="1:63" x14ac:dyDescent="0.25">
      <c r="A2143" s="92"/>
      <c r="B2143" s="92"/>
      <c r="C2143" s="92"/>
      <c r="D2143" s="92"/>
      <c r="E2143" s="92"/>
      <c r="F2143" s="92"/>
      <c r="G2143" s="92"/>
      <c r="H2143" s="92"/>
      <c r="I2143" s="92"/>
      <c r="J2143" s="92"/>
      <c r="K2143" s="92"/>
      <c r="L2143" s="92"/>
      <c r="M2143" s="92"/>
      <c r="N2143" s="92"/>
      <c r="AG2143" s="100"/>
      <c r="AH2143" s="101"/>
      <c r="AI2143" s="101"/>
      <c r="AJ2143" s="100"/>
      <c r="AK2143" s="100"/>
      <c r="AL2143" s="100"/>
      <c r="AM2143" s="100"/>
      <c r="AN2143" s="100"/>
      <c r="AO2143" s="100"/>
      <c r="AP2143" s="100"/>
      <c r="AQ2143" s="100"/>
      <c r="AR2143" s="100"/>
      <c r="AS2143" s="100"/>
      <c r="AT2143" s="102"/>
      <c r="AX2143" s="100"/>
      <c r="AY2143" s="101"/>
      <c r="AZ2143" s="101"/>
      <c r="BA2143" s="101"/>
      <c r="BB2143" s="100"/>
      <c r="BC2143" s="100"/>
      <c r="BD2143" s="100"/>
      <c r="BE2143" s="100"/>
      <c r="BF2143" s="100"/>
      <c r="BG2143" s="100"/>
      <c r="BH2143" s="100"/>
      <c r="BI2143" s="100"/>
      <c r="BJ2143" s="100"/>
      <c r="BK2143" s="102"/>
    </row>
    <row r="2144" spans="1:63" x14ac:dyDescent="0.25">
      <c r="A2144" s="92"/>
      <c r="B2144" s="92"/>
      <c r="C2144" s="92"/>
      <c r="D2144" s="92"/>
      <c r="E2144" s="92"/>
      <c r="F2144" s="92"/>
      <c r="G2144" s="92"/>
      <c r="H2144" s="92"/>
      <c r="I2144" s="92"/>
      <c r="J2144" s="92"/>
      <c r="K2144" s="92"/>
      <c r="L2144" s="92"/>
      <c r="M2144" s="92"/>
      <c r="N2144" s="92"/>
      <c r="AG2144" s="100"/>
      <c r="AH2144" s="101"/>
      <c r="AI2144" s="101"/>
      <c r="AJ2144" s="101"/>
      <c r="AK2144" s="100"/>
      <c r="AL2144" s="100"/>
      <c r="AM2144" s="100"/>
      <c r="AN2144" s="100"/>
      <c r="AO2144" s="100"/>
      <c r="AP2144" s="100"/>
      <c r="AQ2144" s="100"/>
      <c r="AR2144" s="100"/>
      <c r="AS2144" s="100"/>
      <c r="AT2144" s="102"/>
      <c r="AX2144" s="100"/>
      <c r="AY2144" s="101"/>
      <c r="AZ2144" s="101"/>
      <c r="BA2144" s="100"/>
      <c r="BB2144" s="100"/>
      <c r="BC2144" s="100"/>
      <c r="BD2144" s="100"/>
      <c r="BE2144" s="100"/>
      <c r="BF2144" s="100"/>
      <c r="BG2144" s="100"/>
      <c r="BH2144" s="100"/>
      <c r="BI2144" s="100"/>
      <c r="BJ2144" s="100"/>
      <c r="BK2144" s="102"/>
    </row>
    <row r="2145" spans="1:63" x14ac:dyDescent="0.25">
      <c r="A2145" s="92"/>
      <c r="B2145" s="93"/>
      <c r="C2145" s="93"/>
      <c r="D2145" s="93"/>
      <c r="E2145" s="92"/>
      <c r="F2145" s="92"/>
      <c r="G2145" s="92"/>
      <c r="H2145" s="92"/>
      <c r="I2145" s="92"/>
      <c r="J2145" s="92"/>
      <c r="K2145" s="92"/>
      <c r="L2145" s="92"/>
      <c r="M2145" s="92"/>
      <c r="N2145" s="94"/>
      <c r="AG2145" s="100"/>
      <c r="AH2145" s="101"/>
      <c r="AI2145" s="101"/>
      <c r="AJ2145" s="101"/>
      <c r="AK2145" s="100"/>
      <c r="AL2145" s="100"/>
      <c r="AM2145" s="100"/>
      <c r="AN2145" s="100"/>
      <c r="AO2145" s="100"/>
      <c r="AP2145" s="100"/>
      <c r="AQ2145" s="100"/>
      <c r="AR2145" s="100"/>
      <c r="AS2145" s="100"/>
      <c r="AT2145" s="102"/>
      <c r="AX2145" s="100"/>
      <c r="AY2145" s="101"/>
      <c r="AZ2145" s="101"/>
      <c r="BA2145" s="100"/>
      <c r="BB2145" s="100"/>
      <c r="BC2145" s="100"/>
      <c r="BD2145" s="100"/>
      <c r="BE2145" s="100"/>
      <c r="BF2145" s="100"/>
      <c r="BG2145" s="100"/>
      <c r="BH2145" s="100"/>
      <c r="BI2145" s="100"/>
      <c r="BJ2145" s="100"/>
      <c r="BK2145" s="102"/>
    </row>
    <row r="2146" spans="1:63" x14ac:dyDescent="0.25">
      <c r="A2146" s="92"/>
      <c r="B2146" s="92"/>
      <c r="C2146" s="92"/>
      <c r="D2146" s="92"/>
      <c r="E2146" s="92"/>
      <c r="F2146" s="92"/>
      <c r="G2146" s="92"/>
      <c r="H2146" s="92"/>
      <c r="I2146" s="92"/>
      <c r="J2146" s="92"/>
      <c r="K2146" s="92"/>
      <c r="L2146" s="92"/>
      <c r="M2146" s="92"/>
      <c r="N2146" s="92"/>
      <c r="AG2146" s="100"/>
      <c r="AH2146" s="101"/>
      <c r="AI2146" s="101"/>
      <c r="AJ2146" s="100"/>
      <c r="AK2146" s="100"/>
      <c r="AL2146" s="100"/>
      <c r="AM2146" s="100"/>
      <c r="AN2146" s="100"/>
      <c r="AO2146" s="100"/>
      <c r="AP2146" s="100"/>
      <c r="AQ2146" s="100"/>
      <c r="AR2146" s="100"/>
      <c r="AS2146" s="100"/>
      <c r="AT2146" s="102"/>
      <c r="AX2146" s="100"/>
      <c r="AY2146" s="101"/>
      <c r="AZ2146" s="101"/>
      <c r="BA2146" s="100"/>
      <c r="BB2146" s="100"/>
      <c r="BC2146" s="100"/>
      <c r="BD2146" s="100"/>
      <c r="BE2146" s="100"/>
      <c r="BF2146" s="100"/>
      <c r="BG2146" s="100"/>
      <c r="BH2146" s="100"/>
      <c r="BI2146" s="100"/>
      <c r="BJ2146" s="100"/>
      <c r="BK2146" s="102"/>
    </row>
    <row r="2147" spans="1:63" x14ac:dyDescent="0.25">
      <c r="A2147" s="92"/>
      <c r="B2147" s="92"/>
      <c r="C2147" s="92"/>
      <c r="D2147" s="92"/>
      <c r="E2147" s="92"/>
      <c r="F2147" s="92"/>
      <c r="G2147" s="92"/>
      <c r="H2147" s="92"/>
      <c r="I2147" s="92"/>
      <c r="J2147" s="92"/>
      <c r="K2147" s="92"/>
      <c r="L2147" s="92"/>
      <c r="M2147" s="92"/>
      <c r="N2147" s="92"/>
      <c r="AG2147" s="100"/>
      <c r="AH2147" s="101"/>
      <c r="AI2147" s="101"/>
      <c r="AJ2147" s="101"/>
      <c r="AK2147" s="100"/>
      <c r="AL2147" s="100"/>
      <c r="AM2147" s="100"/>
      <c r="AN2147" s="100"/>
      <c r="AO2147" s="100"/>
      <c r="AP2147" s="100"/>
      <c r="AQ2147" s="100"/>
      <c r="AR2147" s="100"/>
      <c r="AS2147" s="100"/>
      <c r="AT2147" s="102"/>
      <c r="AX2147" s="100"/>
      <c r="AY2147" s="101"/>
      <c r="AZ2147" s="101"/>
      <c r="BA2147" s="100"/>
      <c r="BB2147" s="100"/>
      <c r="BC2147" s="100"/>
      <c r="BD2147" s="100"/>
      <c r="BE2147" s="100"/>
      <c r="BF2147" s="100"/>
      <c r="BG2147" s="100"/>
      <c r="BH2147" s="100"/>
      <c r="BI2147" s="100"/>
      <c r="BJ2147" s="100"/>
      <c r="BK2147" s="102"/>
    </row>
    <row r="2148" spans="1:63" x14ac:dyDescent="0.25">
      <c r="A2148" s="92"/>
      <c r="B2148" s="93"/>
      <c r="C2148" s="93"/>
      <c r="D2148" s="92"/>
      <c r="E2148" s="92"/>
      <c r="F2148" s="92"/>
      <c r="G2148" s="92"/>
      <c r="H2148" s="92"/>
      <c r="I2148" s="92"/>
      <c r="J2148" s="92"/>
      <c r="K2148" s="92"/>
      <c r="L2148" s="92"/>
      <c r="M2148" s="92"/>
      <c r="N2148" s="94"/>
      <c r="AG2148" s="100"/>
      <c r="AH2148" s="101"/>
      <c r="AI2148" s="101"/>
      <c r="AJ2148" s="100"/>
      <c r="AK2148" s="100"/>
      <c r="AL2148" s="100"/>
      <c r="AM2148" s="100"/>
      <c r="AN2148" s="100"/>
      <c r="AO2148" s="100"/>
      <c r="AP2148" s="100"/>
      <c r="AQ2148" s="100"/>
      <c r="AR2148" s="100"/>
      <c r="AS2148" s="100"/>
      <c r="AT2148" s="102"/>
      <c r="AX2148" s="100"/>
      <c r="AY2148" s="101"/>
      <c r="AZ2148" s="101"/>
      <c r="BA2148" s="100"/>
      <c r="BB2148" s="100"/>
      <c r="BC2148" s="100"/>
      <c r="BD2148" s="100"/>
      <c r="BE2148" s="100"/>
      <c r="BF2148" s="100"/>
      <c r="BG2148" s="100"/>
      <c r="BH2148" s="100"/>
      <c r="BI2148" s="100"/>
      <c r="BJ2148" s="100"/>
      <c r="BK2148" s="102"/>
    </row>
    <row r="2149" spans="1:63" x14ac:dyDescent="0.25">
      <c r="A2149" s="92"/>
      <c r="B2149" s="93"/>
      <c r="C2149" s="93"/>
      <c r="D2149" s="93"/>
      <c r="E2149" s="92"/>
      <c r="F2149" s="92"/>
      <c r="G2149" s="92"/>
      <c r="H2149" s="92"/>
      <c r="I2149" s="92"/>
      <c r="J2149" s="92"/>
      <c r="K2149" s="92"/>
      <c r="L2149" s="92"/>
      <c r="M2149" s="92"/>
      <c r="N2149" s="94"/>
      <c r="AG2149" s="100"/>
      <c r="AH2149" s="101"/>
      <c r="AI2149" s="101"/>
      <c r="AJ2149" s="100"/>
      <c r="AK2149" s="100"/>
      <c r="AL2149" s="100"/>
      <c r="AM2149" s="100"/>
      <c r="AN2149" s="100"/>
      <c r="AO2149" s="100"/>
      <c r="AP2149" s="100"/>
      <c r="AQ2149" s="100"/>
      <c r="AR2149" s="100"/>
      <c r="AS2149" s="100"/>
      <c r="AT2149" s="102"/>
      <c r="AX2149" s="100"/>
      <c r="AY2149" s="101"/>
      <c r="AZ2149" s="101"/>
      <c r="BA2149" s="100"/>
      <c r="BB2149" s="100"/>
      <c r="BC2149" s="100"/>
      <c r="BD2149" s="100"/>
      <c r="BE2149" s="100"/>
      <c r="BF2149" s="100"/>
      <c r="BG2149" s="100"/>
      <c r="BH2149" s="100"/>
      <c r="BI2149" s="100"/>
      <c r="BJ2149" s="100"/>
      <c r="BK2149" s="102"/>
    </row>
    <row r="2150" spans="1:63" x14ac:dyDescent="0.25">
      <c r="A2150" s="92"/>
      <c r="B2150" s="92"/>
      <c r="C2150" s="92"/>
      <c r="D2150" s="92"/>
      <c r="E2150" s="92"/>
      <c r="F2150" s="92"/>
      <c r="G2150" s="92"/>
      <c r="H2150" s="92"/>
      <c r="I2150" s="92"/>
      <c r="J2150" s="92"/>
      <c r="K2150" s="92"/>
      <c r="L2150" s="92"/>
      <c r="M2150" s="92"/>
      <c r="N2150" s="92"/>
      <c r="AG2150" s="100"/>
      <c r="AH2150" s="101"/>
      <c r="AI2150" s="101"/>
      <c r="AJ2150" s="100"/>
      <c r="AK2150" s="100"/>
      <c r="AL2150" s="100"/>
      <c r="AM2150" s="100"/>
      <c r="AN2150" s="100"/>
      <c r="AO2150" s="100"/>
      <c r="AP2150" s="100"/>
      <c r="AQ2150" s="100"/>
      <c r="AR2150" s="100"/>
      <c r="AS2150" s="100"/>
      <c r="AT2150" s="102"/>
      <c r="AX2150" s="100"/>
      <c r="AY2150" s="101"/>
      <c r="AZ2150" s="101"/>
      <c r="BA2150" s="100"/>
      <c r="BB2150" s="100"/>
      <c r="BC2150" s="100"/>
      <c r="BD2150" s="100"/>
      <c r="BE2150" s="100"/>
      <c r="BF2150" s="100"/>
      <c r="BG2150" s="100"/>
      <c r="BH2150" s="100"/>
      <c r="BI2150" s="100"/>
      <c r="BJ2150" s="100"/>
      <c r="BK2150" s="102"/>
    </row>
    <row r="2151" spans="1:63" x14ac:dyDescent="0.25">
      <c r="A2151" s="92"/>
      <c r="B2151" s="92"/>
      <c r="C2151" s="92"/>
      <c r="D2151" s="92"/>
      <c r="E2151" s="92"/>
      <c r="F2151" s="92"/>
      <c r="G2151" s="92"/>
      <c r="H2151" s="92"/>
      <c r="I2151" s="92"/>
      <c r="J2151" s="92"/>
      <c r="K2151" s="92"/>
      <c r="L2151" s="92"/>
      <c r="M2151" s="92"/>
      <c r="N2151" s="92"/>
      <c r="AG2151" s="100"/>
      <c r="AH2151" s="101"/>
      <c r="AI2151" s="101"/>
      <c r="AJ2151" s="100"/>
      <c r="AK2151" s="100"/>
      <c r="AL2151" s="100"/>
      <c r="AM2151" s="100"/>
      <c r="AN2151" s="100"/>
      <c r="AO2151" s="100"/>
      <c r="AP2151" s="100"/>
      <c r="AQ2151" s="100"/>
      <c r="AR2151" s="100"/>
      <c r="AS2151" s="100"/>
      <c r="AT2151" s="102"/>
      <c r="AX2151" s="100"/>
      <c r="AY2151" s="101"/>
      <c r="AZ2151" s="101"/>
      <c r="BA2151" s="100"/>
      <c r="BB2151" s="100"/>
      <c r="BC2151" s="100"/>
      <c r="BD2151" s="100"/>
      <c r="BE2151" s="100"/>
      <c r="BF2151" s="100"/>
      <c r="BG2151" s="100"/>
      <c r="BH2151" s="100"/>
      <c r="BI2151" s="100"/>
      <c r="BJ2151" s="100"/>
      <c r="BK2151" s="102"/>
    </row>
    <row r="2152" spans="1:63" x14ac:dyDescent="0.25">
      <c r="A2152" s="92"/>
      <c r="B2152" s="92"/>
      <c r="C2152" s="92"/>
      <c r="D2152" s="92"/>
      <c r="E2152" s="92"/>
      <c r="F2152" s="92"/>
      <c r="G2152" s="92"/>
      <c r="H2152" s="92"/>
      <c r="I2152" s="92"/>
      <c r="J2152" s="92"/>
      <c r="K2152" s="92"/>
      <c r="L2152" s="92"/>
      <c r="M2152" s="92"/>
      <c r="N2152" s="92"/>
      <c r="AG2152" s="100"/>
      <c r="AH2152" s="101"/>
      <c r="AI2152" s="101"/>
      <c r="AJ2152" s="100"/>
      <c r="AK2152" s="100"/>
      <c r="AL2152" s="100"/>
      <c r="AM2152" s="100"/>
      <c r="AN2152" s="100"/>
      <c r="AO2152" s="100"/>
      <c r="AP2152" s="100"/>
      <c r="AQ2152" s="100"/>
      <c r="AR2152" s="100"/>
      <c r="AS2152" s="100"/>
      <c r="AT2152" s="102"/>
      <c r="AX2152" s="100"/>
      <c r="AY2152" s="101"/>
      <c r="AZ2152" s="101"/>
      <c r="BA2152" s="101"/>
      <c r="BB2152" s="100"/>
      <c r="BC2152" s="100"/>
      <c r="BD2152" s="100"/>
      <c r="BE2152" s="100"/>
      <c r="BF2152" s="100"/>
      <c r="BG2152" s="100"/>
      <c r="BH2152" s="100"/>
      <c r="BI2152" s="100"/>
      <c r="BJ2152" s="100"/>
      <c r="BK2152" s="102"/>
    </row>
    <row r="2153" spans="1:63" x14ac:dyDescent="0.25">
      <c r="A2153" s="92"/>
      <c r="B2153" s="92"/>
      <c r="C2153" s="92"/>
      <c r="D2153" s="92"/>
      <c r="E2153" s="92"/>
      <c r="F2153" s="92"/>
      <c r="G2153" s="92"/>
      <c r="H2153" s="92"/>
      <c r="I2153" s="92"/>
      <c r="J2153" s="92"/>
      <c r="K2153" s="92"/>
      <c r="L2153" s="92"/>
      <c r="M2153" s="92"/>
      <c r="N2153" s="92"/>
      <c r="AG2153" s="100"/>
      <c r="AH2153" s="101"/>
      <c r="AI2153" s="101"/>
      <c r="AJ2153" s="101"/>
      <c r="AK2153" s="100"/>
      <c r="AL2153" s="100"/>
      <c r="AM2153" s="100"/>
      <c r="AN2153" s="100"/>
      <c r="AO2153" s="100"/>
      <c r="AP2153" s="100"/>
      <c r="AQ2153" s="100"/>
      <c r="AR2153" s="100"/>
      <c r="AS2153" s="100"/>
      <c r="AT2153" s="102"/>
      <c r="AX2153" s="100"/>
      <c r="AY2153" s="101"/>
      <c r="AZ2153" s="101"/>
      <c r="BA2153" s="100"/>
      <c r="BB2153" s="100"/>
      <c r="BC2153" s="100"/>
      <c r="BD2153" s="100"/>
      <c r="BE2153" s="100"/>
      <c r="BF2153" s="100"/>
      <c r="BG2153" s="100"/>
      <c r="BH2153" s="100"/>
      <c r="BI2153" s="100"/>
      <c r="BJ2153" s="100"/>
      <c r="BK2153" s="102"/>
    </row>
    <row r="2154" spans="1:63" x14ac:dyDescent="0.25">
      <c r="A2154" s="92"/>
      <c r="B2154" s="92"/>
      <c r="C2154" s="92"/>
      <c r="D2154" s="92"/>
      <c r="E2154" s="92"/>
      <c r="F2154" s="92"/>
      <c r="G2154" s="92"/>
      <c r="H2154" s="92"/>
      <c r="I2154" s="92"/>
      <c r="J2154" s="92"/>
      <c r="K2154" s="92"/>
      <c r="L2154" s="92"/>
      <c r="M2154" s="92"/>
      <c r="N2154" s="92"/>
      <c r="AG2154" s="100"/>
      <c r="AH2154" s="101"/>
      <c r="AI2154" s="101"/>
      <c r="AJ2154" s="100"/>
      <c r="AK2154" s="100"/>
      <c r="AL2154" s="100"/>
      <c r="AM2154" s="100"/>
      <c r="AN2154" s="100"/>
      <c r="AO2154" s="100"/>
      <c r="AP2154" s="100"/>
      <c r="AQ2154" s="100"/>
      <c r="AR2154" s="100"/>
      <c r="AS2154" s="100"/>
      <c r="AT2154" s="102"/>
      <c r="AX2154" s="100"/>
      <c r="AY2154" s="101"/>
      <c r="AZ2154" s="101"/>
      <c r="BA2154" s="100"/>
      <c r="BB2154" s="100"/>
      <c r="BC2154" s="100"/>
      <c r="BD2154" s="100"/>
      <c r="BE2154" s="100"/>
      <c r="BF2154" s="100"/>
      <c r="BG2154" s="100"/>
      <c r="BH2154" s="100"/>
      <c r="BI2154" s="100"/>
      <c r="BJ2154" s="100"/>
      <c r="BK2154" s="102"/>
    </row>
    <row r="2155" spans="1:63" x14ac:dyDescent="0.25">
      <c r="A2155" s="92"/>
      <c r="B2155" s="92"/>
      <c r="C2155" s="92"/>
      <c r="D2155" s="92"/>
      <c r="E2155" s="92"/>
      <c r="F2155" s="92"/>
      <c r="G2155" s="92"/>
      <c r="H2155" s="92"/>
      <c r="I2155" s="92"/>
      <c r="J2155" s="92"/>
      <c r="K2155" s="92"/>
      <c r="L2155" s="92"/>
      <c r="M2155" s="92"/>
      <c r="N2155" s="92"/>
      <c r="AG2155" s="100"/>
      <c r="AH2155" s="101"/>
      <c r="AI2155" s="101"/>
      <c r="AJ2155" s="100"/>
      <c r="AK2155" s="100"/>
      <c r="AL2155" s="100"/>
      <c r="AM2155" s="100"/>
      <c r="AN2155" s="100"/>
      <c r="AO2155" s="100"/>
      <c r="AP2155" s="100"/>
      <c r="AQ2155" s="100"/>
      <c r="AR2155" s="100"/>
      <c r="AS2155" s="100"/>
      <c r="AT2155" s="102"/>
      <c r="AX2155" s="100"/>
      <c r="AY2155" s="101"/>
      <c r="AZ2155" s="101"/>
      <c r="BA2155" s="100"/>
      <c r="BB2155" s="100"/>
      <c r="BC2155" s="100"/>
      <c r="BD2155" s="100"/>
      <c r="BE2155" s="100"/>
      <c r="BF2155" s="100"/>
      <c r="BG2155" s="100"/>
      <c r="BH2155" s="100"/>
      <c r="BI2155" s="100"/>
      <c r="BJ2155" s="100"/>
      <c r="BK2155" s="102"/>
    </row>
    <row r="2156" spans="1:63" x14ac:dyDescent="0.25">
      <c r="A2156" s="92"/>
      <c r="B2156" s="92"/>
      <c r="C2156" s="92"/>
      <c r="D2156" s="92"/>
      <c r="E2156" s="92"/>
      <c r="F2156" s="92"/>
      <c r="G2156" s="92"/>
      <c r="H2156" s="92"/>
      <c r="I2156" s="92"/>
      <c r="J2156" s="92"/>
      <c r="K2156" s="92"/>
      <c r="L2156" s="92"/>
      <c r="M2156" s="92"/>
      <c r="N2156" s="92"/>
      <c r="AG2156" s="100"/>
      <c r="AH2156" s="101"/>
      <c r="AI2156" s="101"/>
      <c r="AJ2156" s="101"/>
      <c r="AK2156" s="100"/>
      <c r="AL2156" s="100"/>
      <c r="AM2156" s="100"/>
      <c r="AN2156" s="100"/>
      <c r="AO2156" s="100"/>
      <c r="AP2156" s="100"/>
      <c r="AQ2156" s="100"/>
      <c r="AR2156" s="100"/>
      <c r="AS2156" s="100"/>
      <c r="AT2156" s="102"/>
      <c r="AX2156" s="100"/>
      <c r="AY2156" s="101"/>
      <c r="AZ2156" s="101"/>
      <c r="BA2156" s="100"/>
      <c r="BB2156" s="100"/>
      <c r="BC2156" s="100"/>
      <c r="BD2156" s="100"/>
      <c r="BE2156" s="100"/>
      <c r="BF2156" s="100"/>
      <c r="BG2156" s="100"/>
      <c r="BH2156" s="100"/>
      <c r="BI2156" s="100"/>
      <c r="BJ2156" s="100"/>
      <c r="BK2156" s="102"/>
    </row>
    <row r="2157" spans="1:63" x14ac:dyDescent="0.25">
      <c r="A2157" s="92"/>
      <c r="B2157" s="92"/>
      <c r="C2157" s="92"/>
      <c r="D2157" s="92"/>
      <c r="E2157" s="92"/>
      <c r="F2157" s="92"/>
      <c r="G2157" s="92"/>
      <c r="H2157" s="92"/>
      <c r="I2157" s="92"/>
      <c r="J2157" s="92"/>
      <c r="K2157" s="92"/>
      <c r="L2157" s="92"/>
      <c r="M2157" s="92"/>
      <c r="N2157" s="92"/>
      <c r="AG2157" s="100"/>
      <c r="AH2157" s="101"/>
      <c r="AI2157" s="101"/>
      <c r="AJ2157" s="100"/>
      <c r="AK2157" s="100"/>
      <c r="AL2157" s="100"/>
      <c r="AM2157" s="100"/>
      <c r="AN2157" s="100"/>
      <c r="AO2157" s="100"/>
      <c r="AP2157" s="100"/>
      <c r="AQ2157" s="100"/>
      <c r="AR2157" s="100"/>
      <c r="AS2157" s="100"/>
      <c r="AT2157" s="102"/>
      <c r="AX2157" s="100"/>
      <c r="AY2157" s="101"/>
      <c r="AZ2157" s="101"/>
      <c r="BA2157" s="100"/>
      <c r="BB2157" s="100"/>
      <c r="BC2157" s="100"/>
      <c r="BD2157" s="100"/>
      <c r="BE2157" s="100"/>
      <c r="BF2157" s="100"/>
      <c r="BG2157" s="100"/>
      <c r="BH2157" s="100"/>
      <c r="BI2157" s="100"/>
      <c r="BJ2157" s="100"/>
      <c r="BK2157" s="102"/>
    </row>
    <row r="2158" spans="1:63" x14ac:dyDescent="0.25">
      <c r="A2158" s="92"/>
      <c r="B2158" s="92"/>
      <c r="C2158" s="92"/>
      <c r="D2158" s="92"/>
      <c r="E2158" s="92"/>
      <c r="F2158" s="92"/>
      <c r="G2158" s="92"/>
      <c r="H2158" s="92"/>
      <c r="I2158" s="92"/>
      <c r="J2158" s="92"/>
      <c r="K2158" s="92"/>
      <c r="L2158" s="92"/>
      <c r="M2158" s="92"/>
      <c r="N2158" s="92"/>
      <c r="AG2158" s="100"/>
      <c r="AH2158" s="101"/>
      <c r="AI2158" s="101"/>
      <c r="AJ2158" s="101"/>
      <c r="AK2158" s="100"/>
      <c r="AL2158" s="100"/>
      <c r="AM2158" s="100"/>
      <c r="AN2158" s="100"/>
      <c r="AO2158" s="100"/>
      <c r="AP2158" s="100"/>
      <c r="AQ2158" s="100"/>
      <c r="AR2158" s="100"/>
      <c r="AS2158" s="100"/>
      <c r="AT2158" s="102"/>
      <c r="AX2158" s="100"/>
      <c r="AY2158" s="101"/>
      <c r="AZ2158" s="101"/>
      <c r="BA2158" s="101"/>
      <c r="BB2158" s="100"/>
      <c r="BC2158" s="100"/>
      <c r="BD2158" s="100"/>
      <c r="BE2158" s="100"/>
      <c r="BF2158" s="100"/>
      <c r="BG2158" s="100"/>
      <c r="BH2158" s="100"/>
      <c r="BI2158" s="100"/>
      <c r="BJ2158" s="100"/>
      <c r="BK2158" s="102"/>
    </row>
    <row r="2159" spans="1:63" x14ac:dyDescent="0.25">
      <c r="A2159" s="92"/>
      <c r="B2159" s="92"/>
      <c r="C2159" s="92"/>
      <c r="D2159" s="92"/>
      <c r="E2159" s="92"/>
      <c r="F2159" s="92"/>
      <c r="G2159" s="92"/>
      <c r="H2159" s="92"/>
      <c r="I2159" s="92"/>
      <c r="J2159" s="92"/>
      <c r="K2159" s="92"/>
      <c r="L2159" s="92"/>
      <c r="M2159" s="92"/>
      <c r="N2159" s="92"/>
      <c r="AG2159" s="100"/>
      <c r="AH2159" s="101"/>
      <c r="AI2159" s="101"/>
      <c r="AJ2159" s="100"/>
      <c r="AK2159" s="100"/>
      <c r="AL2159" s="100"/>
      <c r="AM2159" s="100"/>
      <c r="AN2159" s="100"/>
      <c r="AO2159" s="100"/>
      <c r="AP2159" s="100"/>
      <c r="AQ2159" s="100"/>
      <c r="AR2159" s="100"/>
      <c r="AS2159" s="100"/>
      <c r="AT2159" s="102"/>
      <c r="AX2159" s="100"/>
      <c r="AY2159" s="101"/>
      <c r="AZ2159" s="101"/>
      <c r="BA2159" s="100"/>
      <c r="BB2159" s="100"/>
      <c r="BC2159" s="100"/>
      <c r="BD2159" s="100"/>
      <c r="BE2159" s="100"/>
      <c r="BF2159" s="100"/>
      <c r="BG2159" s="100"/>
      <c r="BH2159" s="100"/>
      <c r="BI2159" s="100"/>
      <c r="BJ2159" s="100"/>
      <c r="BK2159" s="102"/>
    </row>
    <row r="2160" spans="1:63" x14ac:dyDescent="0.25">
      <c r="A2160" s="92"/>
      <c r="B2160" s="92"/>
      <c r="C2160" s="92"/>
      <c r="D2160" s="92"/>
      <c r="E2160" s="92"/>
      <c r="F2160" s="92"/>
      <c r="G2160" s="92"/>
      <c r="H2160" s="92"/>
      <c r="I2160" s="92"/>
      <c r="J2160" s="92"/>
      <c r="K2160" s="92"/>
      <c r="L2160" s="92"/>
      <c r="M2160" s="92"/>
      <c r="N2160" s="92"/>
      <c r="AG2160" s="100"/>
      <c r="AH2160" s="101"/>
      <c r="AI2160" s="101"/>
      <c r="AJ2160" s="100"/>
      <c r="AK2160" s="100"/>
      <c r="AL2160" s="100"/>
      <c r="AM2160" s="100"/>
      <c r="AN2160" s="100"/>
      <c r="AO2160" s="100"/>
      <c r="AP2160" s="100"/>
      <c r="AQ2160" s="100"/>
      <c r="AR2160" s="100"/>
      <c r="AS2160" s="100"/>
      <c r="AT2160" s="102"/>
      <c r="AX2160" s="100"/>
      <c r="AY2160" s="101"/>
      <c r="AZ2160" s="101"/>
      <c r="BA2160" s="100"/>
      <c r="BB2160" s="100"/>
      <c r="BC2160" s="100"/>
      <c r="BD2160" s="100"/>
      <c r="BE2160" s="100"/>
      <c r="BF2160" s="100"/>
      <c r="BG2160" s="100"/>
      <c r="BH2160" s="100"/>
      <c r="BI2160" s="100"/>
      <c r="BJ2160" s="100"/>
      <c r="BK2160" s="102"/>
    </row>
    <row r="2161" spans="1:63" x14ac:dyDescent="0.25">
      <c r="A2161" s="92"/>
      <c r="B2161" s="93"/>
      <c r="C2161" s="93"/>
      <c r="D2161" s="93"/>
      <c r="E2161" s="92"/>
      <c r="F2161" s="92"/>
      <c r="G2161" s="92"/>
      <c r="H2161" s="92"/>
      <c r="I2161" s="92"/>
      <c r="J2161" s="92"/>
      <c r="K2161" s="92"/>
      <c r="L2161" s="92"/>
      <c r="M2161" s="92"/>
      <c r="N2161" s="94"/>
      <c r="AG2161" s="100"/>
      <c r="AH2161" s="101"/>
      <c r="AI2161" s="101"/>
      <c r="AJ2161" s="100"/>
      <c r="AK2161" s="100"/>
      <c r="AL2161" s="100"/>
      <c r="AM2161" s="100"/>
      <c r="AN2161" s="100"/>
      <c r="AO2161" s="100"/>
      <c r="AP2161" s="100"/>
      <c r="AQ2161" s="100"/>
      <c r="AR2161" s="100"/>
      <c r="AS2161" s="100"/>
      <c r="AT2161" s="102"/>
      <c r="AX2161" s="100"/>
      <c r="AY2161" s="101"/>
      <c r="AZ2161" s="101"/>
      <c r="BA2161" s="100"/>
      <c r="BB2161" s="100"/>
      <c r="BC2161" s="100"/>
      <c r="BD2161" s="100"/>
      <c r="BE2161" s="100"/>
      <c r="BF2161" s="100"/>
      <c r="BG2161" s="100"/>
      <c r="BH2161" s="100"/>
      <c r="BI2161" s="100"/>
      <c r="BJ2161" s="100"/>
      <c r="BK2161" s="102"/>
    </row>
    <row r="2162" spans="1:63" x14ac:dyDescent="0.25">
      <c r="A2162" s="92"/>
      <c r="B2162" s="93"/>
      <c r="C2162" s="93"/>
      <c r="D2162" s="92"/>
      <c r="E2162" s="92"/>
      <c r="F2162" s="92"/>
      <c r="G2162" s="92"/>
      <c r="H2162" s="92"/>
      <c r="I2162" s="92"/>
      <c r="J2162" s="92"/>
      <c r="K2162" s="92"/>
      <c r="L2162" s="92"/>
      <c r="M2162" s="92"/>
      <c r="N2162" s="94"/>
      <c r="AG2162" s="100"/>
      <c r="AH2162" s="101"/>
      <c r="AI2162" s="101"/>
      <c r="AJ2162" s="100"/>
      <c r="AK2162" s="100"/>
      <c r="AL2162" s="100"/>
      <c r="AM2162" s="100"/>
      <c r="AN2162" s="100"/>
      <c r="AO2162" s="100"/>
      <c r="AP2162" s="100"/>
      <c r="AQ2162" s="100"/>
      <c r="AR2162" s="100"/>
      <c r="AS2162" s="100"/>
      <c r="AT2162" s="102"/>
      <c r="AX2162" s="100"/>
      <c r="AY2162" s="101"/>
      <c r="AZ2162" s="101"/>
      <c r="BA2162" s="100"/>
      <c r="BB2162" s="100"/>
      <c r="BC2162" s="100"/>
      <c r="BD2162" s="100"/>
      <c r="BE2162" s="100"/>
      <c r="BF2162" s="100"/>
      <c r="BG2162" s="100"/>
      <c r="BH2162" s="100"/>
      <c r="BI2162" s="100"/>
      <c r="BJ2162" s="100"/>
      <c r="BK2162" s="102"/>
    </row>
    <row r="2163" spans="1:63" x14ac:dyDescent="0.25">
      <c r="A2163" s="92"/>
      <c r="B2163" s="93"/>
      <c r="C2163" s="93"/>
      <c r="D2163" s="92"/>
      <c r="E2163" s="92"/>
      <c r="F2163" s="92"/>
      <c r="G2163" s="92"/>
      <c r="H2163" s="92"/>
      <c r="I2163" s="92"/>
      <c r="J2163" s="92"/>
      <c r="K2163" s="92"/>
      <c r="L2163" s="92"/>
      <c r="M2163" s="92"/>
      <c r="N2163" s="94"/>
      <c r="AG2163" s="100"/>
      <c r="AH2163" s="101"/>
      <c r="AI2163" s="101"/>
      <c r="AJ2163" s="100"/>
      <c r="AK2163" s="100"/>
      <c r="AL2163" s="100"/>
      <c r="AM2163" s="100"/>
      <c r="AN2163" s="100"/>
      <c r="AO2163" s="100"/>
      <c r="AP2163" s="100"/>
      <c r="AQ2163" s="100"/>
      <c r="AR2163" s="100"/>
      <c r="AS2163" s="100"/>
      <c r="AT2163" s="102"/>
      <c r="AX2163" s="100"/>
      <c r="AY2163" s="101"/>
      <c r="AZ2163" s="101"/>
      <c r="BA2163" s="100"/>
      <c r="BB2163" s="100"/>
      <c r="BC2163" s="100"/>
      <c r="BD2163" s="100"/>
      <c r="BE2163" s="100"/>
      <c r="BF2163" s="100"/>
      <c r="BG2163" s="100"/>
      <c r="BH2163" s="100"/>
      <c r="BI2163" s="100"/>
      <c r="BJ2163" s="100"/>
      <c r="BK2163" s="102"/>
    </row>
    <row r="2164" spans="1:63" x14ac:dyDescent="0.25">
      <c r="A2164" s="92"/>
      <c r="B2164" s="93"/>
      <c r="C2164" s="93"/>
      <c r="D2164" s="93"/>
      <c r="E2164" s="92"/>
      <c r="F2164" s="92"/>
      <c r="G2164" s="92"/>
      <c r="H2164" s="92"/>
      <c r="I2164" s="92"/>
      <c r="J2164" s="92"/>
      <c r="K2164" s="92"/>
      <c r="L2164" s="92"/>
      <c r="M2164" s="92"/>
      <c r="N2164" s="94"/>
      <c r="AG2164" s="100"/>
      <c r="AH2164" s="101"/>
      <c r="AI2164" s="101"/>
      <c r="AJ2164" s="101"/>
      <c r="AK2164" s="100"/>
      <c r="AL2164" s="100"/>
      <c r="AM2164" s="100"/>
      <c r="AN2164" s="100"/>
      <c r="AO2164" s="100"/>
      <c r="AP2164" s="100"/>
      <c r="AQ2164" s="100"/>
      <c r="AR2164" s="100"/>
      <c r="AS2164" s="100"/>
      <c r="AT2164" s="102"/>
      <c r="AX2164" s="100"/>
      <c r="AY2164" s="101"/>
      <c r="AZ2164" s="101"/>
      <c r="BA2164" s="101"/>
      <c r="BB2164" s="100"/>
      <c r="BC2164" s="100"/>
      <c r="BD2164" s="100"/>
      <c r="BE2164" s="100"/>
      <c r="BF2164" s="100"/>
      <c r="BG2164" s="100"/>
      <c r="BH2164" s="100"/>
      <c r="BI2164" s="100"/>
      <c r="BJ2164" s="100"/>
      <c r="BK2164" s="102"/>
    </row>
    <row r="2165" spans="1:63" x14ac:dyDescent="0.25">
      <c r="A2165" s="92"/>
      <c r="B2165" s="93"/>
      <c r="C2165" s="93"/>
      <c r="D2165" s="92"/>
      <c r="E2165" s="92"/>
      <c r="F2165" s="92"/>
      <c r="G2165" s="92"/>
      <c r="H2165" s="92"/>
      <c r="I2165" s="92"/>
      <c r="J2165" s="92"/>
      <c r="K2165" s="92"/>
      <c r="L2165" s="92"/>
      <c r="M2165" s="92"/>
      <c r="N2165" s="94"/>
      <c r="AG2165" s="100"/>
      <c r="AH2165" s="101"/>
      <c r="AI2165" s="101"/>
      <c r="AJ2165" s="100"/>
      <c r="AK2165" s="100"/>
      <c r="AL2165" s="100"/>
      <c r="AM2165" s="100"/>
      <c r="AN2165" s="100"/>
      <c r="AO2165" s="100"/>
      <c r="AP2165" s="100"/>
      <c r="AQ2165" s="100"/>
      <c r="AR2165" s="100"/>
      <c r="AS2165" s="100"/>
      <c r="AT2165" s="102"/>
      <c r="AX2165" s="100"/>
      <c r="AY2165" s="101"/>
      <c r="AZ2165" s="101"/>
      <c r="BA2165" s="101"/>
      <c r="BB2165" s="100"/>
      <c r="BC2165" s="100"/>
      <c r="BD2165" s="100"/>
      <c r="BE2165" s="100"/>
      <c r="BF2165" s="100"/>
      <c r="BG2165" s="100"/>
      <c r="BH2165" s="100"/>
      <c r="BI2165" s="100"/>
      <c r="BJ2165" s="100"/>
      <c r="BK2165" s="102"/>
    </row>
    <row r="2166" spans="1:63" x14ac:dyDescent="0.25">
      <c r="A2166" s="92"/>
      <c r="B2166" s="92"/>
      <c r="C2166" s="92"/>
      <c r="D2166" s="92"/>
      <c r="E2166" s="92"/>
      <c r="F2166" s="92"/>
      <c r="G2166" s="92"/>
      <c r="H2166" s="92"/>
      <c r="I2166" s="92"/>
      <c r="J2166" s="92"/>
      <c r="K2166" s="92"/>
      <c r="L2166" s="92"/>
      <c r="M2166" s="92"/>
      <c r="N2166" s="92"/>
      <c r="AG2166" s="100"/>
      <c r="AH2166" s="101"/>
      <c r="AI2166" s="101"/>
      <c r="AJ2166" s="100"/>
      <c r="AK2166" s="100"/>
      <c r="AL2166" s="100"/>
      <c r="AM2166" s="100"/>
      <c r="AN2166" s="100"/>
      <c r="AO2166" s="100"/>
      <c r="AP2166" s="100"/>
      <c r="AQ2166" s="100"/>
      <c r="AR2166" s="100"/>
      <c r="AS2166" s="100"/>
      <c r="AT2166" s="102"/>
      <c r="AX2166" s="100"/>
      <c r="AY2166" s="101"/>
      <c r="AZ2166" s="101"/>
      <c r="BA2166" s="100"/>
      <c r="BB2166" s="100"/>
      <c r="BC2166" s="100"/>
      <c r="BD2166" s="100"/>
      <c r="BE2166" s="100"/>
      <c r="BF2166" s="100"/>
      <c r="BG2166" s="100"/>
      <c r="BH2166" s="100"/>
      <c r="BI2166" s="100"/>
      <c r="BJ2166" s="100"/>
      <c r="BK2166" s="102"/>
    </row>
    <row r="2167" spans="1:63" x14ac:dyDescent="0.25">
      <c r="A2167" s="92"/>
      <c r="B2167" s="92"/>
      <c r="C2167" s="92"/>
      <c r="D2167" s="92"/>
      <c r="E2167" s="92"/>
      <c r="F2167" s="92"/>
      <c r="G2167" s="92"/>
      <c r="H2167" s="92"/>
      <c r="I2167" s="92"/>
      <c r="J2167" s="92"/>
      <c r="K2167" s="92"/>
      <c r="L2167" s="92"/>
      <c r="M2167" s="92"/>
      <c r="N2167" s="92"/>
      <c r="AG2167" s="100"/>
      <c r="AH2167" s="101"/>
      <c r="AI2167" s="101"/>
      <c r="AJ2167" s="101"/>
      <c r="AK2167" s="100"/>
      <c r="AL2167" s="100"/>
      <c r="AM2167" s="100"/>
      <c r="AN2167" s="100"/>
      <c r="AO2167" s="100"/>
      <c r="AP2167" s="100"/>
      <c r="AQ2167" s="100"/>
      <c r="AR2167" s="100"/>
      <c r="AS2167" s="100"/>
      <c r="AT2167" s="102"/>
      <c r="AX2167" s="100"/>
      <c r="AY2167" s="101"/>
      <c r="AZ2167" s="101"/>
      <c r="BA2167" s="101"/>
      <c r="BB2167" s="100"/>
      <c r="BC2167" s="100"/>
      <c r="BD2167" s="100"/>
      <c r="BE2167" s="100"/>
      <c r="BF2167" s="100"/>
      <c r="BG2167" s="100"/>
      <c r="BH2167" s="100"/>
      <c r="BI2167" s="100"/>
      <c r="BJ2167" s="100"/>
      <c r="BK2167" s="102"/>
    </row>
    <row r="2168" spans="1:63" x14ac:dyDescent="0.25">
      <c r="A2168" s="92"/>
      <c r="B2168" s="93"/>
      <c r="C2168" s="93"/>
      <c r="D2168" s="92"/>
      <c r="E2168" s="92"/>
      <c r="F2168" s="92"/>
      <c r="G2168" s="92"/>
      <c r="H2168" s="92"/>
      <c r="I2168" s="92"/>
      <c r="J2168" s="92"/>
      <c r="K2168" s="92"/>
      <c r="L2168" s="92"/>
      <c r="M2168" s="92"/>
      <c r="N2168" s="94"/>
      <c r="AG2168" s="100"/>
      <c r="AH2168" s="101"/>
      <c r="AI2168" s="101"/>
      <c r="AJ2168" s="101"/>
      <c r="AK2168" s="100"/>
      <c r="AL2168" s="100"/>
      <c r="AM2168" s="100"/>
      <c r="AN2168" s="100"/>
      <c r="AO2168" s="100"/>
      <c r="AP2168" s="100"/>
      <c r="AQ2168" s="100"/>
      <c r="AR2168" s="100"/>
      <c r="AS2168" s="100"/>
      <c r="AT2168" s="102"/>
      <c r="AX2168" s="100"/>
      <c r="AY2168" s="101"/>
      <c r="AZ2168" s="101"/>
      <c r="BA2168" s="100"/>
      <c r="BB2168" s="100"/>
      <c r="BC2168" s="100"/>
      <c r="BD2168" s="100"/>
      <c r="BE2168" s="100"/>
      <c r="BF2168" s="100"/>
      <c r="BG2168" s="100"/>
      <c r="BH2168" s="100"/>
      <c r="BI2168" s="100"/>
      <c r="BJ2168" s="100"/>
      <c r="BK2168" s="102"/>
    </row>
    <row r="2169" spans="1:63" x14ac:dyDescent="0.25">
      <c r="A2169" s="92"/>
      <c r="B2169" s="93"/>
      <c r="C2169" s="93"/>
      <c r="D2169" s="92"/>
      <c r="E2169" s="92"/>
      <c r="F2169" s="92"/>
      <c r="G2169" s="92"/>
      <c r="H2169" s="92"/>
      <c r="I2169" s="92"/>
      <c r="J2169" s="92"/>
      <c r="K2169" s="92"/>
      <c r="L2169" s="92"/>
      <c r="M2169" s="92"/>
      <c r="N2169" s="94"/>
      <c r="AG2169" s="100"/>
      <c r="AH2169" s="101"/>
      <c r="AI2169" s="101"/>
      <c r="AJ2169" s="100"/>
      <c r="AK2169" s="100"/>
      <c r="AL2169" s="100"/>
      <c r="AM2169" s="100"/>
      <c r="AN2169" s="100"/>
      <c r="AO2169" s="100"/>
      <c r="AP2169" s="100"/>
      <c r="AQ2169" s="100"/>
      <c r="AR2169" s="100"/>
      <c r="AS2169" s="100"/>
      <c r="AT2169" s="102"/>
      <c r="AX2169" s="100"/>
      <c r="AY2169" s="101"/>
      <c r="AZ2169" s="101"/>
      <c r="BA2169" s="100"/>
      <c r="BB2169" s="100"/>
      <c r="BC2169" s="100"/>
      <c r="BD2169" s="100"/>
      <c r="BE2169" s="100"/>
      <c r="BF2169" s="100"/>
      <c r="BG2169" s="100"/>
      <c r="BH2169" s="100"/>
      <c r="BI2169" s="100"/>
      <c r="BJ2169" s="100"/>
      <c r="BK2169" s="102"/>
    </row>
    <row r="2170" spans="1:63" x14ac:dyDescent="0.25">
      <c r="A2170" s="92"/>
      <c r="B2170" s="92"/>
      <c r="C2170" s="92"/>
      <c r="D2170" s="92"/>
      <c r="E2170" s="92"/>
      <c r="F2170" s="92"/>
      <c r="G2170" s="92"/>
      <c r="H2170" s="92"/>
      <c r="I2170" s="92"/>
      <c r="J2170" s="92"/>
      <c r="K2170" s="92"/>
      <c r="L2170" s="92"/>
      <c r="M2170" s="92"/>
      <c r="N2170" s="92"/>
      <c r="AG2170" s="100"/>
      <c r="AH2170" s="101"/>
      <c r="AI2170" s="101"/>
      <c r="AJ2170" s="101"/>
      <c r="AK2170" s="100"/>
      <c r="AL2170" s="100"/>
      <c r="AM2170" s="100"/>
      <c r="AN2170" s="100"/>
      <c r="AO2170" s="100"/>
      <c r="AP2170" s="100"/>
      <c r="AQ2170" s="100"/>
      <c r="AR2170" s="100"/>
      <c r="AS2170" s="100"/>
      <c r="AT2170" s="102"/>
      <c r="AX2170" s="100"/>
      <c r="AY2170" s="101"/>
      <c r="AZ2170" s="101"/>
      <c r="BA2170" s="100"/>
      <c r="BB2170" s="100"/>
      <c r="BC2170" s="100"/>
      <c r="BD2170" s="100"/>
      <c r="BE2170" s="100"/>
      <c r="BF2170" s="100"/>
      <c r="BG2170" s="100"/>
      <c r="BH2170" s="100"/>
      <c r="BI2170" s="100"/>
      <c r="BJ2170" s="100"/>
      <c r="BK2170" s="102"/>
    </row>
    <row r="2171" spans="1:63" x14ac:dyDescent="0.25">
      <c r="A2171" s="92"/>
      <c r="B2171" s="92"/>
      <c r="C2171" s="92"/>
      <c r="D2171" s="92"/>
      <c r="E2171" s="92"/>
      <c r="F2171" s="92"/>
      <c r="G2171" s="92"/>
      <c r="H2171" s="92"/>
      <c r="I2171" s="92"/>
      <c r="J2171" s="92"/>
      <c r="K2171" s="92"/>
      <c r="L2171" s="92"/>
      <c r="M2171" s="92"/>
      <c r="N2171" s="92"/>
      <c r="AG2171" s="100"/>
      <c r="AH2171" s="101"/>
      <c r="AI2171" s="101"/>
      <c r="AJ2171" s="100"/>
      <c r="AK2171" s="100"/>
      <c r="AL2171" s="100"/>
      <c r="AM2171" s="100"/>
      <c r="AN2171" s="100"/>
      <c r="AO2171" s="100"/>
      <c r="AP2171" s="100"/>
      <c r="AQ2171" s="100"/>
      <c r="AR2171" s="100"/>
      <c r="AS2171" s="100"/>
      <c r="AT2171" s="102"/>
      <c r="AX2171" s="100"/>
      <c r="AY2171" s="101"/>
      <c r="AZ2171" s="101"/>
      <c r="BA2171" s="100"/>
      <c r="BB2171" s="100"/>
      <c r="BC2171" s="100"/>
      <c r="BD2171" s="100"/>
      <c r="BE2171" s="100"/>
      <c r="BF2171" s="100"/>
      <c r="BG2171" s="100"/>
      <c r="BH2171" s="100"/>
      <c r="BI2171" s="100"/>
      <c r="BJ2171" s="100"/>
      <c r="BK2171" s="102"/>
    </row>
    <row r="2172" spans="1:63" x14ac:dyDescent="0.25">
      <c r="A2172" s="92"/>
      <c r="B2172" s="92"/>
      <c r="C2172" s="92"/>
      <c r="D2172" s="92"/>
      <c r="E2172" s="92"/>
      <c r="F2172" s="92"/>
      <c r="G2172" s="92"/>
      <c r="H2172" s="92"/>
      <c r="I2172" s="92"/>
      <c r="J2172" s="92"/>
      <c r="K2172" s="92"/>
      <c r="L2172" s="92"/>
      <c r="M2172" s="92"/>
      <c r="N2172" s="92"/>
      <c r="AG2172" s="100"/>
      <c r="AH2172" s="101"/>
      <c r="AI2172" s="101"/>
      <c r="AJ2172" s="101"/>
      <c r="AK2172" s="100"/>
      <c r="AL2172" s="100"/>
      <c r="AM2172" s="100"/>
      <c r="AN2172" s="100"/>
      <c r="AO2172" s="100"/>
      <c r="AP2172" s="100"/>
      <c r="AQ2172" s="100"/>
      <c r="AR2172" s="100"/>
      <c r="AS2172" s="100"/>
      <c r="AT2172" s="102"/>
      <c r="AX2172" s="100"/>
      <c r="AY2172" s="101"/>
      <c r="AZ2172" s="101"/>
      <c r="BA2172" s="100"/>
      <c r="BB2172" s="100"/>
      <c r="BC2172" s="100"/>
      <c r="BD2172" s="100"/>
      <c r="BE2172" s="100"/>
      <c r="BF2172" s="100"/>
      <c r="BG2172" s="100"/>
      <c r="BH2172" s="100"/>
      <c r="BI2172" s="100"/>
      <c r="BJ2172" s="100"/>
      <c r="BK2172" s="102"/>
    </row>
    <row r="2173" spans="1:63" x14ac:dyDescent="0.25">
      <c r="A2173" s="92"/>
      <c r="B2173" s="93"/>
      <c r="C2173" s="93"/>
      <c r="D2173" s="93"/>
      <c r="E2173" s="92"/>
      <c r="F2173" s="92"/>
      <c r="G2173" s="92"/>
      <c r="H2173" s="92"/>
      <c r="I2173" s="92"/>
      <c r="J2173" s="92"/>
      <c r="K2173" s="92"/>
      <c r="L2173" s="92"/>
      <c r="M2173" s="92"/>
      <c r="N2173" s="94"/>
      <c r="AG2173" s="100"/>
      <c r="AH2173" s="101"/>
      <c r="AI2173" s="101"/>
      <c r="AJ2173" s="100"/>
      <c r="AK2173" s="100"/>
      <c r="AL2173" s="100"/>
      <c r="AM2173" s="100"/>
      <c r="AN2173" s="100"/>
      <c r="AO2173" s="100"/>
      <c r="AP2173" s="100"/>
      <c r="AQ2173" s="100"/>
      <c r="AR2173" s="100"/>
      <c r="AS2173" s="100"/>
      <c r="AT2173" s="102"/>
      <c r="AX2173" s="100"/>
      <c r="AY2173" s="101"/>
      <c r="AZ2173" s="101"/>
      <c r="BA2173" s="101"/>
      <c r="BB2173" s="100"/>
      <c r="BC2173" s="100"/>
      <c r="BD2173" s="100"/>
      <c r="BE2173" s="100"/>
      <c r="BF2173" s="100"/>
      <c r="BG2173" s="100"/>
      <c r="BH2173" s="100"/>
      <c r="BI2173" s="100"/>
      <c r="BJ2173" s="100"/>
      <c r="BK2173" s="102"/>
    </row>
    <row r="2174" spans="1:63" x14ac:dyDescent="0.25">
      <c r="A2174" s="92"/>
      <c r="B2174" s="92"/>
      <c r="C2174" s="92"/>
      <c r="D2174" s="92"/>
      <c r="E2174" s="92"/>
      <c r="F2174" s="92"/>
      <c r="G2174" s="92"/>
      <c r="H2174" s="92"/>
      <c r="I2174" s="92"/>
      <c r="J2174" s="92"/>
      <c r="K2174" s="92"/>
      <c r="L2174" s="92"/>
      <c r="M2174" s="92"/>
      <c r="N2174" s="92"/>
      <c r="AG2174" s="100"/>
      <c r="AH2174" s="101"/>
      <c r="AI2174" s="101"/>
      <c r="AJ2174" s="100"/>
      <c r="AK2174" s="100"/>
      <c r="AL2174" s="100"/>
      <c r="AM2174" s="100"/>
      <c r="AN2174" s="100"/>
      <c r="AO2174" s="100"/>
      <c r="AP2174" s="100"/>
      <c r="AQ2174" s="100"/>
      <c r="AR2174" s="100"/>
      <c r="AS2174" s="100"/>
      <c r="AT2174" s="102"/>
      <c r="AX2174" s="100"/>
      <c r="AY2174" s="101"/>
      <c r="AZ2174" s="101"/>
      <c r="BA2174" s="100"/>
      <c r="BB2174" s="100"/>
      <c r="BC2174" s="100"/>
      <c r="BD2174" s="100"/>
      <c r="BE2174" s="100"/>
      <c r="BF2174" s="100"/>
      <c r="BG2174" s="100"/>
      <c r="BH2174" s="100"/>
      <c r="BI2174" s="100"/>
      <c r="BJ2174" s="100"/>
      <c r="BK2174" s="102"/>
    </row>
    <row r="2175" spans="1:63" x14ac:dyDescent="0.25">
      <c r="A2175" s="92"/>
      <c r="B2175" s="92"/>
      <c r="C2175" s="92"/>
      <c r="D2175" s="92"/>
      <c r="E2175" s="92"/>
      <c r="F2175" s="92"/>
      <c r="G2175" s="92"/>
      <c r="H2175" s="92"/>
      <c r="I2175" s="92"/>
      <c r="J2175" s="92"/>
      <c r="K2175" s="92"/>
      <c r="L2175" s="92"/>
      <c r="M2175" s="92"/>
      <c r="N2175" s="92"/>
      <c r="AG2175" s="100"/>
      <c r="AH2175" s="101"/>
      <c r="AI2175" s="101"/>
      <c r="AJ2175" s="100"/>
      <c r="AK2175" s="100"/>
      <c r="AL2175" s="100"/>
      <c r="AM2175" s="100"/>
      <c r="AN2175" s="100"/>
      <c r="AO2175" s="100"/>
      <c r="AP2175" s="100"/>
      <c r="AQ2175" s="100"/>
      <c r="AR2175" s="100"/>
      <c r="AS2175" s="100"/>
      <c r="AT2175" s="102"/>
      <c r="AX2175" s="100"/>
      <c r="AY2175" s="101"/>
      <c r="AZ2175" s="101"/>
      <c r="BA2175" s="100"/>
      <c r="BB2175" s="100"/>
      <c r="BC2175" s="100"/>
      <c r="BD2175" s="100"/>
      <c r="BE2175" s="100"/>
      <c r="BF2175" s="100"/>
      <c r="BG2175" s="100"/>
      <c r="BH2175" s="100"/>
      <c r="BI2175" s="100"/>
      <c r="BJ2175" s="100"/>
      <c r="BK2175" s="102"/>
    </row>
    <row r="2176" spans="1:63" x14ac:dyDescent="0.25">
      <c r="A2176" s="92"/>
      <c r="B2176" s="92"/>
      <c r="C2176" s="92"/>
      <c r="D2176" s="92"/>
      <c r="E2176" s="92"/>
      <c r="F2176" s="92"/>
      <c r="G2176" s="92"/>
      <c r="H2176" s="92"/>
      <c r="I2176" s="92"/>
      <c r="J2176" s="92"/>
      <c r="K2176" s="92"/>
      <c r="L2176" s="92"/>
      <c r="M2176" s="92"/>
      <c r="N2176" s="92"/>
      <c r="AG2176" s="100"/>
      <c r="AH2176" s="101"/>
      <c r="AI2176" s="101"/>
      <c r="AJ2176" s="100"/>
      <c r="AK2176" s="100"/>
      <c r="AL2176" s="100"/>
      <c r="AM2176" s="100"/>
      <c r="AN2176" s="100"/>
      <c r="AO2176" s="100"/>
      <c r="AP2176" s="100"/>
      <c r="AQ2176" s="100"/>
      <c r="AR2176" s="100"/>
      <c r="AS2176" s="100"/>
      <c r="AT2176" s="102"/>
      <c r="AX2176" s="100"/>
      <c r="AY2176" s="101"/>
      <c r="AZ2176" s="101"/>
      <c r="BA2176" s="101"/>
      <c r="BB2176" s="100"/>
      <c r="BC2176" s="100"/>
      <c r="BD2176" s="100"/>
      <c r="BE2176" s="100"/>
      <c r="BF2176" s="100"/>
      <c r="BG2176" s="100"/>
      <c r="BH2176" s="100"/>
      <c r="BI2176" s="100"/>
      <c r="BJ2176" s="100"/>
      <c r="BK2176" s="102"/>
    </row>
    <row r="2177" spans="1:63" x14ac:dyDescent="0.25">
      <c r="A2177" s="92"/>
      <c r="B2177" s="92"/>
      <c r="C2177" s="92"/>
      <c r="D2177" s="92"/>
      <c r="E2177" s="92"/>
      <c r="F2177" s="92"/>
      <c r="G2177" s="92"/>
      <c r="H2177" s="92"/>
      <c r="I2177" s="92"/>
      <c r="J2177" s="92"/>
      <c r="K2177" s="92"/>
      <c r="L2177" s="92"/>
      <c r="M2177" s="92"/>
      <c r="N2177" s="92"/>
      <c r="AG2177" s="100"/>
      <c r="AH2177" s="101"/>
      <c r="AI2177" s="101"/>
      <c r="AJ2177" s="100"/>
      <c r="AK2177" s="100"/>
      <c r="AL2177" s="100"/>
      <c r="AM2177" s="100"/>
      <c r="AN2177" s="100"/>
      <c r="AO2177" s="100"/>
      <c r="AP2177" s="100"/>
      <c r="AQ2177" s="100"/>
      <c r="AR2177" s="100"/>
      <c r="AS2177" s="100"/>
      <c r="AT2177" s="102"/>
      <c r="AX2177" s="100"/>
      <c r="AY2177" s="101"/>
      <c r="AZ2177" s="101"/>
      <c r="BA2177" s="100"/>
      <c r="BB2177" s="100"/>
      <c r="BC2177" s="100"/>
      <c r="BD2177" s="100"/>
      <c r="BE2177" s="100"/>
      <c r="BF2177" s="100"/>
      <c r="BG2177" s="100"/>
      <c r="BH2177" s="100"/>
      <c r="BI2177" s="100"/>
      <c r="BJ2177" s="100"/>
      <c r="BK2177" s="102"/>
    </row>
    <row r="2178" spans="1:63" x14ac:dyDescent="0.25">
      <c r="A2178" s="92"/>
      <c r="B2178" s="93"/>
      <c r="C2178" s="93"/>
      <c r="D2178" s="92"/>
      <c r="E2178" s="92"/>
      <c r="F2178" s="92"/>
      <c r="G2178" s="92"/>
      <c r="H2178" s="92"/>
      <c r="I2178" s="92"/>
      <c r="J2178" s="92"/>
      <c r="K2178" s="92"/>
      <c r="L2178" s="92"/>
      <c r="M2178" s="92"/>
      <c r="N2178" s="94"/>
      <c r="AG2178" s="100"/>
      <c r="AH2178" s="101"/>
      <c r="AI2178" s="101"/>
      <c r="AJ2178" s="101"/>
      <c r="AK2178" s="100"/>
      <c r="AL2178" s="100"/>
      <c r="AM2178" s="100"/>
      <c r="AN2178" s="100"/>
      <c r="AO2178" s="100"/>
      <c r="AP2178" s="100"/>
      <c r="AQ2178" s="100"/>
      <c r="AR2178" s="100"/>
      <c r="AS2178" s="100"/>
      <c r="AT2178" s="102"/>
      <c r="AX2178" s="100"/>
      <c r="AY2178" s="101"/>
      <c r="AZ2178" s="101"/>
      <c r="BA2178" s="101"/>
      <c r="BB2178" s="100"/>
      <c r="BC2178" s="100"/>
      <c r="BD2178" s="100"/>
      <c r="BE2178" s="100"/>
      <c r="BF2178" s="100"/>
      <c r="BG2178" s="100"/>
      <c r="BH2178" s="100"/>
      <c r="BI2178" s="100"/>
      <c r="BJ2178" s="100"/>
      <c r="BK2178" s="102"/>
    </row>
    <row r="2179" spans="1:63" x14ac:dyDescent="0.25">
      <c r="A2179" s="92"/>
      <c r="B2179" s="92"/>
      <c r="C2179" s="92"/>
      <c r="D2179" s="92"/>
      <c r="E2179" s="92"/>
      <c r="F2179" s="92"/>
      <c r="G2179" s="92"/>
      <c r="H2179" s="92"/>
      <c r="I2179" s="92"/>
      <c r="J2179" s="92"/>
      <c r="K2179" s="92"/>
      <c r="L2179" s="92"/>
      <c r="M2179" s="92"/>
      <c r="N2179" s="92"/>
      <c r="AG2179" s="100"/>
      <c r="AH2179" s="101"/>
      <c r="AI2179" s="101"/>
      <c r="AJ2179" s="100"/>
      <c r="AK2179" s="100"/>
      <c r="AL2179" s="100"/>
      <c r="AM2179" s="100"/>
      <c r="AN2179" s="100"/>
      <c r="AO2179" s="100"/>
      <c r="AP2179" s="100"/>
      <c r="AQ2179" s="100"/>
      <c r="AR2179" s="100"/>
      <c r="AS2179" s="100"/>
      <c r="AT2179" s="102"/>
      <c r="AX2179" s="100"/>
      <c r="AY2179" s="101"/>
      <c r="AZ2179" s="101"/>
      <c r="BA2179" s="100"/>
      <c r="BB2179" s="100"/>
      <c r="BC2179" s="100"/>
      <c r="BD2179" s="100"/>
      <c r="BE2179" s="100"/>
      <c r="BF2179" s="100"/>
      <c r="BG2179" s="100"/>
      <c r="BH2179" s="100"/>
      <c r="BI2179" s="100"/>
      <c r="BJ2179" s="100"/>
      <c r="BK2179" s="102"/>
    </row>
    <row r="2180" spans="1:63" x14ac:dyDescent="0.25">
      <c r="A2180" s="92"/>
      <c r="B2180" s="92"/>
      <c r="C2180" s="92"/>
      <c r="D2180" s="92"/>
      <c r="E2180" s="92"/>
      <c r="F2180" s="92"/>
      <c r="G2180" s="92"/>
      <c r="H2180" s="92"/>
      <c r="I2180" s="92"/>
      <c r="J2180" s="92"/>
      <c r="K2180" s="92"/>
      <c r="L2180" s="92"/>
      <c r="M2180" s="92"/>
      <c r="N2180" s="92"/>
      <c r="AG2180" s="100"/>
      <c r="AH2180" s="101"/>
      <c r="AI2180" s="101"/>
      <c r="AJ2180" s="100"/>
      <c r="AK2180" s="100"/>
      <c r="AL2180" s="100"/>
      <c r="AM2180" s="100"/>
      <c r="AN2180" s="100"/>
      <c r="AO2180" s="100"/>
      <c r="AP2180" s="100"/>
      <c r="AQ2180" s="100"/>
      <c r="AR2180" s="100"/>
      <c r="AS2180" s="100"/>
      <c r="AT2180" s="102"/>
      <c r="AX2180" s="100"/>
      <c r="AY2180" s="101"/>
      <c r="AZ2180" s="101"/>
      <c r="BA2180" s="100"/>
      <c r="BB2180" s="100"/>
      <c r="BC2180" s="100"/>
      <c r="BD2180" s="100"/>
      <c r="BE2180" s="100"/>
      <c r="BF2180" s="100"/>
      <c r="BG2180" s="100"/>
      <c r="BH2180" s="100"/>
      <c r="BI2180" s="100"/>
      <c r="BJ2180" s="100"/>
      <c r="BK2180" s="102"/>
    </row>
    <row r="2181" spans="1:63" x14ac:dyDescent="0.25">
      <c r="A2181" s="92"/>
      <c r="B2181" s="93"/>
      <c r="C2181" s="93"/>
      <c r="D2181" s="92"/>
      <c r="E2181" s="92"/>
      <c r="F2181" s="92"/>
      <c r="G2181" s="92"/>
      <c r="H2181" s="92"/>
      <c r="I2181" s="92"/>
      <c r="J2181" s="92"/>
      <c r="K2181" s="92"/>
      <c r="L2181" s="92"/>
      <c r="M2181" s="92"/>
      <c r="N2181" s="94"/>
      <c r="AG2181" s="100"/>
      <c r="AH2181" s="101"/>
      <c r="AI2181" s="101"/>
      <c r="AJ2181" s="100"/>
      <c r="AK2181" s="100"/>
      <c r="AL2181" s="100"/>
      <c r="AM2181" s="100"/>
      <c r="AN2181" s="100"/>
      <c r="AO2181" s="100"/>
      <c r="AP2181" s="100"/>
      <c r="AQ2181" s="100"/>
      <c r="AR2181" s="100"/>
      <c r="AS2181" s="100"/>
      <c r="AT2181" s="102"/>
      <c r="AX2181" s="100"/>
      <c r="AY2181" s="101"/>
      <c r="AZ2181" s="101"/>
      <c r="BA2181" s="100"/>
      <c r="BB2181" s="100"/>
      <c r="BC2181" s="100"/>
      <c r="BD2181" s="100"/>
      <c r="BE2181" s="100"/>
      <c r="BF2181" s="100"/>
      <c r="BG2181" s="100"/>
      <c r="BH2181" s="100"/>
      <c r="BI2181" s="100"/>
      <c r="BJ2181" s="100"/>
      <c r="BK2181" s="102"/>
    </row>
    <row r="2182" spans="1:63" x14ac:dyDescent="0.25">
      <c r="A2182" s="92"/>
      <c r="B2182" s="92"/>
      <c r="C2182" s="92"/>
      <c r="D2182" s="92"/>
      <c r="E2182" s="92"/>
      <c r="F2182" s="92"/>
      <c r="G2182" s="92"/>
      <c r="H2182" s="92"/>
      <c r="I2182" s="92"/>
      <c r="J2182" s="92"/>
      <c r="K2182" s="92"/>
      <c r="L2182" s="92"/>
      <c r="M2182" s="92"/>
      <c r="N2182" s="92"/>
      <c r="AG2182" s="100"/>
      <c r="AH2182" s="101"/>
      <c r="AI2182" s="101"/>
      <c r="AJ2182" s="101"/>
      <c r="AK2182" s="100"/>
      <c r="AL2182" s="100"/>
      <c r="AM2182" s="100"/>
      <c r="AN2182" s="100"/>
      <c r="AO2182" s="100"/>
      <c r="AP2182" s="100"/>
      <c r="AQ2182" s="100"/>
      <c r="AR2182" s="100"/>
      <c r="AS2182" s="100"/>
      <c r="AT2182" s="102"/>
      <c r="AX2182" s="100"/>
      <c r="AY2182" s="101"/>
      <c r="AZ2182" s="101"/>
      <c r="BA2182" s="100"/>
      <c r="BB2182" s="100"/>
      <c r="BC2182" s="100"/>
      <c r="BD2182" s="100"/>
      <c r="BE2182" s="100"/>
      <c r="BF2182" s="100"/>
      <c r="BG2182" s="100"/>
      <c r="BH2182" s="100"/>
      <c r="BI2182" s="100"/>
      <c r="BJ2182" s="100"/>
      <c r="BK2182" s="102"/>
    </row>
    <row r="2183" spans="1:63" x14ac:dyDescent="0.25">
      <c r="A2183" s="92"/>
      <c r="B2183" s="92"/>
      <c r="C2183" s="92"/>
      <c r="D2183" s="92"/>
      <c r="E2183" s="92"/>
      <c r="F2183" s="92"/>
      <c r="G2183" s="92"/>
      <c r="H2183" s="92"/>
      <c r="I2183" s="92"/>
      <c r="J2183" s="92"/>
      <c r="K2183" s="92"/>
      <c r="L2183" s="92"/>
      <c r="M2183" s="92"/>
      <c r="N2183" s="92"/>
      <c r="AG2183" s="100"/>
      <c r="AH2183" s="101"/>
      <c r="AI2183" s="101"/>
      <c r="AJ2183" s="100"/>
      <c r="AK2183" s="100"/>
      <c r="AL2183" s="100"/>
      <c r="AM2183" s="100"/>
      <c r="AN2183" s="100"/>
      <c r="AO2183" s="100"/>
      <c r="AP2183" s="100"/>
      <c r="AQ2183" s="100"/>
      <c r="AR2183" s="100"/>
      <c r="AS2183" s="100"/>
      <c r="AT2183" s="102"/>
      <c r="AX2183" s="100"/>
      <c r="AY2183" s="101"/>
      <c r="AZ2183" s="101"/>
      <c r="BA2183" s="100"/>
      <c r="BB2183" s="100"/>
      <c r="BC2183" s="100"/>
      <c r="BD2183" s="100"/>
      <c r="BE2183" s="100"/>
      <c r="BF2183" s="100"/>
      <c r="BG2183" s="100"/>
      <c r="BH2183" s="100"/>
      <c r="BI2183" s="100"/>
      <c r="BJ2183" s="100"/>
      <c r="BK2183" s="102"/>
    </row>
    <row r="2184" spans="1:63" x14ac:dyDescent="0.25">
      <c r="A2184" s="92"/>
      <c r="B2184" s="92"/>
      <c r="C2184" s="92"/>
      <c r="D2184" s="92"/>
      <c r="E2184" s="92"/>
      <c r="F2184" s="92"/>
      <c r="G2184" s="92"/>
      <c r="H2184" s="92"/>
      <c r="I2184" s="92"/>
      <c r="J2184" s="92"/>
      <c r="K2184" s="92"/>
      <c r="L2184" s="92"/>
      <c r="M2184" s="92"/>
      <c r="N2184" s="92"/>
      <c r="AG2184" s="100"/>
      <c r="AH2184" s="101"/>
      <c r="AI2184" s="101"/>
      <c r="AJ2184" s="101"/>
      <c r="AK2184" s="100"/>
      <c r="AL2184" s="100"/>
      <c r="AM2184" s="100"/>
      <c r="AN2184" s="100"/>
      <c r="AO2184" s="100"/>
      <c r="AP2184" s="100"/>
      <c r="AQ2184" s="100"/>
      <c r="AR2184" s="100"/>
      <c r="AS2184" s="100"/>
      <c r="AT2184" s="102"/>
      <c r="AX2184" s="100"/>
      <c r="AY2184" s="101"/>
      <c r="AZ2184" s="101"/>
      <c r="BA2184" s="101"/>
      <c r="BB2184" s="100"/>
      <c r="BC2184" s="100"/>
      <c r="BD2184" s="100"/>
      <c r="BE2184" s="100"/>
      <c r="BF2184" s="100"/>
      <c r="BG2184" s="100"/>
      <c r="BH2184" s="100"/>
      <c r="BI2184" s="100"/>
      <c r="BJ2184" s="100"/>
      <c r="BK2184" s="102"/>
    </row>
    <row r="2185" spans="1:63" x14ac:dyDescent="0.25">
      <c r="A2185" s="92"/>
      <c r="B2185" s="92"/>
      <c r="C2185" s="92"/>
      <c r="D2185" s="92"/>
      <c r="E2185" s="92"/>
      <c r="F2185" s="92"/>
      <c r="G2185" s="92"/>
      <c r="H2185" s="92"/>
      <c r="I2185" s="92"/>
      <c r="J2185" s="92"/>
      <c r="K2185" s="92"/>
      <c r="L2185" s="92"/>
      <c r="M2185" s="92"/>
      <c r="N2185" s="92"/>
      <c r="AG2185" s="100"/>
      <c r="AH2185" s="101"/>
      <c r="AI2185" s="101"/>
      <c r="AJ2185" s="100"/>
      <c r="AK2185" s="100"/>
      <c r="AL2185" s="100"/>
      <c r="AM2185" s="100"/>
      <c r="AN2185" s="100"/>
      <c r="AO2185" s="100"/>
      <c r="AP2185" s="100"/>
      <c r="AQ2185" s="100"/>
      <c r="AR2185" s="100"/>
      <c r="AS2185" s="100"/>
      <c r="AT2185" s="102"/>
      <c r="AX2185" s="100"/>
      <c r="AY2185" s="101"/>
      <c r="AZ2185" s="101"/>
      <c r="BA2185" s="100"/>
      <c r="BB2185" s="100"/>
      <c r="BC2185" s="100"/>
      <c r="BD2185" s="100"/>
      <c r="BE2185" s="100"/>
      <c r="BF2185" s="100"/>
      <c r="BG2185" s="100"/>
      <c r="BH2185" s="100"/>
      <c r="BI2185" s="100"/>
      <c r="BJ2185" s="100"/>
      <c r="BK2185" s="102"/>
    </row>
    <row r="2186" spans="1:63" x14ac:dyDescent="0.25">
      <c r="A2186" s="92"/>
      <c r="B2186" s="93"/>
      <c r="C2186" s="93"/>
      <c r="D2186" s="92"/>
      <c r="E2186" s="92"/>
      <c r="F2186" s="92"/>
      <c r="G2186" s="92"/>
      <c r="H2186" s="92"/>
      <c r="I2186" s="92"/>
      <c r="J2186" s="92"/>
      <c r="K2186" s="92"/>
      <c r="L2186" s="92"/>
      <c r="M2186" s="92"/>
      <c r="N2186" s="94"/>
      <c r="AG2186" s="100"/>
      <c r="AH2186" s="101"/>
      <c r="AI2186" s="101"/>
      <c r="AJ2186" s="100"/>
      <c r="AK2186" s="100"/>
      <c r="AL2186" s="100"/>
      <c r="AM2186" s="100"/>
      <c r="AN2186" s="100"/>
      <c r="AO2186" s="100"/>
      <c r="AP2186" s="100"/>
      <c r="AQ2186" s="100"/>
      <c r="AR2186" s="100"/>
      <c r="AS2186" s="100"/>
      <c r="AT2186" s="102"/>
      <c r="AX2186" s="100"/>
      <c r="AY2186" s="101"/>
      <c r="AZ2186" s="101"/>
      <c r="BA2186" s="100"/>
      <c r="BB2186" s="100"/>
      <c r="BC2186" s="100"/>
      <c r="BD2186" s="100"/>
      <c r="BE2186" s="100"/>
      <c r="BF2186" s="100"/>
      <c r="BG2186" s="100"/>
      <c r="BH2186" s="100"/>
      <c r="BI2186" s="100"/>
      <c r="BJ2186" s="100"/>
      <c r="BK2186" s="102"/>
    </row>
    <row r="2187" spans="1:63" x14ac:dyDescent="0.25">
      <c r="A2187" s="92"/>
      <c r="B2187" s="93"/>
      <c r="C2187" s="93"/>
      <c r="D2187" s="92"/>
      <c r="E2187" s="92"/>
      <c r="F2187" s="92"/>
      <c r="G2187" s="92"/>
      <c r="H2187" s="92"/>
      <c r="I2187" s="92"/>
      <c r="J2187" s="92"/>
      <c r="K2187" s="92"/>
      <c r="L2187" s="92"/>
      <c r="M2187" s="92"/>
      <c r="N2187" s="94"/>
      <c r="AG2187" s="100"/>
      <c r="AH2187" s="101"/>
      <c r="AI2187" s="101"/>
      <c r="AJ2187" s="100"/>
      <c r="AK2187" s="100"/>
      <c r="AL2187" s="100"/>
      <c r="AM2187" s="100"/>
      <c r="AN2187" s="100"/>
      <c r="AO2187" s="100"/>
      <c r="AP2187" s="100"/>
      <c r="AQ2187" s="100"/>
      <c r="AR2187" s="100"/>
      <c r="AS2187" s="100"/>
      <c r="AT2187" s="102"/>
      <c r="AX2187" s="100"/>
      <c r="AY2187" s="101"/>
      <c r="AZ2187" s="101"/>
      <c r="BA2187" s="101"/>
      <c r="BB2187" s="100"/>
      <c r="BC2187" s="100"/>
      <c r="BD2187" s="100"/>
      <c r="BE2187" s="100"/>
      <c r="BF2187" s="100"/>
      <c r="BG2187" s="100"/>
      <c r="BH2187" s="100"/>
      <c r="BI2187" s="100"/>
      <c r="BJ2187" s="100"/>
      <c r="BK2187" s="102"/>
    </row>
    <row r="2188" spans="1:63" x14ac:dyDescent="0.25">
      <c r="A2188" s="92"/>
      <c r="B2188" s="93"/>
      <c r="C2188" s="93"/>
      <c r="D2188" s="93"/>
      <c r="E2188" s="92"/>
      <c r="F2188" s="92"/>
      <c r="G2188" s="92"/>
      <c r="H2188" s="92"/>
      <c r="I2188" s="92"/>
      <c r="J2188" s="92"/>
      <c r="K2188" s="92"/>
      <c r="L2188" s="92"/>
      <c r="M2188" s="92"/>
      <c r="N2188" s="94"/>
      <c r="AG2188" s="100"/>
      <c r="AH2188" s="101"/>
      <c r="AI2188" s="101"/>
      <c r="AJ2188" s="100"/>
      <c r="AK2188" s="100"/>
      <c r="AL2188" s="100"/>
      <c r="AM2188" s="100"/>
      <c r="AN2188" s="100"/>
      <c r="AO2188" s="100"/>
      <c r="AP2188" s="100"/>
      <c r="AQ2188" s="100"/>
      <c r="AR2188" s="100"/>
      <c r="AS2188" s="100"/>
      <c r="AT2188" s="102"/>
      <c r="AX2188" s="100"/>
      <c r="AY2188" s="101"/>
      <c r="AZ2188" s="101"/>
      <c r="BA2188" s="101"/>
      <c r="BB2188" s="100"/>
      <c r="BC2188" s="100"/>
      <c r="BD2188" s="100"/>
      <c r="BE2188" s="100"/>
      <c r="BF2188" s="100"/>
      <c r="BG2188" s="100"/>
      <c r="BH2188" s="100"/>
      <c r="BI2188" s="100"/>
      <c r="BJ2188" s="100"/>
      <c r="BK2188" s="102"/>
    </row>
    <row r="2189" spans="1:63" x14ac:dyDescent="0.25">
      <c r="A2189" s="92"/>
      <c r="B2189" s="93"/>
      <c r="C2189" s="93"/>
      <c r="D2189" s="92"/>
      <c r="E2189" s="92"/>
      <c r="F2189" s="92"/>
      <c r="G2189" s="92"/>
      <c r="H2189" s="92"/>
      <c r="I2189" s="92"/>
      <c r="J2189" s="92"/>
      <c r="K2189" s="92"/>
      <c r="L2189" s="92"/>
      <c r="M2189" s="92"/>
      <c r="N2189" s="94"/>
      <c r="AG2189" s="100"/>
      <c r="AH2189" s="101"/>
      <c r="AI2189" s="101"/>
      <c r="AJ2189" s="100"/>
      <c r="AK2189" s="100"/>
      <c r="AL2189" s="100"/>
      <c r="AM2189" s="100"/>
      <c r="AN2189" s="100"/>
      <c r="AO2189" s="100"/>
      <c r="AP2189" s="100"/>
      <c r="AQ2189" s="100"/>
      <c r="AR2189" s="100"/>
      <c r="AS2189" s="100"/>
      <c r="AT2189" s="102"/>
      <c r="AX2189" s="100"/>
      <c r="AY2189" s="101"/>
      <c r="AZ2189" s="101"/>
      <c r="BA2189" s="100"/>
      <c r="BB2189" s="100"/>
      <c r="BC2189" s="100"/>
      <c r="BD2189" s="100"/>
      <c r="BE2189" s="100"/>
      <c r="BF2189" s="100"/>
      <c r="BG2189" s="100"/>
      <c r="BH2189" s="100"/>
      <c r="BI2189" s="100"/>
      <c r="BJ2189" s="100"/>
      <c r="BK2189" s="102"/>
    </row>
    <row r="2190" spans="1:63" x14ac:dyDescent="0.25">
      <c r="A2190" s="92"/>
      <c r="B2190" s="93"/>
      <c r="C2190" s="93"/>
      <c r="D2190" s="92"/>
      <c r="E2190" s="92"/>
      <c r="F2190" s="92"/>
      <c r="G2190" s="92"/>
      <c r="H2190" s="92"/>
      <c r="I2190" s="92"/>
      <c r="J2190" s="92"/>
      <c r="K2190" s="92"/>
      <c r="L2190" s="92"/>
      <c r="M2190" s="92"/>
      <c r="N2190" s="94"/>
      <c r="AG2190" s="100"/>
      <c r="AH2190" s="101"/>
      <c r="AI2190" s="101"/>
      <c r="AJ2190" s="100"/>
      <c r="AK2190" s="100"/>
      <c r="AL2190" s="100"/>
      <c r="AM2190" s="100"/>
      <c r="AN2190" s="100"/>
      <c r="AO2190" s="100"/>
      <c r="AP2190" s="100"/>
      <c r="AQ2190" s="100"/>
      <c r="AR2190" s="100"/>
      <c r="AS2190" s="100"/>
      <c r="AT2190" s="102"/>
      <c r="AX2190" s="100"/>
      <c r="AY2190" s="101"/>
      <c r="AZ2190" s="101"/>
      <c r="BA2190" s="101"/>
      <c r="BB2190" s="100"/>
      <c r="BC2190" s="100"/>
      <c r="BD2190" s="100"/>
      <c r="BE2190" s="100"/>
      <c r="BF2190" s="100"/>
      <c r="BG2190" s="100"/>
      <c r="BH2190" s="100"/>
      <c r="BI2190" s="100"/>
      <c r="BJ2190" s="100"/>
      <c r="BK2190" s="102"/>
    </row>
    <row r="2191" spans="1:63" x14ac:dyDescent="0.25">
      <c r="A2191" s="92"/>
      <c r="B2191" s="92"/>
      <c r="C2191" s="92"/>
      <c r="D2191" s="92"/>
      <c r="E2191" s="92"/>
      <c r="F2191" s="92"/>
      <c r="G2191" s="92"/>
      <c r="H2191" s="92"/>
      <c r="I2191" s="92"/>
      <c r="J2191" s="92"/>
      <c r="K2191" s="92"/>
      <c r="L2191" s="92"/>
      <c r="M2191" s="92"/>
      <c r="N2191" s="92"/>
      <c r="AG2191" s="100"/>
      <c r="AH2191" s="101"/>
      <c r="AI2191" s="101"/>
      <c r="AJ2191" s="101"/>
      <c r="AK2191" s="100"/>
      <c r="AL2191" s="100"/>
      <c r="AM2191" s="100"/>
      <c r="AN2191" s="100"/>
      <c r="AO2191" s="100"/>
      <c r="AP2191" s="100"/>
      <c r="AQ2191" s="100"/>
      <c r="AR2191" s="100"/>
      <c r="AS2191" s="100"/>
      <c r="AT2191" s="102"/>
      <c r="AX2191" s="100"/>
      <c r="AY2191" s="101"/>
      <c r="AZ2191" s="101"/>
      <c r="BA2191" s="100"/>
      <c r="BB2191" s="100"/>
      <c r="BC2191" s="100"/>
      <c r="BD2191" s="100"/>
      <c r="BE2191" s="100"/>
      <c r="BF2191" s="100"/>
      <c r="BG2191" s="100"/>
      <c r="BH2191" s="100"/>
      <c r="BI2191" s="100"/>
      <c r="BJ2191" s="100"/>
      <c r="BK2191" s="102"/>
    </row>
    <row r="2192" spans="1:63" x14ac:dyDescent="0.25">
      <c r="A2192" s="92"/>
      <c r="B2192" s="92"/>
      <c r="C2192" s="92"/>
      <c r="D2192" s="92"/>
      <c r="E2192" s="92"/>
      <c r="F2192" s="92"/>
      <c r="G2192" s="92"/>
      <c r="H2192" s="92"/>
      <c r="I2192" s="92"/>
      <c r="J2192" s="92"/>
      <c r="K2192" s="92"/>
      <c r="L2192" s="92"/>
      <c r="M2192" s="92"/>
      <c r="N2192" s="92"/>
      <c r="AG2192" s="100"/>
      <c r="AH2192" s="101"/>
      <c r="AI2192" s="101"/>
      <c r="AJ2192" s="101"/>
      <c r="AK2192" s="100"/>
      <c r="AL2192" s="100"/>
      <c r="AM2192" s="100"/>
      <c r="AN2192" s="100"/>
      <c r="AO2192" s="100"/>
      <c r="AP2192" s="100"/>
      <c r="AQ2192" s="100"/>
      <c r="AR2192" s="100"/>
      <c r="AS2192" s="100"/>
      <c r="AT2192" s="102"/>
      <c r="AX2192" s="100"/>
      <c r="AY2192" s="101"/>
      <c r="AZ2192" s="101"/>
      <c r="BA2192" s="101"/>
      <c r="BB2192" s="100"/>
      <c r="BC2192" s="100"/>
      <c r="BD2192" s="100"/>
      <c r="BE2192" s="100"/>
      <c r="BF2192" s="100"/>
      <c r="BG2192" s="100"/>
      <c r="BH2192" s="100"/>
      <c r="BI2192" s="100"/>
      <c r="BJ2192" s="100"/>
      <c r="BK2192" s="102"/>
    </row>
    <row r="2193" spans="1:63" x14ac:dyDescent="0.25">
      <c r="A2193" s="92"/>
      <c r="B2193" s="92"/>
      <c r="C2193" s="92"/>
      <c r="D2193" s="92"/>
      <c r="E2193" s="92"/>
      <c r="F2193" s="92"/>
      <c r="G2193" s="92"/>
      <c r="H2193" s="92"/>
      <c r="I2193" s="92"/>
      <c r="J2193" s="92"/>
      <c r="K2193" s="92"/>
      <c r="L2193" s="92"/>
      <c r="M2193" s="92"/>
      <c r="N2193" s="92"/>
      <c r="AG2193" s="100"/>
      <c r="AH2193" s="101"/>
      <c r="AI2193" s="101"/>
      <c r="AJ2193" s="100"/>
      <c r="AK2193" s="100"/>
      <c r="AL2193" s="100"/>
      <c r="AM2193" s="100"/>
      <c r="AN2193" s="100"/>
      <c r="AO2193" s="100"/>
      <c r="AP2193" s="100"/>
      <c r="AQ2193" s="100"/>
      <c r="AR2193" s="100"/>
      <c r="AS2193" s="100"/>
      <c r="AT2193" s="102"/>
      <c r="AX2193" s="100"/>
      <c r="AY2193" s="101"/>
      <c r="AZ2193" s="101"/>
      <c r="BA2193" s="100"/>
      <c r="BB2193" s="100"/>
      <c r="BC2193" s="100"/>
      <c r="BD2193" s="100"/>
      <c r="BE2193" s="100"/>
      <c r="BF2193" s="100"/>
      <c r="BG2193" s="100"/>
      <c r="BH2193" s="100"/>
      <c r="BI2193" s="100"/>
      <c r="BJ2193" s="100"/>
      <c r="BK2193" s="102"/>
    </row>
    <row r="2194" spans="1:63" x14ac:dyDescent="0.25">
      <c r="A2194" s="92"/>
      <c r="B2194" s="93"/>
      <c r="C2194" s="93"/>
      <c r="D2194" s="92"/>
      <c r="E2194" s="92"/>
      <c r="F2194" s="92"/>
      <c r="G2194" s="92"/>
      <c r="H2194" s="92"/>
      <c r="I2194" s="92"/>
      <c r="J2194" s="92"/>
      <c r="K2194" s="92"/>
      <c r="L2194" s="92"/>
      <c r="M2194" s="92"/>
      <c r="N2194" s="94"/>
      <c r="AG2194" s="100"/>
      <c r="AH2194" s="101"/>
      <c r="AI2194" s="101"/>
      <c r="AJ2194" s="100"/>
      <c r="AK2194" s="100"/>
      <c r="AL2194" s="100"/>
      <c r="AM2194" s="100"/>
      <c r="AN2194" s="100"/>
      <c r="AO2194" s="100"/>
      <c r="AP2194" s="100"/>
      <c r="AQ2194" s="100"/>
      <c r="AR2194" s="100"/>
      <c r="AS2194" s="100"/>
      <c r="AT2194" s="102"/>
      <c r="AX2194" s="100"/>
      <c r="AY2194" s="101"/>
      <c r="AZ2194" s="101"/>
      <c r="BA2194" s="100"/>
      <c r="BB2194" s="100"/>
      <c r="BC2194" s="100"/>
      <c r="BD2194" s="100"/>
      <c r="BE2194" s="100"/>
      <c r="BF2194" s="100"/>
      <c r="BG2194" s="100"/>
      <c r="BH2194" s="100"/>
      <c r="BI2194" s="100"/>
      <c r="BJ2194" s="100"/>
      <c r="BK2194" s="102"/>
    </row>
    <row r="2195" spans="1:63" x14ac:dyDescent="0.25">
      <c r="A2195" s="92"/>
      <c r="B2195" s="93"/>
      <c r="C2195" s="93"/>
      <c r="D2195" s="93"/>
      <c r="E2195" s="92"/>
      <c r="F2195" s="92"/>
      <c r="G2195" s="92"/>
      <c r="H2195" s="92"/>
      <c r="I2195" s="92"/>
      <c r="J2195" s="92"/>
      <c r="K2195" s="92"/>
      <c r="L2195" s="92"/>
      <c r="M2195" s="92"/>
      <c r="N2195" s="94"/>
      <c r="AG2195" s="100"/>
      <c r="AH2195" s="101"/>
      <c r="AI2195" s="101"/>
      <c r="AJ2195" s="100"/>
      <c r="AK2195" s="100"/>
      <c r="AL2195" s="100"/>
      <c r="AM2195" s="100"/>
      <c r="AN2195" s="100"/>
      <c r="AO2195" s="100"/>
      <c r="AP2195" s="100"/>
      <c r="AQ2195" s="100"/>
      <c r="AR2195" s="100"/>
      <c r="AS2195" s="100"/>
      <c r="AT2195" s="102"/>
      <c r="AX2195" s="100"/>
      <c r="AY2195" s="101"/>
      <c r="AZ2195" s="101"/>
      <c r="BA2195" s="100"/>
      <c r="BB2195" s="100"/>
      <c r="BC2195" s="100"/>
      <c r="BD2195" s="100"/>
      <c r="BE2195" s="100"/>
      <c r="BF2195" s="100"/>
      <c r="BG2195" s="100"/>
      <c r="BH2195" s="100"/>
      <c r="BI2195" s="100"/>
      <c r="BJ2195" s="100"/>
      <c r="BK2195" s="102"/>
    </row>
    <row r="2196" spans="1:63" x14ac:dyDescent="0.25">
      <c r="A2196" s="92"/>
      <c r="B2196" s="93"/>
      <c r="C2196" s="93"/>
      <c r="D2196" s="92"/>
      <c r="E2196" s="92"/>
      <c r="F2196" s="92"/>
      <c r="G2196" s="92"/>
      <c r="H2196" s="92"/>
      <c r="I2196" s="92"/>
      <c r="J2196" s="92"/>
      <c r="K2196" s="92"/>
      <c r="L2196" s="92"/>
      <c r="M2196" s="92"/>
      <c r="N2196" s="94"/>
      <c r="AG2196" s="100"/>
      <c r="AH2196" s="101"/>
      <c r="AI2196" s="101"/>
      <c r="AJ2196" s="100"/>
      <c r="AK2196" s="100"/>
      <c r="AL2196" s="100"/>
      <c r="AM2196" s="100"/>
      <c r="AN2196" s="100"/>
      <c r="AO2196" s="100"/>
      <c r="AP2196" s="100"/>
      <c r="AQ2196" s="100"/>
      <c r="AR2196" s="100"/>
      <c r="AS2196" s="100"/>
      <c r="AT2196" s="102"/>
      <c r="AX2196" s="100"/>
      <c r="AY2196" s="101"/>
      <c r="AZ2196" s="101"/>
      <c r="BA2196" s="100"/>
      <c r="BB2196" s="100"/>
      <c r="BC2196" s="100"/>
      <c r="BD2196" s="100"/>
      <c r="BE2196" s="100"/>
      <c r="BF2196" s="100"/>
      <c r="BG2196" s="100"/>
      <c r="BH2196" s="100"/>
      <c r="BI2196" s="100"/>
      <c r="BJ2196" s="100"/>
      <c r="BK2196" s="102"/>
    </row>
    <row r="2197" spans="1:63" x14ac:dyDescent="0.25">
      <c r="A2197" s="92"/>
      <c r="B2197" s="93"/>
      <c r="C2197" s="93"/>
      <c r="D2197" s="92"/>
      <c r="E2197" s="92"/>
      <c r="F2197" s="92"/>
      <c r="G2197" s="92"/>
      <c r="H2197" s="92"/>
      <c r="I2197" s="92"/>
      <c r="J2197" s="92"/>
      <c r="K2197" s="92"/>
      <c r="L2197" s="92"/>
      <c r="M2197" s="92"/>
      <c r="N2197" s="94"/>
      <c r="AG2197" s="100"/>
      <c r="AH2197" s="101"/>
      <c r="AI2197" s="101"/>
      <c r="AJ2197" s="100"/>
      <c r="AK2197" s="100"/>
      <c r="AL2197" s="100"/>
      <c r="AM2197" s="100"/>
      <c r="AN2197" s="100"/>
      <c r="AO2197" s="100"/>
      <c r="AP2197" s="100"/>
      <c r="AQ2197" s="100"/>
      <c r="AR2197" s="100"/>
      <c r="AS2197" s="100"/>
      <c r="AT2197" s="102"/>
      <c r="AX2197" s="100"/>
      <c r="AY2197" s="101"/>
      <c r="AZ2197" s="101"/>
      <c r="BA2197" s="100"/>
      <c r="BB2197" s="100"/>
      <c r="BC2197" s="100"/>
      <c r="BD2197" s="100"/>
      <c r="BE2197" s="100"/>
      <c r="BF2197" s="100"/>
      <c r="BG2197" s="100"/>
      <c r="BH2197" s="100"/>
      <c r="BI2197" s="100"/>
      <c r="BJ2197" s="100"/>
      <c r="BK2197" s="102"/>
    </row>
    <row r="2198" spans="1:63" x14ac:dyDescent="0.25">
      <c r="A2198" s="92"/>
      <c r="B2198" s="93"/>
      <c r="C2198" s="93"/>
      <c r="D2198" s="92"/>
      <c r="E2198" s="92"/>
      <c r="F2198" s="92"/>
      <c r="G2198" s="92"/>
      <c r="H2198" s="92"/>
      <c r="I2198" s="92"/>
      <c r="J2198" s="92"/>
      <c r="K2198" s="92"/>
      <c r="L2198" s="92"/>
      <c r="M2198" s="92"/>
      <c r="N2198" s="94"/>
      <c r="AG2198" s="100"/>
      <c r="AH2198" s="101"/>
      <c r="AI2198" s="101"/>
      <c r="AJ2198" s="100"/>
      <c r="AK2198" s="100"/>
      <c r="AL2198" s="100"/>
      <c r="AM2198" s="100"/>
      <c r="AN2198" s="100"/>
      <c r="AO2198" s="100"/>
      <c r="AP2198" s="100"/>
      <c r="AQ2198" s="100"/>
      <c r="AR2198" s="100"/>
      <c r="AS2198" s="100"/>
      <c r="AT2198" s="102"/>
      <c r="AX2198" s="100"/>
      <c r="AY2198" s="101"/>
      <c r="AZ2198" s="101"/>
      <c r="BA2198" s="101"/>
      <c r="BB2198" s="100"/>
      <c r="BC2198" s="100"/>
      <c r="BD2198" s="100"/>
      <c r="BE2198" s="100"/>
      <c r="BF2198" s="100"/>
      <c r="BG2198" s="100"/>
      <c r="BH2198" s="100"/>
      <c r="BI2198" s="100"/>
      <c r="BJ2198" s="100"/>
      <c r="BK2198" s="102"/>
    </row>
    <row r="2199" spans="1:63" x14ac:dyDescent="0.25">
      <c r="A2199" s="92"/>
      <c r="B2199" s="93"/>
      <c r="C2199" s="93"/>
      <c r="D2199" s="92"/>
      <c r="E2199" s="92"/>
      <c r="F2199" s="92"/>
      <c r="G2199" s="92"/>
      <c r="H2199" s="92"/>
      <c r="I2199" s="92"/>
      <c r="J2199" s="92"/>
      <c r="K2199" s="92"/>
      <c r="L2199" s="92"/>
      <c r="M2199" s="92"/>
      <c r="N2199" s="94"/>
      <c r="AG2199" s="100"/>
      <c r="AH2199" s="101"/>
      <c r="AI2199" s="101"/>
      <c r="AJ2199" s="100"/>
      <c r="AK2199" s="100"/>
      <c r="AL2199" s="100"/>
      <c r="AM2199" s="100"/>
      <c r="AN2199" s="100"/>
      <c r="AO2199" s="100"/>
      <c r="AP2199" s="100"/>
      <c r="AQ2199" s="100"/>
      <c r="AR2199" s="100"/>
      <c r="AS2199" s="100"/>
      <c r="AT2199" s="102"/>
      <c r="AX2199" s="100"/>
      <c r="AY2199" s="101"/>
      <c r="AZ2199" s="101"/>
      <c r="BA2199" s="100"/>
      <c r="BB2199" s="100"/>
      <c r="BC2199" s="100"/>
      <c r="BD2199" s="100"/>
      <c r="BE2199" s="100"/>
      <c r="BF2199" s="100"/>
      <c r="BG2199" s="100"/>
      <c r="BH2199" s="100"/>
      <c r="BI2199" s="100"/>
      <c r="BJ2199" s="100"/>
      <c r="BK2199" s="102"/>
    </row>
    <row r="2200" spans="1:63" x14ac:dyDescent="0.25">
      <c r="A2200" s="92"/>
      <c r="B2200" s="93"/>
      <c r="C2200" s="93"/>
      <c r="D2200" s="93"/>
      <c r="E2200" s="92"/>
      <c r="F2200" s="92"/>
      <c r="G2200" s="92"/>
      <c r="H2200" s="92"/>
      <c r="I2200" s="92"/>
      <c r="J2200" s="92"/>
      <c r="K2200" s="92"/>
      <c r="L2200" s="92"/>
      <c r="M2200" s="92"/>
      <c r="N2200" s="94"/>
      <c r="AG2200" s="100"/>
      <c r="AH2200" s="101"/>
      <c r="AI2200" s="101"/>
      <c r="AJ2200" s="100"/>
      <c r="AK2200" s="100"/>
      <c r="AL2200" s="100"/>
      <c r="AM2200" s="100"/>
      <c r="AN2200" s="100"/>
      <c r="AO2200" s="100"/>
      <c r="AP2200" s="100"/>
      <c r="AQ2200" s="100"/>
      <c r="AR2200" s="100"/>
      <c r="AS2200" s="100"/>
      <c r="AT2200" s="102"/>
      <c r="AX2200" s="100"/>
      <c r="AY2200" s="101"/>
      <c r="AZ2200" s="101"/>
      <c r="BA2200" s="100"/>
      <c r="BB2200" s="100"/>
      <c r="BC2200" s="100"/>
      <c r="BD2200" s="100"/>
      <c r="BE2200" s="100"/>
      <c r="BF2200" s="100"/>
      <c r="BG2200" s="100"/>
      <c r="BH2200" s="100"/>
      <c r="BI2200" s="100"/>
      <c r="BJ2200" s="100"/>
      <c r="BK2200" s="102"/>
    </row>
    <row r="2201" spans="1:63" x14ac:dyDescent="0.25">
      <c r="A2201" s="92"/>
      <c r="B2201" s="93"/>
      <c r="C2201" s="93"/>
      <c r="D2201" s="93"/>
      <c r="E2201" s="92"/>
      <c r="F2201" s="92"/>
      <c r="G2201" s="92"/>
      <c r="H2201" s="92"/>
      <c r="I2201" s="92"/>
      <c r="J2201" s="92"/>
      <c r="K2201" s="92"/>
      <c r="L2201" s="92"/>
      <c r="M2201" s="92"/>
      <c r="N2201" s="94"/>
      <c r="AG2201" s="100"/>
      <c r="AH2201" s="101"/>
      <c r="AI2201" s="101"/>
      <c r="AJ2201" s="101"/>
      <c r="AK2201" s="100"/>
      <c r="AL2201" s="100"/>
      <c r="AM2201" s="100"/>
      <c r="AN2201" s="100"/>
      <c r="AO2201" s="100"/>
      <c r="AP2201" s="100"/>
      <c r="AQ2201" s="100"/>
      <c r="AR2201" s="100"/>
      <c r="AS2201" s="100"/>
      <c r="AT2201" s="102"/>
      <c r="AX2201" s="100"/>
      <c r="AY2201" s="101"/>
      <c r="AZ2201" s="101"/>
      <c r="BA2201" s="100"/>
      <c r="BB2201" s="100"/>
      <c r="BC2201" s="100"/>
      <c r="BD2201" s="100"/>
      <c r="BE2201" s="100"/>
      <c r="BF2201" s="100"/>
      <c r="BG2201" s="100"/>
      <c r="BH2201" s="100"/>
      <c r="BI2201" s="100"/>
      <c r="BJ2201" s="100"/>
      <c r="BK2201" s="102"/>
    </row>
    <row r="2202" spans="1:63" x14ac:dyDescent="0.25">
      <c r="A2202" s="92"/>
      <c r="B2202" s="93"/>
      <c r="C2202" s="93"/>
      <c r="D2202" s="93"/>
      <c r="E2202" s="92"/>
      <c r="F2202" s="92"/>
      <c r="G2202" s="92"/>
      <c r="H2202" s="92"/>
      <c r="I2202" s="92"/>
      <c r="J2202" s="92"/>
      <c r="K2202" s="92"/>
      <c r="L2202" s="92"/>
      <c r="M2202" s="92"/>
      <c r="N2202" s="94"/>
      <c r="AG2202" s="100"/>
      <c r="AH2202" s="101"/>
      <c r="AI2202" s="101"/>
      <c r="AJ2202" s="100"/>
      <c r="AK2202" s="100"/>
      <c r="AL2202" s="100"/>
      <c r="AM2202" s="100"/>
      <c r="AN2202" s="100"/>
      <c r="AO2202" s="100"/>
      <c r="AP2202" s="100"/>
      <c r="AQ2202" s="100"/>
      <c r="AR2202" s="100"/>
      <c r="AS2202" s="100"/>
      <c r="AT2202" s="102"/>
      <c r="AX2202" s="100"/>
      <c r="AY2202" s="101"/>
      <c r="AZ2202" s="101"/>
      <c r="BA2202" s="101"/>
      <c r="BB2202" s="100"/>
      <c r="BC2202" s="100"/>
      <c r="BD2202" s="100"/>
      <c r="BE2202" s="100"/>
      <c r="BF2202" s="100"/>
      <c r="BG2202" s="100"/>
      <c r="BH2202" s="100"/>
      <c r="BI2202" s="100"/>
      <c r="BJ2202" s="100"/>
      <c r="BK2202" s="102"/>
    </row>
    <row r="2203" spans="1:63" x14ac:dyDescent="0.25">
      <c r="A2203" s="92"/>
      <c r="B2203" s="93"/>
      <c r="C2203" s="93"/>
      <c r="D2203" s="92"/>
      <c r="E2203" s="92"/>
      <c r="F2203" s="92"/>
      <c r="G2203" s="92"/>
      <c r="H2203" s="92"/>
      <c r="I2203" s="92"/>
      <c r="J2203" s="92"/>
      <c r="K2203" s="92"/>
      <c r="L2203" s="92"/>
      <c r="M2203" s="92"/>
      <c r="N2203" s="94"/>
      <c r="AG2203" s="100"/>
      <c r="AH2203" s="101"/>
      <c r="AI2203" s="101"/>
      <c r="AJ2203" s="100"/>
      <c r="AK2203" s="100"/>
      <c r="AL2203" s="100"/>
      <c r="AM2203" s="100"/>
      <c r="AN2203" s="100"/>
      <c r="AO2203" s="100"/>
      <c r="AP2203" s="100"/>
      <c r="AQ2203" s="100"/>
      <c r="AR2203" s="100"/>
      <c r="AS2203" s="100"/>
      <c r="AT2203" s="102"/>
      <c r="AX2203" s="100"/>
      <c r="AY2203" s="101"/>
      <c r="AZ2203" s="101"/>
      <c r="BA2203" s="100"/>
      <c r="BB2203" s="100"/>
      <c r="BC2203" s="100"/>
      <c r="BD2203" s="100"/>
      <c r="BE2203" s="100"/>
      <c r="BF2203" s="100"/>
      <c r="BG2203" s="100"/>
      <c r="BH2203" s="100"/>
      <c r="BI2203" s="100"/>
      <c r="BJ2203" s="100"/>
      <c r="BK2203" s="102"/>
    </row>
    <row r="2204" spans="1:63" x14ac:dyDescent="0.25">
      <c r="A2204" s="92"/>
      <c r="B2204" s="93"/>
      <c r="C2204" s="93"/>
      <c r="D2204" s="92"/>
      <c r="E2204" s="92"/>
      <c r="F2204" s="92"/>
      <c r="G2204" s="92"/>
      <c r="H2204" s="92"/>
      <c r="I2204" s="92"/>
      <c r="J2204" s="92"/>
      <c r="K2204" s="92"/>
      <c r="L2204" s="92"/>
      <c r="M2204" s="92"/>
      <c r="N2204" s="94"/>
      <c r="AG2204" s="100"/>
      <c r="AH2204" s="101"/>
      <c r="AI2204" s="101"/>
      <c r="AJ2204" s="100"/>
      <c r="AK2204" s="100"/>
      <c r="AL2204" s="100"/>
      <c r="AM2204" s="100"/>
      <c r="AN2204" s="100"/>
      <c r="AO2204" s="100"/>
      <c r="AP2204" s="100"/>
      <c r="AQ2204" s="100"/>
      <c r="AR2204" s="100"/>
      <c r="AS2204" s="100"/>
      <c r="AT2204" s="102"/>
      <c r="AX2204" s="100"/>
      <c r="AY2204" s="101"/>
      <c r="AZ2204" s="101"/>
      <c r="BA2204" s="101"/>
      <c r="BB2204" s="100"/>
      <c r="BC2204" s="100"/>
      <c r="BD2204" s="100"/>
      <c r="BE2204" s="100"/>
      <c r="BF2204" s="100"/>
      <c r="BG2204" s="100"/>
      <c r="BH2204" s="100"/>
      <c r="BI2204" s="100"/>
      <c r="BJ2204" s="100"/>
      <c r="BK2204" s="102"/>
    </row>
    <row r="2205" spans="1:63" x14ac:dyDescent="0.25">
      <c r="A2205" s="92"/>
      <c r="B2205" s="93"/>
      <c r="C2205" s="93"/>
      <c r="D2205" s="93"/>
      <c r="E2205" s="92"/>
      <c r="F2205" s="92"/>
      <c r="G2205" s="92"/>
      <c r="H2205" s="92"/>
      <c r="I2205" s="92"/>
      <c r="J2205" s="92"/>
      <c r="K2205" s="92"/>
      <c r="L2205" s="92"/>
      <c r="M2205" s="92"/>
      <c r="N2205" s="94"/>
      <c r="AG2205" s="100"/>
      <c r="AH2205" s="101"/>
      <c r="AI2205" s="101"/>
      <c r="AJ2205" s="100"/>
      <c r="AK2205" s="100"/>
      <c r="AL2205" s="100"/>
      <c r="AM2205" s="100"/>
      <c r="AN2205" s="100"/>
      <c r="AO2205" s="100"/>
      <c r="AP2205" s="100"/>
      <c r="AQ2205" s="100"/>
      <c r="AR2205" s="100"/>
      <c r="AS2205" s="100"/>
      <c r="AT2205" s="102"/>
      <c r="AX2205" s="100"/>
      <c r="AY2205" s="101"/>
      <c r="AZ2205" s="101"/>
      <c r="BA2205" s="100"/>
      <c r="BB2205" s="100"/>
      <c r="BC2205" s="100"/>
      <c r="BD2205" s="100"/>
      <c r="BE2205" s="100"/>
      <c r="BF2205" s="100"/>
      <c r="BG2205" s="100"/>
      <c r="BH2205" s="100"/>
      <c r="BI2205" s="100"/>
      <c r="BJ2205" s="100"/>
      <c r="BK2205" s="102"/>
    </row>
    <row r="2206" spans="1:63" x14ac:dyDescent="0.25">
      <c r="A2206" s="92"/>
      <c r="B2206" s="92"/>
      <c r="C2206" s="92"/>
      <c r="D2206" s="93"/>
      <c r="E2206" s="92"/>
      <c r="F2206" s="92"/>
      <c r="G2206" s="92"/>
      <c r="H2206" s="92"/>
      <c r="I2206" s="92"/>
      <c r="J2206" s="92"/>
      <c r="K2206" s="92"/>
      <c r="L2206" s="92"/>
      <c r="M2206" s="92"/>
      <c r="N2206" s="92"/>
      <c r="AG2206" s="100"/>
      <c r="AH2206" s="101"/>
      <c r="AI2206" s="101"/>
      <c r="AJ2206" s="101"/>
      <c r="AK2206" s="100"/>
      <c r="AL2206" s="100"/>
      <c r="AM2206" s="100"/>
      <c r="AN2206" s="100"/>
      <c r="AO2206" s="100"/>
      <c r="AP2206" s="100"/>
      <c r="AQ2206" s="100"/>
      <c r="AR2206" s="100"/>
      <c r="AS2206" s="100"/>
      <c r="AT2206" s="102"/>
      <c r="AX2206" s="100"/>
      <c r="AY2206" s="101"/>
      <c r="AZ2206" s="101"/>
      <c r="BA2206" s="100"/>
      <c r="BB2206" s="100"/>
      <c r="BC2206" s="100"/>
      <c r="BD2206" s="100"/>
      <c r="BE2206" s="100"/>
      <c r="BF2206" s="100"/>
      <c r="BG2206" s="100"/>
      <c r="BH2206" s="100"/>
      <c r="BI2206" s="100"/>
      <c r="BJ2206" s="100"/>
      <c r="BK2206" s="102"/>
    </row>
    <row r="2207" spans="1:63" x14ac:dyDescent="0.25">
      <c r="A2207" s="92"/>
      <c r="B2207" s="92"/>
      <c r="C2207" s="92"/>
      <c r="D2207" s="93"/>
      <c r="E2207" s="92"/>
      <c r="F2207" s="92"/>
      <c r="G2207" s="92"/>
      <c r="H2207" s="92"/>
      <c r="I2207" s="92"/>
      <c r="J2207" s="92"/>
      <c r="K2207" s="92"/>
      <c r="L2207" s="92"/>
      <c r="M2207" s="92"/>
      <c r="N2207" s="92"/>
      <c r="AG2207" s="100"/>
      <c r="AH2207" s="101"/>
      <c r="AI2207" s="101"/>
      <c r="AJ2207" s="101"/>
      <c r="AK2207" s="100"/>
      <c r="AL2207" s="100"/>
      <c r="AM2207" s="100"/>
      <c r="AN2207" s="100"/>
      <c r="AO2207" s="100"/>
      <c r="AP2207" s="100"/>
      <c r="AQ2207" s="100"/>
      <c r="AR2207" s="100"/>
      <c r="AS2207" s="100"/>
      <c r="AT2207" s="102"/>
      <c r="AX2207" s="100"/>
      <c r="AY2207" s="101"/>
      <c r="AZ2207" s="101"/>
      <c r="BA2207" s="100"/>
      <c r="BB2207" s="100"/>
      <c r="BC2207" s="100"/>
      <c r="BD2207" s="100"/>
      <c r="BE2207" s="100"/>
      <c r="BF2207" s="100"/>
      <c r="BG2207" s="100"/>
      <c r="BH2207" s="100"/>
      <c r="BI2207" s="100"/>
      <c r="BJ2207" s="100"/>
      <c r="BK2207" s="102"/>
    </row>
    <row r="2208" spans="1:63" x14ac:dyDescent="0.25">
      <c r="A2208" s="92"/>
      <c r="B2208" s="92"/>
      <c r="C2208" s="92"/>
      <c r="D2208" s="93"/>
      <c r="E2208" s="92"/>
      <c r="F2208" s="92"/>
      <c r="G2208" s="92"/>
      <c r="H2208" s="92"/>
      <c r="I2208" s="92"/>
      <c r="J2208" s="92"/>
      <c r="K2208" s="92"/>
      <c r="L2208" s="92"/>
      <c r="M2208" s="92"/>
      <c r="N2208" s="92"/>
      <c r="AG2208" s="100"/>
      <c r="AH2208" s="101"/>
      <c r="AI2208" s="101"/>
      <c r="AJ2208" s="101"/>
      <c r="AK2208" s="100"/>
      <c r="AL2208" s="100"/>
      <c r="AM2208" s="100"/>
      <c r="AN2208" s="100"/>
      <c r="AO2208" s="100"/>
      <c r="AP2208" s="100"/>
      <c r="AQ2208" s="100"/>
      <c r="AR2208" s="100"/>
      <c r="AS2208" s="100"/>
      <c r="AT2208" s="102"/>
      <c r="AX2208" s="100"/>
      <c r="AY2208" s="101"/>
      <c r="AZ2208" s="101"/>
      <c r="BA2208" s="100"/>
      <c r="BB2208" s="100"/>
      <c r="BC2208" s="100"/>
      <c r="BD2208" s="100"/>
      <c r="BE2208" s="100"/>
      <c r="BF2208" s="100"/>
      <c r="BG2208" s="100"/>
      <c r="BH2208" s="100"/>
      <c r="BI2208" s="100"/>
      <c r="BJ2208" s="100"/>
      <c r="BK2208" s="102"/>
    </row>
    <row r="2209" spans="1:63" x14ac:dyDescent="0.25">
      <c r="A2209" s="92"/>
      <c r="B2209" s="92"/>
      <c r="C2209" s="92"/>
      <c r="D2209" s="93"/>
      <c r="E2209" s="92"/>
      <c r="F2209" s="92"/>
      <c r="G2209" s="92"/>
      <c r="H2209" s="92"/>
      <c r="I2209" s="92"/>
      <c r="J2209" s="92"/>
      <c r="K2209" s="92"/>
      <c r="L2209" s="92"/>
      <c r="M2209" s="92"/>
      <c r="N2209" s="92"/>
      <c r="AG2209" s="100"/>
      <c r="AH2209" s="101"/>
      <c r="AI2209" s="101"/>
      <c r="AJ2209" s="100"/>
      <c r="AK2209" s="100"/>
      <c r="AL2209" s="100"/>
      <c r="AM2209" s="100"/>
      <c r="AN2209" s="100"/>
      <c r="AO2209" s="100"/>
      <c r="AP2209" s="100"/>
      <c r="AQ2209" s="100"/>
      <c r="AR2209" s="100"/>
      <c r="AS2209" s="100"/>
      <c r="AT2209" s="102"/>
      <c r="AX2209" s="100"/>
      <c r="AY2209" s="101"/>
      <c r="AZ2209" s="101"/>
      <c r="BA2209" s="100"/>
      <c r="BB2209" s="100"/>
      <c r="BC2209" s="100"/>
      <c r="BD2209" s="100"/>
      <c r="BE2209" s="100"/>
      <c r="BF2209" s="100"/>
      <c r="BG2209" s="100"/>
      <c r="BH2209" s="100"/>
      <c r="BI2209" s="100"/>
      <c r="BJ2209" s="100"/>
      <c r="BK2209" s="102"/>
    </row>
    <row r="2210" spans="1:63" x14ac:dyDescent="0.25">
      <c r="A2210" s="92"/>
      <c r="B2210" s="92"/>
      <c r="C2210" s="92"/>
      <c r="D2210" s="93"/>
      <c r="E2210" s="92"/>
      <c r="F2210" s="92"/>
      <c r="G2210" s="92"/>
      <c r="H2210" s="92"/>
      <c r="I2210" s="92"/>
      <c r="J2210" s="92"/>
      <c r="K2210" s="92"/>
      <c r="L2210" s="92"/>
      <c r="M2210" s="92"/>
      <c r="N2210" s="92"/>
      <c r="AG2210" s="100"/>
      <c r="AH2210" s="101"/>
      <c r="AI2210" s="101"/>
      <c r="AJ2210" s="100"/>
      <c r="AK2210" s="100"/>
      <c r="AL2210" s="100"/>
      <c r="AM2210" s="100"/>
      <c r="AN2210" s="100"/>
      <c r="AO2210" s="100"/>
      <c r="AP2210" s="100"/>
      <c r="AQ2210" s="100"/>
      <c r="AR2210" s="100"/>
      <c r="AS2210" s="100"/>
      <c r="AT2210" s="102"/>
      <c r="AX2210" s="100"/>
      <c r="AY2210" s="101"/>
      <c r="AZ2210" s="101"/>
      <c r="BA2210" s="100"/>
      <c r="BB2210" s="100"/>
      <c r="BC2210" s="100"/>
      <c r="BD2210" s="100"/>
      <c r="BE2210" s="100"/>
      <c r="BF2210" s="100"/>
      <c r="BG2210" s="100"/>
      <c r="BH2210" s="100"/>
      <c r="BI2210" s="100"/>
      <c r="BJ2210" s="100"/>
      <c r="BK2210" s="102"/>
    </row>
    <row r="2211" spans="1:63" x14ac:dyDescent="0.25">
      <c r="A2211" s="92"/>
      <c r="B2211" s="93"/>
      <c r="C2211" s="93"/>
      <c r="D2211" s="92"/>
      <c r="E2211" s="92"/>
      <c r="F2211" s="92"/>
      <c r="G2211" s="92"/>
      <c r="H2211" s="92"/>
      <c r="I2211" s="92"/>
      <c r="J2211" s="92"/>
      <c r="K2211" s="92"/>
      <c r="L2211" s="92"/>
      <c r="M2211" s="92"/>
      <c r="N2211" s="94"/>
      <c r="AG2211" s="100"/>
      <c r="AH2211" s="101"/>
      <c r="AI2211" s="101"/>
      <c r="AJ2211" s="100"/>
      <c r="AK2211" s="100"/>
      <c r="AL2211" s="100"/>
      <c r="AM2211" s="100"/>
      <c r="AN2211" s="100"/>
      <c r="AO2211" s="100"/>
      <c r="AP2211" s="100"/>
      <c r="AQ2211" s="100"/>
      <c r="AR2211" s="100"/>
      <c r="AS2211" s="100"/>
      <c r="AT2211" s="102"/>
      <c r="AX2211" s="100"/>
      <c r="AY2211" s="101"/>
      <c r="AZ2211" s="101"/>
      <c r="BA2211" s="101"/>
      <c r="BB2211" s="100"/>
      <c r="BC2211" s="100"/>
      <c r="BD2211" s="100"/>
      <c r="BE2211" s="100"/>
      <c r="BF2211" s="100"/>
      <c r="BG2211" s="100"/>
      <c r="BH2211" s="100"/>
      <c r="BI2211" s="100"/>
      <c r="BJ2211" s="100"/>
      <c r="BK2211" s="102"/>
    </row>
    <row r="2212" spans="1:63" x14ac:dyDescent="0.25">
      <c r="A2212" s="92"/>
      <c r="B2212" s="93"/>
      <c r="C2212" s="93"/>
      <c r="D2212" s="92"/>
      <c r="E2212" s="92"/>
      <c r="F2212" s="92"/>
      <c r="G2212" s="92"/>
      <c r="H2212" s="92"/>
      <c r="I2212" s="92"/>
      <c r="J2212" s="92"/>
      <c r="K2212" s="92"/>
      <c r="L2212" s="92"/>
      <c r="M2212" s="92"/>
      <c r="N2212" s="94"/>
      <c r="AG2212" s="100"/>
      <c r="AH2212" s="101"/>
      <c r="AI2212" s="101"/>
      <c r="AJ2212" s="100"/>
      <c r="AK2212" s="100"/>
      <c r="AL2212" s="100"/>
      <c r="AM2212" s="100"/>
      <c r="AN2212" s="100"/>
      <c r="AO2212" s="100"/>
      <c r="AP2212" s="100"/>
      <c r="AQ2212" s="100"/>
      <c r="AR2212" s="100"/>
      <c r="AS2212" s="100"/>
      <c r="AT2212" s="102"/>
      <c r="AX2212" s="100"/>
      <c r="AY2212" s="101"/>
      <c r="AZ2212" s="101"/>
      <c r="BA2212" s="101"/>
      <c r="BB2212" s="100"/>
      <c r="BC2212" s="100"/>
      <c r="BD2212" s="100"/>
      <c r="BE2212" s="100"/>
      <c r="BF2212" s="100"/>
      <c r="BG2212" s="100"/>
      <c r="BH2212" s="100"/>
      <c r="BI2212" s="100"/>
      <c r="BJ2212" s="100"/>
      <c r="BK2212" s="102"/>
    </row>
    <row r="2213" spans="1:63" x14ac:dyDescent="0.25">
      <c r="A2213" s="92"/>
      <c r="B2213" s="93"/>
      <c r="C2213" s="93"/>
      <c r="D2213" s="93"/>
      <c r="E2213" s="92"/>
      <c r="F2213" s="92"/>
      <c r="G2213" s="92"/>
      <c r="H2213" s="92"/>
      <c r="I2213" s="92"/>
      <c r="J2213" s="92"/>
      <c r="K2213" s="92"/>
      <c r="L2213" s="92"/>
      <c r="M2213" s="92"/>
      <c r="N2213" s="94"/>
      <c r="AG2213" s="100"/>
      <c r="AH2213" s="101"/>
      <c r="AI2213" s="101"/>
      <c r="AJ2213" s="101"/>
      <c r="AK2213" s="100"/>
      <c r="AL2213" s="100"/>
      <c r="AM2213" s="100"/>
      <c r="AN2213" s="100"/>
      <c r="AO2213" s="100"/>
      <c r="AP2213" s="100"/>
      <c r="AQ2213" s="100"/>
      <c r="AR2213" s="100"/>
      <c r="AS2213" s="100"/>
      <c r="AT2213" s="102"/>
      <c r="AX2213" s="100"/>
      <c r="AY2213" s="101"/>
      <c r="AZ2213" s="101"/>
      <c r="BA2213" s="100"/>
      <c r="BB2213" s="100"/>
      <c r="BC2213" s="100"/>
      <c r="BD2213" s="100"/>
      <c r="BE2213" s="100"/>
      <c r="BF2213" s="100"/>
      <c r="BG2213" s="100"/>
      <c r="BH2213" s="100"/>
      <c r="BI2213" s="100"/>
      <c r="BJ2213" s="100"/>
      <c r="BK2213" s="102"/>
    </row>
    <row r="2214" spans="1:63" x14ac:dyDescent="0.25">
      <c r="A2214" s="92"/>
      <c r="B2214" s="92"/>
      <c r="C2214" s="92"/>
      <c r="D2214" s="92"/>
      <c r="E2214" s="92"/>
      <c r="F2214" s="92"/>
      <c r="G2214" s="92"/>
      <c r="H2214" s="92"/>
      <c r="I2214" s="92"/>
      <c r="J2214" s="92"/>
      <c r="K2214" s="92"/>
      <c r="L2214" s="92"/>
      <c r="M2214" s="92"/>
      <c r="N2214" s="92"/>
      <c r="AG2214" s="100"/>
      <c r="AH2214" s="101"/>
      <c r="AI2214" s="101"/>
      <c r="AJ2214" s="100"/>
      <c r="AK2214" s="100"/>
      <c r="AL2214" s="100"/>
      <c r="AM2214" s="100"/>
      <c r="AN2214" s="100"/>
      <c r="AO2214" s="100"/>
      <c r="AP2214" s="100"/>
      <c r="AQ2214" s="100"/>
      <c r="AR2214" s="100"/>
      <c r="AS2214" s="100"/>
      <c r="AT2214" s="102"/>
      <c r="AX2214" s="100"/>
      <c r="AY2214" s="101"/>
      <c r="AZ2214" s="101"/>
      <c r="BA2214" s="100"/>
      <c r="BB2214" s="100"/>
      <c r="BC2214" s="100"/>
      <c r="BD2214" s="100"/>
      <c r="BE2214" s="100"/>
      <c r="BF2214" s="100"/>
      <c r="BG2214" s="100"/>
      <c r="BH2214" s="100"/>
      <c r="BI2214" s="100"/>
      <c r="BJ2214" s="100"/>
      <c r="BK2214" s="102"/>
    </row>
    <row r="2215" spans="1:63" x14ac:dyDescent="0.25">
      <c r="A2215" s="92"/>
      <c r="B2215" s="92"/>
      <c r="C2215" s="92"/>
      <c r="D2215" s="92"/>
      <c r="E2215" s="92"/>
      <c r="F2215" s="92"/>
      <c r="G2215" s="92"/>
      <c r="H2215" s="92"/>
      <c r="I2215" s="92"/>
      <c r="J2215" s="92"/>
      <c r="K2215" s="92"/>
      <c r="L2215" s="92"/>
      <c r="M2215" s="92"/>
      <c r="N2215" s="92"/>
      <c r="AG2215" s="100"/>
      <c r="AH2215" s="101"/>
      <c r="AI2215" s="101"/>
      <c r="AJ2215" s="100"/>
      <c r="AK2215" s="100"/>
      <c r="AL2215" s="100"/>
      <c r="AM2215" s="100"/>
      <c r="AN2215" s="100"/>
      <c r="AO2215" s="100"/>
      <c r="AP2215" s="100"/>
      <c r="AQ2215" s="100"/>
      <c r="AR2215" s="100"/>
      <c r="AS2215" s="100"/>
      <c r="AT2215" s="102"/>
      <c r="AX2215" s="100"/>
      <c r="AY2215" s="101"/>
      <c r="AZ2215" s="101"/>
      <c r="BA2215" s="100"/>
      <c r="BB2215" s="100"/>
      <c r="BC2215" s="100"/>
      <c r="BD2215" s="100"/>
      <c r="BE2215" s="100"/>
      <c r="BF2215" s="100"/>
      <c r="BG2215" s="100"/>
      <c r="BH2215" s="100"/>
      <c r="BI2215" s="100"/>
      <c r="BJ2215" s="100"/>
      <c r="BK2215" s="102"/>
    </row>
    <row r="2216" spans="1:63" x14ac:dyDescent="0.25">
      <c r="A2216" s="92"/>
      <c r="B2216" s="92"/>
      <c r="C2216" s="92"/>
      <c r="D2216" s="92"/>
      <c r="E2216" s="92"/>
      <c r="F2216" s="92"/>
      <c r="G2216" s="92"/>
      <c r="H2216" s="92"/>
      <c r="I2216" s="92"/>
      <c r="J2216" s="92"/>
      <c r="K2216" s="92"/>
      <c r="L2216" s="92"/>
      <c r="M2216" s="92"/>
      <c r="N2216" s="92"/>
      <c r="AG2216" s="100"/>
      <c r="AH2216" s="101"/>
      <c r="AI2216" s="101"/>
      <c r="AJ2216" s="100"/>
      <c r="AK2216" s="100"/>
      <c r="AL2216" s="100"/>
      <c r="AM2216" s="100"/>
      <c r="AN2216" s="100"/>
      <c r="AO2216" s="100"/>
      <c r="AP2216" s="100"/>
      <c r="AQ2216" s="100"/>
      <c r="AR2216" s="100"/>
      <c r="AS2216" s="100"/>
      <c r="AT2216" s="102"/>
      <c r="AX2216" s="100"/>
      <c r="AY2216" s="101"/>
      <c r="AZ2216" s="101"/>
      <c r="BA2216" s="100"/>
      <c r="BB2216" s="100"/>
      <c r="BC2216" s="100"/>
      <c r="BD2216" s="100"/>
      <c r="BE2216" s="100"/>
      <c r="BF2216" s="100"/>
      <c r="BG2216" s="100"/>
      <c r="BH2216" s="100"/>
      <c r="BI2216" s="100"/>
      <c r="BJ2216" s="100"/>
      <c r="BK2216" s="102"/>
    </row>
    <row r="2217" spans="1:63" x14ac:dyDescent="0.25">
      <c r="A2217" s="92"/>
      <c r="B2217" s="92"/>
      <c r="C2217" s="92"/>
      <c r="D2217" s="92"/>
      <c r="E2217" s="92"/>
      <c r="F2217" s="92"/>
      <c r="G2217" s="92"/>
      <c r="H2217" s="92"/>
      <c r="I2217" s="92"/>
      <c r="J2217" s="92"/>
      <c r="K2217" s="92"/>
      <c r="L2217" s="92"/>
      <c r="M2217" s="92"/>
      <c r="N2217" s="92"/>
      <c r="AG2217" s="100"/>
      <c r="AH2217" s="101"/>
      <c r="AI2217" s="101"/>
      <c r="AJ2217" s="100"/>
      <c r="AK2217" s="100"/>
      <c r="AL2217" s="100"/>
      <c r="AM2217" s="100"/>
      <c r="AN2217" s="100"/>
      <c r="AO2217" s="100"/>
      <c r="AP2217" s="100"/>
      <c r="AQ2217" s="100"/>
      <c r="AR2217" s="100"/>
      <c r="AS2217" s="100"/>
      <c r="AT2217" s="102"/>
      <c r="AX2217" s="100"/>
      <c r="AY2217" s="101"/>
      <c r="AZ2217" s="101"/>
      <c r="BA2217" s="100"/>
      <c r="BB2217" s="100"/>
      <c r="BC2217" s="100"/>
      <c r="BD2217" s="100"/>
      <c r="BE2217" s="100"/>
      <c r="BF2217" s="100"/>
      <c r="BG2217" s="100"/>
      <c r="BH2217" s="100"/>
      <c r="BI2217" s="100"/>
      <c r="BJ2217" s="100"/>
      <c r="BK2217" s="102"/>
    </row>
    <row r="2218" spans="1:63" x14ac:dyDescent="0.25">
      <c r="A2218" s="92"/>
      <c r="B2218" s="92"/>
      <c r="C2218" s="92"/>
      <c r="D2218" s="92"/>
      <c r="E2218" s="92"/>
      <c r="F2218" s="92"/>
      <c r="G2218" s="92"/>
      <c r="H2218" s="92"/>
      <c r="I2218" s="92"/>
      <c r="J2218" s="92"/>
      <c r="K2218" s="92"/>
      <c r="L2218" s="92"/>
      <c r="M2218" s="92"/>
      <c r="N2218" s="92"/>
      <c r="AG2218" s="100"/>
      <c r="AH2218" s="101"/>
      <c r="AI2218" s="101"/>
      <c r="AJ2218" s="100"/>
      <c r="AK2218" s="100"/>
      <c r="AL2218" s="100"/>
      <c r="AM2218" s="100"/>
      <c r="AN2218" s="100"/>
      <c r="AO2218" s="100"/>
      <c r="AP2218" s="100"/>
      <c r="AQ2218" s="100"/>
      <c r="AR2218" s="100"/>
      <c r="AS2218" s="100"/>
      <c r="AT2218" s="102"/>
      <c r="AX2218" s="100"/>
      <c r="AY2218" s="101"/>
      <c r="AZ2218" s="101"/>
      <c r="BA2218" s="100"/>
      <c r="BB2218" s="100"/>
      <c r="BC2218" s="100"/>
      <c r="BD2218" s="100"/>
      <c r="BE2218" s="100"/>
      <c r="BF2218" s="100"/>
      <c r="BG2218" s="100"/>
      <c r="BH2218" s="100"/>
      <c r="BI2218" s="100"/>
      <c r="BJ2218" s="100"/>
      <c r="BK2218" s="102"/>
    </row>
    <row r="2219" spans="1:63" x14ac:dyDescent="0.25">
      <c r="A2219" s="92"/>
      <c r="B2219" s="92"/>
      <c r="C2219" s="92"/>
      <c r="D2219" s="92"/>
      <c r="E2219" s="92"/>
      <c r="F2219" s="92"/>
      <c r="G2219" s="92"/>
      <c r="H2219" s="92"/>
      <c r="I2219" s="92"/>
      <c r="J2219" s="92"/>
      <c r="K2219" s="92"/>
      <c r="L2219" s="92"/>
      <c r="M2219" s="92"/>
      <c r="N2219" s="92"/>
      <c r="AG2219" s="100"/>
      <c r="AH2219" s="101"/>
      <c r="AI2219" s="101"/>
      <c r="AJ2219" s="100"/>
      <c r="AK2219" s="100"/>
      <c r="AL2219" s="100"/>
      <c r="AM2219" s="100"/>
      <c r="AN2219" s="100"/>
      <c r="AO2219" s="100"/>
      <c r="AP2219" s="100"/>
      <c r="AQ2219" s="100"/>
      <c r="AR2219" s="100"/>
      <c r="AS2219" s="100"/>
      <c r="AT2219" s="102"/>
      <c r="AX2219" s="100"/>
      <c r="AY2219" s="101"/>
      <c r="AZ2219" s="101"/>
      <c r="BA2219" s="100"/>
      <c r="BB2219" s="100"/>
      <c r="BC2219" s="100"/>
      <c r="BD2219" s="100"/>
      <c r="BE2219" s="100"/>
      <c r="BF2219" s="100"/>
      <c r="BG2219" s="100"/>
      <c r="BH2219" s="100"/>
      <c r="BI2219" s="100"/>
      <c r="BJ2219" s="100"/>
      <c r="BK2219" s="102"/>
    </row>
    <row r="2220" spans="1:63" x14ac:dyDescent="0.25">
      <c r="A2220" s="92"/>
      <c r="B2220" s="93"/>
      <c r="C2220" s="93"/>
      <c r="D2220" s="92"/>
      <c r="E2220" s="92"/>
      <c r="F2220" s="92"/>
      <c r="G2220" s="92"/>
      <c r="H2220" s="92"/>
      <c r="I2220" s="92"/>
      <c r="J2220" s="92"/>
      <c r="K2220" s="92"/>
      <c r="L2220" s="92"/>
      <c r="M2220" s="92"/>
      <c r="N2220" s="94"/>
      <c r="AG2220" s="100"/>
      <c r="AH2220" s="101"/>
      <c r="AI2220" s="101"/>
      <c r="AJ2220" s="100"/>
      <c r="AK2220" s="100"/>
      <c r="AL2220" s="100"/>
      <c r="AM2220" s="100"/>
      <c r="AN2220" s="100"/>
      <c r="AO2220" s="100"/>
      <c r="AP2220" s="100"/>
      <c r="AQ2220" s="100"/>
      <c r="AR2220" s="100"/>
      <c r="AS2220" s="100"/>
      <c r="AT2220" s="102"/>
      <c r="AX2220" s="100"/>
      <c r="AY2220" s="101"/>
      <c r="AZ2220" s="101"/>
      <c r="BA2220" s="100"/>
      <c r="BB2220" s="100"/>
      <c r="BC2220" s="100"/>
      <c r="BD2220" s="100"/>
      <c r="BE2220" s="100"/>
      <c r="BF2220" s="100"/>
      <c r="BG2220" s="100"/>
      <c r="BH2220" s="100"/>
      <c r="BI2220" s="100"/>
      <c r="BJ2220" s="100"/>
      <c r="BK2220" s="102"/>
    </row>
    <row r="2221" spans="1:63" x14ac:dyDescent="0.25">
      <c r="A2221" s="92"/>
      <c r="B2221" s="92"/>
      <c r="C2221" s="92"/>
      <c r="D2221" s="92"/>
      <c r="E2221" s="92"/>
      <c r="F2221" s="92"/>
      <c r="G2221" s="92"/>
      <c r="H2221" s="92"/>
      <c r="I2221" s="92"/>
      <c r="J2221" s="92"/>
      <c r="K2221" s="92"/>
      <c r="L2221" s="92"/>
      <c r="M2221" s="92"/>
      <c r="N2221" s="92"/>
      <c r="AG2221" s="100"/>
      <c r="AH2221" s="101"/>
      <c r="AI2221" s="101"/>
      <c r="AJ2221" s="100"/>
      <c r="AK2221" s="100"/>
      <c r="AL2221" s="100"/>
      <c r="AM2221" s="100"/>
      <c r="AN2221" s="100"/>
      <c r="AO2221" s="100"/>
      <c r="AP2221" s="100"/>
      <c r="AQ2221" s="100"/>
      <c r="AR2221" s="100"/>
      <c r="AS2221" s="100"/>
      <c r="AT2221" s="102"/>
      <c r="AX2221" s="100"/>
      <c r="AY2221" s="101"/>
      <c r="AZ2221" s="101"/>
      <c r="BA2221" s="101"/>
      <c r="BB2221" s="100"/>
      <c r="BC2221" s="100"/>
      <c r="BD2221" s="100"/>
      <c r="BE2221" s="100"/>
      <c r="BF2221" s="100"/>
      <c r="BG2221" s="100"/>
      <c r="BH2221" s="100"/>
      <c r="BI2221" s="100"/>
      <c r="BJ2221" s="100"/>
      <c r="BK2221" s="102"/>
    </row>
    <row r="2222" spans="1:63" x14ac:dyDescent="0.25">
      <c r="A2222" s="92"/>
      <c r="B2222" s="92"/>
      <c r="C2222" s="92"/>
      <c r="D2222" s="92"/>
      <c r="E2222" s="92"/>
      <c r="F2222" s="92"/>
      <c r="G2222" s="92"/>
      <c r="H2222" s="92"/>
      <c r="I2222" s="92"/>
      <c r="J2222" s="92"/>
      <c r="K2222" s="92"/>
      <c r="L2222" s="92"/>
      <c r="M2222" s="92"/>
      <c r="N2222" s="92"/>
      <c r="AG2222" s="100"/>
      <c r="AH2222" s="101"/>
      <c r="AI2222" s="101"/>
      <c r="AJ2222" s="100"/>
      <c r="AK2222" s="100"/>
      <c r="AL2222" s="100"/>
      <c r="AM2222" s="100"/>
      <c r="AN2222" s="100"/>
      <c r="AO2222" s="100"/>
      <c r="AP2222" s="100"/>
      <c r="AQ2222" s="100"/>
      <c r="AR2222" s="100"/>
      <c r="AS2222" s="100"/>
      <c r="AT2222" s="102"/>
      <c r="AX2222" s="100"/>
      <c r="AY2222" s="101"/>
      <c r="AZ2222" s="101"/>
      <c r="BA2222" s="100"/>
      <c r="BB2222" s="100"/>
      <c r="BC2222" s="100"/>
      <c r="BD2222" s="100"/>
      <c r="BE2222" s="100"/>
      <c r="BF2222" s="100"/>
      <c r="BG2222" s="100"/>
      <c r="BH2222" s="100"/>
      <c r="BI2222" s="100"/>
      <c r="BJ2222" s="100"/>
      <c r="BK2222" s="102"/>
    </row>
    <row r="2223" spans="1:63" x14ac:dyDescent="0.25">
      <c r="A2223" s="92"/>
      <c r="B2223" s="92"/>
      <c r="C2223" s="92"/>
      <c r="D2223" s="92"/>
      <c r="E2223" s="92"/>
      <c r="F2223" s="92"/>
      <c r="G2223" s="92"/>
      <c r="H2223" s="92"/>
      <c r="I2223" s="92"/>
      <c r="J2223" s="92"/>
      <c r="K2223" s="92"/>
      <c r="L2223" s="92"/>
      <c r="M2223" s="92"/>
      <c r="N2223" s="92"/>
      <c r="AG2223" s="100"/>
      <c r="AH2223" s="101"/>
      <c r="AI2223" s="101"/>
      <c r="AJ2223" s="100"/>
      <c r="AK2223" s="100"/>
      <c r="AL2223" s="100"/>
      <c r="AM2223" s="100"/>
      <c r="AN2223" s="100"/>
      <c r="AO2223" s="100"/>
      <c r="AP2223" s="100"/>
      <c r="AQ2223" s="100"/>
      <c r="AR2223" s="100"/>
      <c r="AS2223" s="100"/>
      <c r="AT2223" s="102"/>
      <c r="AX2223" s="100"/>
      <c r="AY2223" s="101"/>
      <c r="AZ2223" s="101"/>
      <c r="BA2223" s="100"/>
      <c r="BB2223" s="100"/>
      <c r="BC2223" s="100"/>
      <c r="BD2223" s="100"/>
      <c r="BE2223" s="100"/>
      <c r="BF2223" s="100"/>
      <c r="BG2223" s="100"/>
      <c r="BH2223" s="100"/>
      <c r="BI2223" s="100"/>
      <c r="BJ2223" s="100"/>
      <c r="BK2223" s="102"/>
    </row>
    <row r="2224" spans="1:63" x14ac:dyDescent="0.25">
      <c r="A2224" s="92"/>
      <c r="B2224" s="92"/>
      <c r="C2224" s="92"/>
      <c r="D2224" s="92"/>
      <c r="E2224" s="92"/>
      <c r="F2224" s="92"/>
      <c r="G2224" s="92"/>
      <c r="H2224" s="92"/>
      <c r="I2224" s="92"/>
      <c r="J2224" s="92"/>
      <c r="K2224" s="92"/>
      <c r="L2224" s="92"/>
      <c r="M2224" s="92"/>
      <c r="N2224" s="92"/>
      <c r="AG2224" s="100"/>
      <c r="AH2224" s="101"/>
      <c r="AI2224" s="101"/>
      <c r="AJ2224" s="100"/>
      <c r="AK2224" s="100"/>
      <c r="AL2224" s="100"/>
      <c r="AM2224" s="100"/>
      <c r="AN2224" s="100"/>
      <c r="AO2224" s="100"/>
      <c r="AP2224" s="100"/>
      <c r="AQ2224" s="100"/>
      <c r="AR2224" s="100"/>
      <c r="AS2224" s="100"/>
      <c r="AT2224" s="102"/>
      <c r="AX2224" s="100"/>
      <c r="AY2224" s="101"/>
      <c r="AZ2224" s="101"/>
      <c r="BA2224" s="100"/>
      <c r="BB2224" s="100"/>
      <c r="BC2224" s="100"/>
      <c r="BD2224" s="100"/>
      <c r="BE2224" s="100"/>
      <c r="BF2224" s="100"/>
      <c r="BG2224" s="100"/>
      <c r="BH2224" s="100"/>
      <c r="BI2224" s="100"/>
      <c r="BJ2224" s="100"/>
      <c r="BK2224" s="102"/>
    </row>
    <row r="2225" spans="1:63" x14ac:dyDescent="0.25">
      <c r="A2225" s="92"/>
      <c r="B2225" s="92"/>
      <c r="C2225" s="92"/>
      <c r="D2225" s="92"/>
      <c r="E2225" s="92"/>
      <c r="F2225" s="92"/>
      <c r="G2225" s="92"/>
      <c r="H2225" s="92"/>
      <c r="I2225" s="92"/>
      <c r="J2225" s="92"/>
      <c r="K2225" s="92"/>
      <c r="L2225" s="92"/>
      <c r="M2225" s="92"/>
      <c r="N2225" s="92"/>
      <c r="AG2225" s="100"/>
      <c r="AH2225" s="101"/>
      <c r="AI2225" s="101"/>
      <c r="AJ2225" s="100"/>
      <c r="AK2225" s="100"/>
      <c r="AL2225" s="100"/>
      <c r="AM2225" s="100"/>
      <c r="AN2225" s="100"/>
      <c r="AO2225" s="100"/>
      <c r="AP2225" s="100"/>
      <c r="AQ2225" s="100"/>
      <c r="AR2225" s="100"/>
      <c r="AS2225" s="100"/>
      <c r="AT2225" s="102"/>
      <c r="AX2225" s="100"/>
      <c r="AY2225" s="101"/>
      <c r="AZ2225" s="101"/>
      <c r="BA2225" s="100"/>
      <c r="BB2225" s="100"/>
      <c r="BC2225" s="100"/>
      <c r="BD2225" s="100"/>
      <c r="BE2225" s="100"/>
      <c r="BF2225" s="100"/>
      <c r="BG2225" s="100"/>
      <c r="BH2225" s="100"/>
      <c r="BI2225" s="100"/>
      <c r="BJ2225" s="100"/>
      <c r="BK2225" s="102"/>
    </row>
    <row r="2226" spans="1:63" x14ac:dyDescent="0.25">
      <c r="A2226" s="92"/>
      <c r="B2226" s="92"/>
      <c r="C2226" s="92"/>
      <c r="D2226" s="92"/>
      <c r="E2226" s="92"/>
      <c r="F2226" s="92"/>
      <c r="G2226" s="92"/>
      <c r="H2226" s="92"/>
      <c r="I2226" s="92"/>
      <c r="J2226" s="92"/>
      <c r="K2226" s="92"/>
      <c r="L2226" s="92"/>
      <c r="M2226" s="92"/>
      <c r="N2226" s="92"/>
      <c r="AG2226" s="100"/>
      <c r="AH2226" s="101"/>
      <c r="AI2226" s="101"/>
      <c r="AJ2226" s="100"/>
      <c r="AK2226" s="100"/>
      <c r="AL2226" s="100"/>
      <c r="AM2226" s="100"/>
      <c r="AN2226" s="100"/>
      <c r="AO2226" s="100"/>
      <c r="AP2226" s="100"/>
      <c r="AQ2226" s="100"/>
      <c r="AR2226" s="100"/>
      <c r="AS2226" s="100"/>
      <c r="AT2226" s="102"/>
      <c r="AX2226" s="100"/>
      <c r="AY2226" s="101"/>
      <c r="AZ2226" s="101"/>
      <c r="BA2226" s="101"/>
      <c r="BB2226" s="100"/>
      <c r="BC2226" s="100"/>
      <c r="BD2226" s="100"/>
      <c r="BE2226" s="100"/>
      <c r="BF2226" s="100"/>
      <c r="BG2226" s="100"/>
      <c r="BH2226" s="100"/>
      <c r="BI2226" s="100"/>
      <c r="BJ2226" s="100"/>
      <c r="BK2226" s="102"/>
    </row>
    <row r="2227" spans="1:63" x14ac:dyDescent="0.25">
      <c r="A2227" s="92"/>
      <c r="B2227" s="92"/>
      <c r="C2227" s="92"/>
      <c r="D2227" s="92"/>
      <c r="E2227" s="92"/>
      <c r="F2227" s="92"/>
      <c r="G2227" s="92"/>
      <c r="H2227" s="92"/>
      <c r="I2227" s="92"/>
      <c r="J2227" s="92"/>
      <c r="K2227" s="92"/>
      <c r="L2227" s="92"/>
      <c r="M2227" s="92"/>
      <c r="N2227" s="92"/>
      <c r="AG2227" s="100"/>
      <c r="AH2227" s="101"/>
      <c r="AI2227" s="101"/>
      <c r="AJ2227" s="101"/>
      <c r="AK2227" s="100"/>
      <c r="AL2227" s="100"/>
      <c r="AM2227" s="100"/>
      <c r="AN2227" s="100"/>
      <c r="AO2227" s="100"/>
      <c r="AP2227" s="100"/>
      <c r="AQ2227" s="100"/>
      <c r="AR2227" s="100"/>
      <c r="AS2227" s="100"/>
      <c r="AT2227" s="102"/>
      <c r="AX2227" s="100"/>
      <c r="AY2227" s="101"/>
      <c r="AZ2227" s="101"/>
      <c r="BA2227" s="101"/>
      <c r="BB2227" s="100"/>
      <c r="BC2227" s="100"/>
      <c r="BD2227" s="100"/>
      <c r="BE2227" s="100"/>
      <c r="BF2227" s="100"/>
      <c r="BG2227" s="100"/>
      <c r="BH2227" s="100"/>
      <c r="BI2227" s="100"/>
      <c r="BJ2227" s="100"/>
      <c r="BK2227" s="102"/>
    </row>
    <row r="2228" spans="1:63" x14ac:dyDescent="0.25">
      <c r="A2228" s="92"/>
      <c r="B2228" s="93"/>
      <c r="C2228" s="93"/>
      <c r="D2228" s="92"/>
      <c r="E2228" s="92"/>
      <c r="F2228" s="92"/>
      <c r="G2228" s="92"/>
      <c r="H2228" s="92"/>
      <c r="I2228" s="92"/>
      <c r="J2228" s="92"/>
      <c r="K2228" s="92"/>
      <c r="L2228" s="92"/>
      <c r="M2228" s="92"/>
      <c r="N2228" s="94"/>
      <c r="AG2228" s="100"/>
      <c r="AH2228" s="101"/>
      <c r="AI2228" s="101"/>
      <c r="AJ2228" s="100"/>
      <c r="AK2228" s="100"/>
      <c r="AL2228" s="100"/>
      <c r="AM2228" s="100"/>
      <c r="AN2228" s="100"/>
      <c r="AO2228" s="100"/>
      <c r="AP2228" s="100"/>
      <c r="AQ2228" s="100"/>
      <c r="AR2228" s="100"/>
      <c r="AS2228" s="100"/>
      <c r="AT2228" s="102"/>
      <c r="AX2228" s="100"/>
      <c r="AY2228" s="101"/>
      <c r="AZ2228" s="101"/>
      <c r="BA2228" s="101"/>
      <c r="BB2228" s="100"/>
      <c r="BC2228" s="100"/>
      <c r="BD2228" s="100"/>
      <c r="BE2228" s="100"/>
      <c r="BF2228" s="100"/>
      <c r="BG2228" s="100"/>
      <c r="BH2228" s="100"/>
      <c r="BI2228" s="100"/>
      <c r="BJ2228" s="100"/>
      <c r="BK2228" s="102"/>
    </row>
    <row r="2229" spans="1:63" x14ac:dyDescent="0.25">
      <c r="A2229" s="92"/>
      <c r="B2229" s="93"/>
      <c r="C2229" s="93"/>
      <c r="D2229" s="92"/>
      <c r="E2229" s="92"/>
      <c r="F2229" s="92"/>
      <c r="G2229" s="92"/>
      <c r="H2229" s="92"/>
      <c r="I2229" s="92"/>
      <c r="J2229" s="92"/>
      <c r="K2229" s="92"/>
      <c r="L2229" s="92"/>
      <c r="M2229" s="92"/>
      <c r="N2229" s="94"/>
      <c r="AG2229" s="100"/>
      <c r="AH2229" s="101"/>
      <c r="AI2229" s="101"/>
      <c r="AJ2229" s="100"/>
      <c r="AK2229" s="100"/>
      <c r="AL2229" s="100"/>
      <c r="AM2229" s="100"/>
      <c r="AN2229" s="100"/>
      <c r="AO2229" s="100"/>
      <c r="AP2229" s="100"/>
      <c r="AQ2229" s="100"/>
      <c r="AR2229" s="100"/>
      <c r="AS2229" s="100"/>
      <c r="AT2229" s="102"/>
      <c r="AX2229" s="100"/>
      <c r="AY2229" s="101"/>
      <c r="AZ2229" s="101"/>
      <c r="BA2229" s="100"/>
      <c r="BB2229" s="100"/>
      <c r="BC2229" s="100"/>
      <c r="BD2229" s="100"/>
      <c r="BE2229" s="100"/>
      <c r="BF2229" s="100"/>
      <c r="BG2229" s="100"/>
      <c r="BH2229" s="100"/>
      <c r="BI2229" s="100"/>
      <c r="BJ2229" s="100"/>
      <c r="BK2229" s="102"/>
    </row>
    <row r="2230" spans="1:63" x14ac:dyDescent="0.25">
      <c r="A2230" s="92"/>
      <c r="B2230" s="92"/>
      <c r="C2230" s="92"/>
      <c r="D2230" s="92"/>
      <c r="E2230" s="92"/>
      <c r="F2230" s="92"/>
      <c r="G2230" s="92"/>
      <c r="H2230" s="92"/>
      <c r="I2230" s="92"/>
      <c r="J2230" s="92"/>
      <c r="K2230" s="92"/>
      <c r="L2230" s="92"/>
      <c r="M2230" s="92"/>
      <c r="N2230" s="92"/>
      <c r="AG2230" s="100"/>
      <c r="AH2230" s="101"/>
      <c r="AI2230" s="101"/>
      <c r="AJ2230" s="100"/>
      <c r="AK2230" s="100"/>
      <c r="AL2230" s="100"/>
      <c r="AM2230" s="100"/>
      <c r="AN2230" s="100"/>
      <c r="AO2230" s="100"/>
      <c r="AP2230" s="100"/>
      <c r="AQ2230" s="100"/>
      <c r="AR2230" s="100"/>
      <c r="AS2230" s="100"/>
      <c r="AT2230" s="102"/>
      <c r="AX2230" s="100"/>
      <c r="AY2230" s="101"/>
      <c r="AZ2230" s="101"/>
      <c r="BA2230" s="100"/>
      <c r="BB2230" s="100"/>
      <c r="BC2230" s="100"/>
      <c r="BD2230" s="100"/>
      <c r="BE2230" s="100"/>
      <c r="BF2230" s="100"/>
      <c r="BG2230" s="100"/>
      <c r="BH2230" s="100"/>
      <c r="BI2230" s="100"/>
      <c r="BJ2230" s="100"/>
      <c r="BK2230" s="102"/>
    </row>
    <row r="2231" spans="1:63" x14ac:dyDescent="0.25">
      <c r="A2231" s="92"/>
      <c r="B2231" s="92"/>
      <c r="C2231" s="92"/>
      <c r="D2231" s="92"/>
      <c r="E2231" s="92"/>
      <c r="F2231" s="92"/>
      <c r="G2231" s="92"/>
      <c r="H2231" s="92"/>
      <c r="I2231" s="92"/>
      <c r="J2231" s="92"/>
      <c r="K2231" s="92"/>
      <c r="L2231" s="92"/>
      <c r="M2231" s="92"/>
      <c r="N2231" s="92"/>
      <c r="AG2231" s="100"/>
      <c r="AH2231" s="101"/>
      <c r="AI2231" s="101"/>
      <c r="AJ2231" s="101"/>
      <c r="AK2231" s="100"/>
      <c r="AL2231" s="100"/>
      <c r="AM2231" s="100"/>
      <c r="AN2231" s="100"/>
      <c r="AO2231" s="100"/>
      <c r="AP2231" s="100"/>
      <c r="AQ2231" s="100"/>
      <c r="AR2231" s="100"/>
      <c r="AS2231" s="100"/>
      <c r="AT2231" s="102"/>
      <c r="AX2231" s="100"/>
      <c r="AY2231" s="101"/>
      <c r="AZ2231" s="101"/>
      <c r="BA2231" s="100"/>
      <c r="BB2231" s="100"/>
      <c r="BC2231" s="100"/>
      <c r="BD2231" s="100"/>
      <c r="BE2231" s="100"/>
      <c r="BF2231" s="100"/>
      <c r="BG2231" s="100"/>
      <c r="BH2231" s="100"/>
      <c r="BI2231" s="100"/>
      <c r="BJ2231" s="100"/>
      <c r="BK2231" s="102"/>
    </row>
    <row r="2232" spans="1:63" x14ac:dyDescent="0.25">
      <c r="A2232" s="92"/>
      <c r="B2232" s="93"/>
      <c r="C2232" s="93"/>
      <c r="D2232" s="93"/>
      <c r="E2232" s="92"/>
      <c r="F2232" s="92"/>
      <c r="G2232" s="92"/>
      <c r="H2232" s="92"/>
      <c r="I2232" s="92"/>
      <c r="J2232" s="92"/>
      <c r="K2232" s="92"/>
      <c r="L2232" s="92"/>
      <c r="M2232" s="92"/>
      <c r="N2232" s="94"/>
      <c r="AG2232" s="100"/>
      <c r="AH2232" s="101"/>
      <c r="AI2232" s="101"/>
      <c r="AJ2232" s="101"/>
      <c r="AK2232" s="100"/>
      <c r="AL2232" s="100"/>
      <c r="AM2232" s="100"/>
      <c r="AN2232" s="100"/>
      <c r="AO2232" s="100"/>
      <c r="AP2232" s="100"/>
      <c r="AQ2232" s="100"/>
      <c r="AR2232" s="100"/>
      <c r="AS2232" s="100"/>
      <c r="AT2232" s="102"/>
      <c r="AX2232" s="100"/>
      <c r="AY2232" s="101"/>
      <c r="AZ2232" s="101"/>
      <c r="BA2232" s="100"/>
      <c r="BB2232" s="100"/>
      <c r="BC2232" s="100"/>
      <c r="BD2232" s="100"/>
      <c r="BE2232" s="100"/>
      <c r="BF2232" s="100"/>
      <c r="BG2232" s="100"/>
      <c r="BH2232" s="100"/>
      <c r="BI2232" s="100"/>
      <c r="BJ2232" s="100"/>
      <c r="BK2232" s="102"/>
    </row>
    <row r="2233" spans="1:63" x14ac:dyDescent="0.25">
      <c r="A2233" s="92"/>
      <c r="B2233" s="93"/>
      <c r="C2233" s="93"/>
      <c r="D2233" s="92"/>
      <c r="E2233" s="92"/>
      <c r="F2233" s="92"/>
      <c r="G2233" s="92"/>
      <c r="H2233" s="92"/>
      <c r="I2233" s="92"/>
      <c r="J2233" s="92"/>
      <c r="K2233" s="92"/>
      <c r="L2233" s="92"/>
      <c r="M2233" s="92"/>
      <c r="N2233" s="94"/>
      <c r="AG2233" s="100"/>
      <c r="AH2233" s="101"/>
      <c r="AI2233" s="101"/>
      <c r="AJ2233" s="100"/>
      <c r="AK2233" s="100"/>
      <c r="AL2233" s="100"/>
      <c r="AM2233" s="100"/>
      <c r="AN2233" s="100"/>
      <c r="AO2233" s="100"/>
      <c r="AP2233" s="100"/>
      <c r="AQ2233" s="100"/>
      <c r="AR2233" s="100"/>
      <c r="AS2233" s="100"/>
      <c r="AT2233" s="102"/>
      <c r="AX2233" s="100"/>
      <c r="AY2233" s="101"/>
      <c r="AZ2233" s="101"/>
      <c r="BA2233" s="101"/>
      <c r="BB2233" s="100"/>
      <c r="BC2233" s="100"/>
      <c r="BD2233" s="100"/>
      <c r="BE2233" s="100"/>
      <c r="BF2233" s="100"/>
      <c r="BG2233" s="100"/>
      <c r="BH2233" s="100"/>
      <c r="BI2233" s="100"/>
      <c r="BJ2233" s="100"/>
      <c r="BK2233" s="102"/>
    </row>
    <row r="2234" spans="1:63" x14ac:dyDescent="0.25">
      <c r="A2234" s="92"/>
      <c r="B2234" s="93"/>
      <c r="C2234" s="93"/>
      <c r="D2234" s="92"/>
      <c r="E2234" s="92"/>
      <c r="F2234" s="92"/>
      <c r="G2234" s="92"/>
      <c r="H2234" s="92"/>
      <c r="I2234" s="92"/>
      <c r="J2234" s="92"/>
      <c r="K2234" s="92"/>
      <c r="L2234" s="92"/>
      <c r="M2234" s="92"/>
      <c r="N2234" s="94"/>
      <c r="AG2234" s="100"/>
      <c r="AH2234" s="101"/>
      <c r="AI2234" s="101"/>
      <c r="AJ2234" s="100"/>
      <c r="AK2234" s="100"/>
      <c r="AL2234" s="100"/>
      <c r="AM2234" s="100"/>
      <c r="AN2234" s="100"/>
      <c r="AO2234" s="100"/>
      <c r="AP2234" s="100"/>
      <c r="AQ2234" s="100"/>
      <c r="AR2234" s="100"/>
      <c r="AS2234" s="100"/>
      <c r="AT2234" s="102"/>
      <c r="AX2234" s="100"/>
      <c r="AY2234" s="101"/>
      <c r="AZ2234" s="101"/>
      <c r="BA2234" s="100"/>
      <c r="BB2234" s="100"/>
      <c r="BC2234" s="100"/>
      <c r="BD2234" s="100"/>
      <c r="BE2234" s="100"/>
      <c r="BF2234" s="100"/>
      <c r="BG2234" s="100"/>
      <c r="BH2234" s="100"/>
      <c r="BI2234" s="100"/>
      <c r="BJ2234" s="100"/>
      <c r="BK2234" s="102"/>
    </row>
    <row r="2235" spans="1:63" x14ac:dyDescent="0.25">
      <c r="A2235" s="92"/>
      <c r="B2235" s="93"/>
      <c r="C2235" s="93"/>
      <c r="D2235" s="92"/>
      <c r="E2235" s="92"/>
      <c r="F2235" s="92"/>
      <c r="G2235" s="92"/>
      <c r="H2235" s="92"/>
      <c r="I2235" s="92"/>
      <c r="J2235" s="92"/>
      <c r="K2235" s="92"/>
      <c r="L2235" s="92"/>
      <c r="M2235" s="92"/>
      <c r="N2235" s="94"/>
      <c r="AG2235" s="100"/>
      <c r="AH2235" s="101"/>
      <c r="AI2235" s="101"/>
      <c r="AJ2235" s="101"/>
      <c r="AK2235" s="100"/>
      <c r="AL2235" s="100"/>
      <c r="AM2235" s="100"/>
      <c r="AN2235" s="100"/>
      <c r="AO2235" s="100"/>
      <c r="AP2235" s="100"/>
      <c r="AQ2235" s="100"/>
      <c r="AR2235" s="100"/>
      <c r="AS2235" s="100"/>
      <c r="AT2235" s="102"/>
      <c r="AX2235" s="100"/>
      <c r="AY2235" s="101"/>
      <c r="AZ2235" s="101"/>
      <c r="BA2235" s="100"/>
      <c r="BB2235" s="100"/>
      <c r="BC2235" s="100"/>
      <c r="BD2235" s="100"/>
      <c r="BE2235" s="100"/>
      <c r="BF2235" s="100"/>
      <c r="BG2235" s="100"/>
      <c r="BH2235" s="100"/>
      <c r="BI2235" s="100"/>
      <c r="BJ2235" s="100"/>
      <c r="BK2235" s="102"/>
    </row>
    <row r="2236" spans="1:63" x14ac:dyDescent="0.25">
      <c r="A2236" s="92"/>
      <c r="B2236" s="93"/>
      <c r="C2236" s="93"/>
      <c r="D2236" s="93"/>
      <c r="E2236" s="92"/>
      <c r="F2236" s="92"/>
      <c r="G2236" s="92"/>
      <c r="H2236" s="92"/>
      <c r="I2236" s="92"/>
      <c r="J2236" s="92"/>
      <c r="K2236" s="92"/>
      <c r="L2236" s="92"/>
      <c r="M2236" s="92"/>
      <c r="N2236" s="94"/>
      <c r="AG2236" s="100"/>
      <c r="AH2236" s="101"/>
      <c r="AI2236" s="101"/>
      <c r="AJ2236" s="100"/>
      <c r="AK2236" s="100"/>
      <c r="AL2236" s="100"/>
      <c r="AM2236" s="100"/>
      <c r="AN2236" s="100"/>
      <c r="AO2236" s="100"/>
      <c r="AP2236" s="100"/>
      <c r="AQ2236" s="100"/>
      <c r="AR2236" s="100"/>
      <c r="AS2236" s="100"/>
      <c r="AT2236" s="102"/>
      <c r="AX2236" s="100"/>
      <c r="AY2236" s="101"/>
      <c r="AZ2236" s="101"/>
      <c r="BA2236" s="100"/>
      <c r="BB2236" s="100"/>
      <c r="BC2236" s="100"/>
      <c r="BD2236" s="100"/>
      <c r="BE2236" s="100"/>
      <c r="BF2236" s="100"/>
      <c r="BG2236" s="100"/>
      <c r="BH2236" s="100"/>
      <c r="BI2236" s="100"/>
      <c r="BJ2236" s="100"/>
      <c r="BK2236" s="102"/>
    </row>
    <row r="2237" spans="1:63" x14ac:dyDescent="0.25">
      <c r="A2237" s="92"/>
      <c r="B2237" s="92"/>
      <c r="C2237" s="92"/>
      <c r="D2237" s="92"/>
      <c r="E2237" s="92"/>
      <c r="F2237" s="92"/>
      <c r="G2237" s="92"/>
      <c r="H2237" s="92"/>
      <c r="I2237" s="92"/>
      <c r="J2237" s="92"/>
      <c r="K2237" s="92"/>
      <c r="L2237" s="92"/>
      <c r="M2237" s="92"/>
      <c r="N2237" s="92"/>
      <c r="AG2237" s="100"/>
      <c r="AH2237" s="101"/>
      <c r="AI2237" s="101"/>
      <c r="AJ2237" s="100"/>
      <c r="AK2237" s="100"/>
      <c r="AL2237" s="100"/>
      <c r="AM2237" s="100"/>
      <c r="AN2237" s="100"/>
      <c r="AO2237" s="100"/>
      <c r="AP2237" s="100"/>
      <c r="AQ2237" s="100"/>
      <c r="AR2237" s="100"/>
      <c r="AS2237" s="100"/>
      <c r="AT2237" s="102"/>
      <c r="AX2237" s="100"/>
      <c r="AY2237" s="101"/>
      <c r="AZ2237" s="101"/>
      <c r="BA2237" s="100"/>
      <c r="BB2237" s="100"/>
      <c r="BC2237" s="100"/>
      <c r="BD2237" s="100"/>
      <c r="BE2237" s="100"/>
      <c r="BF2237" s="100"/>
      <c r="BG2237" s="100"/>
      <c r="BH2237" s="100"/>
      <c r="BI2237" s="100"/>
      <c r="BJ2237" s="100"/>
      <c r="BK2237" s="102"/>
    </row>
    <row r="2238" spans="1:63" x14ac:dyDescent="0.25">
      <c r="A2238" s="92"/>
      <c r="B2238" s="92"/>
      <c r="C2238" s="92"/>
      <c r="D2238" s="92"/>
      <c r="E2238" s="92"/>
      <c r="F2238" s="92"/>
      <c r="G2238" s="92"/>
      <c r="H2238" s="92"/>
      <c r="I2238" s="92"/>
      <c r="J2238" s="92"/>
      <c r="K2238" s="92"/>
      <c r="L2238" s="92"/>
      <c r="M2238" s="92"/>
      <c r="N2238" s="92"/>
      <c r="AG2238" s="100"/>
      <c r="AH2238" s="101"/>
      <c r="AI2238" s="101"/>
      <c r="AJ2238" s="100"/>
      <c r="AK2238" s="100"/>
      <c r="AL2238" s="100"/>
      <c r="AM2238" s="100"/>
      <c r="AN2238" s="100"/>
      <c r="AO2238" s="100"/>
      <c r="AP2238" s="100"/>
      <c r="AQ2238" s="100"/>
      <c r="AR2238" s="100"/>
      <c r="AS2238" s="100"/>
      <c r="AT2238" s="102"/>
      <c r="AX2238" s="100"/>
      <c r="AY2238" s="101"/>
      <c r="AZ2238" s="101"/>
      <c r="BA2238" s="100"/>
      <c r="BB2238" s="100"/>
      <c r="BC2238" s="100"/>
      <c r="BD2238" s="100"/>
      <c r="BE2238" s="100"/>
      <c r="BF2238" s="100"/>
      <c r="BG2238" s="100"/>
      <c r="BH2238" s="100"/>
      <c r="BI2238" s="100"/>
      <c r="BJ2238" s="100"/>
      <c r="BK2238" s="102"/>
    </row>
    <row r="2239" spans="1:63" x14ac:dyDescent="0.25">
      <c r="A2239" s="92"/>
      <c r="B2239" s="92"/>
      <c r="C2239" s="92"/>
      <c r="D2239" s="92"/>
      <c r="E2239" s="92"/>
      <c r="F2239" s="92"/>
      <c r="G2239" s="92"/>
      <c r="H2239" s="92"/>
      <c r="I2239" s="92"/>
      <c r="J2239" s="92"/>
      <c r="K2239" s="92"/>
      <c r="L2239" s="92"/>
      <c r="M2239" s="92"/>
      <c r="N2239" s="92"/>
      <c r="AG2239" s="100"/>
      <c r="AH2239" s="101"/>
      <c r="AI2239" s="101"/>
      <c r="AJ2239" s="100"/>
      <c r="AK2239" s="100"/>
      <c r="AL2239" s="100"/>
      <c r="AM2239" s="100"/>
      <c r="AN2239" s="100"/>
      <c r="AO2239" s="100"/>
      <c r="AP2239" s="100"/>
      <c r="AQ2239" s="100"/>
      <c r="AR2239" s="100"/>
      <c r="AS2239" s="100"/>
      <c r="AT2239" s="102"/>
      <c r="AX2239" s="100"/>
      <c r="AY2239" s="101"/>
      <c r="AZ2239" s="101"/>
      <c r="BA2239" s="100"/>
      <c r="BB2239" s="100"/>
      <c r="BC2239" s="100"/>
      <c r="BD2239" s="100"/>
      <c r="BE2239" s="100"/>
      <c r="BF2239" s="100"/>
      <c r="BG2239" s="100"/>
      <c r="BH2239" s="100"/>
      <c r="BI2239" s="100"/>
      <c r="BJ2239" s="100"/>
      <c r="BK2239" s="102"/>
    </row>
    <row r="2240" spans="1:63" x14ac:dyDescent="0.25">
      <c r="A2240" s="92"/>
      <c r="B2240" s="93"/>
      <c r="C2240" s="93"/>
      <c r="D2240" s="92"/>
      <c r="E2240" s="92"/>
      <c r="F2240" s="92"/>
      <c r="G2240" s="92"/>
      <c r="H2240" s="92"/>
      <c r="I2240" s="92"/>
      <c r="J2240" s="92"/>
      <c r="K2240" s="92"/>
      <c r="L2240" s="92"/>
      <c r="M2240" s="92"/>
      <c r="N2240" s="94"/>
      <c r="AG2240" s="100"/>
      <c r="AH2240" s="101"/>
      <c r="AI2240" s="101"/>
      <c r="AJ2240" s="100"/>
      <c r="AK2240" s="100"/>
      <c r="AL2240" s="100"/>
      <c r="AM2240" s="100"/>
      <c r="AN2240" s="100"/>
      <c r="AO2240" s="100"/>
      <c r="AP2240" s="100"/>
      <c r="AQ2240" s="100"/>
      <c r="AR2240" s="100"/>
      <c r="AS2240" s="100"/>
      <c r="AT2240" s="102"/>
      <c r="AX2240" s="100"/>
      <c r="AY2240" s="101"/>
      <c r="AZ2240" s="101"/>
      <c r="BA2240" s="100"/>
      <c r="BB2240" s="100"/>
      <c r="BC2240" s="100"/>
      <c r="BD2240" s="100"/>
      <c r="BE2240" s="100"/>
      <c r="BF2240" s="100"/>
      <c r="BG2240" s="100"/>
      <c r="BH2240" s="100"/>
      <c r="BI2240" s="100"/>
      <c r="BJ2240" s="100"/>
      <c r="BK2240" s="102"/>
    </row>
    <row r="2241" spans="1:63" x14ac:dyDescent="0.25">
      <c r="A2241" s="92"/>
      <c r="B2241" s="93"/>
      <c r="C2241" s="93"/>
      <c r="D2241" s="92"/>
      <c r="E2241" s="92"/>
      <c r="F2241" s="92"/>
      <c r="G2241" s="92"/>
      <c r="H2241" s="92"/>
      <c r="I2241" s="92"/>
      <c r="J2241" s="92"/>
      <c r="K2241" s="92"/>
      <c r="L2241" s="92"/>
      <c r="M2241" s="92"/>
      <c r="N2241" s="94"/>
      <c r="AG2241" s="100"/>
      <c r="AH2241" s="101"/>
      <c r="AI2241" s="101"/>
      <c r="AJ2241" s="101"/>
      <c r="AK2241" s="100"/>
      <c r="AL2241" s="100"/>
      <c r="AM2241" s="100"/>
      <c r="AN2241" s="100"/>
      <c r="AO2241" s="100"/>
      <c r="AP2241" s="100"/>
      <c r="AQ2241" s="100"/>
      <c r="AR2241" s="100"/>
      <c r="AS2241" s="100"/>
      <c r="AT2241" s="102"/>
      <c r="AX2241" s="100"/>
      <c r="AY2241" s="101"/>
      <c r="AZ2241" s="101"/>
      <c r="BA2241" s="100"/>
      <c r="BB2241" s="100"/>
      <c r="BC2241" s="100"/>
      <c r="BD2241" s="100"/>
      <c r="BE2241" s="100"/>
      <c r="BF2241" s="100"/>
      <c r="BG2241" s="100"/>
      <c r="BH2241" s="100"/>
      <c r="BI2241" s="100"/>
      <c r="BJ2241" s="100"/>
      <c r="BK2241" s="102"/>
    </row>
    <row r="2242" spans="1:63" x14ac:dyDescent="0.25">
      <c r="A2242" s="92"/>
      <c r="B2242" s="92"/>
      <c r="C2242" s="92"/>
      <c r="D2242" s="92"/>
      <c r="E2242" s="92"/>
      <c r="F2242" s="92"/>
      <c r="G2242" s="92"/>
      <c r="H2242" s="92"/>
      <c r="I2242" s="92"/>
      <c r="J2242" s="92"/>
      <c r="K2242" s="92"/>
      <c r="L2242" s="92"/>
      <c r="M2242" s="92"/>
      <c r="N2242" s="92"/>
      <c r="AG2242" s="100"/>
      <c r="AH2242" s="101"/>
      <c r="AI2242" s="101"/>
      <c r="AJ2242" s="100"/>
      <c r="AK2242" s="100"/>
      <c r="AL2242" s="100"/>
      <c r="AM2242" s="100"/>
      <c r="AN2242" s="100"/>
      <c r="AO2242" s="100"/>
      <c r="AP2242" s="100"/>
      <c r="AQ2242" s="100"/>
      <c r="AR2242" s="100"/>
      <c r="AS2242" s="100"/>
      <c r="AT2242" s="102"/>
      <c r="AX2242" s="100"/>
      <c r="AY2242" s="101"/>
      <c r="AZ2242" s="101"/>
      <c r="BA2242" s="100"/>
      <c r="BB2242" s="100"/>
      <c r="BC2242" s="100"/>
      <c r="BD2242" s="100"/>
      <c r="BE2242" s="100"/>
      <c r="BF2242" s="100"/>
      <c r="BG2242" s="100"/>
      <c r="BH2242" s="100"/>
      <c r="BI2242" s="100"/>
      <c r="BJ2242" s="100"/>
      <c r="BK2242" s="102"/>
    </row>
    <row r="2243" spans="1:63" x14ac:dyDescent="0.25">
      <c r="A2243" s="92"/>
      <c r="B2243" s="93"/>
      <c r="C2243" s="93"/>
      <c r="D2243" s="92"/>
      <c r="E2243" s="92"/>
      <c r="F2243" s="92"/>
      <c r="G2243" s="92"/>
      <c r="H2243" s="92"/>
      <c r="I2243" s="92"/>
      <c r="J2243" s="92"/>
      <c r="K2243" s="92"/>
      <c r="L2243" s="92"/>
      <c r="M2243" s="92"/>
      <c r="N2243" s="94"/>
      <c r="AG2243" s="100"/>
      <c r="AH2243" s="101"/>
      <c r="AI2243" s="101"/>
      <c r="AJ2243" s="100"/>
      <c r="AK2243" s="100"/>
      <c r="AL2243" s="100"/>
      <c r="AM2243" s="100"/>
      <c r="AN2243" s="100"/>
      <c r="AO2243" s="100"/>
      <c r="AP2243" s="100"/>
      <c r="AQ2243" s="100"/>
      <c r="AR2243" s="100"/>
      <c r="AS2243" s="100"/>
      <c r="AT2243" s="102"/>
      <c r="AX2243" s="100"/>
      <c r="AY2243" s="101"/>
      <c r="AZ2243" s="101"/>
      <c r="BA2243" s="100"/>
      <c r="BB2243" s="100"/>
      <c r="BC2243" s="100"/>
      <c r="BD2243" s="100"/>
      <c r="BE2243" s="100"/>
      <c r="BF2243" s="100"/>
      <c r="BG2243" s="100"/>
      <c r="BH2243" s="100"/>
      <c r="BI2243" s="100"/>
      <c r="BJ2243" s="100"/>
      <c r="BK2243" s="102"/>
    </row>
    <row r="2244" spans="1:63" x14ac:dyDescent="0.25">
      <c r="A2244" s="92"/>
      <c r="B2244" s="93"/>
      <c r="C2244" s="93"/>
      <c r="D2244" s="93"/>
      <c r="E2244" s="92"/>
      <c r="F2244" s="92"/>
      <c r="G2244" s="92"/>
      <c r="H2244" s="92"/>
      <c r="I2244" s="92"/>
      <c r="J2244" s="92"/>
      <c r="K2244" s="92"/>
      <c r="L2244" s="92"/>
      <c r="M2244" s="92"/>
      <c r="N2244" s="94"/>
      <c r="AG2244" s="100"/>
      <c r="AH2244" s="101"/>
      <c r="AI2244" s="101"/>
      <c r="AJ2244" s="100"/>
      <c r="AK2244" s="100"/>
      <c r="AL2244" s="100"/>
      <c r="AM2244" s="100"/>
      <c r="AN2244" s="100"/>
      <c r="AO2244" s="100"/>
      <c r="AP2244" s="100"/>
      <c r="AQ2244" s="100"/>
      <c r="AR2244" s="100"/>
      <c r="AS2244" s="100"/>
      <c r="AT2244" s="102"/>
      <c r="AX2244" s="100"/>
      <c r="AY2244" s="101"/>
      <c r="AZ2244" s="101"/>
      <c r="BA2244" s="100"/>
      <c r="BB2244" s="100"/>
      <c r="BC2244" s="100"/>
      <c r="BD2244" s="100"/>
      <c r="BE2244" s="100"/>
      <c r="BF2244" s="100"/>
      <c r="BG2244" s="100"/>
      <c r="BH2244" s="100"/>
      <c r="BI2244" s="100"/>
      <c r="BJ2244" s="100"/>
      <c r="BK2244" s="102"/>
    </row>
    <row r="2245" spans="1:63" x14ac:dyDescent="0.25">
      <c r="A2245" s="92"/>
      <c r="B2245" s="93"/>
      <c r="C2245" s="93"/>
      <c r="D2245" s="92"/>
      <c r="E2245" s="92"/>
      <c r="F2245" s="92"/>
      <c r="G2245" s="92"/>
      <c r="H2245" s="92"/>
      <c r="I2245" s="92"/>
      <c r="J2245" s="92"/>
      <c r="K2245" s="92"/>
      <c r="L2245" s="92"/>
      <c r="M2245" s="92"/>
      <c r="N2245" s="94"/>
      <c r="AG2245" s="100"/>
      <c r="AH2245" s="101"/>
      <c r="AI2245" s="101"/>
      <c r="AJ2245" s="101"/>
      <c r="AK2245" s="100"/>
      <c r="AL2245" s="100"/>
      <c r="AM2245" s="100"/>
      <c r="AN2245" s="100"/>
      <c r="AO2245" s="100"/>
      <c r="AP2245" s="100"/>
      <c r="AQ2245" s="100"/>
      <c r="AR2245" s="100"/>
      <c r="AS2245" s="100"/>
      <c r="AT2245" s="102"/>
      <c r="AX2245" s="100"/>
      <c r="AY2245" s="101"/>
      <c r="AZ2245" s="101"/>
      <c r="BA2245" s="100"/>
      <c r="BB2245" s="100"/>
      <c r="BC2245" s="100"/>
      <c r="BD2245" s="100"/>
      <c r="BE2245" s="100"/>
      <c r="BF2245" s="100"/>
      <c r="BG2245" s="100"/>
      <c r="BH2245" s="100"/>
      <c r="BI2245" s="100"/>
      <c r="BJ2245" s="100"/>
      <c r="BK2245" s="102"/>
    </row>
    <row r="2246" spans="1:63" x14ac:dyDescent="0.25">
      <c r="A2246" s="92"/>
      <c r="B2246" s="93"/>
      <c r="C2246" s="93"/>
      <c r="D2246" s="92"/>
      <c r="E2246" s="92"/>
      <c r="F2246" s="92"/>
      <c r="G2246" s="92"/>
      <c r="H2246" s="92"/>
      <c r="I2246" s="92"/>
      <c r="J2246" s="92"/>
      <c r="K2246" s="92"/>
      <c r="L2246" s="92"/>
      <c r="M2246" s="92"/>
      <c r="N2246" s="94"/>
      <c r="AG2246" s="100"/>
      <c r="AH2246" s="101"/>
      <c r="AI2246" s="101"/>
      <c r="AJ2246" s="100"/>
      <c r="AK2246" s="100"/>
      <c r="AL2246" s="100"/>
      <c r="AM2246" s="100"/>
      <c r="AN2246" s="100"/>
      <c r="AO2246" s="100"/>
      <c r="AP2246" s="100"/>
      <c r="AQ2246" s="100"/>
      <c r="AR2246" s="100"/>
      <c r="AS2246" s="100"/>
      <c r="AT2246" s="102"/>
      <c r="AX2246" s="100"/>
      <c r="AY2246" s="101"/>
      <c r="AZ2246" s="101"/>
      <c r="BA2246" s="100"/>
      <c r="BB2246" s="100"/>
      <c r="BC2246" s="100"/>
      <c r="BD2246" s="100"/>
      <c r="BE2246" s="100"/>
      <c r="BF2246" s="100"/>
      <c r="BG2246" s="100"/>
      <c r="BH2246" s="100"/>
      <c r="BI2246" s="100"/>
      <c r="BJ2246" s="100"/>
      <c r="BK2246" s="102"/>
    </row>
    <row r="2247" spans="1:63" x14ac:dyDescent="0.25">
      <c r="A2247" s="92"/>
      <c r="B2247" s="93"/>
      <c r="C2247" s="93"/>
      <c r="D2247" s="92"/>
      <c r="E2247" s="92"/>
      <c r="F2247" s="92"/>
      <c r="G2247" s="92"/>
      <c r="H2247" s="92"/>
      <c r="I2247" s="92"/>
      <c r="J2247" s="92"/>
      <c r="K2247" s="92"/>
      <c r="L2247" s="92"/>
      <c r="M2247" s="92"/>
      <c r="N2247" s="94"/>
      <c r="AG2247" s="100"/>
      <c r="AH2247" s="101"/>
      <c r="AI2247" s="101"/>
      <c r="AJ2247" s="100"/>
      <c r="AK2247" s="100"/>
      <c r="AL2247" s="100"/>
      <c r="AM2247" s="100"/>
      <c r="AN2247" s="100"/>
      <c r="AO2247" s="100"/>
      <c r="AP2247" s="100"/>
      <c r="AQ2247" s="100"/>
      <c r="AR2247" s="100"/>
      <c r="AS2247" s="100"/>
      <c r="AT2247" s="102"/>
      <c r="AX2247" s="100"/>
      <c r="AY2247" s="101"/>
      <c r="AZ2247" s="101"/>
      <c r="BA2247" s="101"/>
      <c r="BB2247" s="100"/>
      <c r="BC2247" s="100"/>
      <c r="BD2247" s="100"/>
      <c r="BE2247" s="100"/>
      <c r="BF2247" s="100"/>
      <c r="BG2247" s="100"/>
      <c r="BH2247" s="100"/>
      <c r="BI2247" s="100"/>
      <c r="BJ2247" s="100"/>
      <c r="BK2247" s="102"/>
    </row>
    <row r="2248" spans="1:63" x14ac:dyDescent="0.25">
      <c r="A2248" s="92"/>
      <c r="B2248" s="93"/>
      <c r="C2248" s="93"/>
      <c r="D2248" s="93"/>
      <c r="E2248" s="92"/>
      <c r="F2248" s="92"/>
      <c r="G2248" s="92"/>
      <c r="H2248" s="92"/>
      <c r="I2248" s="92"/>
      <c r="J2248" s="92"/>
      <c r="K2248" s="92"/>
      <c r="L2248" s="92"/>
      <c r="M2248" s="92"/>
      <c r="N2248" s="94"/>
      <c r="AG2248" s="100"/>
      <c r="AH2248" s="101"/>
      <c r="AI2248" s="101"/>
      <c r="AJ2248" s="100"/>
      <c r="AK2248" s="100"/>
      <c r="AL2248" s="100"/>
      <c r="AM2248" s="100"/>
      <c r="AN2248" s="100"/>
      <c r="AO2248" s="100"/>
      <c r="AP2248" s="100"/>
      <c r="AQ2248" s="100"/>
      <c r="AR2248" s="100"/>
      <c r="AS2248" s="100"/>
      <c r="AT2248" s="102"/>
      <c r="AX2248" s="100"/>
      <c r="AY2248" s="101"/>
      <c r="AZ2248" s="101"/>
      <c r="BA2248" s="100"/>
      <c r="BB2248" s="100"/>
      <c r="BC2248" s="100"/>
      <c r="BD2248" s="100"/>
      <c r="BE2248" s="100"/>
      <c r="BF2248" s="100"/>
      <c r="BG2248" s="100"/>
      <c r="BH2248" s="100"/>
      <c r="BI2248" s="100"/>
      <c r="BJ2248" s="100"/>
      <c r="BK2248" s="102"/>
    </row>
    <row r="2249" spans="1:63" x14ac:dyDescent="0.25">
      <c r="A2249" s="92"/>
      <c r="B2249" s="92"/>
      <c r="C2249" s="92"/>
      <c r="D2249" s="93"/>
      <c r="E2249" s="92"/>
      <c r="F2249" s="92"/>
      <c r="G2249" s="92"/>
      <c r="H2249" s="92"/>
      <c r="I2249" s="92"/>
      <c r="J2249" s="92"/>
      <c r="K2249" s="92"/>
      <c r="L2249" s="92"/>
      <c r="M2249" s="92"/>
      <c r="N2249" s="92"/>
      <c r="AG2249" s="100"/>
      <c r="AH2249" s="101"/>
      <c r="AI2249" s="101"/>
      <c r="AJ2249" s="100"/>
      <c r="AK2249" s="100"/>
      <c r="AL2249" s="100"/>
      <c r="AM2249" s="100"/>
      <c r="AN2249" s="100"/>
      <c r="AO2249" s="100"/>
      <c r="AP2249" s="100"/>
      <c r="AQ2249" s="100"/>
      <c r="AR2249" s="100"/>
      <c r="AS2249" s="100"/>
      <c r="AT2249" s="102"/>
      <c r="AX2249" s="100"/>
      <c r="AY2249" s="101"/>
      <c r="AZ2249" s="101"/>
      <c r="BA2249" s="100"/>
      <c r="BB2249" s="100"/>
      <c r="BC2249" s="100"/>
      <c r="BD2249" s="100"/>
      <c r="BE2249" s="100"/>
      <c r="BF2249" s="100"/>
      <c r="BG2249" s="100"/>
      <c r="BH2249" s="100"/>
      <c r="BI2249" s="100"/>
      <c r="BJ2249" s="100"/>
      <c r="BK2249" s="102"/>
    </row>
    <row r="2250" spans="1:63" x14ac:dyDescent="0.25">
      <c r="A2250" s="92"/>
      <c r="B2250" s="92"/>
      <c r="C2250" s="92"/>
      <c r="D2250" s="93"/>
      <c r="E2250" s="92"/>
      <c r="F2250" s="92"/>
      <c r="G2250" s="92"/>
      <c r="H2250" s="92"/>
      <c r="I2250" s="92"/>
      <c r="J2250" s="92"/>
      <c r="K2250" s="92"/>
      <c r="L2250" s="92"/>
      <c r="M2250" s="92"/>
      <c r="N2250" s="92"/>
      <c r="AG2250" s="100"/>
      <c r="AH2250" s="101"/>
      <c r="AI2250" s="101"/>
      <c r="AJ2250" s="101"/>
      <c r="AK2250" s="100"/>
      <c r="AL2250" s="100"/>
      <c r="AM2250" s="100"/>
      <c r="AN2250" s="100"/>
      <c r="AO2250" s="100"/>
      <c r="AP2250" s="100"/>
      <c r="AQ2250" s="100"/>
      <c r="AR2250" s="100"/>
      <c r="AS2250" s="100"/>
      <c r="AT2250" s="102"/>
      <c r="AX2250" s="100"/>
      <c r="AY2250" s="101"/>
      <c r="AZ2250" s="101"/>
      <c r="BA2250" s="100"/>
      <c r="BB2250" s="100"/>
      <c r="BC2250" s="100"/>
      <c r="BD2250" s="100"/>
      <c r="BE2250" s="100"/>
      <c r="BF2250" s="100"/>
      <c r="BG2250" s="100"/>
      <c r="BH2250" s="100"/>
      <c r="BI2250" s="100"/>
      <c r="BJ2250" s="100"/>
      <c r="BK2250" s="102"/>
    </row>
    <row r="2251" spans="1:63" x14ac:dyDescent="0.25">
      <c r="A2251" s="92"/>
      <c r="B2251" s="92"/>
      <c r="C2251" s="92"/>
      <c r="D2251" s="93"/>
      <c r="E2251" s="92"/>
      <c r="F2251" s="92"/>
      <c r="G2251" s="92"/>
      <c r="H2251" s="92"/>
      <c r="I2251" s="92"/>
      <c r="J2251" s="92"/>
      <c r="K2251" s="92"/>
      <c r="L2251" s="92"/>
      <c r="M2251" s="92"/>
      <c r="N2251" s="92"/>
      <c r="AG2251" s="100"/>
      <c r="AH2251" s="101"/>
      <c r="AI2251" s="101"/>
      <c r="AJ2251" s="100"/>
      <c r="AK2251" s="100"/>
      <c r="AL2251" s="100"/>
      <c r="AM2251" s="100"/>
      <c r="AN2251" s="100"/>
      <c r="AO2251" s="100"/>
      <c r="AP2251" s="100"/>
      <c r="AQ2251" s="100"/>
      <c r="AR2251" s="100"/>
      <c r="AS2251" s="100"/>
      <c r="AT2251" s="102"/>
      <c r="AX2251" s="100"/>
      <c r="AY2251" s="101"/>
      <c r="AZ2251" s="101"/>
      <c r="BA2251" s="101"/>
      <c r="BB2251" s="100"/>
      <c r="BC2251" s="100"/>
      <c r="BD2251" s="100"/>
      <c r="BE2251" s="100"/>
      <c r="BF2251" s="100"/>
      <c r="BG2251" s="100"/>
      <c r="BH2251" s="100"/>
      <c r="BI2251" s="100"/>
      <c r="BJ2251" s="100"/>
      <c r="BK2251" s="102"/>
    </row>
    <row r="2252" spans="1:63" x14ac:dyDescent="0.25">
      <c r="A2252" s="92"/>
      <c r="B2252" s="92"/>
      <c r="C2252" s="92"/>
      <c r="D2252" s="93"/>
      <c r="E2252" s="92"/>
      <c r="F2252" s="92"/>
      <c r="G2252" s="92"/>
      <c r="H2252" s="92"/>
      <c r="I2252" s="92"/>
      <c r="J2252" s="92"/>
      <c r="K2252" s="92"/>
      <c r="L2252" s="92"/>
      <c r="M2252" s="92"/>
      <c r="N2252" s="92"/>
      <c r="AG2252" s="100"/>
      <c r="AH2252" s="101"/>
      <c r="AI2252" s="101"/>
      <c r="AJ2252" s="101"/>
      <c r="AK2252" s="100"/>
      <c r="AL2252" s="100"/>
      <c r="AM2252" s="100"/>
      <c r="AN2252" s="100"/>
      <c r="AO2252" s="100"/>
      <c r="AP2252" s="100"/>
      <c r="AQ2252" s="100"/>
      <c r="AR2252" s="100"/>
      <c r="AS2252" s="100"/>
      <c r="AT2252" s="102"/>
      <c r="AX2252" s="100"/>
      <c r="AY2252" s="101"/>
      <c r="AZ2252" s="101"/>
      <c r="BA2252" s="101"/>
      <c r="BB2252" s="100"/>
      <c r="BC2252" s="100"/>
      <c r="BD2252" s="100"/>
      <c r="BE2252" s="100"/>
      <c r="BF2252" s="100"/>
      <c r="BG2252" s="100"/>
      <c r="BH2252" s="100"/>
      <c r="BI2252" s="100"/>
      <c r="BJ2252" s="100"/>
      <c r="BK2252" s="102"/>
    </row>
    <row r="2253" spans="1:63" x14ac:dyDescent="0.25">
      <c r="A2253" s="92"/>
      <c r="B2253" s="93"/>
      <c r="C2253" s="93"/>
      <c r="D2253" s="92"/>
      <c r="E2253" s="92"/>
      <c r="F2253" s="92"/>
      <c r="G2253" s="92"/>
      <c r="H2253" s="92"/>
      <c r="I2253" s="92"/>
      <c r="J2253" s="92"/>
      <c r="K2253" s="92"/>
      <c r="L2253" s="92"/>
      <c r="M2253" s="92"/>
      <c r="N2253" s="94"/>
      <c r="AG2253" s="100"/>
      <c r="AH2253" s="101"/>
      <c r="AI2253" s="101"/>
      <c r="AJ2253" s="100"/>
      <c r="AK2253" s="100"/>
      <c r="AL2253" s="100"/>
      <c r="AM2253" s="100"/>
      <c r="AN2253" s="100"/>
      <c r="AO2253" s="100"/>
      <c r="AP2253" s="100"/>
      <c r="AQ2253" s="100"/>
      <c r="AR2253" s="100"/>
      <c r="AS2253" s="100"/>
      <c r="AT2253" s="102"/>
      <c r="AX2253" s="100"/>
      <c r="AY2253" s="101"/>
      <c r="AZ2253" s="101"/>
      <c r="BA2253" s="100"/>
      <c r="BB2253" s="100"/>
      <c r="BC2253" s="100"/>
      <c r="BD2253" s="100"/>
      <c r="BE2253" s="100"/>
      <c r="BF2253" s="100"/>
      <c r="BG2253" s="100"/>
      <c r="BH2253" s="100"/>
      <c r="BI2253" s="100"/>
      <c r="BJ2253" s="100"/>
      <c r="BK2253" s="102"/>
    </row>
    <row r="2254" spans="1:63" x14ac:dyDescent="0.25">
      <c r="A2254" s="92"/>
      <c r="B2254" s="93"/>
      <c r="C2254" s="93"/>
      <c r="D2254" s="92"/>
      <c r="E2254" s="92"/>
      <c r="F2254" s="92"/>
      <c r="G2254" s="92"/>
      <c r="H2254" s="92"/>
      <c r="I2254" s="92"/>
      <c r="J2254" s="92"/>
      <c r="K2254" s="92"/>
      <c r="L2254" s="92"/>
      <c r="M2254" s="92"/>
      <c r="N2254" s="94"/>
      <c r="AG2254" s="100"/>
      <c r="AH2254" s="101"/>
      <c r="AI2254" s="101"/>
      <c r="AJ2254" s="100"/>
      <c r="AK2254" s="100"/>
      <c r="AL2254" s="100"/>
      <c r="AM2254" s="100"/>
      <c r="AN2254" s="100"/>
      <c r="AO2254" s="100"/>
      <c r="AP2254" s="100"/>
      <c r="AQ2254" s="100"/>
      <c r="AR2254" s="100"/>
      <c r="AS2254" s="100"/>
      <c r="AT2254" s="102"/>
      <c r="AX2254" s="100"/>
      <c r="AY2254" s="101"/>
      <c r="AZ2254" s="101"/>
      <c r="BA2254" s="100"/>
      <c r="BB2254" s="100"/>
      <c r="BC2254" s="100"/>
      <c r="BD2254" s="100"/>
      <c r="BE2254" s="100"/>
      <c r="BF2254" s="100"/>
      <c r="BG2254" s="100"/>
      <c r="BH2254" s="100"/>
      <c r="BI2254" s="100"/>
      <c r="BJ2254" s="100"/>
      <c r="BK2254" s="102"/>
    </row>
    <row r="2255" spans="1:63" x14ac:dyDescent="0.25">
      <c r="A2255" s="92"/>
      <c r="B2255" s="93"/>
      <c r="C2255" s="93"/>
      <c r="D2255" s="93"/>
      <c r="E2255" s="92"/>
      <c r="F2255" s="92"/>
      <c r="G2255" s="92"/>
      <c r="H2255" s="92"/>
      <c r="I2255" s="92"/>
      <c r="J2255" s="92"/>
      <c r="K2255" s="92"/>
      <c r="L2255" s="92"/>
      <c r="M2255" s="92"/>
      <c r="N2255" s="94"/>
      <c r="AG2255" s="100"/>
      <c r="AH2255" s="101"/>
      <c r="AI2255" s="101"/>
      <c r="AJ2255" s="101"/>
      <c r="AK2255" s="100"/>
      <c r="AL2255" s="100"/>
      <c r="AM2255" s="100"/>
      <c r="AN2255" s="100"/>
      <c r="AO2255" s="100"/>
      <c r="AP2255" s="100"/>
      <c r="AQ2255" s="100"/>
      <c r="AR2255" s="100"/>
      <c r="AS2255" s="100"/>
      <c r="AT2255" s="102"/>
      <c r="AX2255" s="100"/>
      <c r="AY2255" s="101"/>
      <c r="AZ2255" s="101"/>
      <c r="BA2255" s="101"/>
      <c r="BB2255" s="100"/>
      <c r="BC2255" s="100"/>
      <c r="BD2255" s="100"/>
      <c r="BE2255" s="100"/>
      <c r="BF2255" s="100"/>
      <c r="BG2255" s="100"/>
      <c r="BH2255" s="100"/>
      <c r="BI2255" s="100"/>
      <c r="BJ2255" s="100"/>
      <c r="BK2255" s="102"/>
    </row>
    <row r="2256" spans="1:63" x14ac:dyDescent="0.25">
      <c r="A2256" s="92"/>
      <c r="B2256" s="92"/>
      <c r="C2256" s="92"/>
      <c r="D2256" s="92"/>
      <c r="E2256" s="92"/>
      <c r="F2256" s="92"/>
      <c r="G2256" s="92"/>
      <c r="H2256" s="92"/>
      <c r="I2256" s="92"/>
      <c r="J2256" s="92"/>
      <c r="K2256" s="92"/>
      <c r="L2256" s="92"/>
      <c r="M2256" s="92"/>
      <c r="N2256" s="92"/>
      <c r="AG2256" s="100"/>
      <c r="AH2256" s="101"/>
      <c r="AI2256" s="101"/>
      <c r="AJ2256" s="101"/>
      <c r="AK2256" s="100"/>
      <c r="AL2256" s="100"/>
      <c r="AM2256" s="100"/>
      <c r="AN2256" s="100"/>
      <c r="AO2256" s="100"/>
      <c r="AP2256" s="100"/>
      <c r="AQ2256" s="100"/>
      <c r="AR2256" s="100"/>
      <c r="AS2256" s="100"/>
      <c r="AT2256" s="102"/>
      <c r="AX2256" s="100"/>
      <c r="AY2256" s="101"/>
      <c r="AZ2256" s="101"/>
      <c r="BA2256" s="100"/>
      <c r="BB2256" s="100"/>
      <c r="BC2256" s="100"/>
      <c r="BD2256" s="100"/>
      <c r="BE2256" s="100"/>
      <c r="BF2256" s="100"/>
      <c r="BG2256" s="100"/>
      <c r="BH2256" s="100"/>
      <c r="BI2256" s="100"/>
      <c r="BJ2256" s="100"/>
      <c r="BK2256" s="102"/>
    </row>
    <row r="2257" spans="1:63" x14ac:dyDescent="0.25">
      <c r="A2257" s="92"/>
      <c r="B2257" s="92"/>
      <c r="C2257" s="92"/>
      <c r="D2257" s="92"/>
      <c r="E2257" s="92"/>
      <c r="F2257" s="92"/>
      <c r="G2257" s="92"/>
      <c r="H2257" s="92"/>
      <c r="I2257" s="92"/>
      <c r="J2257" s="92"/>
      <c r="K2257" s="92"/>
      <c r="L2257" s="92"/>
      <c r="M2257" s="92"/>
      <c r="N2257" s="92"/>
      <c r="AG2257" s="100"/>
      <c r="AH2257" s="101"/>
      <c r="AI2257" s="101"/>
      <c r="AJ2257" s="101"/>
      <c r="AK2257" s="100"/>
      <c r="AL2257" s="100"/>
      <c r="AM2257" s="100"/>
      <c r="AN2257" s="100"/>
      <c r="AO2257" s="100"/>
      <c r="AP2257" s="100"/>
      <c r="AQ2257" s="100"/>
      <c r="AR2257" s="100"/>
      <c r="AS2257" s="100"/>
      <c r="AT2257" s="102"/>
      <c r="AX2257" s="100"/>
      <c r="AY2257" s="101"/>
      <c r="AZ2257" s="101"/>
      <c r="BA2257" s="100"/>
      <c r="BB2257" s="100"/>
      <c r="BC2257" s="100"/>
      <c r="BD2257" s="100"/>
      <c r="BE2257" s="100"/>
      <c r="BF2257" s="100"/>
      <c r="BG2257" s="100"/>
      <c r="BH2257" s="100"/>
      <c r="BI2257" s="100"/>
      <c r="BJ2257" s="100"/>
      <c r="BK2257" s="102"/>
    </row>
    <row r="2258" spans="1:63" x14ac:dyDescent="0.25">
      <c r="A2258" s="92"/>
      <c r="B2258" s="92"/>
      <c r="C2258" s="92"/>
      <c r="D2258" s="92"/>
      <c r="E2258" s="92"/>
      <c r="F2258" s="92"/>
      <c r="G2258" s="92"/>
      <c r="H2258" s="92"/>
      <c r="I2258" s="92"/>
      <c r="J2258" s="92"/>
      <c r="K2258" s="92"/>
      <c r="L2258" s="92"/>
      <c r="M2258" s="92"/>
      <c r="N2258" s="92"/>
      <c r="AG2258" s="100"/>
      <c r="AH2258" s="101"/>
      <c r="AI2258" s="101"/>
      <c r="AJ2258" s="101"/>
      <c r="AK2258" s="100"/>
      <c r="AL2258" s="100"/>
      <c r="AM2258" s="100"/>
      <c r="AN2258" s="100"/>
      <c r="AO2258" s="100"/>
      <c r="AP2258" s="100"/>
      <c r="AQ2258" s="100"/>
      <c r="AR2258" s="100"/>
      <c r="AS2258" s="100"/>
      <c r="AT2258" s="102"/>
      <c r="AX2258" s="100"/>
      <c r="AY2258" s="101"/>
      <c r="AZ2258" s="101"/>
      <c r="BA2258" s="100"/>
      <c r="BB2258" s="100"/>
      <c r="BC2258" s="100"/>
      <c r="BD2258" s="100"/>
      <c r="BE2258" s="100"/>
      <c r="BF2258" s="100"/>
      <c r="BG2258" s="100"/>
      <c r="BH2258" s="100"/>
      <c r="BI2258" s="100"/>
      <c r="BJ2258" s="100"/>
      <c r="BK2258" s="102"/>
    </row>
    <row r="2259" spans="1:63" x14ac:dyDescent="0.25">
      <c r="A2259" s="92"/>
      <c r="B2259" s="92"/>
      <c r="C2259" s="92"/>
      <c r="D2259" s="92"/>
      <c r="E2259" s="92"/>
      <c r="F2259" s="92"/>
      <c r="G2259" s="92"/>
      <c r="H2259" s="92"/>
      <c r="I2259" s="92"/>
      <c r="J2259" s="92"/>
      <c r="K2259" s="92"/>
      <c r="L2259" s="92"/>
      <c r="M2259" s="92"/>
      <c r="N2259" s="92"/>
      <c r="AG2259" s="100"/>
      <c r="AH2259" s="101"/>
      <c r="AI2259" s="101"/>
      <c r="AJ2259" s="100"/>
      <c r="AK2259" s="100"/>
      <c r="AL2259" s="100"/>
      <c r="AM2259" s="100"/>
      <c r="AN2259" s="100"/>
      <c r="AO2259" s="100"/>
      <c r="AP2259" s="100"/>
      <c r="AQ2259" s="100"/>
      <c r="AR2259" s="100"/>
      <c r="AS2259" s="100"/>
      <c r="AT2259" s="102"/>
      <c r="AX2259" s="100"/>
      <c r="AY2259" s="101"/>
      <c r="AZ2259" s="101"/>
      <c r="BA2259" s="100"/>
      <c r="BB2259" s="100"/>
      <c r="BC2259" s="100"/>
      <c r="BD2259" s="100"/>
      <c r="BE2259" s="100"/>
      <c r="BF2259" s="100"/>
      <c r="BG2259" s="100"/>
      <c r="BH2259" s="100"/>
      <c r="BI2259" s="100"/>
      <c r="BJ2259" s="100"/>
      <c r="BK2259" s="102"/>
    </row>
    <row r="2260" spans="1:63" x14ac:dyDescent="0.25">
      <c r="A2260" s="92"/>
      <c r="B2260" s="93"/>
      <c r="C2260" s="93"/>
      <c r="D2260" s="93"/>
      <c r="E2260" s="92"/>
      <c r="F2260" s="92"/>
      <c r="G2260" s="92"/>
      <c r="H2260" s="92"/>
      <c r="I2260" s="92"/>
      <c r="J2260" s="92"/>
      <c r="K2260" s="92"/>
      <c r="L2260" s="92"/>
      <c r="M2260" s="92"/>
      <c r="N2260" s="94"/>
      <c r="AG2260" s="100"/>
      <c r="AH2260" s="101"/>
      <c r="AI2260" s="101"/>
      <c r="AJ2260" s="101"/>
      <c r="AK2260" s="100"/>
      <c r="AL2260" s="100"/>
      <c r="AM2260" s="100"/>
      <c r="AN2260" s="100"/>
      <c r="AO2260" s="100"/>
      <c r="AP2260" s="100"/>
      <c r="AQ2260" s="100"/>
      <c r="AR2260" s="100"/>
      <c r="AS2260" s="100"/>
      <c r="AT2260" s="102"/>
      <c r="AX2260" s="100"/>
      <c r="AY2260" s="101"/>
      <c r="AZ2260" s="101"/>
      <c r="BA2260" s="100"/>
      <c r="BB2260" s="100"/>
      <c r="BC2260" s="100"/>
      <c r="BD2260" s="100"/>
      <c r="BE2260" s="100"/>
      <c r="BF2260" s="100"/>
      <c r="BG2260" s="100"/>
      <c r="BH2260" s="100"/>
      <c r="BI2260" s="100"/>
      <c r="BJ2260" s="100"/>
      <c r="BK2260" s="102"/>
    </row>
    <row r="2261" spans="1:63" x14ac:dyDescent="0.25">
      <c r="A2261" s="92"/>
      <c r="B2261" s="92"/>
      <c r="C2261" s="92"/>
      <c r="D2261" s="93"/>
      <c r="E2261" s="92"/>
      <c r="F2261" s="92"/>
      <c r="G2261" s="92"/>
      <c r="H2261" s="92"/>
      <c r="I2261" s="92"/>
      <c r="J2261" s="92"/>
      <c r="K2261" s="92"/>
      <c r="L2261" s="92"/>
      <c r="M2261" s="92"/>
      <c r="N2261" s="92"/>
      <c r="AG2261" s="100"/>
      <c r="AH2261" s="101"/>
      <c r="AI2261" s="101"/>
      <c r="AJ2261" s="100"/>
      <c r="AK2261" s="100"/>
      <c r="AL2261" s="100"/>
      <c r="AM2261" s="100"/>
      <c r="AN2261" s="100"/>
      <c r="AO2261" s="100"/>
      <c r="AP2261" s="100"/>
      <c r="AQ2261" s="100"/>
      <c r="AR2261" s="100"/>
      <c r="AS2261" s="100"/>
      <c r="AT2261" s="102"/>
      <c r="AX2261" s="100"/>
      <c r="AY2261" s="101"/>
      <c r="AZ2261" s="101"/>
      <c r="BA2261" s="101"/>
      <c r="BB2261" s="100"/>
      <c r="BC2261" s="100"/>
      <c r="BD2261" s="100"/>
      <c r="BE2261" s="100"/>
      <c r="BF2261" s="100"/>
      <c r="BG2261" s="100"/>
      <c r="BH2261" s="100"/>
      <c r="BI2261" s="100"/>
      <c r="BJ2261" s="100"/>
      <c r="BK2261" s="102"/>
    </row>
    <row r="2262" spans="1:63" x14ac:dyDescent="0.25">
      <c r="A2262" s="92"/>
      <c r="B2262" s="92"/>
      <c r="C2262" s="92"/>
      <c r="D2262" s="93"/>
      <c r="E2262" s="92"/>
      <c r="F2262" s="92"/>
      <c r="G2262" s="92"/>
      <c r="H2262" s="92"/>
      <c r="I2262" s="92"/>
      <c r="J2262" s="92"/>
      <c r="K2262" s="92"/>
      <c r="L2262" s="92"/>
      <c r="M2262" s="92"/>
      <c r="N2262" s="92"/>
      <c r="AG2262" s="100"/>
      <c r="AH2262" s="101"/>
      <c r="AI2262" s="101"/>
      <c r="AJ2262" s="101"/>
      <c r="AK2262" s="100"/>
      <c r="AL2262" s="100"/>
      <c r="AM2262" s="100"/>
      <c r="AN2262" s="100"/>
      <c r="AO2262" s="100"/>
      <c r="AP2262" s="100"/>
      <c r="AQ2262" s="100"/>
      <c r="AR2262" s="100"/>
      <c r="AS2262" s="100"/>
      <c r="AT2262" s="102"/>
      <c r="AX2262" s="100"/>
      <c r="AY2262" s="101"/>
      <c r="AZ2262" s="101"/>
      <c r="BA2262" s="100"/>
      <c r="BB2262" s="100"/>
      <c r="BC2262" s="100"/>
      <c r="BD2262" s="100"/>
      <c r="BE2262" s="100"/>
      <c r="BF2262" s="100"/>
      <c r="BG2262" s="100"/>
      <c r="BH2262" s="100"/>
      <c r="BI2262" s="100"/>
      <c r="BJ2262" s="100"/>
      <c r="BK2262" s="102"/>
    </row>
    <row r="2263" spans="1:63" x14ac:dyDescent="0.25">
      <c r="A2263" s="92"/>
      <c r="B2263" s="92"/>
      <c r="C2263" s="92"/>
      <c r="D2263" s="93"/>
      <c r="E2263" s="92"/>
      <c r="F2263" s="92"/>
      <c r="G2263" s="92"/>
      <c r="H2263" s="92"/>
      <c r="I2263" s="92"/>
      <c r="J2263" s="92"/>
      <c r="K2263" s="92"/>
      <c r="L2263" s="92"/>
      <c r="M2263" s="92"/>
      <c r="N2263" s="92"/>
      <c r="AG2263" s="100"/>
      <c r="AH2263" s="101"/>
      <c r="AI2263" s="101"/>
      <c r="AJ2263" s="100"/>
      <c r="AK2263" s="100"/>
      <c r="AL2263" s="100"/>
      <c r="AM2263" s="100"/>
      <c r="AN2263" s="100"/>
      <c r="AO2263" s="100"/>
      <c r="AP2263" s="100"/>
      <c r="AQ2263" s="100"/>
      <c r="AR2263" s="100"/>
      <c r="AS2263" s="100"/>
      <c r="AT2263" s="102"/>
      <c r="AX2263" s="100"/>
      <c r="AY2263" s="101"/>
      <c r="AZ2263" s="101"/>
      <c r="BA2263" s="100"/>
      <c r="BB2263" s="100"/>
      <c r="BC2263" s="100"/>
      <c r="BD2263" s="100"/>
      <c r="BE2263" s="100"/>
      <c r="BF2263" s="100"/>
      <c r="BG2263" s="100"/>
      <c r="BH2263" s="100"/>
      <c r="BI2263" s="100"/>
      <c r="BJ2263" s="100"/>
      <c r="BK2263" s="102"/>
    </row>
    <row r="2264" spans="1:63" x14ac:dyDescent="0.25">
      <c r="A2264" s="92"/>
      <c r="B2264" s="92"/>
      <c r="C2264" s="92"/>
      <c r="D2264" s="93"/>
      <c r="E2264" s="92"/>
      <c r="F2264" s="92"/>
      <c r="G2264" s="92"/>
      <c r="H2264" s="92"/>
      <c r="I2264" s="92"/>
      <c r="J2264" s="92"/>
      <c r="K2264" s="92"/>
      <c r="L2264" s="92"/>
      <c r="M2264" s="92"/>
      <c r="N2264" s="92"/>
      <c r="AG2264" s="100"/>
      <c r="AH2264" s="101"/>
      <c r="AI2264" s="101"/>
      <c r="AJ2264" s="101"/>
      <c r="AK2264" s="100"/>
      <c r="AL2264" s="100"/>
      <c r="AM2264" s="100"/>
      <c r="AN2264" s="100"/>
      <c r="AO2264" s="100"/>
      <c r="AP2264" s="100"/>
      <c r="AQ2264" s="100"/>
      <c r="AR2264" s="100"/>
      <c r="AS2264" s="100"/>
      <c r="AT2264" s="102"/>
      <c r="AX2264" s="100"/>
      <c r="AY2264" s="101"/>
      <c r="AZ2264" s="101"/>
      <c r="BA2264" s="100"/>
      <c r="BB2264" s="100"/>
      <c r="BC2264" s="100"/>
      <c r="BD2264" s="100"/>
      <c r="BE2264" s="100"/>
      <c r="BF2264" s="100"/>
      <c r="BG2264" s="100"/>
      <c r="BH2264" s="100"/>
      <c r="BI2264" s="100"/>
      <c r="BJ2264" s="100"/>
      <c r="BK2264" s="102"/>
    </row>
    <row r="2265" spans="1:63" x14ac:dyDescent="0.25">
      <c r="A2265" s="92"/>
      <c r="B2265" s="92"/>
      <c r="C2265" s="92"/>
      <c r="D2265" s="93"/>
      <c r="E2265" s="92"/>
      <c r="F2265" s="92"/>
      <c r="G2265" s="92"/>
      <c r="H2265" s="92"/>
      <c r="I2265" s="92"/>
      <c r="J2265" s="92"/>
      <c r="K2265" s="92"/>
      <c r="L2265" s="92"/>
      <c r="M2265" s="92"/>
      <c r="N2265" s="92"/>
      <c r="AG2265" s="100"/>
      <c r="AH2265" s="101"/>
      <c r="AI2265" s="101"/>
      <c r="AJ2265" s="100"/>
      <c r="AK2265" s="100"/>
      <c r="AL2265" s="100"/>
      <c r="AM2265" s="100"/>
      <c r="AN2265" s="100"/>
      <c r="AO2265" s="100"/>
      <c r="AP2265" s="100"/>
      <c r="AQ2265" s="100"/>
      <c r="AR2265" s="100"/>
      <c r="AS2265" s="100"/>
      <c r="AT2265" s="102"/>
      <c r="AX2265" s="100"/>
      <c r="AY2265" s="101"/>
      <c r="AZ2265" s="101"/>
      <c r="BA2265" s="101"/>
      <c r="BB2265" s="100"/>
      <c r="BC2265" s="100"/>
      <c r="BD2265" s="100"/>
      <c r="BE2265" s="100"/>
      <c r="BF2265" s="100"/>
      <c r="BG2265" s="100"/>
      <c r="BH2265" s="100"/>
      <c r="BI2265" s="100"/>
      <c r="BJ2265" s="100"/>
      <c r="BK2265" s="102"/>
    </row>
    <row r="2266" spans="1:63" x14ac:dyDescent="0.25">
      <c r="A2266" s="92"/>
      <c r="B2266" s="93"/>
      <c r="C2266" s="93"/>
      <c r="D2266" s="92"/>
      <c r="E2266" s="92"/>
      <c r="F2266" s="92"/>
      <c r="G2266" s="92"/>
      <c r="H2266" s="92"/>
      <c r="I2266" s="92"/>
      <c r="J2266" s="92"/>
      <c r="K2266" s="92"/>
      <c r="L2266" s="92"/>
      <c r="M2266" s="92"/>
      <c r="N2266" s="94"/>
      <c r="AG2266" s="100"/>
      <c r="AH2266" s="101"/>
      <c r="AI2266" s="101"/>
      <c r="AJ2266" s="101"/>
      <c r="AK2266" s="100"/>
      <c r="AL2266" s="100"/>
      <c r="AM2266" s="100"/>
      <c r="AN2266" s="100"/>
      <c r="AO2266" s="100"/>
      <c r="AP2266" s="100"/>
      <c r="AQ2266" s="100"/>
      <c r="AR2266" s="100"/>
      <c r="AS2266" s="100"/>
      <c r="AT2266" s="102"/>
      <c r="AX2266" s="100"/>
      <c r="AY2266" s="101"/>
      <c r="AZ2266" s="101"/>
      <c r="BA2266" s="100"/>
      <c r="BB2266" s="100"/>
      <c r="BC2266" s="100"/>
      <c r="BD2266" s="100"/>
      <c r="BE2266" s="100"/>
      <c r="BF2266" s="100"/>
      <c r="BG2266" s="100"/>
      <c r="BH2266" s="100"/>
      <c r="BI2266" s="100"/>
      <c r="BJ2266" s="100"/>
      <c r="BK2266" s="102"/>
    </row>
    <row r="2267" spans="1:63" x14ac:dyDescent="0.25">
      <c r="A2267" s="92"/>
      <c r="B2267" s="93"/>
      <c r="C2267" s="93"/>
      <c r="D2267" s="92"/>
      <c r="E2267" s="92"/>
      <c r="F2267" s="92"/>
      <c r="G2267" s="92"/>
      <c r="H2267" s="92"/>
      <c r="I2267" s="92"/>
      <c r="J2267" s="92"/>
      <c r="K2267" s="92"/>
      <c r="L2267" s="92"/>
      <c r="M2267" s="92"/>
      <c r="N2267" s="94"/>
      <c r="AG2267" s="100"/>
      <c r="AH2267" s="101"/>
      <c r="AI2267" s="101"/>
      <c r="AJ2267" s="100"/>
      <c r="AK2267" s="100"/>
      <c r="AL2267" s="100"/>
      <c r="AM2267" s="100"/>
      <c r="AN2267" s="100"/>
      <c r="AO2267" s="100"/>
      <c r="AP2267" s="100"/>
      <c r="AQ2267" s="100"/>
      <c r="AR2267" s="100"/>
      <c r="AS2267" s="100"/>
      <c r="AT2267" s="102"/>
      <c r="AX2267" s="100"/>
      <c r="AY2267" s="101"/>
      <c r="AZ2267" s="101"/>
      <c r="BA2267" s="100"/>
      <c r="BB2267" s="100"/>
      <c r="BC2267" s="100"/>
      <c r="BD2267" s="100"/>
      <c r="BE2267" s="100"/>
      <c r="BF2267" s="100"/>
      <c r="BG2267" s="100"/>
      <c r="BH2267" s="100"/>
      <c r="BI2267" s="100"/>
      <c r="BJ2267" s="100"/>
      <c r="BK2267" s="102"/>
    </row>
    <row r="2268" spans="1:63" x14ac:dyDescent="0.25">
      <c r="A2268" s="92"/>
      <c r="B2268" s="93"/>
      <c r="C2268" s="93"/>
      <c r="D2268" s="92"/>
      <c r="E2268" s="92"/>
      <c r="F2268" s="92"/>
      <c r="G2268" s="92"/>
      <c r="H2268" s="92"/>
      <c r="I2268" s="92"/>
      <c r="J2268" s="92"/>
      <c r="K2268" s="92"/>
      <c r="L2268" s="92"/>
      <c r="M2268" s="92"/>
      <c r="N2268" s="94"/>
      <c r="AG2268" s="100"/>
      <c r="AH2268" s="101"/>
      <c r="AI2268" s="100"/>
      <c r="AJ2268" s="101"/>
      <c r="AK2268" s="100"/>
      <c r="AL2268" s="100"/>
      <c r="AM2268" s="100"/>
      <c r="AN2268" s="100"/>
      <c r="AO2268" s="100"/>
      <c r="AP2268" s="100"/>
      <c r="AQ2268" s="100"/>
      <c r="AR2268" s="100"/>
      <c r="AS2268" s="100"/>
      <c r="AT2268" s="102"/>
      <c r="AX2268" s="100"/>
      <c r="AY2268" s="101"/>
      <c r="AZ2268" s="101"/>
      <c r="BA2268" s="100"/>
      <c r="BB2268" s="100"/>
      <c r="BC2268" s="100"/>
      <c r="BD2268" s="100"/>
      <c r="BE2268" s="100"/>
      <c r="BF2268" s="100"/>
      <c r="BG2268" s="100"/>
      <c r="BH2268" s="100"/>
      <c r="BI2268" s="100"/>
      <c r="BJ2268" s="100"/>
      <c r="BK2268" s="102"/>
    </row>
    <row r="2269" spans="1:63" x14ac:dyDescent="0.25">
      <c r="A2269" s="92"/>
      <c r="B2269" s="93"/>
      <c r="C2269" s="93"/>
      <c r="D2269" s="93"/>
      <c r="E2269" s="92"/>
      <c r="F2269" s="92"/>
      <c r="G2269" s="92"/>
      <c r="H2269" s="92"/>
      <c r="I2269" s="92"/>
      <c r="J2269" s="92"/>
      <c r="K2269" s="92"/>
      <c r="L2269" s="92"/>
      <c r="M2269" s="92"/>
      <c r="N2269" s="94"/>
      <c r="AG2269" s="100"/>
      <c r="AH2269" s="101"/>
      <c r="AI2269" s="101"/>
      <c r="AJ2269" s="100"/>
      <c r="AK2269" s="100"/>
      <c r="AL2269" s="100"/>
      <c r="AM2269" s="100"/>
      <c r="AN2269" s="100"/>
      <c r="AO2269" s="100"/>
      <c r="AP2269" s="100"/>
      <c r="AQ2269" s="100"/>
      <c r="AR2269" s="100"/>
      <c r="AS2269" s="100"/>
      <c r="AT2269" s="102"/>
      <c r="AX2269" s="100"/>
      <c r="AY2269" s="101"/>
      <c r="AZ2269" s="101"/>
      <c r="BA2269" s="100"/>
      <c r="BB2269" s="100"/>
      <c r="BC2269" s="100"/>
      <c r="BD2269" s="100"/>
      <c r="BE2269" s="100"/>
      <c r="BF2269" s="100"/>
      <c r="BG2269" s="100"/>
      <c r="BH2269" s="100"/>
      <c r="BI2269" s="100"/>
      <c r="BJ2269" s="100"/>
      <c r="BK2269" s="102"/>
    </row>
    <row r="2270" spans="1:63" x14ac:dyDescent="0.25">
      <c r="A2270" s="92"/>
      <c r="B2270" s="92"/>
      <c r="C2270" s="92"/>
      <c r="D2270" s="93"/>
      <c r="E2270" s="92"/>
      <c r="F2270" s="92"/>
      <c r="G2270" s="92"/>
      <c r="H2270" s="92"/>
      <c r="I2270" s="92"/>
      <c r="J2270" s="92"/>
      <c r="K2270" s="92"/>
      <c r="L2270" s="92"/>
      <c r="M2270" s="92"/>
      <c r="N2270" s="92"/>
      <c r="AG2270" s="100"/>
      <c r="AH2270" s="101"/>
      <c r="AI2270" s="101"/>
      <c r="AJ2270" s="100"/>
      <c r="AK2270" s="100"/>
      <c r="AL2270" s="100"/>
      <c r="AM2270" s="100"/>
      <c r="AN2270" s="100"/>
      <c r="AO2270" s="100"/>
      <c r="AP2270" s="100"/>
      <c r="AQ2270" s="100"/>
      <c r="AR2270" s="100"/>
      <c r="AS2270" s="100"/>
      <c r="AT2270" s="102"/>
      <c r="AX2270" s="100"/>
      <c r="AY2270" s="101"/>
      <c r="AZ2270" s="101"/>
      <c r="BA2270" s="101"/>
      <c r="BB2270" s="100"/>
      <c r="BC2270" s="100"/>
      <c r="BD2270" s="100"/>
      <c r="BE2270" s="100"/>
      <c r="BF2270" s="100"/>
      <c r="BG2270" s="100"/>
      <c r="BH2270" s="100"/>
      <c r="BI2270" s="100"/>
      <c r="BJ2270" s="100"/>
      <c r="BK2270" s="102"/>
    </row>
    <row r="2271" spans="1:63" x14ac:dyDescent="0.25">
      <c r="A2271" s="92"/>
      <c r="B2271" s="92"/>
      <c r="C2271" s="92"/>
      <c r="D2271" s="93"/>
      <c r="E2271" s="92"/>
      <c r="F2271" s="92"/>
      <c r="G2271" s="92"/>
      <c r="H2271" s="92"/>
      <c r="I2271" s="92"/>
      <c r="J2271" s="92"/>
      <c r="K2271" s="92"/>
      <c r="L2271" s="92"/>
      <c r="M2271" s="92"/>
      <c r="N2271" s="92"/>
      <c r="AG2271" s="100"/>
      <c r="AH2271" s="101"/>
      <c r="AI2271" s="101"/>
      <c r="AJ2271" s="100"/>
      <c r="AK2271" s="100"/>
      <c r="AL2271" s="100"/>
      <c r="AM2271" s="100"/>
      <c r="AN2271" s="100"/>
      <c r="AO2271" s="100"/>
      <c r="AP2271" s="100"/>
      <c r="AQ2271" s="100"/>
      <c r="AR2271" s="100"/>
      <c r="AS2271" s="100"/>
      <c r="AT2271" s="102"/>
      <c r="AX2271" s="100"/>
      <c r="AY2271" s="101"/>
      <c r="AZ2271" s="101"/>
      <c r="BA2271" s="100"/>
      <c r="BB2271" s="100"/>
      <c r="BC2271" s="100"/>
      <c r="BD2271" s="100"/>
      <c r="BE2271" s="100"/>
      <c r="BF2271" s="100"/>
      <c r="BG2271" s="100"/>
      <c r="BH2271" s="100"/>
      <c r="BI2271" s="100"/>
      <c r="BJ2271" s="100"/>
      <c r="BK2271" s="102"/>
    </row>
    <row r="2272" spans="1:63" x14ac:dyDescent="0.25">
      <c r="A2272" s="92"/>
      <c r="B2272" s="92"/>
      <c r="C2272" s="92"/>
      <c r="D2272" s="93"/>
      <c r="E2272" s="92"/>
      <c r="F2272" s="92"/>
      <c r="G2272" s="92"/>
      <c r="H2272" s="92"/>
      <c r="I2272" s="92"/>
      <c r="J2272" s="92"/>
      <c r="K2272" s="92"/>
      <c r="L2272" s="92"/>
      <c r="M2272" s="92"/>
      <c r="N2272" s="92"/>
      <c r="AG2272" s="100"/>
      <c r="AH2272" s="101"/>
      <c r="AI2272" s="101"/>
      <c r="AJ2272" s="100"/>
      <c r="AK2272" s="100"/>
      <c r="AL2272" s="100"/>
      <c r="AM2272" s="100"/>
      <c r="AN2272" s="100"/>
      <c r="AO2272" s="100"/>
      <c r="AP2272" s="100"/>
      <c r="AQ2272" s="100"/>
      <c r="AR2272" s="100"/>
      <c r="AS2272" s="100"/>
      <c r="AT2272" s="102"/>
      <c r="AX2272" s="100"/>
      <c r="AY2272" s="101"/>
      <c r="AZ2272" s="101"/>
      <c r="BA2272" s="101"/>
      <c r="BB2272" s="100"/>
      <c r="BC2272" s="100"/>
      <c r="BD2272" s="100"/>
      <c r="BE2272" s="100"/>
      <c r="BF2272" s="100"/>
      <c r="BG2272" s="100"/>
      <c r="BH2272" s="100"/>
      <c r="BI2272" s="100"/>
      <c r="BJ2272" s="100"/>
      <c r="BK2272" s="102"/>
    </row>
    <row r="2273" spans="1:63" x14ac:dyDescent="0.25">
      <c r="A2273" s="92"/>
      <c r="B2273" s="92"/>
      <c r="C2273" s="92"/>
      <c r="D2273" s="93"/>
      <c r="E2273" s="92"/>
      <c r="F2273" s="92"/>
      <c r="G2273" s="92"/>
      <c r="H2273" s="92"/>
      <c r="I2273" s="92"/>
      <c r="J2273" s="92"/>
      <c r="K2273" s="92"/>
      <c r="L2273" s="92"/>
      <c r="M2273" s="92"/>
      <c r="N2273" s="92"/>
      <c r="AG2273" s="100"/>
      <c r="AH2273" s="101"/>
      <c r="AI2273" s="101"/>
      <c r="AJ2273" s="100"/>
      <c r="AK2273" s="100"/>
      <c r="AL2273" s="100"/>
      <c r="AM2273" s="100"/>
      <c r="AN2273" s="100"/>
      <c r="AO2273" s="100"/>
      <c r="AP2273" s="100"/>
      <c r="AQ2273" s="100"/>
      <c r="AR2273" s="100"/>
      <c r="AS2273" s="100"/>
      <c r="AT2273" s="102"/>
      <c r="AX2273" s="100"/>
      <c r="AY2273" s="101"/>
      <c r="AZ2273" s="101"/>
      <c r="BA2273" s="100"/>
      <c r="BB2273" s="100"/>
      <c r="BC2273" s="100"/>
      <c r="BD2273" s="100"/>
      <c r="BE2273" s="100"/>
      <c r="BF2273" s="100"/>
      <c r="BG2273" s="100"/>
      <c r="BH2273" s="100"/>
      <c r="BI2273" s="100"/>
      <c r="BJ2273" s="100"/>
      <c r="BK2273" s="102"/>
    </row>
    <row r="2274" spans="1:63" x14ac:dyDescent="0.25">
      <c r="A2274" s="92"/>
      <c r="B2274" s="93"/>
      <c r="C2274" s="93"/>
      <c r="D2274" s="92"/>
      <c r="E2274" s="92"/>
      <c r="F2274" s="92"/>
      <c r="G2274" s="92"/>
      <c r="H2274" s="92"/>
      <c r="I2274" s="92"/>
      <c r="J2274" s="92"/>
      <c r="K2274" s="92"/>
      <c r="L2274" s="92"/>
      <c r="M2274" s="92"/>
      <c r="N2274" s="94"/>
      <c r="AG2274" s="100"/>
      <c r="AH2274" s="101"/>
      <c r="AI2274" s="101"/>
      <c r="AJ2274" s="100"/>
      <c r="AK2274" s="100"/>
      <c r="AL2274" s="100"/>
      <c r="AM2274" s="100"/>
      <c r="AN2274" s="100"/>
      <c r="AO2274" s="100"/>
      <c r="AP2274" s="100"/>
      <c r="AQ2274" s="100"/>
      <c r="AR2274" s="100"/>
      <c r="AS2274" s="100"/>
      <c r="AT2274" s="102"/>
      <c r="AX2274" s="100"/>
      <c r="AY2274" s="101"/>
      <c r="AZ2274" s="101"/>
      <c r="BA2274" s="100"/>
      <c r="BB2274" s="100"/>
      <c r="BC2274" s="100"/>
      <c r="BD2274" s="100"/>
      <c r="BE2274" s="100"/>
      <c r="BF2274" s="100"/>
      <c r="BG2274" s="100"/>
      <c r="BH2274" s="100"/>
      <c r="BI2274" s="100"/>
      <c r="BJ2274" s="100"/>
      <c r="BK2274" s="102"/>
    </row>
    <row r="2275" spans="1:63" x14ac:dyDescent="0.25">
      <c r="A2275" s="92"/>
      <c r="B2275" s="93"/>
      <c r="C2275" s="93"/>
      <c r="D2275" s="93"/>
      <c r="E2275" s="92"/>
      <c r="F2275" s="92"/>
      <c r="G2275" s="92"/>
      <c r="H2275" s="92"/>
      <c r="I2275" s="92"/>
      <c r="J2275" s="92"/>
      <c r="K2275" s="92"/>
      <c r="L2275" s="92"/>
      <c r="M2275" s="92"/>
      <c r="N2275" s="94"/>
      <c r="AG2275" s="100"/>
      <c r="AH2275" s="101"/>
      <c r="AI2275" s="101"/>
      <c r="AJ2275" s="100"/>
      <c r="AK2275" s="100"/>
      <c r="AL2275" s="100"/>
      <c r="AM2275" s="100"/>
      <c r="AN2275" s="100"/>
      <c r="AO2275" s="100"/>
      <c r="AP2275" s="100"/>
      <c r="AQ2275" s="100"/>
      <c r="AR2275" s="100"/>
      <c r="AS2275" s="100"/>
      <c r="AT2275" s="102"/>
      <c r="AX2275" s="100"/>
      <c r="AY2275" s="101"/>
      <c r="AZ2275" s="101"/>
      <c r="BA2275" s="101"/>
      <c r="BB2275" s="100"/>
      <c r="BC2275" s="100"/>
      <c r="BD2275" s="100"/>
      <c r="BE2275" s="100"/>
      <c r="BF2275" s="100"/>
      <c r="BG2275" s="100"/>
      <c r="BH2275" s="100"/>
      <c r="BI2275" s="100"/>
      <c r="BJ2275" s="100"/>
      <c r="BK2275" s="102"/>
    </row>
    <row r="2276" spans="1:63" x14ac:dyDescent="0.25">
      <c r="A2276" s="92"/>
      <c r="B2276" s="92"/>
      <c r="C2276" s="92"/>
      <c r="D2276" s="93"/>
      <c r="E2276" s="92"/>
      <c r="F2276" s="92"/>
      <c r="G2276" s="92"/>
      <c r="H2276" s="92"/>
      <c r="I2276" s="92"/>
      <c r="J2276" s="92"/>
      <c r="K2276" s="92"/>
      <c r="L2276" s="92"/>
      <c r="M2276" s="92"/>
      <c r="N2276" s="92"/>
      <c r="AG2276" s="100"/>
      <c r="AH2276" s="101"/>
      <c r="AI2276" s="101"/>
      <c r="AJ2276" s="100"/>
      <c r="AK2276" s="100"/>
      <c r="AL2276" s="100"/>
      <c r="AM2276" s="100"/>
      <c r="AN2276" s="100"/>
      <c r="AO2276" s="100"/>
      <c r="AP2276" s="100"/>
      <c r="AQ2276" s="100"/>
      <c r="AR2276" s="100"/>
      <c r="AS2276" s="100"/>
      <c r="AT2276" s="102"/>
      <c r="AX2276" s="100"/>
      <c r="AY2276" s="101"/>
      <c r="AZ2276" s="101"/>
      <c r="BA2276" s="101"/>
      <c r="BB2276" s="100"/>
      <c r="BC2276" s="100"/>
      <c r="BD2276" s="100"/>
      <c r="BE2276" s="100"/>
      <c r="BF2276" s="100"/>
      <c r="BG2276" s="100"/>
      <c r="BH2276" s="100"/>
      <c r="BI2276" s="100"/>
      <c r="BJ2276" s="100"/>
      <c r="BK2276" s="102"/>
    </row>
    <row r="2277" spans="1:63" x14ac:dyDescent="0.25">
      <c r="A2277" s="92"/>
      <c r="B2277" s="93"/>
      <c r="C2277" s="93"/>
      <c r="D2277" s="92"/>
      <c r="E2277" s="92"/>
      <c r="F2277" s="92"/>
      <c r="G2277" s="92"/>
      <c r="H2277" s="92"/>
      <c r="I2277" s="92"/>
      <c r="J2277" s="92"/>
      <c r="K2277" s="92"/>
      <c r="L2277" s="92"/>
      <c r="M2277" s="92"/>
      <c r="N2277" s="94"/>
      <c r="AG2277" s="100"/>
      <c r="AH2277" s="101"/>
      <c r="AI2277" s="101"/>
      <c r="AJ2277" s="100"/>
      <c r="AK2277" s="100"/>
      <c r="AL2277" s="100"/>
      <c r="AM2277" s="100"/>
      <c r="AN2277" s="100"/>
      <c r="AO2277" s="100"/>
      <c r="AP2277" s="100"/>
      <c r="AQ2277" s="100"/>
      <c r="AR2277" s="100"/>
      <c r="AS2277" s="100"/>
      <c r="AT2277" s="102"/>
      <c r="AX2277" s="100"/>
      <c r="AY2277" s="101"/>
      <c r="AZ2277" s="101"/>
      <c r="BA2277" s="101"/>
      <c r="BB2277" s="100"/>
      <c r="BC2277" s="100"/>
      <c r="BD2277" s="100"/>
      <c r="BE2277" s="100"/>
      <c r="BF2277" s="100"/>
      <c r="BG2277" s="100"/>
      <c r="BH2277" s="100"/>
      <c r="BI2277" s="100"/>
      <c r="BJ2277" s="100"/>
      <c r="BK2277" s="102"/>
    </row>
    <row r="2278" spans="1:63" x14ac:dyDescent="0.25">
      <c r="A2278" s="92"/>
      <c r="B2278" s="92"/>
      <c r="C2278" s="92"/>
      <c r="D2278" s="92"/>
      <c r="E2278" s="92"/>
      <c r="F2278" s="92"/>
      <c r="G2278" s="92"/>
      <c r="H2278" s="92"/>
      <c r="I2278" s="92"/>
      <c r="J2278" s="92"/>
      <c r="K2278" s="92"/>
      <c r="L2278" s="92"/>
      <c r="M2278" s="92"/>
      <c r="N2278" s="92"/>
      <c r="AG2278" s="100"/>
      <c r="AH2278" s="101"/>
      <c r="AI2278" s="101"/>
      <c r="AJ2278" s="100"/>
      <c r="AK2278" s="100"/>
      <c r="AL2278" s="100"/>
      <c r="AM2278" s="100"/>
      <c r="AN2278" s="100"/>
      <c r="AO2278" s="100"/>
      <c r="AP2278" s="100"/>
      <c r="AQ2278" s="100"/>
      <c r="AR2278" s="100"/>
      <c r="AS2278" s="100"/>
      <c r="AT2278" s="102"/>
      <c r="AX2278" s="100"/>
      <c r="AY2278" s="101"/>
      <c r="AZ2278" s="101"/>
      <c r="BA2278" s="101"/>
      <c r="BB2278" s="100"/>
      <c r="BC2278" s="100"/>
      <c r="BD2278" s="100"/>
      <c r="BE2278" s="100"/>
      <c r="BF2278" s="100"/>
      <c r="BG2278" s="100"/>
      <c r="BH2278" s="100"/>
      <c r="BI2278" s="100"/>
      <c r="BJ2278" s="100"/>
      <c r="BK2278" s="102"/>
    </row>
    <row r="2279" spans="1:63" x14ac:dyDescent="0.25">
      <c r="A2279" s="92"/>
      <c r="B2279" s="93"/>
      <c r="C2279" s="93"/>
      <c r="D2279" s="92"/>
      <c r="E2279" s="92"/>
      <c r="F2279" s="92"/>
      <c r="G2279" s="92"/>
      <c r="H2279" s="92"/>
      <c r="I2279" s="92"/>
      <c r="J2279" s="92"/>
      <c r="K2279" s="92"/>
      <c r="L2279" s="92"/>
      <c r="M2279" s="92"/>
      <c r="N2279" s="94"/>
      <c r="AG2279" s="100"/>
      <c r="AH2279" s="101"/>
      <c r="AI2279" s="101"/>
      <c r="AJ2279" s="100"/>
      <c r="AK2279" s="100"/>
      <c r="AL2279" s="100"/>
      <c r="AM2279" s="100"/>
      <c r="AN2279" s="100"/>
      <c r="AO2279" s="100"/>
      <c r="AP2279" s="100"/>
      <c r="AQ2279" s="100"/>
      <c r="AR2279" s="100"/>
      <c r="AS2279" s="100"/>
      <c r="AT2279" s="102"/>
      <c r="AX2279" s="100"/>
      <c r="AY2279" s="101"/>
      <c r="AZ2279" s="101"/>
      <c r="BA2279" s="100"/>
      <c r="BB2279" s="100"/>
      <c r="BC2279" s="100"/>
      <c r="BD2279" s="100"/>
      <c r="BE2279" s="100"/>
      <c r="BF2279" s="100"/>
      <c r="BG2279" s="100"/>
      <c r="BH2279" s="100"/>
      <c r="BI2279" s="100"/>
      <c r="BJ2279" s="100"/>
      <c r="BK2279" s="102"/>
    </row>
    <row r="2280" spans="1:63" x14ac:dyDescent="0.25">
      <c r="A2280" s="92"/>
      <c r="B2280" s="93"/>
      <c r="C2280" s="93"/>
      <c r="D2280" s="93"/>
      <c r="E2280" s="92"/>
      <c r="F2280" s="92"/>
      <c r="G2280" s="92"/>
      <c r="H2280" s="92"/>
      <c r="I2280" s="92"/>
      <c r="J2280" s="92"/>
      <c r="K2280" s="92"/>
      <c r="L2280" s="92"/>
      <c r="M2280" s="92"/>
      <c r="N2280" s="94"/>
      <c r="AG2280" s="100"/>
      <c r="AH2280" s="101"/>
      <c r="AI2280" s="101"/>
      <c r="AJ2280" s="100"/>
      <c r="AK2280" s="100"/>
      <c r="AL2280" s="100"/>
      <c r="AM2280" s="100"/>
      <c r="AN2280" s="100"/>
      <c r="AO2280" s="100"/>
      <c r="AP2280" s="100"/>
      <c r="AQ2280" s="100"/>
      <c r="AR2280" s="100"/>
      <c r="AS2280" s="100"/>
      <c r="AT2280" s="102"/>
      <c r="AX2280" s="100"/>
      <c r="AY2280" s="101"/>
      <c r="AZ2280" s="101"/>
      <c r="BA2280" s="101"/>
      <c r="BB2280" s="100"/>
      <c r="BC2280" s="100"/>
      <c r="BD2280" s="100"/>
      <c r="BE2280" s="100"/>
      <c r="BF2280" s="100"/>
      <c r="BG2280" s="100"/>
      <c r="BH2280" s="100"/>
      <c r="BI2280" s="100"/>
      <c r="BJ2280" s="100"/>
      <c r="BK2280" s="102"/>
    </row>
    <row r="2281" spans="1:63" x14ac:dyDescent="0.25">
      <c r="A2281" s="92"/>
      <c r="B2281" s="92"/>
      <c r="C2281" s="92"/>
      <c r="D2281" s="92"/>
      <c r="E2281" s="92"/>
      <c r="F2281" s="92"/>
      <c r="G2281" s="92"/>
      <c r="H2281" s="92"/>
      <c r="I2281" s="92"/>
      <c r="J2281" s="92"/>
      <c r="K2281" s="92"/>
      <c r="L2281" s="92"/>
      <c r="M2281" s="92"/>
      <c r="N2281" s="92"/>
      <c r="AG2281" s="100"/>
      <c r="AH2281" s="101"/>
      <c r="AI2281" s="101"/>
      <c r="AJ2281" s="100"/>
      <c r="AK2281" s="100"/>
      <c r="AL2281" s="100"/>
      <c r="AM2281" s="100"/>
      <c r="AN2281" s="100"/>
      <c r="AO2281" s="100"/>
      <c r="AP2281" s="100"/>
      <c r="AQ2281" s="100"/>
      <c r="AR2281" s="100"/>
      <c r="AS2281" s="100"/>
      <c r="AT2281" s="102"/>
      <c r="AX2281" s="100"/>
      <c r="AY2281" s="101"/>
      <c r="AZ2281" s="101"/>
      <c r="BA2281" s="100"/>
      <c r="BB2281" s="100"/>
      <c r="BC2281" s="100"/>
      <c r="BD2281" s="100"/>
      <c r="BE2281" s="100"/>
      <c r="BF2281" s="100"/>
      <c r="BG2281" s="100"/>
      <c r="BH2281" s="100"/>
      <c r="BI2281" s="100"/>
      <c r="BJ2281" s="100"/>
      <c r="BK2281" s="102"/>
    </row>
    <row r="2282" spans="1:63" x14ac:dyDescent="0.25">
      <c r="A2282" s="92"/>
      <c r="B2282" s="93"/>
      <c r="C2282" s="93"/>
      <c r="D2282" s="92"/>
      <c r="E2282" s="92"/>
      <c r="F2282" s="92"/>
      <c r="G2282" s="92"/>
      <c r="H2282" s="92"/>
      <c r="I2282" s="92"/>
      <c r="J2282" s="92"/>
      <c r="K2282" s="92"/>
      <c r="L2282" s="92"/>
      <c r="M2282" s="92"/>
      <c r="N2282" s="94"/>
      <c r="AG2282" s="100"/>
      <c r="AH2282" s="101"/>
      <c r="AI2282" s="101"/>
      <c r="AJ2282" s="100"/>
      <c r="AK2282" s="100"/>
      <c r="AL2282" s="100"/>
      <c r="AM2282" s="100"/>
      <c r="AN2282" s="100"/>
      <c r="AO2282" s="100"/>
      <c r="AP2282" s="100"/>
      <c r="AQ2282" s="100"/>
      <c r="AR2282" s="100"/>
      <c r="AS2282" s="100"/>
      <c r="AT2282" s="102"/>
      <c r="AX2282" s="100"/>
      <c r="AY2282" s="101"/>
      <c r="AZ2282" s="101"/>
      <c r="BA2282" s="101"/>
      <c r="BB2282" s="100"/>
      <c r="BC2282" s="100"/>
      <c r="BD2282" s="100"/>
      <c r="BE2282" s="100"/>
      <c r="BF2282" s="100"/>
      <c r="BG2282" s="100"/>
      <c r="BH2282" s="100"/>
      <c r="BI2282" s="100"/>
      <c r="BJ2282" s="100"/>
      <c r="BK2282" s="102"/>
    </row>
    <row r="2283" spans="1:63" x14ac:dyDescent="0.25">
      <c r="A2283" s="92"/>
      <c r="B2283" s="93"/>
      <c r="C2283" s="93"/>
      <c r="D2283" s="92"/>
      <c r="E2283" s="92"/>
      <c r="F2283" s="92"/>
      <c r="G2283" s="92"/>
      <c r="H2283" s="92"/>
      <c r="I2283" s="92"/>
      <c r="J2283" s="92"/>
      <c r="K2283" s="92"/>
      <c r="L2283" s="92"/>
      <c r="M2283" s="92"/>
      <c r="N2283" s="94"/>
      <c r="AG2283" s="100"/>
      <c r="AH2283" s="101"/>
      <c r="AI2283" s="101"/>
      <c r="AJ2283" s="100"/>
      <c r="AK2283" s="100"/>
      <c r="AL2283" s="100"/>
      <c r="AM2283" s="100"/>
      <c r="AN2283" s="100"/>
      <c r="AO2283" s="100"/>
      <c r="AP2283" s="100"/>
      <c r="AQ2283" s="100"/>
      <c r="AR2283" s="100"/>
      <c r="AS2283" s="100"/>
      <c r="AT2283" s="102"/>
      <c r="AX2283" s="100"/>
      <c r="AY2283" s="101"/>
      <c r="AZ2283" s="101"/>
      <c r="BA2283" s="100"/>
      <c r="BB2283" s="100"/>
      <c r="BC2283" s="100"/>
      <c r="BD2283" s="100"/>
      <c r="BE2283" s="100"/>
      <c r="BF2283" s="100"/>
      <c r="BG2283" s="100"/>
      <c r="BH2283" s="100"/>
      <c r="BI2283" s="100"/>
      <c r="BJ2283" s="100"/>
      <c r="BK2283" s="102"/>
    </row>
    <row r="2284" spans="1:63" x14ac:dyDescent="0.25">
      <c r="A2284" s="92"/>
      <c r="B2284" s="93"/>
      <c r="C2284" s="93"/>
      <c r="D2284" s="92"/>
      <c r="E2284" s="92"/>
      <c r="F2284" s="92"/>
      <c r="G2284" s="92"/>
      <c r="H2284" s="92"/>
      <c r="I2284" s="92"/>
      <c r="J2284" s="92"/>
      <c r="K2284" s="92"/>
      <c r="L2284" s="92"/>
      <c r="M2284" s="92"/>
      <c r="N2284" s="94"/>
      <c r="AG2284" s="100"/>
      <c r="AH2284" s="101"/>
      <c r="AI2284" s="101"/>
      <c r="AJ2284" s="100"/>
      <c r="AK2284" s="100"/>
      <c r="AL2284" s="100"/>
      <c r="AM2284" s="100"/>
      <c r="AN2284" s="100"/>
      <c r="AO2284" s="100"/>
      <c r="AP2284" s="100"/>
      <c r="AQ2284" s="100"/>
      <c r="AR2284" s="100"/>
      <c r="AS2284" s="100"/>
      <c r="AT2284" s="102"/>
      <c r="AX2284" s="100"/>
      <c r="AY2284" s="101"/>
      <c r="AZ2284" s="101"/>
      <c r="BA2284" s="101"/>
      <c r="BB2284" s="100"/>
      <c r="BC2284" s="100"/>
      <c r="BD2284" s="100"/>
      <c r="BE2284" s="100"/>
      <c r="BF2284" s="100"/>
      <c r="BG2284" s="100"/>
      <c r="BH2284" s="100"/>
      <c r="BI2284" s="100"/>
      <c r="BJ2284" s="100"/>
      <c r="BK2284" s="102"/>
    </row>
    <row r="2285" spans="1:63" x14ac:dyDescent="0.25">
      <c r="A2285" s="92"/>
      <c r="B2285" s="93"/>
      <c r="C2285" s="93"/>
      <c r="D2285" s="92"/>
      <c r="E2285" s="92"/>
      <c r="F2285" s="92"/>
      <c r="G2285" s="92"/>
      <c r="H2285" s="92"/>
      <c r="I2285" s="92"/>
      <c r="J2285" s="92"/>
      <c r="K2285" s="92"/>
      <c r="L2285" s="92"/>
      <c r="M2285" s="92"/>
      <c r="N2285" s="94"/>
      <c r="AG2285" s="100"/>
      <c r="AH2285" s="101"/>
      <c r="AI2285" s="101"/>
      <c r="AJ2285" s="100"/>
      <c r="AK2285" s="100"/>
      <c r="AL2285" s="100"/>
      <c r="AM2285" s="100"/>
      <c r="AN2285" s="100"/>
      <c r="AO2285" s="100"/>
      <c r="AP2285" s="100"/>
      <c r="AQ2285" s="100"/>
      <c r="AR2285" s="100"/>
      <c r="AS2285" s="100"/>
      <c r="AT2285" s="102"/>
      <c r="AX2285" s="100"/>
      <c r="AY2285" s="101"/>
      <c r="AZ2285" s="101"/>
      <c r="BA2285" s="100"/>
      <c r="BB2285" s="100"/>
      <c r="BC2285" s="100"/>
      <c r="BD2285" s="100"/>
      <c r="BE2285" s="100"/>
      <c r="BF2285" s="100"/>
      <c r="BG2285" s="100"/>
      <c r="BH2285" s="100"/>
      <c r="BI2285" s="100"/>
      <c r="BJ2285" s="100"/>
      <c r="BK2285" s="102"/>
    </row>
    <row r="2286" spans="1:63" x14ac:dyDescent="0.25">
      <c r="A2286" s="92"/>
      <c r="B2286" s="93"/>
      <c r="C2286" s="93"/>
      <c r="D2286" s="92"/>
      <c r="E2286" s="92"/>
      <c r="F2286" s="92"/>
      <c r="G2286" s="92"/>
      <c r="H2286" s="92"/>
      <c r="I2286" s="92"/>
      <c r="J2286" s="92"/>
      <c r="K2286" s="92"/>
      <c r="L2286" s="92"/>
      <c r="M2286" s="92"/>
      <c r="N2286" s="94"/>
      <c r="AG2286" s="100"/>
      <c r="AH2286" s="101"/>
      <c r="AI2286" s="101"/>
      <c r="AJ2286" s="100"/>
      <c r="AK2286" s="100"/>
      <c r="AL2286" s="100"/>
      <c r="AM2286" s="100"/>
      <c r="AN2286" s="100"/>
      <c r="AO2286" s="100"/>
      <c r="AP2286" s="100"/>
      <c r="AQ2286" s="100"/>
      <c r="AR2286" s="100"/>
      <c r="AS2286" s="100"/>
      <c r="AT2286" s="102"/>
      <c r="AX2286" s="100"/>
      <c r="AY2286" s="101"/>
      <c r="AZ2286" s="101"/>
      <c r="BA2286" s="101"/>
      <c r="BB2286" s="100"/>
      <c r="BC2286" s="100"/>
      <c r="BD2286" s="100"/>
      <c r="BE2286" s="100"/>
      <c r="BF2286" s="100"/>
      <c r="BG2286" s="100"/>
      <c r="BH2286" s="100"/>
      <c r="BI2286" s="100"/>
      <c r="BJ2286" s="100"/>
      <c r="BK2286" s="102"/>
    </row>
    <row r="2287" spans="1:63" x14ac:dyDescent="0.25">
      <c r="A2287" s="92"/>
      <c r="B2287" s="93"/>
      <c r="C2287" s="93"/>
      <c r="D2287" s="92"/>
      <c r="E2287" s="92"/>
      <c r="F2287" s="92"/>
      <c r="G2287" s="92"/>
      <c r="H2287" s="92"/>
      <c r="I2287" s="92"/>
      <c r="J2287" s="92"/>
      <c r="K2287" s="92"/>
      <c r="L2287" s="92"/>
      <c r="M2287" s="92"/>
      <c r="N2287" s="94"/>
      <c r="AG2287" s="100"/>
      <c r="AH2287" s="101"/>
      <c r="AI2287" s="101"/>
      <c r="AJ2287" s="100"/>
      <c r="AK2287" s="100"/>
      <c r="AL2287" s="100"/>
      <c r="AM2287" s="100"/>
      <c r="AN2287" s="100"/>
      <c r="AO2287" s="100"/>
      <c r="AP2287" s="100"/>
      <c r="AQ2287" s="100"/>
      <c r="AR2287" s="100"/>
      <c r="AS2287" s="100"/>
      <c r="AT2287" s="102"/>
      <c r="AX2287" s="100"/>
      <c r="AY2287" s="101"/>
      <c r="AZ2287" s="101"/>
      <c r="BA2287" s="100"/>
      <c r="BB2287" s="100"/>
      <c r="BC2287" s="100"/>
      <c r="BD2287" s="100"/>
      <c r="BE2287" s="100"/>
      <c r="BF2287" s="100"/>
      <c r="BG2287" s="100"/>
      <c r="BH2287" s="100"/>
      <c r="BI2287" s="100"/>
      <c r="BJ2287" s="100"/>
      <c r="BK2287" s="102"/>
    </row>
    <row r="2288" spans="1:63" x14ac:dyDescent="0.25">
      <c r="A2288" s="92"/>
      <c r="B2288" s="92"/>
      <c r="C2288" s="92"/>
      <c r="D2288" s="92"/>
      <c r="E2288" s="92"/>
      <c r="F2288" s="92"/>
      <c r="G2288" s="92"/>
      <c r="H2288" s="92"/>
      <c r="I2288" s="92"/>
      <c r="J2288" s="92"/>
      <c r="K2288" s="92"/>
      <c r="L2288" s="92"/>
      <c r="M2288" s="92"/>
      <c r="N2288" s="92"/>
      <c r="AG2288" s="100"/>
      <c r="AH2288" s="101"/>
      <c r="AI2288" s="101"/>
      <c r="AJ2288" s="100"/>
      <c r="AK2288" s="100"/>
      <c r="AL2288" s="100"/>
      <c r="AM2288" s="100"/>
      <c r="AN2288" s="100"/>
      <c r="AO2288" s="100"/>
      <c r="AP2288" s="100"/>
      <c r="AQ2288" s="100"/>
      <c r="AR2288" s="100"/>
      <c r="AS2288" s="100"/>
      <c r="AT2288" s="102"/>
      <c r="AX2288" s="100"/>
      <c r="AY2288" s="101"/>
      <c r="AZ2288" s="100"/>
      <c r="BA2288" s="101"/>
      <c r="BB2288" s="100"/>
      <c r="BC2288" s="100"/>
      <c r="BD2288" s="100"/>
      <c r="BE2288" s="100"/>
      <c r="BF2288" s="100"/>
      <c r="BG2288" s="100"/>
      <c r="BH2288" s="100"/>
      <c r="BI2288" s="100"/>
      <c r="BJ2288" s="100"/>
      <c r="BK2288" s="102"/>
    </row>
    <row r="2289" spans="1:63" x14ac:dyDescent="0.25">
      <c r="A2289" s="92"/>
      <c r="B2289" s="93"/>
      <c r="C2289" s="93"/>
      <c r="D2289" s="92"/>
      <c r="E2289" s="92"/>
      <c r="F2289" s="92"/>
      <c r="G2289" s="92"/>
      <c r="H2289" s="92"/>
      <c r="I2289" s="92"/>
      <c r="J2289" s="92"/>
      <c r="K2289" s="92"/>
      <c r="L2289" s="92"/>
      <c r="M2289" s="92"/>
      <c r="N2289" s="94"/>
      <c r="AG2289" s="100"/>
      <c r="AH2289" s="101"/>
      <c r="AI2289" s="101"/>
      <c r="AJ2289" s="100"/>
      <c r="AK2289" s="100"/>
      <c r="AL2289" s="100"/>
      <c r="AM2289" s="100"/>
      <c r="AN2289" s="100"/>
      <c r="AO2289" s="100"/>
      <c r="AP2289" s="100"/>
      <c r="AQ2289" s="100"/>
      <c r="AR2289" s="100"/>
      <c r="AS2289" s="100"/>
      <c r="AT2289" s="102"/>
      <c r="AX2289" s="100"/>
      <c r="AY2289" s="101"/>
      <c r="AZ2289" s="101"/>
      <c r="BA2289" s="100"/>
      <c r="BB2289" s="100"/>
      <c r="BC2289" s="100"/>
      <c r="BD2289" s="100"/>
      <c r="BE2289" s="100"/>
      <c r="BF2289" s="100"/>
      <c r="BG2289" s="100"/>
      <c r="BH2289" s="100"/>
      <c r="BI2289" s="100"/>
      <c r="BJ2289" s="100"/>
      <c r="BK2289" s="102"/>
    </row>
    <row r="2290" spans="1:63" x14ac:dyDescent="0.25">
      <c r="A2290" s="92"/>
      <c r="B2290" s="93"/>
      <c r="C2290" s="93"/>
      <c r="D2290" s="93"/>
      <c r="E2290" s="92"/>
      <c r="F2290" s="92"/>
      <c r="G2290" s="92"/>
      <c r="H2290" s="92"/>
      <c r="I2290" s="92"/>
      <c r="J2290" s="92"/>
      <c r="K2290" s="92"/>
      <c r="L2290" s="92"/>
      <c r="M2290" s="92"/>
      <c r="N2290" s="94"/>
      <c r="AG2290" s="100"/>
      <c r="AH2290" s="101"/>
      <c r="AI2290" s="101"/>
      <c r="AJ2290" s="101"/>
      <c r="AK2290" s="100"/>
      <c r="AL2290" s="100"/>
      <c r="AM2290" s="100"/>
      <c r="AN2290" s="100"/>
      <c r="AO2290" s="100"/>
      <c r="AP2290" s="100"/>
      <c r="AQ2290" s="100"/>
      <c r="AR2290" s="100"/>
      <c r="AS2290" s="100"/>
      <c r="AT2290" s="102"/>
      <c r="AX2290" s="100"/>
      <c r="AY2290" s="101"/>
      <c r="AZ2290" s="101"/>
      <c r="BA2290" s="100"/>
      <c r="BB2290" s="100"/>
      <c r="BC2290" s="100"/>
      <c r="BD2290" s="100"/>
      <c r="BE2290" s="100"/>
      <c r="BF2290" s="100"/>
      <c r="BG2290" s="100"/>
      <c r="BH2290" s="100"/>
      <c r="BI2290" s="100"/>
      <c r="BJ2290" s="100"/>
      <c r="BK2290" s="102"/>
    </row>
    <row r="2291" spans="1:63" x14ac:dyDescent="0.25">
      <c r="A2291" s="92"/>
      <c r="B2291" s="93"/>
      <c r="C2291" s="93"/>
      <c r="D2291" s="92"/>
      <c r="E2291" s="92"/>
      <c r="F2291" s="92"/>
      <c r="G2291" s="92"/>
      <c r="H2291" s="92"/>
      <c r="I2291" s="92"/>
      <c r="J2291" s="92"/>
      <c r="K2291" s="92"/>
      <c r="L2291" s="92"/>
      <c r="M2291" s="92"/>
      <c r="N2291" s="94"/>
      <c r="AG2291" s="100"/>
      <c r="AH2291" s="101"/>
      <c r="AI2291" s="101"/>
      <c r="AJ2291" s="100"/>
      <c r="AK2291" s="100"/>
      <c r="AL2291" s="100"/>
      <c r="AM2291" s="100"/>
      <c r="AN2291" s="100"/>
      <c r="AO2291" s="100"/>
      <c r="AP2291" s="100"/>
      <c r="AQ2291" s="100"/>
      <c r="AR2291" s="100"/>
      <c r="AS2291" s="100"/>
      <c r="AT2291" s="102"/>
      <c r="AX2291" s="100"/>
      <c r="AY2291" s="101"/>
      <c r="AZ2291" s="101"/>
      <c r="BA2291" s="100"/>
      <c r="BB2291" s="100"/>
      <c r="BC2291" s="100"/>
      <c r="BD2291" s="100"/>
      <c r="BE2291" s="100"/>
      <c r="BF2291" s="100"/>
      <c r="BG2291" s="100"/>
      <c r="BH2291" s="100"/>
      <c r="BI2291" s="100"/>
      <c r="BJ2291" s="100"/>
      <c r="BK2291" s="102"/>
    </row>
    <row r="2292" spans="1:63" x14ac:dyDescent="0.25">
      <c r="A2292" s="92"/>
      <c r="B2292" s="93"/>
      <c r="C2292" s="93"/>
      <c r="D2292" s="92"/>
      <c r="E2292" s="92"/>
      <c r="F2292" s="92"/>
      <c r="G2292" s="92"/>
      <c r="H2292" s="92"/>
      <c r="I2292" s="92"/>
      <c r="J2292" s="92"/>
      <c r="K2292" s="92"/>
      <c r="L2292" s="92"/>
      <c r="M2292" s="92"/>
      <c r="N2292" s="94"/>
      <c r="AG2292" s="100"/>
      <c r="AH2292" s="101"/>
      <c r="AI2292" s="101"/>
      <c r="AJ2292" s="101"/>
      <c r="AK2292" s="100"/>
      <c r="AL2292" s="100"/>
      <c r="AM2292" s="100"/>
      <c r="AN2292" s="100"/>
      <c r="AO2292" s="100"/>
      <c r="AP2292" s="100"/>
      <c r="AQ2292" s="100"/>
      <c r="AR2292" s="100"/>
      <c r="AS2292" s="100"/>
      <c r="AT2292" s="102"/>
      <c r="AX2292" s="100"/>
      <c r="AY2292" s="101"/>
      <c r="AZ2292" s="101"/>
      <c r="BA2292" s="100"/>
      <c r="BB2292" s="100"/>
      <c r="BC2292" s="100"/>
      <c r="BD2292" s="100"/>
      <c r="BE2292" s="100"/>
      <c r="BF2292" s="100"/>
      <c r="BG2292" s="100"/>
      <c r="BH2292" s="100"/>
      <c r="BI2292" s="100"/>
      <c r="BJ2292" s="100"/>
      <c r="BK2292" s="102"/>
    </row>
    <row r="2293" spans="1:63" x14ac:dyDescent="0.25">
      <c r="A2293" s="92"/>
      <c r="B2293" s="92"/>
      <c r="C2293" s="92"/>
      <c r="D2293" s="92"/>
      <c r="E2293" s="92"/>
      <c r="F2293" s="92"/>
      <c r="G2293" s="92"/>
      <c r="H2293" s="92"/>
      <c r="I2293" s="92"/>
      <c r="J2293" s="92"/>
      <c r="K2293" s="92"/>
      <c r="L2293" s="92"/>
      <c r="M2293" s="92"/>
      <c r="N2293" s="92"/>
      <c r="AG2293" s="100"/>
      <c r="AH2293" s="101"/>
      <c r="AI2293" s="101"/>
      <c r="AJ2293" s="100"/>
      <c r="AK2293" s="100"/>
      <c r="AL2293" s="100"/>
      <c r="AM2293" s="100"/>
      <c r="AN2293" s="100"/>
      <c r="AO2293" s="100"/>
      <c r="AP2293" s="100"/>
      <c r="AQ2293" s="100"/>
      <c r="AR2293" s="100"/>
      <c r="AS2293" s="100"/>
      <c r="AT2293" s="102"/>
      <c r="AX2293" s="100"/>
      <c r="AY2293" s="101"/>
      <c r="AZ2293" s="101"/>
      <c r="BA2293" s="100"/>
      <c r="BB2293" s="100"/>
      <c r="BC2293" s="100"/>
      <c r="BD2293" s="100"/>
      <c r="BE2293" s="100"/>
      <c r="BF2293" s="100"/>
      <c r="BG2293" s="100"/>
      <c r="BH2293" s="100"/>
      <c r="BI2293" s="100"/>
      <c r="BJ2293" s="100"/>
      <c r="BK2293" s="102"/>
    </row>
    <row r="2294" spans="1:63" x14ac:dyDescent="0.25">
      <c r="A2294" s="92"/>
      <c r="B2294" s="93"/>
      <c r="C2294" s="93"/>
      <c r="D2294" s="93"/>
      <c r="E2294" s="92"/>
      <c r="F2294" s="92"/>
      <c r="G2294" s="92"/>
      <c r="H2294" s="92"/>
      <c r="I2294" s="92"/>
      <c r="J2294" s="92"/>
      <c r="K2294" s="92"/>
      <c r="L2294" s="92"/>
      <c r="M2294" s="92"/>
      <c r="N2294" s="94"/>
      <c r="AG2294" s="100"/>
      <c r="AH2294" s="101"/>
      <c r="AI2294" s="101"/>
      <c r="AJ2294" s="100"/>
      <c r="AK2294" s="100"/>
      <c r="AL2294" s="100"/>
      <c r="AM2294" s="100"/>
      <c r="AN2294" s="100"/>
      <c r="AO2294" s="100"/>
      <c r="AP2294" s="100"/>
      <c r="AQ2294" s="100"/>
      <c r="AR2294" s="100"/>
      <c r="AS2294" s="100"/>
      <c r="AT2294" s="102"/>
      <c r="AX2294" s="100"/>
      <c r="AY2294" s="101"/>
      <c r="AZ2294" s="101"/>
      <c r="BA2294" s="100"/>
      <c r="BB2294" s="100"/>
      <c r="BC2294" s="100"/>
      <c r="BD2294" s="100"/>
      <c r="BE2294" s="100"/>
      <c r="BF2294" s="100"/>
      <c r="BG2294" s="100"/>
      <c r="BH2294" s="100"/>
      <c r="BI2294" s="100"/>
      <c r="BJ2294" s="100"/>
      <c r="BK2294" s="102"/>
    </row>
    <row r="2295" spans="1:63" x14ac:dyDescent="0.25">
      <c r="A2295" s="92"/>
      <c r="B2295" s="93"/>
      <c r="C2295" s="93"/>
      <c r="D2295" s="92"/>
      <c r="E2295" s="92"/>
      <c r="F2295" s="92"/>
      <c r="G2295" s="92"/>
      <c r="H2295" s="92"/>
      <c r="I2295" s="92"/>
      <c r="J2295" s="92"/>
      <c r="K2295" s="92"/>
      <c r="L2295" s="92"/>
      <c r="M2295" s="92"/>
      <c r="N2295" s="94"/>
      <c r="AG2295" s="100"/>
      <c r="AH2295" s="101"/>
      <c r="AI2295" s="101"/>
      <c r="AJ2295" s="100"/>
      <c r="AK2295" s="100"/>
      <c r="AL2295" s="100"/>
      <c r="AM2295" s="100"/>
      <c r="AN2295" s="100"/>
      <c r="AO2295" s="100"/>
      <c r="AP2295" s="100"/>
      <c r="AQ2295" s="100"/>
      <c r="AR2295" s="100"/>
      <c r="AS2295" s="100"/>
      <c r="AT2295" s="102"/>
      <c r="AX2295" s="100"/>
      <c r="AY2295" s="101"/>
      <c r="AZ2295" s="101"/>
      <c r="BA2295" s="100"/>
      <c r="BB2295" s="100"/>
      <c r="BC2295" s="100"/>
      <c r="BD2295" s="100"/>
      <c r="BE2295" s="100"/>
      <c r="BF2295" s="100"/>
      <c r="BG2295" s="100"/>
      <c r="BH2295" s="100"/>
      <c r="BI2295" s="100"/>
      <c r="BJ2295" s="100"/>
      <c r="BK2295" s="102"/>
    </row>
    <row r="2296" spans="1:63" x14ac:dyDescent="0.25">
      <c r="A2296" s="92"/>
      <c r="B2296" s="92"/>
      <c r="C2296" s="92"/>
      <c r="D2296" s="92"/>
      <c r="E2296" s="92"/>
      <c r="F2296" s="92"/>
      <c r="G2296" s="92"/>
      <c r="H2296" s="92"/>
      <c r="I2296" s="92"/>
      <c r="J2296" s="92"/>
      <c r="K2296" s="92"/>
      <c r="L2296" s="92"/>
      <c r="M2296" s="92"/>
      <c r="N2296" s="92"/>
      <c r="AG2296" s="100"/>
      <c r="AH2296" s="101"/>
      <c r="AI2296" s="101"/>
      <c r="AJ2296" s="100"/>
      <c r="AK2296" s="100"/>
      <c r="AL2296" s="100"/>
      <c r="AM2296" s="100"/>
      <c r="AN2296" s="100"/>
      <c r="AO2296" s="100"/>
      <c r="AP2296" s="100"/>
      <c r="AQ2296" s="100"/>
      <c r="AR2296" s="100"/>
      <c r="AS2296" s="100"/>
      <c r="AT2296" s="102"/>
      <c r="AX2296" s="100"/>
      <c r="AY2296" s="101"/>
      <c r="AZ2296" s="101"/>
      <c r="BA2296" s="100"/>
      <c r="BB2296" s="100"/>
      <c r="BC2296" s="100"/>
      <c r="BD2296" s="100"/>
      <c r="BE2296" s="100"/>
      <c r="BF2296" s="100"/>
      <c r="BG2296" s="100"/>
      <c r="BH2296" s="100"/>
      <c r="BI2296" s="100"/>
      <c r="BJ2296" s="100"/>
      <c r="BK2296" s="102"/>
    </row>
    <row r="2297" spans="1:63" x14ac:dyDescent="0.25">
      <c r="A2297" s="92"/>
      <c r="B2297" s="93"/>
      <c r="C2297" s="93"/>
      <c r="D2297" s="92"/>
      <c r="E2297" s="92"/>
      <c r="F2297" s="92"/>
      <c r="G2297" s="92"/>
      <c r="H2297" s="92"/>
      <c r="I2297" s="92"/>
      <c r="J2297" s="92"/>
      <c r="K2297" s="92"/>
      <c r="L2297" s="92"/>
      <c r="M2297" s="92"/>
      <c r="N2297" s="94"/>
      <c r="AG2297" s="100"/>
      <c r="AH2297" s="101"/>
      <c r="AI2297" s="101"/>
      <c r="AJ2297" s="100"/>
      <c r="AK2297" s="100"/>
      <c r="AL2297" s="100"/>
      <c r="AM2297" s="100"/>
      <c r="AN2297" s="100"/>
      <c r="AO2297" s="100"/>
      <c r="AP2297" s="100"/>
      <c r="AQ2297" s="100"/>
      <c r="AR2297" s="100"/>
      <c r="AS2297" s="100"/>
      <c r="AT2297" s="102"/>
      <c r="AX2297" s="100"/>
      <c r="AY2297" s="101"/>
      <c r="AZ2297" s="101"/>
      <c r="BA2297" s="100"/>
      <c r="BB2297" s="100"/>
      <c r="BC2297" s="100"/>
      <c r="BD2297" s="100"/>
      <c r="BE2297" s="100"/>
      <c r="BF2297" s="100"/>
      <c r="BG2297" s="100"/>
      <c r="BH2297" s="100"/>
      <c r="BI2297" s="100"/>
      <c r="BJ2297" s="100"/>
      <c r="BK2297" s="102"/>
    </row>
    <row r="2298" spans="1:63" x14ac:dyDescent="0.25">
      <c r="A2298" s="92"/>
      <c r="B2298" s="93"/>
      <c r="C2298" s="93"/>
      <c r="D2298" s="92"/>
      <c r="E2298" s="92"/>
      <c r="F2298" s="92"/>
      <c r="G2298" s="92"/>
      <c r="H2298" s="92"/>
      <c r="I2298" s="92"/>
      <c r="J2298" s="92"/>
      <c r="K2298" s="92"/>
      <c r="L2298" s="92"/>
      <c r="M2298" s="92"/>
      <c r="N2298" s="94"/>
      <c r="AG2298" s="100"/>
      <c r="AH2298" s="101"/>
      <c r="AI2298" s="101"/>
      <c r="AJ2298" s="100"/>
      <c r="AK2298" s="100"/>
      <c r="AL2298" s="100"/>
      <c r="AM2298" s="100"/>
      <c r="AN2298" s="100"/>
      <c r="AO2298" s="100"/>
      <c r="AP2298" s="100"/>
      <c r="AQ2298" s="100"/>
      <c r="AR2298" s="100"/>
      <c r="AS2298" s="100"/>
      <c r="AT2298" s="102"/>
      <c r="AX2298" s="100"/>
      <c r="AY2298" s="101"/>
      <c r="AZ2298" s="101"/>
      <c r="BA2298" s="100"/>
      <c r="BB2298" s="100"/>
      <c r="BC2298" s="100"/>
      <c r="BD2298" s="100"/>
      <c r="BE2298" s="100"/>
      <c r="BF2298" s="100"/>
      <c r="BG2298" s="100"/>
      <c r="BH2298" s="100"/>
      <c r="BI2298" s="100"/>
      <c r="BJ2298" s="100"/>
      <c r="BK2298" s="102"/>
    </row>
    <row r="2299" spans="1:63" x14ac:dyDescent="0.25">
      <c r="A2299" s="92"/>
      <c r="B2299" s="93"/>
      <c r="C2299" s="93"/>
      <c r="D2299" s="93"/>
      <c r="E2299" s="92"/>
      <c r="F2299" s="92"/>
      <c r="G2299" s="92"/>
      <c r="H2299" s="92"/>
      <c r="I2299" s="92"/>
      <c r="J2299" s="92"/>
      <c r="K2299" s="92"/>
      <c r="L2299" s="92"/>
      <c r="M2299" s="92"/>
      <c r="N2299" s="94"/>
      <c r="AG2299" s="100"/>
      <c r="AH2299" s="101"/>
      <c r="AI2299" s="101"/>
      <c r="AJ2299" s="100"/>
      <c r="AK2299" s="100"/>
      <c r="AL2299" s="100"/>
      <c r="AM2299" s="100"/>
      <c r="AN2299" s="100"/>
      <c r="AO2299" s="100"/>
      <c r="AP2299" s="100"/>
      <c r="AQ2299" s="100"/>
      <c r="AR2299" s="100"/>
      <c r="AS2299" s="100"/>
      <c r="AT2299" s="102"/>
      <c r="AX2299" s="100"/>
      <c r="AY2299" s="101"/>
      <c r="AZ2299" s="101"/>
      <c r="BA2299" s="100"/>
      <c r="BB2299" s="100"/>
      <c r="BC2299" s="100"/>
      <c r="BD2299" s="100"/>
      <c r="BE2299" s="100"/>
      <c r="BF2299" s="100"/>
      <c r="BG2299" s="100"/>
      <c r="BH2299" s="100"/>
      <c r="BI2299" s="100"/>
      <c r="BJ2299" s="100"/>
      <c r="BK2299" s="102"/>
    </row>
    <row r="2300" spans="1:63" x14ac:dyDescent="0.25">
      <c r="A2300" s="92"/>
      <c r="B2300" s="92"/>
      <c r="C2300" s="92"/>
      <c r="D2300" s="93"/>
      <c r="E2300" s="92"/>
      <c r="F2300" s="92"/>
      <c r="G2300" s="92"/>
      <c r="H2300" s="92"/>
      <c r="I2300" s="92"/>
      <c r="J2300" s="92"/>
      <c r="K2300" s="92"/>
      <c r="L2300" s="92"/>
      <c r="M2300" s="92"/>
      <c r="N2300" s="92"/>
      <c r="AG2300" s="100"/>
      <c r="AH2300" s="101"/>
      <c r="AI2300" s="101"/>
      <c r="AJ2300" s="100"/>
      <c r="AK2300" s="100"/>
      <c r="AL2300" s="100"/>
      <c r="AM2300" s="100"/>
      <c r="AN2300" s="100"/>
      <c r="AO2300" s="100"/>
      <c r="AP2300" s="100"/>
      <c r="AQ2300" s="100"/>
      <c r="AR2300" s="100"/>
      <c r="AS2300" s="100"/>
      <c r="AT2300" s="102"/>
      <c r="AX2300" s="100"/>
      <c r="AY2300" s="101"/>
      <c r="AZ2300" s="101"/>
      <c r="BA2300" s="100"/>
      <c r="BB2300" s="100"/>
      <c r="BC2300" s="100"/>
      <c r="BD2300" s="100"/>
      <c r="BE2300" s="100"/>
      <c r="BF2300" s="100"/>
      <c r="BG2300" s="100"/>
      <c r="BH2300" s="100"/>
      <c r="BI2300" s="100"/>
      <c r="BJ2300" s="100"/>
      <c r="BK2300" s="102"/>
    </row>
    <row r="2301" spans="1:63" x14ac:dyDescent="0.25">
      <c r="A2301" s="92"/>
      <c r="B2301" s="92"/>
      <c r="C2301" s="92"/>
      <c r="D2301" s="93"/>
      <c r="E2301" s="92"/>
      <c r="F2301" s="92"/>
      <c r="G2301" s="92"/>
      <c r="H2301" s="92"/>
      <c r="I2301" s="92"/>
      <c r="J2301" s="92"/>
      <c r="K2301" s="92"/>
      <c r="L2301" s="92"/>
      <c r="M2301" s="92"/>
      <c r="N2301" s="92"/>
      <c r="AG2301" s="100"/>
      <c r="AH2301" s="101"/>
      <c r="AI2301" s="101"/>
      <c r="AJ2301" s="100"/>
      <c r="AK2301" s="100"/>
      <c r="AL2301" s="100"/>
      <c r="AM2301" s="100"/>
      <c r="AN2301" s="100"/>
      <c r="AO2301" s="100"/>
      <c r="AP2301" s="100"/>
      <c r="AQ2301" s="100"/>
      <c r="AR2301" s="100"/>
      <c r="AS2301" s="100"/>
      <c r="AT2301" s="102"/>
      <c r="AX2301" s="100"/>
      <c r="AY2301" s="101"/>
      <c r="AZ2301" s="101"/>
      <c r="BA2301" s="100"/>
      <c r="BB2301" s="100"/>
      <c r="BC2301" s="100"/>
      <c r="BD2301" s="100"/>
      <c r="BE2301" s="100"/>
      <c r="BF2301" s="100"/>
      <c r="BG2301" s="100"/>
      <c r="BH2301" s="100"/>
      <c r="BI2301" s="100"/>
      <c r="BJ2301" s="100"/>
      <c r="BK2301" s="102"/>
    </row>
    <row r="2302" spans="1:63" x14ac:dyDescent="0.25">
      <c r="A2302" s="92"/>
      <c r="B2302" s="92"/>
      <c r="C2302" s="92"/>
      <c r="D2302" s="93"/>
      <c r="E2302" s="92"/>
      <c r="F2302" s="92"/>
      <c r="G2302" s="92"/>
      <c r="H2302" s="92"/>
      <c r="I2302" s="92"/>
      <c r="J2302" s="92"/>
      <c r="K2302" s="92"/>
      <c r="L2302" s="92"/>
      <c r="M2302" s="92"/>
      <c r="N2302" s="92"/>
      <c r="AG2302" s="100"/>
      <c r="AH2302" s="101"/>
      <c r="AI2302" s="101"/>
      <c r="AJ2302" s="100"/>
      <c r="AK2302" s="100"/>
      <c r="AL2302" s="100"/>
      <c r="AM2302" s="100"/>
      <c r="AN2302" s="100"/>
      <c r="AO2302" s="100"/>
      <c r="AP2302" s="100"/>
      <c r="AQ2302" s="100"/>
      <c r="AR2302" s="100"/>
      <c r="AS2302" s="100"/>
      <c r="AT2302" s="102"/>
      <c r="AX2302" s="100"/>
      <c r="AY2302" s="101"/>
      <c r="AZ2302" s="101"/>
      <c r="BA2302" s="100"/>
      <c r="BB2302" s="100"/>
      <c r="BC2302" s="100"/>
      <c r="BD2302" s="100"/>
      <c r="BE2302" s="100"/>
      <c r="BF2302" s="100"/>
      <c r="BG2302" s="100"/>
      <c r="BH2302" s="100"/>
      <c r="BI2302" s="100"/>
      <c r="BJ2302" s="100"/>
      <c r="BK2302" s="102"/>
    </row>
    <row r="2303" spans="1:63" x14ac:dyDescent="0.25">
      <c r="A2303" s="92"/>
      <c r="B2303" s="92"/>
      <c r="C2303" s="92"/>
      <c r="D2303" s="93"/>
      <c r="E2303" s="92"/>
      <c r="F2303" s="92"/>
      <c r="G2303" s="92"/>
      <c r="H2303" s="92"/>
      <c r="I2303" s="92"/>
      <c r="J2303" s="92"/>
      <c r="K2303" s="92"/>
      <c r="L2303" s="92"/>
      <c r="M2303" s="92"/>
      <c r="N2303" s="92"/>
      <c r="AG2303" s="100"/>
      <c r="AH2303" s="101"/>
      <c r="AI2303" s="101"/>
      <c r="AJ2303" s="100"/>
      <c r="AK2303" s="100"/>
      <c r="AL2303" s="100"/>
      <c r="AM2303" s="100"/>
      <c r="AN2303" s="100"/>
      <c r="AO2303" s="100"/>
      <c r="AP2303" s="100"/>
      <c r="AQ2303" s="100"/>
      <c r="AR2303" s="100"/>
      <c r="AS2303" s="100"/>
      <c r="AT2303" s="102"/>
      <c r="AX2303" s="100"/>
      <c r="AY2303" s="101"/>
      <c r="AZ2303" s="101"/>
      <c r="BA2303" s="100"/>
      <c r="BB2303" s="100"/>
      <c r="BC2303" s="100"/>
      <c r="BD2303" s="100"/>
      <c r="BE2303" s="100"/>
      <c r="BF2303" s="100"/>
      <c r="BG2303" s="100"/>
      <c r="BH2303" s="100"/>
      <c r="BI2303" s="100"/>
      <c r="BJ2303" s="100"/>
      <c r="BK2303" s="102"/>
    </row>
    <row r="2304" spans="1:63" x14ac:dyDescent="0.25">
      <c r="A2304" s="92"/>
      <c r="B2304" s="93"/>
      <c r="C2304" s="93"/>
      <c r="D2304" s="92"/>
      <c r="E2304" s="92"/>
      <c r="F2304" s="92"/>
      <c r="G2304" s="92"/>
      <c r="H2304" s="92"/>
      <c r="I2304" s="92"/>
      <c r="J2304" s="92"/>
      <c r="K2304" s="92"/>
      <c r="L2304" s="92"/>
      <c r="M2304" s="92"/>
      <c r="N2304" s="94"/>
      <c r="AG2304" s="100"/>
      <c r="AH2304" s="101"/>
      <c r="AI2304" s="101"/>
      <c r="AJ2304" s="101"/>
      <c r="AK2304" s="100"/>
      <c r="AL2304" s="100"/>
      <c r="AM2304" s="100"/>
      <c r="AN2304" s="100"/>
      <c r="AO2304" s="100"/>
      <c r="AP2304" s="100"/>
      <c r="AQ2304" s="100"/>
      <c r="AR2304" s="100"/>
      <c r="AS2304" s="100"/>
      <c r="AT2304" s="102"/>
      <c r="AX2304" s="100"/>
      <c r="AY2304" s="101"/>
      <c r="AZ2304" s="101"/>
      <c r="BA2304" s="100"/>
      <c r="BB2304" s="100"/>
      <c r="BC2304" s="100"/>
      <c r="BD2304" s="100"/>
      <c r="BE2304" s="100"/>
      <c r="BF2304" s="100"/>
      <c r="BG2304" s="100"/>
      <c r="BH2304" s="100"/>
      <c r="BI2304" s="100"/>
      <c r="BJ2304" s="100"/>
      <c r="BK2304" s="102"/>
    </row>
    <row r="2305" spans="1:63" x14ac:dyDescent="0.25">
      <c r="A2305" s="92"/>
      <c r="B2305" s="93"/>
      <c r="C2305" s="93"/>
      <c r="D2305" s="92"/>
      <c r="E2305" s="92"/>
      <c r="F2305" s="92"/>
      <c r="G2305" s="92"/>
      <c r="H2305" s="92"/>
      <c r="I2305" s="92"/>
      <c r="J2305" s="92"/>
      <c r="K2305" s="92"/>
      <c r="L2305" s="92"/>
      <c r="M2305" s="92"/>
      <c r="N2305" s="94"/>
      <c r="AG2305" s="100"/>
      <c r="AH2305" s="101"/>
      <c r="AI2305" s="101"/>
      <c r="AJ2305" s="100"/>
      <c r="AK2305" s="100"/>
      <c r="AL2305" s="100"/>
      <c r="AM2305" s="100"/>
      <c r="AN2305" s="100"/>
      <c r="AO2305" s="100"/>
      <c r="AP2305" s="100"/>
      <c r="AQ2305" s="100"/>
      <c r="AR2305" s="100"/>
      <c r="AS2305" s="100"/>
      <c r="AT2305" s="102"/>
      <c r="AX2305" s="100"/>
      <c r="AY2305" s="101"/>
      <c r="AZ2305" s="101"/>
      <c r="BA2305" s="100"/>
      <c r="BB2305" s="100"/>
      <c r="BC2305" s="100"/>
      <c r="BD2305" s="100"/>
      <c r="BE2305" s="100"/>
      <c r="BF2305" s="100"/>
      <c r="BG2305" s="100"/>
      <c r="BH2305" s="100"/>
      <c r="BI2305" s="100"/>
      <c r="BJ2305" s="100"/>
      <c r="BK2305" s="102"/>
    </row>
    <row r="2306" spans="1:63" x14ac:dyDescent="0.25">
      <c r="A2306" s="92"/>
      <c r="B2306" s="92"/>
      <c r="C2306" s="92"/>
      <c r="D2306" s="92"/>
      <c r="E2306" s="92"/>
      <c r="F2306" s="92"/>
      <c r="G2306" s="92"/>
      <c r="H2306" s="92"/>
      <c r="I2306" s="92"/>
      <c r="J2306" s="92"/>
      <c r="K2306" s="92"/>
      <c r="L2306" s="92"/>
      <c r="M2306" s="92"/>
      <c r="N2306" s="92"/>
      <c r="AG2306" s="100"/>
      <c r="AH2306" s="101"/>
      <c r="AI2306" s="101"/>
      <c r="AJ2306" s="100"/>
      <c r="AK2306" s="100"/>
      <c r="AL2306" s="100"/>
      <c r="AM2306" s="100"/>
      <c r="AN2306" s="100"/>
      <c r="AO2306" s="100"/>
      <c r="AP2306" s="100"/>
      <c r="AQ2306" s="100"/>
      <c r="AR2306" s="100"/>
      <c r="AS2306" s="100"/>
      <c r="AT2306" s="102"/>
      <c r="AX2306" s="100"/>
      <c r="AY2306" s="101"/>
      <c r="AZ2306" s="101"/>
      <c r="BA2306" s="100"/>
      <c r="BB2306" s="100"/>
      <c r="BC2306" s="100"/>
      <c r="BD2306" s="100"/>
      <c r="BE2306" s="100"/>
      <c r="BF2306" s="100"/>
      <c r="BG2306" s="100"/>
      <c r="BH2306" s="100"/>
      <c r="BI2306" s="100"/>
      <c r="BJ2306" s="100"/>
      <c r="BK2306" s="102"/>
    </row>
    <row r="2307" spans="1:63" x14ac:dyDescent="0.25">
      <c r="A2307" s="92"/>
      <c r="B2307" s="92"/>
      <c r="C2307" s="92"/>
      <c r="D2307" s="92"/>
      <c r="E2307" s="92"/>
      <c r="F2307" s="92"/>
      <c r="G2307" s="92"/>
      <c r="H2307" s="92"/>
      <c r="I2307" s="92"/>
      <c r="J2307" s="92"/>
      <c r="K2307" s="92"/>
      <c r="L2307" s="92"/>
      <c r="M2307" s="92"/>
      <c r="N2307" s="92"/>
      <c r="AG2307" s="100"/>
      <c r="AH2307" s="101"/>
      <c r="AI2307" s="101"/>
      <c r="AJ2307" s="100"/>
      <c r="AK2307" s="100"/>
      <c r="AL2307" s="100"/>
      <c r="AM2307" s="100"/>
      <c r="AN2307" s="100"/>
      <c r="AO2307" s="100"/>
      <c r="AP2307" s="100"/>
      <c r="AQ2307" s="100"/>
      <c r="AR2307" s="100"/>
      <c r="AS2307" s="100"/>
      <c r="AT2307" s="102"/>
      <c r="AX2307" s="100"/>
      <c r="AY2307" s="101"/>
      <c r="AZ2307" s="101"/>
      <c r="BA2307" s="100"/>
      <c r="BB2307" s="100"/>
      <c r="BC2307" s="100"/>
      <c r="BD2307" s="100"/>
      <c r="BE2307" s="100"/>
      <c r="BF2307" s="100"/>
      <c r="BG2307" s="100"/>
      <c r="BH2307" s="100"/>
      <c r="BI2307" s="100"/>
      <c r="BJ2307" s="100"/>
      <c r="BK2307" s="102"/>
    </row>
    <row r="2308" spans="1:63" x14ac:dyDescent="0.25">
      <c r="A2308" s="92"/>
      <c r="B2308" s="92"/>
      <c r="C2308" s="92"/>
      <c r="D2308" s="92"/>
      <c r="E2308" s="92"/>
      <c r="F2308" s="92"/>
      <c r="G2308" s="92"/>
      <c r="H2308" s="92"/>
      <c r="I2308" s="92"/>
      <c r="J2308" s="92"/>
      <c r="K2308" s="92"/>
      <c r="L2308" s="92"/>
      <c r="M2308" s="92"/>
      <c r="N2308" s="92"/>
      <c r="AG2308" s="100"/>
      <c r="AH2308" s="101"/>
      <c r="AI2308" s="101"/>
      <c r="AJ2308" s="100"/>
      <c r="AK2308" s="100"/>
      <c r="AL2308" s="100"/>
      <c r="AM2308" s="100"/>
      <c r="AN2308" s="100"/>
      <c r="AO2308" s="100"/>
      <c r="AP2308" s="100"/>
      <c r="AQ2308" s="100"/>
      <c r="AR2308" s="100"/>
      <c r="AS2308" s="100"/>
      <c r="AT2308" s="102"/>
      <c r="AX2308" s="100"/>
      <c r="AY2308" s="101"/>
      <c r="AZ2308" s="101"/>
      <c r="BA2308" s="100"/>
      <c r="BB2308" s="100"/>
      <c r="BC2308" s="100"/>
      <c r="BD2308" s="100"/>
      <c r="BE2308" s="100"/>
      <c r="BF2308" s="100"/>
      <c r="BG2308" s="100"/>
      <c r="BH2308" s="100"/>
      <c r="BI2308" s="100"/>
      <c r="BJ2308" s="100"/>
      <c r="BK2308" s="102"/>
    </row>
    <row r="2309" spans="1:63" x14ac:dyDescent="0.25">
      <c r="A2309" s="92"/>
      <c r="B2309" s="92"/>
      <c r="C2309" s="92"/>
      <c r="D2309" s="92"/>
      <c r="E2309" s="92"/>
      <c r="F2309" s="92"/>
      <c r="G2309" s="92"/>
      <c r="H2309" s="92"/>
      <c r="I2309" s="92"/>
      <c r="J2309" s="92"/>
      <c r="K2309" s="92"/>
      <c r="L2309" s="92"/>
      <c r="M2309" s="92"/>
      <c r="N2309" s="92"/>
      <c r="AG2309" s="100"/>
      <c r="AH2309" s="101"/>
      <c r="AI2309" s="101"/>
      <c r="AJ2309" s="100"/>
      <c r="AK2309" s="100"/>
      <c r="AL2309" s="100"/>
      <c r="AM2309" s="100"/>
      <c r="AN2309" s="100"/>
      <c r="AO2309" s="100"/>
      <c r="AP2309" s="100"/>
      <c r="AQ2309" s="100"/>
      <c r="AR2309" s="100"/>
      <c r="AS2309" s="100"/>
      <c r="AT2309" s="102"/>
      <c r="AX2309" s="100"/>
      <c r="AY2309" s="101"/>
      <c r="AZ2309" s="101"/>
      <c r="BA2309" s="100"/>
      <c r="BB2309" s="100"/>
      <c r="BC2309" s="100"/>
      <c r="BD2309" s="100"/>
      <c r="BE2309" s="100"/>
      <c r="BF2309" s="100"/>
      <c r="BG2309" s="100"/>
      <c r="BH2309" s="100"/>
      <c r="BI2309" s="100"/>
      <c r="BJ2309" s="100"/>
      <c r="BK2309" s="102"/>
    </row>
    <row r="2310" spans="1:63" x14ac:dyDescent="0.25">
      <c r="A2310" s="92"/>
      <c r="B2310" s="93"/>
      <c r="C2310" s="93"/>
      <c r="D2310" s="92"/>
      <c r="E2310" s="92"/>
      <c r="F2310" s="92"/>
      <c r="G2310" s="92"/>
      <c r="H2310" s="92"/>
      <c r="I2310" s="92"/>
      <c r="J2310" s="92"/>
      <c r="K2310" s="92"/>
      <c r="L2310" s="92"/>
      <c r="M2310" s="92"/>
      <c r="N2310" s="94"/>
      <c r="AG2310" s="100"/>
      <c r="AH2310" s="101"/>
      <c r="AI2310" s="101"/>
      <c r="AJ2310" s="100"/>
      <c r="AK2310" s="100"/>
      <c r="AL2310" s="100"/>
      <c r="AM2310" s="100"/>
      <c r="AN2310" s="100"/>
      <c r="AO2310" s="100"/>
      <c r="AP2310" s="100"/>
      <c r="AQ2310" s="100"/>
      <c r="AR2310" s="100"/>
      <c r="AS2310" s="100"/>
      <c r="AT2310" s="102"/>
      <c r="AX2310" s="100"/>
      <c r="AY2310" s="101"/>
      <c r="AZ2310" s="101"/>
      <c r="BA2310" s="101"/>
      <c r="BB2310" s="100"/>
      <c r="BC2310" s="100"/>
      <c r="BD2310" s="100"/>
      <c r="BE2310" s="100"/>
      <c r="BF2310" s="100"/>
      <c r="BG2310" s="100"/>
      <c r="BH2310" s="100"/>
      <c r="BI2310" s="100"/>
      <c r="BJ2310" s="100"/>
      <c r="BK2310" s="102"/>
    </row>
    <row r="2311" spans="1:63" x14ac:dyDescent="0.25">
      <c r="A2311" s="92"/>
      <c r="B2311" s="92"/>
      <c r="C2311" s="92"/>
      <c r="D2311" s="92"/>
      <c r="E2311" s="92"/>
      <c r="F2311" s="92"/>
      <c r="G2311" s="92"/>
      <c r="H2311" s="92"/>
      <c r="I2311" s="92"/>
      <c r="J2311" s="92"/>
      <c r="K2311" s="92"/>
      <c r="L2311" s="92"/>
      <c r="M2311" s="92"/>
      <c r="N2311" s="92"/>
      <c r="AG2311" s="100"/>
      <c r="AH2311" s="101"/>
      <c r="AI2311" s="101"/>
      <c r="AJ2311" s="100"/>
      <c r="AK2311" s="100"/>
      <c r="AL2311" s="100"/>
      <c r="AM2311" s="100"/>
      <c r="AN2311" s="100"/>
      <c r="AO2311" s="100"/>
      <c r="AP2311" s="100"/>
      <c r="AQ2311" s="100"/>
      <c r="AR2311" s="100"/>
      <c r="AS2311" s="100"/>
      <c r="AT2311" s="102"/>
      <c r="AX2311" s="100"/>
      <c r="AY2311" s="101"/>
      <c r="AZ2311" s="101"/>
      <c r="BA2311" s="100"/>
      <c r="BB2311" s="100"/>
      <c r="BC2311" s="100"/>
      <c r="BD2311" s="100"/>
      <c r="BE2311" s="100"/>
      <c r="BF2311" s="100"/>
      <c r="BG2311" s="100"/>
      <c r="BH2311" s="100"/>
      <c r="BI2311" s="100"/>
      <c r="BJ2311" s="100"/>
      <c r="BK2311" s="102"/>
    </row>
    <row r="2312" spans="1:63" x14ac:dyDescent="0.25">
      <c r="A2312" s="92"/>
      <c r="B2312" s="93"/>
      <c r="C2312" s="93"/>
      <c r="D2312" s="93"/>
      <c r="E2312" s="92"/>
      <c r="F2312" s="92"/>
      <c r="G2312" s="92"/>
      <c r="H2312" s="92"/>
      <c r="I2312" s="92"/>
      <c r="J2312" s="92"/>
      <c r="K2312" s="92"/>
      <c r="L2312" s="92"/>
      <c r="M2312" s="92"/>
      <c r="N2312" s="94"/>
      <c r="AG2312" s="100"/>
      <c r="AH2312" s="101"/>
      <c r="AI2312" s="101"/>
      <c r="AJ2312" s="100"/>
      <c r="AK2312" s="100"/>
      <c r="AL2312" s="100"/>
      <c r="AM2312" s="100"/>
      <c r="AN2312" s="100"/>
      <c r="AO2312" s="100"/>
      <c r="AP2312" s="100"/>
      <c r="AQ2312" s="100"/>
      <c r="AR2312" s="100"/>
      <c r="AS2312" s="100"/>
      <c r="AT2312" s="102"/>
      <c r="AX2312" s="100"/>
      <c r="AY2312" s="101"/>
      <c r="AZ2312" s="101"/>
      <c r="BA2312" s="101"/>
      <c r="BB2312" s="100"/>
      <c r="BC2312" s="100"/>
      <c r="BD2312" s="100"/>
      <c r="BE2312" s="100"/>
      <c r="BF2312" s="100"/>
      <c r="BG2312" s="100"/>
      <c r="BH2312" s="100"/>
      <c r="BI2312" s="100"/>
      <c r="BJ2312" s="100"/>
      <c r="BK2312" s="102"/>
    </row>
    <row r="2313" spans="1:63" x14ac:dyDescent="0.25">
      <c r="A2313" s="92"/>
      <c r="B2313" s="92"/>
      <c r="C2313" s="92"/>
      <c r="D2313" s="93"/>
      <c r="E2313" s="92"/>
      <c r="F2313" s="92"/>
      <c r="G2313" s="92"/>
      <c r="H2313" s="92"/>
      <c r="I2313" s="92"/>
      <c r="J2313" s="92"/>
      <c r="K2313" s="92"/>
      <c r="L2313" s="92"/>
      <c r="M2313" s="92"/>
      <c r="N2313" s="92"/>
      <c r="AG2313" s="100"/>
      <c r="AH2313" s="101"/>
      <c r="AI2313" s="101"/>
      <c r="AJ2313" s="100"/>
      <c r="AK2313" s="100"/>
      <c r="AL2313" s="100"/>
      <c r="AM2313" s="100"/>
      <c r="AN2313" s="100"/>
      <c r="AO2313" s="100"/>
      <c r="AP2313" s="100"/>
      <c r="AQ2313" s="100"/>
      <c r="AR2313" s="100"/>
      <c r="AS2313" s="100"/>
      <c r="AT2313" s="102"/>
      <c r="AX2313" s="100"/>
      <c r="AY2313" s="101"/>
      <c r="AZ2313" s="101"/>
      <c r="BA2313" s="100"/>
      <c r="BB2313" s="100"/>
      <c r="BC2313" s="100"/>
      <c r="BD2313" s="100"/>
      <c r="BE2313" s="100"/>
      <c r="BF2313" s="100"/>
      <c r="BG2313" s="100"/>
      <c r="BH2313" s="100"/>
      <c r="BI2313" s="100"/>
      <c r="BJ2313" s="100"/>
      <c r="BK2313" s="102"/>
    </row>
    <row r="2314" spans="1:63" x14ac:dyDescent="0.25">
      <c r="A2314" s="92"/>
      <c r="B2314" s="92"/>
      <c r="C2314" s="92"/>
      <c r="D2314" s="93"/>
      <c r="E2314" s="92"/>
      <c r="F2314" s="92"/>
      <c r="G2314" s="92"/>
      <c r="H2314" s="92"/>
      <c r="I2314" s="92"/>
      <c r="J2314" s="92"/>
      <c r="K2314" s="92"/>
      <c r="L2314" s="92"/>
      <c r="M2314" s="92"/>
      <c r="N2314" s="92"/>
      <c r="AG2314" s="100"/>
      <c r="AH2314" s="101"/>
      <c r="AI2314" s="101"/>
      <c r="AJ2314" s="100"/>
      <c r="AK2314" s="100"/>
      <c r="AL2314" s="100"/>
      <c r="AM2314" s="100"/>
      <c r="AN2314" s="100"/>
      <c r="AO2314" s="100"/>
      <c r="AP2314" s="100"/>
      <c r="AQ2314" s="100"/>
      <c r="AR2314" s="100"/>
      <c r="AS2314" s="100"/>
      <c r="AT2314" s="102"/>
      <c r="AX2314" s="100"/>
      <c r="AY2314" s="101"/>
      <c r="AZ2314" s="101"/>
      <c r="BA2314" s="100"/>
      <c r="BB2314" s="100"/>
      <c r="BC2314" s="100"/>
      <c r="BD2314" s="100"/>
      <c r="BE2314" s="100"/>
      <c r="BF2314" s="100"/>
      <c r="BG2314" s="100"/>
      <c r="BH2314" s="100"/>
      <c r="BI2314" s="100"/>
      <c r="BJ2314" s="100"/>
      <c r="BK2314" s="102"/>
    </row>
    <row r="2315" spans="1:63" x14ac:dyDescent="0.25">
      <c r="A2315" s="92"/>
      <c r="B2315" s="92"/>
      <c r="C2315" s="92"/>
      <c r="D2315" s="93"/>
      <c r="E2315" s="92"/>
      <c r="F2315" s="92"/>
      <c r="G2315" s="92"/>
      <c r="H2315" s="92"/>
      <c r="I2315" s="92"/>
      <c r="J2315" s="92"/>
      <c r="K2315" s="92"/>
      <c r="L2315" s="92"/>
      <c r="M2315" s="92"/>
      <c r="N2315" s="92"/>
      <c r="AG2315" s="100"/>
      <c r="AH2315" s="101"/>
      <c r="AI2315" s="101"/>
      <c r="AJ2315" s="100"/>
      <c r="AK2315" s="100"/>
      <c r="AL2315" s="100"/>
      <c r="AM2315" s="100"/>
      <c r="AN2315" s="100"/>
      <c r="AO2315" s="100"/>
      <c r="AP2315" s="100"/>
      <c r="AQ2315" s="100"/>
      <c r="AR2315" s="100"/>
      <c r="AS2315" s="100"/>
      <c r="AT2315" s="102"/>
      <c r="AX2315" s="100"/>
      <c r="AY2315" s="101"/>
      <c r="AZ2315" s="101"/>
      <c r="BA2315" s="100"/>
      <c r="BB2315" s="100"/>
      <c r="BC2315" s="100"/>
      <c r="BD2315" s="100"/>
      <c r="BE2315" s="100"/>
      <c r="BF2315" s="100"/>
      <c r="BG2315" s="100"/>
      <c r="BH2315" s="100"/>
      <c r="BI2315" s="100"/>
      <c r="BJ2315" s="100"/>
      <c r="BK2315" s="102"/>
    </row>
    <row r="2316" spans="1:63" x14ac:dyDescent="0.25">
      <c r="A2316" s="92"/>
      <c r="B2316" s="92"/>
      <c r="C2316" s="92"/>
      <c r="D2316" s="93"/>
      <c r="E2316" s="92"/>
      <c r="F2316" s="92"/>
      <c r="G2316" s="92"/>
      <c r="H2316" s="92"/>
      <c r="I2316" s="92"/>
      <c r="J2316" s="92"/>
      <c r="K2316" s="92"/>
      <c r="L2316" s="92"/>
      <c r="M2316" s="92"/>
      <c r="N2316" s="92"/>
      <c r="AG2316" s="100"/>
      <c r="AH2316" s="101"/>
      <c r="AI2316" s="101"/>
      <c r="AJ2316" s="100"/>
      <c r="AK2316" s="100"/>
      <c r="AL2316" s="100"/>
      <c r="AM2316" s="100"/>
      <c r="AN2316" s="100"/>
      <c r="AO2316" s="100"/>
      <c r="AP2316" s="100"/>
      <c r="AQ2316" s="100"/>
      <c r="AR2316" s="100"/>
      <c r="AS2316" s="100"/>
      <c r="AT2316" s="102"/>
      <c r="AX2316" s="100"/>
      <c r="AY2316" s="101"/>
      <c r="AZ2316" s="101"/>
      <c r="BA2316" s="100"/>
      <c r="BB2316" s="100"/>
      <c r="BC2316" s="100"/>
      <c r="BD2316" s="100"/>
      <c r="BE2316" s="100"/>
      <c r="BF2316" s="100"/>
      <c r="BG2316" s="100"/>
      <c r="BH2316" s="100"/>
      <c r="BI2316" s="100"/>
      <c r="BJ2316" s="100"/>
      <c r="BK2316" s="102"/>
    </row>
    <row r="2317" spans="1:63" x14ac:dyDescent="0.25">
      <c r="A2317" s="92"/>
      <c r="B2317" s="93"/>
      <c r="C2317" s="93"/>
      <c r="D2317" s="93"/>
      <c r="E2317" s="92"/>
      <c r="F2317" s="92"/>
      <c r="G2317" s="92"/>
      <c r="H2317" s="92"/>
      <c r="I2317" s="92"/>
      <c r="J2317" s="92"/>
      <c r="K2317" s="92"/>
      <c r="L2317" s="92"/>
      <c r="M2317" s="92"/>
      <c r="N2317" s="94"/>
      <c r="AG2317" s="100"/>
      <c r="AH2317" s="101"/>
      <c r="AI2317" s="101"/>
      <c r="AJ2317" s="101"/>
      <c r="AK2317" s="100"/>
      <c r="AL2317" s="100"/>
      <c r="AM2317" s="100"/>
      <c r="AN2317" s="100"/>
      <c r="AO2317" s="100"/>
      <c r="AP2317" s="100"/>
      <c r="AQ2317" s="100"/>
      <c r="AR2317" s="100"/>
      <c r="AS2317" s="100"/>
      <c r="AT2317" s="102"/>
      <c r="AX2317" s="100"/>
      <c r="AY2317" s="101"/>
      <c r="AZ2317" s="101"/>
      <c r="BA2317" s="100"/>
      <c r="BB2317" s="100"/>
      <c r="BC2317" s="100"/>
      <c r="BD2317" s="100"/>
      <c r="BE2317" s="100"/>
      <c r="BF2317" s="100"/>
      <c r="BG2317" s="100"/>
      <c r="BH2317" s="100"/>
      <c r="BI2317" s="100"/>
      <c r="BJ2317" s="100"/>
      <c r="BK2317" s="102"/>
    </row>
    <row r="2318" spans="1:63" x14ac:dyDescent="0.25">
      <c r="A2318" s="92"/>
      <c r="B2318" s="92"/>
      <c r="C2318" s="92"/>
      <c r="D2318" s="92"/>
      <c r="E2318" s="92"/>
      <c r="F2318" s="92"/>
      <c r="G2318" s="92"/>
      <c r="H2318" s="92"/>
      <c r="I2318" s="92"/>
      <c r="J2318" s="92"/>
      <c r="K2318" s="92"/>
      <c r="L2318" s="92"/>
      <c r="M2318" s="92"/>
      <c r="N2318" s="92"/>
      <c r="AG2318" s="100"/>
      <c r="AH2318" s="101"/>
      <c r="AI2318" s="101"/>
      <c r="AJ2318" s="101"/>
      <c r="AK2318" s="100"/>
      <c r="AL2318" s="100"/>
      <c r="AM2318" s="100"/>
      <c r="AN2318" s="100"/>
      <c r="AO2318" s="100"/>
      <c r="AP2318" s="100"/>
      <c r="AQ2318" s="100"/>
      <c r="AR2318" s="100"/>
      <c r="AS2318" s="100"/>
      <c r="AT2318" s="102"/>
      <c r="AX2318" s="100"/>
      <c r="AY2318" s="101"/>
      <c r="AZ2318" s="101"/>
      <c r="BA2318" s="100"/>
      <c r="BB2318" s="100"/>
      <c r="BC2318" s="100"/>
      <c r="BD2318" s="100"/>
      <c r="BE2318" s="100"/>
      <c r="BF2318" s="100"/>
      <c r="BG2318" s="100"/>
      <c r="BH2318" s="100"/>
      <c r="BI2318" s="100"/>
      <c r="BJ2318" s="100"/>
      <c r="BK2318" s="102"/>
    </row>
    <row r="2319" spans="1:63" x14ac:dyDescent="0.25">
      <c r="A2319" s="92"/>
      <c r="B2319" s="93"/>
      <c r="C2319" s="93"/>
      <c r="D2319" s="92"/>
      <c r="E2319" s="92"/>
      <c r="F2319" s="92"/>
      <c r="G2319" s="92"/>
      <c r="H2319" s="92"/>
      <c r="I2319" s="92"/>
      <c r="J2319" s="92"/>
      <c r="K2319" s="92"/>
      <c r="L2319" s="92"/>
      <c r="M2319" s="92"/>
      <c r="N2319" s="94"/>
      <c r="AG2319" s="100"/>
      <c r="AH2319" s="101"/>
      <c r="AI2319" s="101"/>
      <c r="AJ2319" s="100"/>
      <c r="AK2319" s="100"/>
      <c r="AL2319" s="100"/>
      <c r="AM2319" s="100"/>
      <c r="AN2319" s="100"/>
      <c r="AO2319" s="100"/>
      <c r="AP2319" s="100"/>
      <c r="AQ2319" s="100"/>
      <c r="AR2319" s="100"/>
      <c r="AS2319" s="100"/>
      <c r="AT2319" s="102"/>
      <c r="AX2319" s="100"/>
      <c r="AY2319" s="101"/>
      <c r="AZ2319" s="101"/>
      <c r="BA2319" s="100"/>
      <c r="BB2319" s="100"/>
      <c r="BC2319" s="100"/>
      <c r="BD2319" s="100"/>
      <c r="BE2319" s="100"/>
      <c r="BF2319" s="100"/>
      <c r="BG2319" s="100"/>
      <c r="BH2319" s="100"/>
      <c r="BI2319" s="100"/>
      <c r="BJ2319" s="100"/>
      <c r="BK2319" s="102"/>
    </row>
    <row r="2320" spans="1:63" x14ac:dyDescent="0.25">
      <c r="A2320" s="92"/>
      <c r="B2320" s="93"/>
      <c r="C2320" s="93"/>
      <c r="D2320" s="92"/>
      <c r="E2320" s="92"/>
      <c r="F2320" s="92"/>
      <c r="G2320" s="92"/>
      <c r="H2320" s="92"/>
      <c r="I2320" s="92"/>
      <c r="J2320" s="92"/>
      <c r="K2320" s="92"/>
      <c r="L2320" s="92"/>
      <c r="M2320" s="92"/>
      <c r="N2320" s="94"/>
      <c r="AG2320" s="100"/>
      <c r="AH2320" s="101"/>
      <c r="AI2320" s="101"/>
      <c r="AJ2320" s="100"/>
      <c r="AK2320" s="100"/>
      <c r="AL2320" s="100"/>
      <c r="AM2320" s="100"/>
      <c r="AN2320" s="100"/>
      <c r="AO2320" s="100"/>
      <c r="AP2320" s="100"/>
      <c r="AQ2320" s="100"/>
      <c r="AR2320" s="100"/>
      <c r="AS2320" s="100"/>
      <c r="AT2320" s="102"/>
      <c r="AX2320" s="100"/>
      <c r="AY2320" s="101"/>
      <c r="AZ2320" s="101"/>
      <c r="BA2320" s="100"/>
      <c r="BB2320" s="100"/>
      <c r="BC2320" s="100"/>
      <c r="BD2320" s="100"/>
      <c r="BE2320" s="100"/>
      <c r="BF2320" s="100"/>
      <c r="BG2320" s="100"/>
      <c r="BH2320" s="100"/>
      <c r="BI2320" s="100"/>
      <c r="BJ2320" s="100"/>
      <c r="BK2320" s="102"/>
    </row>
    <row r="2321" spans="1:63" x14ac:dyDescent="0.25">
      <c r="A2321" s="92"/>
      <c r="B2321" s="92"/>
      <c r="C2321" s="92"/>
      <c r="D2321" s="92"/>
      <c r="E2321" s="92"/>
      <c r="F2321" s="92"/>
      <c r="G2321" s="92"/>
      <c r="H2321" s="92"/>
      <c r="I2321" s="92"/>
      <c r="J2321" s="92"/>
      <c r="K2321" s="92"/>
      <c r="L2321" s="92"/>
      <c r="M2321" s="92"/>
      <c r="N2321" s="92"/>
      <c r="AG2321" s="100"/>
      <c r="AH2321" s="101"/>
      <c r="AI2321" s="101"/>
      <c r="AJ2321" s="100"/>
      <c r="AK2321" s="100"/>
      <c r="AL2321" s="100"/>
      <c r="AM2321" s="100"/>
      <c r="AN2321" s="100"/>
      <c r="AO2321" s="100"/>
      <c r="AP2321" s="100"/>
      <c r="AQ2321" s="100"/>
      <c r="AR2321" s="100"/>
      <c r="AS2321" s="100"/>
      <c r="AT2321" s="102"/>
      <c r="AX2321" s="100"/>
      <c r="AY2321" s="101"/>
      <c r="AZ2321" s="101"/>
      <c r="BA2321" s="100"/>
      <c r="BB2321" s="100"/>
      <c r="BC2321" s="100"/>
      <c r="BD2321" s="100"/>
      <c r="BE2321" s="100"/>
      <c r="BF2321" s="100"/>
      <c r="BG2321" s="100"/>
      <c r="BH2321" s="100"/>
      <c r="BI2321" s="100"/>
      <c r="BJ2321" s="100"/>
      <c r="BK2321" s="102"/>
    </row>
    <row r="2322" spans="1:63" x14ac:dyDescent="0.25">
      <c r="A2322" s="92"/>
      <c r="B2322" s="93"/>
      <c r="C2322" s="93"/>
      <c r="D2322" s="92"/>
      <c r="E2322" s="92"/>
      <c r="F2322" s="92"/>
      <c r="G2322" s="92"/>
      <c r="H2322" s="92"/>
      <c r="I2322" s="92"/>
      <c r="J2322" s="92"/>
      <c r="K2322" s="92"/>
      <c r="L2322" s="92"/>
      <c r="M2322" s="92"/>
      <c r="N2322" s="94"/>
      <c r="AG2322" s="100"/>
      <c r="AH2322" s="101"/>
      <c r="AI2322" s="101"/>
      <c r="AJ2322" s="100"/>
      <c r="AK2322" s="100"/>
      <c r="AL2322" s="100"/>
      <c r="AM2322" s="100"/>
      <c r="AN2322" s="100"/>
      <c r="AO2322" s="100"/>
      <c r="AP2322" s="100"/>
      <c r="AQ2322" s="100"/>
      <c r="AR2322" s="100"/>
      <c r="AS2322" s="100"/>
      <c r="AT2322" s="102"/>
      <c r="AX2322" s="100"/>
      <c r="AY2322" s="101"/>
      <c r="AZ2322" s="101"/>
      <c r="BA2322" s="100"/>
      <c r="BB2322" s="100"/>
      <c r="BC2322" s="100"/>
      <c r="BD2322" s="100"/>
      <c r="BE2322" s="100"/>
      <c r="BF2322" s="100"/>
      <c r="BG2322" s="100"/>
      <c r="BH2322" s="100"/>
      <c r="BI2322" s="100"/>
      <c r="BJ2322" s="100"/>
      <c r="BK2322" s="102"/>
    </row>
    <row r="2323" spans="1:63" x14ac:dyDescent="0.25">
      <c r="A2323" s="92"/>
      <c r="B2323" s="93"/>
      <c r="C2323" s="93"/>
      <c r="D2323" s="93"/>
      <c r="E2323" s="92"/>
      <c r="F2323" s="92"/>
      <c r="G2323" s="92"/>
      <c r="H2323" s="92"/>
      <c r="I2323" s="92"/>
      <c r="J2323" s="92"/>
      <c r="K2323" s="92"/>
      <c r="L2323" s="92"/>
      <c r="M2323" s="92"/>
      <c r="N2323" s="94"/>
      <c r="AG2323" s="100"/>
      <c r="AH2323" s="101"/>
      <c r="AI2323" s="101"/>
      <c r="AJ2323" s="100"/>
      <c r="AK2323" s="100"/>
      <c r="AL2323" s="100"/>
      <c r="AM2323" s="100"/>
      <c r="AN2323" s="100"/>
      <c r="AO2323" s="100"/>
      <c r="AP2323" s="100"/>
      <c r="AQ2323" s="100"/>
      <c r="AR2323" s="100"/>
      <c r="AS2323" s="100"/>
      <c r="AT2323" s="102"/>
      <c r="AX2323" s="100"/>
      <c r="AY2323" s="101"/>
      <c r="AZ2323" s="101"/>
      <c r="BA2323" s="100"/>
      <c r="BB2323" s="100"/>
      <c r="BC2323" s="100"/>
      <c r="BD2323" s="100"/>
      <c r="BE2323" s="100"/>
      <c r="BF2323" s="100"/>
      <c r="BG2323" s="100"/>
      <c r="BH2323" s="100"/>
      <c r="BI2323" s="100"/>
      <c r="BJ2323" s="100"/>
      <c r="BK2323" s="102"/>
    </row>
    <row r="2324" spans="1:63" x14ac:dyDescent="0.25">
      <c r="A2324" s="92"/>
      <c r="B2324" s="93"/>
      <c r="C2324" s="93"/>
      <c r="D2324" s="92"/>
      <c r="E2324" s="92"/>
      <c r="F2324" s="92"/>
      <c r="G2324" s="92"/>
      <c r="H2324" s="92"/>
      <c r="I2324" s="92"/>
      <c r="J2324" s="92"/>
      <c r="K2324" s="92"/>
      <c r="L2324" s="92"/>
      <c r="M2324" s="92"/>
      <c r="N2324" s="94"/>
      <c r="AG2324" s="100"/>
      <c r="AH2324" s="101"/>
      <c r="AI2324" s="101"/>
      <c r="AJ2324" s="101"/>
      <c r="AK2324" s="100"/>
      <c r="AL2324" s="100"/>
      <c r="AM2324" s="100"/>
      <c r="AN2324" s="100"/>
      <c r="AO2324" s="100"/>
      <c r="AP2324" s="100"/>
      <c r="AQ2324" s="100"/>
      <c r="AR2324" s="100"/>
      <c r="AS2324" s="100"/>
      <c r="AT2324" s="102"/>
      <c r="AX2324" s="100"/>
      <c r="AY2324" s="101"/>
      <c r="AZ2324" s="101"/>
      <c r="BA2324" s="101"/>
      <c r="BB2324" s="100"/>
      <c r="BC2324" s="100"/>
      <c r="BD2324" s="100"/>
      <c r="BE2324" s="100"/>
      <c r="BF2324" s="100"/>
      <c r="BG2324" s="100"/>
      <c r="BH2324" s="100"/>
      <c r="BI2324" s="100"/>
      <c r="BJ2324" s="100"/>
      <c r="BK2324" s="102"/>
    </row>
    <row r="2325" spans="1:63" x14ac:dyDescent="0.25">
      <c r="A2325" s="92"/>
      <c r="B2325" s="93"/>
      <c r="C2325" s="93"/>
      <c r="D2325" s="92"/>
      <c r="E2325" s="92"/>
      <c r="F2325" s="92"/>
      <c r="G2325" s="92"/>
      <c r="H2325" s="92"/>
      <c r="I2325" s="92"/>
      <c r="J2325" s="92"/>
      <c r="K2325" s="92"/>
      <c r="L2325" s="92"/>
      <c r="M2325" s="92"/>
      <c r="N2325" s="94"/>
      <c r="AG2325" s="100"/>
      <c r="AH2325" s="101"/>
      <c r="AI2325" s="101"/>
      <c r="AJ2325" s="100"/>
      <c r="AK2325" s="100"/>
      <c r="AL2325" s="100"/>
      <c r="AM2325" s="100"/>
      <c r="AN2325" s="100"/>
      <c r="AO2325" s="100"/>
      <c r="AP2325" s="100"/>
      <c r="AQ2325" s="100"/>
      <c r="AR2325" s="100"/>
      <c r="AS2325" s="100"/>
      <c r="AT2325" s="102"/>
      <c r="AX2325" s="100"/>
      <c r="AY2325" s="101"/>
      <c r="AZ2325" s="101"/>
      <c r="BA2325" s="100"/>
      <c r="BB2325" s="100"/>
      <c r="BC2325" s="100"/>
      <c r="BD2325" s="100"/>
      <c r="BE2325" s="100"/>
      <c r="BF2325" s="100"/>
      <c r="BG2325" s="100"/>
      <c r="BH2325" s="100"/>
      <c r="BI2325" s="100"/>
      <c r="BJ2325" s="100"/>
      <c r="BK2325" s="102"/>
    </row>
    <row r="2326" spans="1:63" x14ac:dyDescent="0.25">
      <c r="A2326" s="92"/>
      <c r="B2326" s="93"/>
      <c r="C2326" s="93"/>
      <c r="D2326" s="92"/>
      <c r="E2326" s="92"/>
      <c r="F2326" s="92"/>
      <c r="G2326" s="92"/>
      <c r="H2326" s="92"/>
      <c r="I2326" s="92"/>
      <c r="J2326" s="92"/>
      <c r="K2326" s="92"/>
      <c r="L2326" s="92"/>
      <c r="M2326" s="92"/>
      <c r="N2326" s="94"/>
      <c r="AG2326" s="100"/>
      <c r="AH2326" s="101"/>
      <c r="AI2326" s="101"/>
      <c r="AJ2326" s="100"/>
      <c r="AK2326" s="100"/>
      <c r="AL2326" s="100"/>
      <c r="AM2326" s="100"/>
      <c r="AN2326" s="100"/>
      <c r="AO2326" s="100"/>
      <c r="AP2326" s="100"/>
      <c r="AQ2326" s="100"/>
      <c r="AR2326" s="100"/>
      <c r="AS2326" s="100"/>
      <c r="AT2326" s="102"/>
      <c r="AX2326" s="100"/>
      <c r="AY2326" s="101"/>
      <c r="AZ2326" s="101"/>
      <c r="BA2326" s="100"/>
      <c r="BB2326" s="100"/>
      <c r="BC2326" s="100"/>
      <c r="BD2326" s="100"/>
      <c r="BE2326" s="100"/>
      <c r="BF2326" s="100"/>
      <c r="BG2326" s="100"/>
      <c r="BH2326" s="100"/>
      <c r="BI2326" s="100"/>
      <c r="BJ2326" s="100"/>
      <c r="BK2326" s="102"/>
    </row>
    <row r="2327" spans="1:63" x14ac:dyDescent="0.25">
      <c r="A2327" s="92"/>
      <c r="B2327" s="93"/>
      <c r="C2327" s="93"/>
      <c r="D2327" s="92"/>
      <c r="E2327" s="92"/>
      <c r="F2327" s="92"/>
      <c r="G2327" s="92"/>
      <c r="H2327" s="92"/>
      <c r="I2327" s="92"/>
      <c r="J2327" s="92"/>
      <c r="K2327" s="92"/>
      <c r="L2327" s="92"/>
      <c r="M2327" s="92"/>
      <c r="N2327" s="94"/>
      <c r="AG2327" s="100"/>
      <c r="AH2327" s="101"/>
      <c r="AI2327" s="101"/>
      <c r="AJ2327" s="100"/>
      <c r="AK2327" s="100"/>
      <c r="AL2327" s="100"/>
      <c r="AM2327" s="100"/>
      <c r="AN2327" s="100"/>
      <c r="AO2327" s="100"/>
      <c r="AP2327" s="100"/>
      <c r="AQ2327" s="100"/>
      <c r="AR2327" s="100"/>
      <c r="AS2327" s="100"/>
      <c r="AT2327" s="102"/>
      <c r="AX2327" s="100"/>
      <c r="AY2327" s="101"/>
      <c r="AZ2327" s="101"/>
      <c r="BA2327" s="100"/>
      <c r="BB2327" s="100"/>
      <c r="BC2327" s="100"/>
      <c r="BD2327" s="100"/>
      <c r="BE2327" s="100"/>
      <c r="BF2327" s="100"/>
      <c r="BG2327" s="100"/>
      <c r="BH2327" s="100"/>
      <c r="BI2327" s="100"/>
      <c r="BJ2327" s="100"/>
      <c r="BK2327" s="102"/>
    </row>
    <row r="2328" spans="1:63" x14ac:dyDescent="0.25">
      <c r="A2328" s="92"/>
      <c r="B2328" s="93"/>
      <c r="C2328" s="93"/>
      <c r="D2328" s="92"/>
      <c r="E2328" s="92"/>
      <c r="F2328" s="92"/>
      <c r="G2328" s="92"/>
      <c r="H2328" s="92"/>
      <c r="I2328" s="92"/>
      <c r="J2328" s="92"/>
      <c r="K2328" s="92"/>
      <c r="L2328" s="92"/>
      <c r="M2328" s="92"/>
      <c r="N2328" s="94"/>
      <c r="AG2328" s="100"/>
      <c r="AH2328" s="101"/>
      <c r="AI2328" s="101"/>
      <c r="AJ2328" s="101"/>
      <c r="AK2328" s="100"/>
      <c r="AL2328" s="100"/>
      <c r="AM2328" s="100"/>
      <c r="AN2328" s="100"/>
      <c r="AO2328" s="100"/>
      <c r="AP2328" s="100"/>
      <c r="AQ2328" s="100"/>
      <c r="AR2328" s="100"/>
      <c r="AS2328" s="100"/>
      <c r="AT2328" s="102"/>
      <c r="AX2328" s="100"/>
      <c r="AY2328" s="101"/>
      <c r="AZ2328" s="101"/>
      <c r="BA2328" s="100"/>
      <c r="BB2328" s="100"/>
      <c r="BC2328" s="100"/>
      <c r="BD2328" s="100"/>
      <c r="BE2328" s="100"/>
      <c r="BF2328" s="100"/>
      <c r="BG2328" s="100"/>
      <c r="BH2328" s="100"/>
      <c r="BI2328" s="100"/>
      <c r="BJ2328" s="100"/>
      <c r="BK2328" s="102"/>
    </row>
    <row r="2329" spans="1:63" x14ac:dyDescent="0.25">
      <c r="A2329" s="92"/>
      <c r="B2329" s="93"/>
      <c r="C2329" s="93"/>
      <c r="D2329" s="92"/>
      <c r="E2329" s="92"/>
      <c r="F2329" s="92"/>
      <c r="G2329" s="92"/>
      <c r="H2329" s="92"/>
      <c r="I2329" s="92"/>
      <c r="J2329" s="92"/>
      <c r="K2329" s="92"/>
      <c r="L2329" s="92"/>
      <c r="M2329" s="92"/>
      <c r="N2329" s="94"/>
      <c r="AG2329" s="100"/>
      <c r="AH2329" s="101"/>
      <c r="AI2329" s="101"/>
      <c r="AJ2329" s="100"/>
      <c r="AK2329" s="100"/>
      <c r="AL2329" s="100"/>
      <c r="AM2329" s="100"/>
      <c r="AN2329" s="100"/>
      <c r="AO2329" s="100"/>
      <c r="AP2329" s="100"/>
      <c r="AQ2329" s="100"/>
      <c r="AR2329" s="100"/>
      <c r="AS2329" s="100"/>
      <c r="AT2329" s="102"/>
      <c r="AX2329" s="100"/>
      <c r="AY2329" s="101"/>
      <c r="AZ2329" s="101"/>
      <c r="BA2329" s="100"/>
      <c r="BB2329" s="100"/>
      <c r="BC2329" s="100"/>
      <c r="BD2329" s="100"/>
      <c r="BE2329" s="100"/>
      <c r="BF2329" s="100"/>
      <c r="BG2329" s="100"/>
      <c r="BH2329" s="100"/>
      <c r="BI2329" s="100"/>
      <c r="BJ2329" s="100"/>
      <c r="BK2329" s="102"/>
    </row>
    <row r="2330" spans="1:63" x14ac:dyDescent="0.25">
      <c r="A2330" s="92"/>
      <c r="B2330" s="93"/>
      <c r="C2330" s="93"/>
      <c r="D2330" s="92"/>
      <c r="E2330" s="92"/>
      <c r="F2330" s="92"/>
      <c r="G2330" s="92"/>
      <c r="H2330" s="92"/>
      <c r="I2330" s="92"/>
      <c r="J2330" s="92"/>
      <c r="K2330" s="92"/>
      <c r="L2330" s="92"/>
      <c r="M2330" s="92"/>
      <c r="N2330" s="94"/>
      <c r="AG2330" s="100"/>
      <c r="AH2330" s="101"/>
      <c r="AI2330" s="101"/>
      <c r="AJ2330" s="100"/>
      <c r="AK2330" s="100"/>
      <c r="AL2330" s="100"/>
      <c r="AM2330" s="100"/>
      <c r="AN2330" s="100"/>
      <c r="AO2330" s="100"/>
      <c r="AP2330" s="100"/>
      <c r="AQ2330" s="100"/>
      <c r="AR2330" s="100"/>
      <c r="AS2330" s="100"/>
      <c r="AT2330" s="102"/>
      <c r="AX2330" s="100"/>
      <c r="AY2330" s="101"/>
      <c r="AZ2330" s="101"/>
      <c r="BA2330" s="100"/>
      <c r="BB2330" s="100"/>
      <c r="BC2330" s="100"/>
      <c r="BD2330" s="100"/>
      <c r="BE2330" s="100"/>
      <c r="BF2330" s="100"/>
      <c r="BG2330" s="100"/>
      <c r="BH2330" s="100"/>
      <c r="BI2330" s="100"/>
      <c r="BJ2330" s="100"/>
      <c r="BK2330" s="102"/>
    </row>
    <row r="2331" spans="1:63" x14ac:dyDescent="0.25">
      <c r="A2331" s="92"/>
      <c r="B2331" s="92"/>
      <c r="C2331" s="92"/>
      <c r="D2331" s="92"/>
      <c r="E2331" s="92"/>
      <c r="F2331" s="92"/>
      <c r="G2331" s="92"/>
      <c r="H2331" s="92"/>
      <c r="I2331" s="92"/>
      <c r="J2331" s="92"/>
      <c r="K2331" s="92"/>
      <c r="L2331" s="92"/>
      <c r="M2331" s="92"/>
      <c r="N2331" s="92"/>
      <c r="AG2331" s="100"/>
      <c r="AH2331" s="101"/>
      <c r="AI2331" s="101"/>
      <c r="AJ2331" s="101"/>
      <c r="AK2331" s="100"/>
      <c r="AL2331" s="100"/>
      <c r="AM2331" s="100"/>
      <c r="AN2331" s="100"/>
      <c r="AO2331" s="100"/>
      <c r="AP2331" s="100"/>
      <c r="AQ2331" s="100"/>
      <c r="AR2331" s="100"/>
      <c r="AS2331" s="100"/>
      <c r="AT2331" s="102"/>
      <c r="AX2331" s="100"/>
      <c r="AY2331" s="101"/>
      <c r="AZ2331" s="101"/>
      <c r="BA2331" s="100"/>
      <c r="BB2331" s="100"/>
      <c r="BC2331" s="100"/>
      <c r="BD2331" s="100"/>
      <c r="BE2331" s="100"/>
      <c r="BF2331" s="100"/>
      <c r="BG2331" s="100"/>
      <c r="BH2331" s="100"/>
      <c r="BI2331" s="100"/>
      <c r="BJ2331" s="100"/>
      <c r="BK2331" s="102"/>
    </row>
    <row r="2332" spans="1:63" x14ac:dyDescent="0.25">
      <c r="A2332" s="92"/>
      <c r="B2332" s="92"/>
      <c r="C2332" s="92"/>
      <c r="D2332" s="92"/>
      <c r="E2332" s="92"/>
      <c r="F2332" s="92"/>
      <c r="G2332" s="92"/>
      <c r="H2332" s="92"/>
      <c r="I2332" s="92"/>
      <c r="J2332" s="92"/>
      <c r="K2332" s="92"/>
      <c r="L2332" s="92"/>
      <c r="M2332" s="92"/>
      <c r="N2332" s="92"/>
      <c r="AG2332" s="100"/>
      <c r="AH2332" s="101"/>
      <c r="AI2332" s="101"/>
      <c r="AJ2332" s="100"/>
      <c r="AK2332" s="100"/>
      <c r="AL2332" s="100"/>
      <c r="AM2332" s="100"/>
      <c r="AN2332" s="100"/>
      <c r="AO2332" s="100"/>
      <c r="AP2332" s="100"/>
      <c r="AQ2332" s="100"/>
      <c r="AR2332" s="100"/>
      <c r="AS2332" s="100"/>
      <c r="AT2332" s="102"/>
      <c r="AX2332" s="100"/>
      <c r="AY2332" s="101"/>
      <c r="AZ2332" s="101"/>
      <c r="BA2332" s="100"/>
      <c r="BB2332" s="100"/>
      <c r="BC2332" s="100"/>
      <c r="BD2332" s="100"/>
      <c r="BE2332" s="100"/>
      <c r="BF2332" s="100"/>
      <c r="BG2332" s="100"/>
      <c r="BH2332" s="100"/>
      <c r="BI2332" s="100"/>
      <c r="BJ2332" s="100"/>
      <c r="BK2332" s="102"/>
    </row>
    <row r="2333" spans="1:63" x14ac:dyDescent="0.25">
      <c r="A2333" s="92"/>
      <c r="B2333" s="93"/>
      <c r="C2333" s="93"/>
      <c r="D2333" s="92"/>
      <c r="E2333" s="92"/>
      <c r="F2333" s="92"/>
      <c r="G2333" s="92"/>
      <c r="H2333" s="92"/>
      <c r="I2333" s="92"/>
      <c r="J2333" s="92"/>
      <c r="K2333" s="92"/>
      <c r="L2333" s="92"/>
      <c r="M2333" s="92"/>
      <c r="N2333" s="94"/>
      <c r="AG2333" s="100"/>
      <c r="AH2333" s="101"/>
      <c r="AI2333" s="101"/>
      <c r="AJ2333" s="101"/>
      <c r="AK2333" s="100"/>
      <c r="AL2333" s="100"/>
      <c r="AM2333" s="100"/>
      <c r="AN2333" s="100"/>
      <c r="AO2333" s="100"/>
      <c r="AP2333" s="100"/>
      <c r="AQ2333" s="100"/>
      <c r="AR2333" s="100"/>
      <c r="AS2333" s="100"/>
      <c r="AT2333" s="102"/>
      <c r="AX2333" s="100"/>
      <c r="AY2333" s="101"/>
      <c r="AZ2333" s="101"/>
      <c r="BA2333" s="100"/>
      <c r="BB2333" s="100"/>
      <c r="BC2333" s="100"/>
      <c r="BD2333" s="100"/>
      <c r="BE2333" s="100"/>
      <c r="BF2333" s="100"/>
      <c r="BG2333" s="100"/>
      <c r="BH2333" s="100"/>
      <c r="BI2333" s="100"/>
      <c r="BJ2333" s="100"/>
      <c r="BK2333" s="102"/>
    </row>
    <row r="2334" spans="1:63" x14ac:dyDescent="0.25">
      <c r="A2334" s="92"/>
      <c r="B2334" s="93"/>
      <c r="C2334" s="93"/>
      <c r="D2334" s="93"/>
      <c r="E2334" s="92"/>
      <c r="F2334" s="92"/>
      <c r="G2334" s="92"/>
      <c r="H2334" s="92"/>
      <c r="I2334" s="92"/>
      <c r="J2334" s="92"/>
      <c r="K2334" s="92"/>
      <c r="L2334" s="92"/>
      <c r="M2334" s="92"/>
      <c r="N2334" s="94"/>
      <c r="AG2334" s="100"/>
      <c r="AH2334" s="101"/>
      <c r="AI2334" s="101"/>
      <c r="AJ2334" s="100"/>
      <c r="AK2334" s="100"/>
      <c r="AL2334" s="100"/>
      <c r="AM2334" s="100"/>
      <c r="AN2334" s="100"/>
      <c r="AO2334" s="100"/>
      <c r="AP2334" s="100"/>
      <c r="AQ2334" s="100"/>
      <c r="AR2334" s="100"/>
      <c r="AS2334" s="100"/>
      <c r="AT2334" s="102"/>
      <c r="AX2334" s="100"/>
      <c r="AY2334" s="101"/>
      <c r="AZ2334" s="101"/>
      <c r="BA2334" s="100"/>
      <c r="BB2334" s="100"/>
      <c r="BC2334" s="100"/>
      <c r="BD2334" s="100"/>
      <c r="BE2334" s="100"/>
      <c r="BF2334" s="100"/>
      <c r="BG2334" s="100"/>
      <c r="BH2334" s="100"/>
      <c r="BI2334" s="100"/>
      <c r="BJ2334" s="100"/>
      <c r="BK2334" s="102"/>
    </row>
    <row r="2335" spans="1:63" x14ac:dyDescent="0.25">
      <c r="A2335" s="92"/>
      <c r="B2335" s="93"/>
      <c r="C2335" s="93"/>
      <c r="D2335" s="93"/>
      <c r="E2335" s="92"/>
      <c r="F2335" s="92"/>
      <c r="G2335" s="92"/>
      <c r="H2335" s="92"/>
      <c r="I2335" s="92"/>
      <c r="J2335" s="92"/>
      <c r="K2335" s="92"/>
      <c r="L2335" s="92"/>
      <c r="M2335" s="92"/>
      <c r="N2335" s="94"/>
      <c r="AG2335" s="100"/>
      <c r="AH2335" s="101"/>
      <c r="AI2335" s="101"/>
      <c r="AJ2335" s="100"/>
      <c r="AK2335" s="100"/>
      <c r="AL2335" s="100"/>
      <c r="AM2335" s="100"/>
      <c r="AN2335" s="100"/>
      <c r="AO2335" s="100"/>
      <c r="AP2335" s="100"/>
      <c r="AQ2335" s="100"/>
      <c r="AR2335" s="100"/>
      <c r="AS2335" s="100"/>
      <c r="AT2335" s="102"/>
      <c r="AX2335" s="100"/>
      <c r="AY2335" s="101"/>
      <c r="AZ2335" s="101"/>
      <c r="BA2335" s="100"/>
      <c r="BB2335" s="100"/>
      <c r="BC2335" s="100"/>
      <c r="BD2335" s="100"/>
      <c r="BE2335" s="100"/>
      <c r="BF2335" s="100"/>
      <c r="BG2335" s="100"/>
      <c r="BH2335" s="100"/>
      <c r="BI2335" s="100"/>
      <c r="BJ2335" s="100"/>
      <c r="BK2335" s="102"/>
    </row>
    <row r="2336" spans="1:63" x14ac:dyDescent="0.25">
      <c r="A2336" s="92"/>
      <c r="B2336" s="93"/>
      <c r="C2336" s="93"/>
      <c r="D2336" s="92"/>
      <c r="E2336" s="92"/>
      <c r="F2336" s="92"/>
      <c r="G2336" s="92"/>
      <c r="H2336" s="92"/>
      <c r="I2336" s="92"/>
      <c r="J2336" s="92"/>
      <c r="K2336" s="92"/>
      <c r="L2336" s="92"/>
      <c r="M2336" s="92"/>
      <c r="N2336" s="94"/>
      <c r="AG2336" s="100"/>
      <c r="AH2336" s="101"/>
      <c r="AI2336" s="101"/>
      <c r="AJ2336" s="100"/>
      <c r="AK2336" s="100"/>
      <c r="AL2336" s="100"/>
      <c r="AM2336" s="100"/>
      <c r="AN2336" s="100"/>
      <c r="AO2336" s="100"/>
      <c r="AP2336" s="100"/>
      <c r="AQ2336" s="100"/>
      <c r="AR2336" s="100"/>
      <c r="AS2336" s="100"/>
      <c r="AT2336" s="102"/>
      <c r="AX2336" s="100"/>
      <c r="AY2336" s="101"/>
      <c r="AZ2336" s="101"/>
      <c r="BA2336" s="100"/>
      <c r="BB2336" s="100"/>
      <c r="BC2336" s="100"/>
      <c r="BD2336" s="100"/>
      <c r="BE2336" s="100"/>
      <c r="BF2336" s="100"/>
      <c r="BG2336" s="100"/>
      <c r="BH2336" s="100"/>
      <c r="BI2336" s="100"/>
      <c r="BJ2336" s="100"/>
      <c r="BK2336" s="102"/>
    </row>
    <row r="2337" spans="1:63" x14ac:dyDescent="0.25">
      <c r="A2337" s="92"/>
      <c r="B2337" s="93"/>
      <c r="C2337" s="93"/>
      <c r="D2337" s="92"/>
      <c r="E2337" s="92"/>
      <c r="F2337" s="92"/>
      <c r="G2337" s="92"/>
      <c r="H2337" s="92"/>
      <c r="I2337" s="92"/>
      <c r="J2337" s="92"/>
      <c r="K2337" s="92"/>
      <c r="L2337" s="92"/>
      <c r="M2337" s="92"/>
      <c r="N2337" s="94"/>
      <c r="AG2337" s="100"/>
      <c r="AH2337" s="101"/>
      <c r="AI2337" s="101"/>
      <c r="AJ2337" s="101"/>
      <c r="AK2337" s="100"/>
      <c r="AL2337" s="100"/>
      <c r="AM2337" s="100"/>
      <c r="AN2337" s="100"/>
      <c r="AO2337" s="100"/>
      <c r="AP2337" s="100"/>
      <c r="AQ2337" s="100"/>
      <c r="AR2337" s="100"/>
      <c r="AS2337" s="100"/>
      <c r="AT2337" s="102"/>
      <c r="AX2337" s="100"/>
      <c r="AY2337" s="101"/>
      <c r="AZ2337" s="101"/>
      <c r="BA2337" s="101"/>
      <c r="BB2337" s="100"/>
      <c r="BC2337" s="100"/>
      <c r="BD2337" s="100"/>
      <c r="BE2337" s="100"/>
      <c r="BF2337" s="100"/>
      <c r="BG2337" s="100"/>
      <c r="BH2337" s="100"/>
      <c r="BI2337" s="100"/>
      <c r="BJ2337" s="100"/>
      <c r="BK2337" s="102"/>
    </row>
    <row r="2338" spans="1:63" x14ac:dyDescent="0.25">
      <c r="A2338" s="92"/>
      <c r="B2338" s="93"/>
      <c r="C2338" s="93"/>
      <c r="D2338" s="92"/>
      <c r="E2338" s="92"/>
      <c r="F2338" s="92"/>
      <c r="G2338" s="92"/>
      <c r="H2338" s="92"/>
      <c r="I2338" s="92"/>
      <c r="J2338" s="92"/>
      <c r="K2338" s="92"/>
      <c r="L2338" s="92"/>
      <c r="M2338" s="92"/>
      <c r="N2338" s="94"/>
      <c r="AG2338" s="100"/>
      <c r="AH2338" s="101"/>
      <c r="AI2338" s="101"/>
      <c r="AJ2338" s="100"/>
      <c r="AK2338" s="100"/>
      <c r="AL2338" s="100"/>
      <c r="AM2338" s="100"/>
      <c r="AN2338" s="100"/>
      <c r="AO2338" s="100"/>
      <c r="AP2338" s="100"/>
      <c r="AQ2338" s="100"/>
      <c r="AR2338" s="100"/>
      <c r="AS2338" s="100"/>
      <c r="AT2338" s="102"/>
      <c r="AX2338" s="100"/>
      <c r="AY2338" s="101"/>
      <c r="AZ2338" s="101"/>
      <c r="BA2338" s="101"/>
      <c r="BB2338" s="100"/>
      <c r="BC2338" s="100"/>
      <c r="BD2338" s="100"/>
      <c r="BE2338" s="100"/>
      <c r="BF2338" s="100"/>
      <c r="BG2338" s="100"/>
      <c r="BH2338" s="100"/>
      <c r="BI2338" s="100"/>
      <c r="BJ2338" s="100"/>
      <c r="BK2338" s="102"/>
    </row>
    <row r="2339" spans="1:63" x14ac:dyDescent="0.25">
      <c r="A2339" s="92"/>
      <c r="B2339" s="93"/>
      <c r="C2339" s="93"/>
      <c r="D2339" s="92"/>
      <c r="E2339" s="92"/>
      <c r="F2339" s="92"/>
      <c r="G2339" s="92"/>
      <c r="H2339" s="92"/>
      <c r="I2339" s="92"/>
      <c r="J2339" s="92"/>
      <c r="K2339" s="92"/>
      <c r="L2339" s="92"/>
      <c r="M2339" s="92"/>
      <c r="N2339" s="94"/>
      <c r="AG2339" s="100"/>
      <c r="AH2339" s="101"/>
      <c r="AI2339" s="101"/>
      <c r="AJ2339" s="101"/>
      <c r="AK2339" s="100"/>
      <c r="AL2339" s="100"/>
      <c r="AM2339" s="100"/>
      <c r="AN2339" s="100"/>
      <c r="AO2339" s="100"/>
      <c r="AP2339" s="100"/>
      <c r="AQ2339" s="100"/>
      <c r="AR2339" s="100"/>
      <c r="AS2339" s="100"/>
      <c r="AT2339" s="102"/>
      <c r="AX2339" s="100"/>
      <c r="AY2339" s="101"/>
      <c r="AZ2339" s="101"/>
      <c r="BA2339" s="100"/>
      <c r="BB2339" s="100"/>
      <c r="BC2339" s="100"/>
      <c r="BD2339" s="100"/>
      <c r="BE2339" s="100"/>
      <c r="BF2339" s="100"/>
      <c r="BG2339" s="100"/>
      <c r="BH2339" s="100"/>
      <c r="BI2339" s="100"/>
      <c r="BJ2339" s="100"/>
      <c r="BK2339" s="102"/>
    </row>
    <row r="2340" spans="1:63" x14ac:dyDescent="0.25">
      <c r="A2340" s="92"/>
      <c r="B2340" s="92"/>
      <c r="C2340" s="92"/>
      <c r="D2340" s="92"/>
      <c r="E2340" s="92"/>
      <c r="F2340" s="92"/>
      <c r="G2340" s="92"/>
      <c r="H2340" s="92"/>
      <c r="I2340" s="92"/>
      <c r="J2340" s="92"/>
      <c r="K2340" s="92"/>
      <c r="L2340" s="92"/>
      <c r="M2340" s="92"/>
      <c r="N2340" s="92"/>
      <c r="AG2340" s="100"/>
      <c r="AH2340" s="101"/>
      <c r="AI2340" s="101"/>
      <c r="AJ2340" s="100"/>
      <c r="AK2340" s="100"/>
      <c r="AL2340" s="100"/>
      <c r="AM2340" s="100"/>
      <c r="AN2340" s="100"/>
      <c r="AO2340" s="100"/>
      <c r="AP2340" s="100"/>
      <c r="AQ2340" s="100"/>
      <c r="AR2340" s="100"/>
      <c r="AS2340" s="100"/>
      <c r="AT2340" s="102"/>
      <c r="AX2340" s="100"/>
      <c r="AY2340" s="101"/>
      <c r="AZ2340" s="101"/>
      <c r="BA2340" s="100"/>
      <c r="BB2340" s="100"/>
      <c r="BC2340" s="100"/>
      <c r="BD2340" s="100"/>
      <c r="BE2340" s="100"/>
      <c r="BF2340" s="100"/>
      <c r="BG2340" s="100"/>
      <c r="BH2340" s="100"/>
      <c r="BI2340" s="100"/>
      <c r="BJ2340" s="100"/>
      <c r="BK2340" s="102"/>
    </row>
    <row r="2341" spans="1:63" x14ac:dyDescent="0.25">
      <c r="A2341" s="92"/>
      <c r="B2341" s="92"/>
      <c r="C2341" s="92"/>
      <c r="D2341" s="92"/>
      <c r="E2341" s="92"/>
      <c r="F2341" s="92"/>
      <c r="G2341" s="92"/>
      <c r="H2341" s="92"/>
      <c r="I2341" s="92"/>
      <c r="J2341" s="92"/>
      <c r="K2341" s="92"/>
      <c r="L2341" s="92"/>
      <c r="M2341" s="92"/>
      <c r="N2341" s="92"/>
      <c r="AG2341" s="100"/>
      <c r="AH2341" s="101"/>
      <c r="AI2341" s="101"/>
      <c r="AJ2341" s="100"/>
      <c r="AK2341" s="100"/>
      <c r="AL2341" s="100"/>
      <c r="AM2341" s="100"/>
      <c r="AN2341" s="100"/>
      <c r="AO2341" s="100"/>
      <c r="AP2341" s="100"/>
      <c r="AQ2341" s="100"/>
      <c r="AR2341" s="100"/>
      <c r="AS2341" s="100"/>
      <c r="AT2341" s="102"/>
      <c r="AX2341" s="100"/>
      <c r="AY2341" s="101"/>
      <c r="AZ2341" s="101"/>
      <c r="BA2341" s="100"/>
      <c r="BB2341" s="100"/>
      <c r="BC2341" s="100"/>
      <c r="BD2341" s="100"/>
      <c r="BE2341" s="100"/>
      <c r="BF2341" s="100"/>
      <c r="BG2341" s="100"/>
      <c r="BH2341" s="100"/>
      <c r="BI2341" s="100"/>
      <c r="BJ2341" s="100"/>
      <c r="BK2341" s="102"/>
    </row>
    <row r="2342" spans="1:63" x14ac:dyDescent="0.25">
      <c r="A2342" s="92"/>
      <c r="B2342" s="93"/>
      <c r="C2342" s="93"/>
      <c r="D2342" s="92"/>
      <c r="E2342" s="92"/>
      <c r="F2342" s="92"/>
      <c r="G2342" s="92"/>
      <c r="H2342" s="92"/>
      <c r="I2342" s="92"/>
      <c r="J2342" s="92"/>
      <c r="K2342" s="92"/>
      <c r="L2342" s="92"/>
      <c r="M2342" s="92"/>
      <c r="N2342" s="94"/>
      <c r="AG2342" s="100"/>
      <c r="AH2342" s="101"/>
      <c r="AI2342" s="101"/>
      <c r="AJ2342" s="100"/>
      <c r="AK2342" s="100"/>
      <c r="AL2342" s="100"/>
      <c r="AM2342" s="100"/>
      <c r="AN2342" s="100"/>
      <c r="AO2342" s="100"/>
      <c r="AP2342" s="100"/>
      <c r="AQ2342" s="100"/>
      <c r="AR2342" s="100"/>
      <c r="AS2342" s="100"/>
      <c r="AT2342" s="102"/>
      <c r="AX2342" s="100"/>
      <c r="AY2342" s="101"/>
      <c r="AZ2342" s="101"/>
      <c r="BA2342" s="100"/>
      <c r="BB2342" s="100"/>
      <c r="BC2342" s="100"/>
      <c r="BD2342" s="100"/>
      <c r="BE2342" s="100"/>
      <c r="BF2342" s="100"/>
      <c r="BG2342" s="100"/>
      <c r="BH2342" s="100"/>
      <c r="BI2342" s="100"/>
      <c r="BJ2342" s="100"/>
      <c r="BK2342" s="102"/>
    </row>
    <row r="2343" spans="1:63" x14ac:dyDescent="0.25">
      <c r="A2343" s="92"/>
      <c r="B2343" s="93"/>
      <c r="C2343" s="93"/>
      <c r="D2343" s="93"/>
      <c r="E2343" s="92"/>
      <c r="F2343" s="92"/>
      <c r="G2343" s="92"/>
      <c r="H2343" s="92"/>
      <c r="I2343" s="92"/>
      <c r="J2343" s="92"/>
      <c r="K2343" s="92"/>
      <c r="L2343" s="92"/>
      <c r="M2343" s="92"/>
      <c r="N2343" s="94"/>
      <c r="AG2343" s="100"/>
      <c r="AH2343" s="101"/>
      <c r="AI2343" s="101"/>
      <c r="AJ2343" s="100"/>
      <c r="AK2343" s="100"/>
      <c r="AL2343" s="100"/>
      <c r="AM2343" s="100"/>
      <c r="AN2343" s="100"/>
      <c r="AO2343" s="100"/>
      <c r="AP2343" s="100"/>
      <c r="AQ2343" s="100"/>
      <c r="AR2343" s="100"/>
      <c r="AS2343" s="100"/>
      <c r="AT2343" s="102"/>
      <c r="AX2343" s="100"/>
      <c r="AY2343" s="101"/>
      <c r="AZ2343" s="101"/>
      <c r="BA2343" s="100"/>
      <c r="BB2343" s="100"/>
      <c r="BC2343" s="100"/>
      <c r="BD2343" s="100"/>
      <c r="BE2343" s="100"/>
      <c r="BF2343" s="100"/>
      <c r="BG2343" s="100"/>
      <c r="BH2343" s="100"/>
      <c r="BI2343" s="100"/>
      <c r="BJ2343" s="100"/>
      <c r="BK2343" s="102"/>
    </row>
    <row r="2344" spans="1:63" x14ac:dyDescent="0.25">
      <c r="A2344" s="92"/>
      <c r="B2344" s="93"/>
      <c r="C2344" s="93"/>
      <c r="D2344" s="92"/>
      <c r="E2344" s="92"/>
      <c r="F2344" s="92"/>
      <c r="G2344" s="92"/>
      <c r="H2344" s="92"/>
      <c r="I2344" s="92"/>
      <c r="J2344" s="92"/>
      <c r="K2344" s="92"/>
      <c r="L2344" s="92"/>
      <c r="M2344" s="92"/>
      <c r="N2344" s="94"/>
      <c r="AG2344" s="100"/>
      <c r="AH2344" s="101"/>
      <c r="AI2344" s="101"/>
      <c r="AJ2344" s="100"/>
      <c r="AK2344" s="100"/>
      <c r="AL2344" s="100"/>
      <c r="AM2344" s="100"/>
      <c r="AN2344" s="100"/>
      <c r="AO2344" s="100"/>
      <c r="AP2344" s="100"/>
      <c r="AQ2344" s="100"/>
      <c r="AR2344" s="100"/>
      <c r="AS2344" s="100"/>
      <c r="AT2344" s="102"/>
      <c r="AX2344" s="100"/>
      <c r="AY2344" s="101"/>
      <c r="AZ2344" s="101"/>
      <c r="BA2344" s="101"/>
      <c r="BB2344" s="100"/>
      <c r="BC2344" s="100"/>
      <c r="BD2344" s="100"/>
      <c r="BE2344" s="100"/>
      <c r="BF2344" s="100"/>
      <c r="BG2344" s="100"/>
      <c r="BH2344" s="100"/>
      <c r="BI2344" s="100"/>
      <c r="BJ2344" s="100"/>
      <c r="BK2344" s="102"/>
    </row>
    <row r="2345" spans="1:63" x14ac:dyDescent="0.25">
      <c r="A2345" s="92"/>
      <c r="B2345" s="93"/>
      <c r="C2345" s="93"/>
      <c r="D2345" s="92"/>
      <c r="E2345" s="92"/>
      <c r="F2345" s="92"/>
      <c r="G2345" s="92"/>
      <c r="H2345" s="92"/>
      <c r="I2345" s="92"/>
      <c r="J2345" s="92"/>
      <c r="K2345" s="92"/>
      <c r="L2345" s="92"/>
      <c r="M2345" s="92"/>
      <c r="N2345" s="94"/>
      <c r="AG2345" s="100"/>
      <c r="AH2345" s="101"/>
      <c r="AI2345" s="101"/>
      <c r="AJ2345" s="101"/>
      <c r="AK2345" s="100"/>
      <c r="AL2345" s="100"/>
      <c r="AM2345" s="100"/>
      <c r="AN2345" s="100"/>
      <c r="AO2345" s="100"/>
      <c r="AP2345" s="100"/>
      <c r="AQ2345" s="100"/>
      <c r="AR2345" s="100"/>
      <c r="AS2345" s="100"/>
      <c r="AT2345" s="102"/>
      <c r="AX2345" s="100"/>
      <c r="AY2345" s="101"/>
      <c r="AZ2345" s="101"/>
      <c r="BA2345" s="100"/>
      <c r="BB2345" s="100"/>
      <c r="BC2345" s="100"/>
      <c r="BD2345" s="100"/>
      <c r="BE2345" s="100"/>
      <c r="BF2345" s="100"/>
      <c r="BG2345" s="100"/>
      <c r="BH2345" s="100"/>
      <c r="BI2345" s="100"/>
      <c r="BJ2345" s="100"/>
      <c r="BK2345" s="102"/>
    </row>
    <row r="2346" spans="1:63" x14ac:dyDescent="0.25">
      <c r="A2346" s="92"/>
      <c r="B2346" s="93"/>
      <c r="C2346" s="93"/>
      <c r="D2346" s="92"/>
      <c r="E2346" s="92"/>
      <c r="F2346" s="92"/>
      <c r="G2346" s="92"/>
      <c r="H2346" s="92"/>
      <c r="I2346" s="92"/>
      <c r="J2346" s="92"/>
      <c r="K2346" s="92"/>
      <c r="L2346" s="92"/>
      <c r="M2346" s="92"/>
      <c r="N2346" s="94"/>
      <c r="AG2346" s="100"/>
      <c r="AH2346" s="101"/>
      <c r="AI2346" s="101"/>
      <c r="AJ2346" s="100"/>
      <c r="AK2346" s="100"/>
      <c r="AL2346" s="100"/>
      <c r="AM2346" s="100"/>
      <c r="AN2346" s="100"/>
      <c r="AO2346" s="100"/>
      <c r="AP2346" s="100"/>
      <c r="AQ2346" s="100"/>
      <c r="AR2346" s="100"/>
      <c r="AS2346" s="100"/>
      <c r="AT2346" s="102"/>
      <c r="AX2346" s="100"/>
      <c r="AY2346" s="101"/>
      <c r="AZ2346" s="101"/>
      <c r="BA2346" s="100"/>
      <c r="BB2346" s="100"/>
      <c r="BC2346" s="100"/>
      <c r="BD2346" s="100"/>
      <c r="BE2346" s="100"/>
      <c r="BF2346" s="100"/>
      <c r="BG2346" s="100"/>
      <c r="BH2346" s="100"/>
      <c r="BI2346" s="100"/>
      <c r="BJ2346" s="100"/>
      <c r="BK2346" s="102"/>
    </row>
    <row r="2347" spans="1:63" x14ac:dyDescent="0.25">
      <c r="A2347" s="92"/>
      <c r="B2347" s="93"/>
      <c r="C2347" s="93"/>
      <c r="D2347" s="92"/>
      <c r="E2347" s="92"/>
      <c r="F2347" s="92"/>
      <c r="G2347" s="92"/>
      <c r="H2347" s="92"/>
      <c r="I2347" s="92"/>
      <c r="J2347" s="92"/>
      <c r="K2347" s="92"/>
      <c r="L2347" s="92"/>
      <c r="M2347" s="92"/>
      <c r="N2347" s="94"/>
      <c r="AG2347" s="100"/>
      <c r="AH2347" s="101"/>
      <c r="AI2347" s="101"/>
      <c r="AJ2347" s="100"/>
      <c r="AK2347" s="100"/>
      <c r="AL2347" s="100"/>
      <c r="AM2347" s="100"/>
      <c r="AN2347" s="100"/>
      <c r="AO2347" s="100"/>
      <c r="AP2347" s="100"/>
      <c r="AQ2347" s="100"/>
      <c r="AR2347" s="100"/>
      <c r="AS2347" s="100"/>
      <c r="AT2347" s="102"/>
      <c r="AX2347" s="100"/>
      <c r="AY2347" s="101"/>
      <c r="AZ2347" s="101"/>
      <c r="BA2347" s="100"/>
      <c r="BB2347" s="100"/>
      <c r="BC2347" s="100"/>
      <c r="BD2347" s="100"/>
      <c r="BE2347" s="100"/>
      <c r="BF2347" s="100"/>
      <c r="BG2347" s="100"/>
      <c r="BH2347" s="100"/>
      <c r="BI2347" s="100"/>
      <c r="BJ2347" s="100"/>
      <c r="BK2347" s="102"/>
    </row>
    <row r="2348" spans="1:63" x14ac:dyDescent="0.25">
      <c r="A2348" s="92"/>
      <c r="B2348" s="93"/>
      <c r="C2348" s="93"/>
      <c r="D2348" s="92"/>
      <c r="E2348" s="92"/>
      <c r="F2348" s="92"/>
      <c r="G2348" s="92"/>
      <c r="H2348" s="92"/>
      <c r="I2348" s="92"/>
      <c r="J2348" s="92"/>
      <c r="K2348" s="92"/>
      <c r="L2348" s="92"/>
      <c r="M2348" s="92"/>
      <c r="N2348" s="94"/>
      <c r="AG2348" s="100"/>
      <c r="AH2348" s="101"/>
      <c r="AI2348" s="101"/>
      <c r="AJ2348" s="100"/>
      <c r="AK2348" s="100"/>
      <c r="AL2348" s="100"/>
      <c r="AM2348" s="100"/>
      <c r="AN2348" s="100"/>
      <c r="AO2348" s="100"/>
      <c r="AP2348" s="100"/>
      <c r="AQ2348" s="100"/>
      <c r="AR2348" s="100"/>
      <c r="AS2348" s="100"/>
      <c r="AT2348" s="102"/>
      <c r="AX2348" s="100"/>
      <c r="AY2348" s="101"/>
      <c r="AZ2348" s="101"/>
      <c r="BA2348" s="101"/>
      <c r="BB2348" s="100"/>
      <c r="BC2348" s="100"/>
      <c r="BD2348" s="100"/>
      <c r="BE2348" s="100"/>
      <c r="BF2348" s="100"/>
      <c r="BG2348" s="100"/>
      <c r="BH2348" s="100"/>
      <c r="BI2348" s="100"/>
      <c r="BJ2348" s="100"/>
      <c r="BK2348" s="102"/>
    </row>
    <row r="2349" spans="1:63" x14ac:dyDescent="0.25">
      <c r="A2349" s="92"/>
      <c r="B2349" s="93"/>
      <c r="C2349" s="93"/>
      <c r="D2349" s="92"/>
      <c r="E2349" s="92"/>
      <c r="F2349" s="92"/>
      <c r="G2349" s="92"/>
      <c r="H2349" s="92"/>
      <c r="I2349" s="92"/>
      <c r="J2349" s="92"/>
      <c r="K2349" s="92"/>
      <c r="L2349" s="92"/>
      <c r="M2349" s="92"/>
      <c r="N2349" s="94"/>
      <c r="AG2349" s="100"/>
      <c r="AH2349" s="101"/>
      <c r="AI2349" s="101"/>
      <c r="AJ2349" s="100"/>
      <c r="AK2349" s="100"/>
      <c r="AL2349" s="100"/>
      <c r="AM2349" s="100"/>
      <c r="AN2349" s="100"/>
      <c r="AO2349" s="100"/>
      <c r="AP2349" s="100"/>
      <c r="AQ2349" s="100"/>
      <c r="AR2349" s="100"/>
      <c r="AS2349" s="100"/>
      <c r="AT2349" s="102"/>
      <c r="AX2349" s="100"/>
      <c r="AY2349" s="101"/>
      <c r="AZ2349" s="101"/>
      <c r="BA2349" s="100"/>
      <c r="BB2349" s="100"/>
      <c r="BC2349" s="100"/>
      <c r="BD2349" s="100"/>
      <c r="BE2349" s="100"/>
      <c r="BF2349" s="100"/>
      <c r="BG2349" s="100"/>
      <c r="BH2349" s="100"/>
      <c r="BI2349" s="100"/>
      <c r="BJ2349" s="100"/>
      <c r="BK2349" s="102"/>
    </row>
    <row r="2350" spans="1:63" x14ac:dyDescent="0.25">
      <c r="A2350" s="92"/>
      <c r="B2350" s="92"/>
      <c r="C2350" s="92"/>
      <c r="D2350" s="92"/>
      <c r="E2350" s="92"/>
      <c r="F2350" s="92"/>
      <c r="G2350" s="92"/>
      <c r="H2350" s="92"/>
      <c r="I2350" s="92"/>
      <c r="J2350" s="92"/>
      <c r="K2350" s="92"/>
      <c r="L2350" s="92"/>
      <c r="M2350" s="92"/>
      <c r="N2350" s="92"/>
      <c r="AG2350" s="100"/>
      <c r="AH2350" s="101"/>
      <c r="AI2350" s="101"/>
      <c r="AJ2350" s="100"/>
      <c r="AK2350" s="100"/>
      <c r="AL2350" s="100"/>
      <c r="AM2350" s="100"/>
      <c r="AN2350" s="100"/>
      <c r="AO2350" s="100"/>
      <c r="AP2350" s="100"/>
      <c r="AQ2350" s="100"/>
      <c r="AR2350" s="100"/>
      <c r="AS2350" s="100"/>
      <c r="AT2350" s="102"/>
      <c r="AX2350" s="100"/>
      <c r="AY2350" s="101"/>
      <c r="AZ2350" s="101"/>
      <c r="BA2350" s="100"/>
      <c r="BB2350" s="100"/>
      <c r="BC2350" s="100"/>
      <c r="BD2350" s="100"/>
      <c r="BE2350" s="100"/>
      <c r="BF2350" s="100"/>
      <c r="BG2350" s="100"/>
      <c r="BH2350" s="100"/>
      <c r="BI2350" s="100"/>
      <c r="BJ2350" s="100"/>
      <c r="BK2350" s="102"/>
    </row>
    <row r="2351" spans="1:63" x14ac:dyDescent="0.25">
      <c r="A2351" s="92"/>
      <c r="B2351" s="92"/>
      <c r="C2351" s="92"/>
      <c r="D2351" s="92"/>
      <c r="E2351" s="92"/>
      <c r="F2351" s="92"/>
      <c r="G2351" s="92"/>
      <c r="H2351" s="92"/>
      <c r="I2351" s="92"/>
      <c r="J2351" s="92"/>
      <c r="K2351" s="92"/>
      <c r="L2351" s="92"/>
      <c r="M2351" s="92"/>
      <c r="N2351" s="92"/>
      <c r="AG2351" s="100"/>
      <c r="AH2351" s="101"/>
      <c r="AI2351" s="101"/>
      <c r="AJ2351" s="100"/>
      <c r="AK2351" s="100"/>
      <c r="AL2351" s="100"/>
      <c r="AM2351" s="100"/>
      <c r="AN2351" s="100"/>
      <c r="AO2351" s="100"/>
      <c r="AP2351" s="100"/>
      <c r="AQ2351" s="100"/>
      <c r="AR2351" s="100"/>
      <c r="AS2351" s="100"/>
      <c r="AT2351" s="102"/>
      <c r="AX2351" s="100"/>
      <c r="AY2351" s="101"/>
      <c r="AZ2351" s="101"/>
      <c r="BA2351" s="101"/>
      <c r="BB2351" s="100"/>
      <c r="BC2351" s="100"/>
      <c r="BD2351" s="100"/>
      <c r="BE2351" s="100"/>
      <c r="BF2351" s="100"/>
      <c r="BG2351" s="100"/>
      <c r="BH2351" s="100"/>
      <c r="BI2351" s="100"/>
      <c r="BJ2351" s="100"/>
      <c r="BK2351" s="102"/>
    </row>
    <row r="2352" spans="1:63" x14ac:dyDescent="0.25">
      <c r="A2352" s="92"/>
      <c r="B2352" s="93"/>
      <c r="C2352" s="93"/>
      <c r="D2352" s="92"/>
      <c r="E2352" s="92"/>
      <c r="F2352" s="92"/>
      <c r="G2352" s="92"/>
      <c r="H2352" s="92"/>
      <c r="I2352" s="92"/>
      <c r="J2352" s="92"/>
      <c r="K2352" s="92"/>
      <c r="L2352" s="92"/>
      <c r="M2352" s="92"/>
      <c r="N2352" s="94"/>
      <c r="AG2352" s="100"/>
      <c r="AH2352" s="101"/>
      <c r="AI2352" s="101"/>
      <c r="AJ2352" s="100"/>
      <c r="AK2352" s="100"/>
      <c r="AL2352" s="100"/>
      <c r="AM2352" s="100"/>
      <c r="AN2352" s="100"/>
      <c r="AO2352" s="100"/>
      <c r="AP2352" s="100"/>
      <c r="AQ2352" s="100"/>
      <c r="AR2352" s="100"/>
      <c r="AS2352" s="100"/>
      <c r="AT2352" s="102"/>
      <c r="AX2352" s="100"/>
      <c r="AY2352" s="101"/>
      <c r="AZ2352" s="101"/>
      <c r="BA2352" s="100"/>
      <c r="BB2352" s="100"/>
      <c r="BC2352" s="100"/>
      <c r="BD2352" s="100"/>
      <c r="BE2352" s="100"/>
      <c r="BF2352" s="100"/>
      <c r="BG2352" s="100"/>
      <c r="BH2352" s="100"/>
      <c r="BI2352" s="100"/>
      <c r="BJ2352" s="100"/>
      <c r="BK2352" s="102"/>
    </row>
    <row r="2353" spans="1:63" x14ac:dyDescent="0.25">
      <c r="A2353" s="92"/>
      <c r="B2353" s="93"/>
      <c r="C2353" s="93"/>
      <c r="D2353" s="92"/>
      <c r="E2353" s="92"/>
      <c r="F2353" s="92"/>
      <c r="G2353" s="92"/>
      <c r="H2353" s="92"/>
      <c r="I2353" s="92"/>
      <c r="J2353" s="92"/>
      <c r="K2353" s="92"/>
      <c r="L2353" s="92"/>
      <c r="M2353" s="92"/>
      <c r="N2353" s="94"/>
      <c r="AG2353" s="100"/>
      <c r="AH2353" s="101"/>
      <c r="AI2353" s="101"/>
      <c r="AJ2353" s="101"/>
      <c r="AK2353" s="100"/>
      <c r="AL2353" s="100"/>
      <c r="AM2353" s="100"/>
      <c r="AN2353" s="100"/>
      <c r="AO2353" s="100"/>
      <c r="AP2353" s="100"/>
      <c r="AQ2353" s="100"/>
      <c r="AR2353" s="100"/>
      <c r="AS2353" s="100"/>
      <c r="AT2353" s="102"/>
      <c r="AX2353" s="100"/>
      <c r="AY2353" s="101"/>
      <c r="AZ2353" s="101"/>
      <c r="BA2353" s="101"/>
      <c r="BB2353" s="100"/>
      <c r="BC2353" s="100"/>
      <c r="BD2353" s="100"/>
      <c r="BE2353" s="100"/>
      <c r="BF2353" s="100"/>
      <c r="BG2353" s="100"/>
      <c r="BH2353" s="100"/>
      <c r="BI2353" s="100"/>
      <c r="BJ2353" s="100"/>
      <c r="BK2353" s="102"/>
    </row>
    <row r="2354" spans="1:63" x14ac:dyDescent="0.25">
      <c r="A2354" s="92"/>
      <c r="B2354" s="93"/>
      <c r="C2354" s="93"/>
      <c r="D2354" s="93"/>
      <c r="E2354" s="92"/>
      <c r="F2354" s="92"/>
      <c r="G2354" s="92"/>
      <c r="H2354" s="92"/>
      <c r="I2354" s="92"/>
      <c r="J2354" s="92"/>
      <c r="K2354" s="92"/>
      <c r="L2354" s="92"/>
      <c r="M2354" s="92"/>
      <c r="N2354" s="94"/>
      <c r="AG2354" s="100"/>
      <c r="AH2354" s="101"/>
      <c r="AI2354" s="101"/>
      <c r="AJ2354" s="100"/>
      <c r="AK2354" s="100"/>
      <c r="AL2354" s="100"/>
      <c r="AM2354" s="100"/>
      <c r="AN2354" s="100"/>
      <c r="AO2354" s="100"/>
      <c r="AP2354" s="100"/>
      <c r="AQ2354" s="100"/>
      <c r="AR2354" s="100"/>
      <c r="AS2354" s="100"/>
      <c r="AT2354" s="102"/>
      <c r="AX2354" s="100"/>
      <c r="AY2354" s="101"/>
      <c r="AZ2354" s="101"/>
      <c r="BA2354" s="100"/>
      <c r="BB2354" s="100"/>
      <c r="BC2354" s="100"/>
      <c r="BD2354" s="100"/>
      <c r="BE2354" s="100"/>
      <c r="BF2354" s="100"/>
      <c r="BG2354" s="100"/>
      <c r="BH2354" s="100"/>
      <c r="BI2354" s="100"/>
      <c r="BJ2354" s="100"/>
      <c r="BK2354" s="102"/>
    </row>
    <row r="2355" spans="1:63" x14ac:dyDescent="0.25">
      <c r="A2355" s="92"/>
      <c r="B2355" s="92"/>
      <c r="C2355" s="92"/>
      <c r="D2355" s="92"/>
      <c r="E2355" s="92"/>
      <c r="F2355" s="92"/>
      <c r="G2355" s="92"/>
      <c r="H2355" s="92"/>
      <c r="I2355" s="92"/>
      <c r="J2355" s="92"/>
      <c r="K2355" s="92"/>
      <c r="L2355" s="92"/>
      <c r="M2355" s="92"/>
      <c r="N2355" s="92"/>
      <c r="AG2355" s="100"/>
      <c r="AH2355" s="101"/>
      <c r="AI2355" s="101"/>
      <c r="AJ2355" s="100"/>
      <c r="AK2355" s="100"/>
      <c r="AL2355" s="100"/>
      <c r="AM2355" s="100"/>
      <c r="AN2355" s="100"/>
      <c r="AO2355" s="100"/>
      <c r="AP2355" s="100"/>
      <c r="AQ2355" s="100"/>
      <c r="AR2355" s="100"/>
      <c r="AS2355" s="100"/>
      <c r="AT2355" s="102"/>
      <c r="AX2355" s="100"/>
      <c r="AY2355" s="101"/>
      <c r="AZ2355" s="101"/>
      <c r="BA2355" s="100"/>
      <c r="BB2355" s="100"/>
      <c r="BC2355" s="100"/>
      <c r="BD2355" s="100"/>
      <c r="BE2355" s="100"/>
      <c r="BF2355" s="100"/>
      <c r="BG2355" s="100"/>
      <c r="BH2355" s="100"/>
      <c r="BI2355" s="100"/>
      <c r="BJ2355" s="100"/>
      <c r="BK2355" s="102"/>
    </row>
    <row r="2356" spans="1:63" x14ac:dyDescent="0.25">
      <c r="A2356" s="92"/>
      <c r="B2356" s="92"/>
      <c r="C2356" s="92"/>
      <c r="D2356" s="92"/>
      <c r="E2356" s="92"/>
      <c r="F2356" s="92"/>
      <c r="G2356" s="92"/>
      <c r="H2356" s="92"/>
      <c r="I2356" s="92"/>
      <c r="J2356" s="92"/>
      <c r="K2356" s="92"/>
      <c r="L2356" s="92"/>
      <c r="M2356" s="92"/>
      <c r="N2356" s="92"/>
      <c r="AG2356" s="100"/>
      <c r="AH2356" s="101"/>
      <c r="AI2356" s="101"/>
      <c r="AJ2356" s="100"/>
      <c r="AK2356" s="100"/>
      <c r="AL2356" s="100"/>
      <c r="AM2356" s="100"/>
      <c r="AN2356" s="100"/>
      <c r="AO2356" s="100"/>
      <c r="AP2356" s="100"/>
      <c r="AQ2356" s="100"/>
      <c r="AR2356" s="100"/>
      <c r="AS2356" s="100"/>
      <c r="AT2356" s="102"/>
      <c r="AX2356" s="100"/>
      <c r="AY2356" s="101"/>
      <c r="AZ2356" s="101"/>
      <c r="BA2356" s="100"/>
      <c r="BB2356" s="100"/>
      <c r="BC2356" s="100"/>
      <c r="BD2356" s="100"/>
      <c r="BE2356" s="100"/>
      <c r="BF2356" s="100"/>
      <c r="BG2356" s="100"/>
      <c r="BH2356" s="100"/>
      <c r="BI2356" s="100"/>
      <c r="BJ2356" s="100"/>
      <c r="BK2356" s="102"/>
    </row>
    <row r="2357" spans="1:63" x14ac:dyDescent="0.25">
      <c r="A2357" s="92"/>
      <c r="B2357" s="92"/>
      <c r="C2357" s="92"/>
      <c r="D2357" s="92"/>
      <c r="E2357" s="92"/>
      <c r="F2357" s="92"/>
      <c r="G2357" s="92"/>
      <c r="H2357" s="92"/>
      <c r="I2357" s="92"/>
      <c r="J2357" s="92"/>
      <c r="K2357" s="92"/>
      <c r="L2357" s="92"/>
      <c r="M2357" s="92"/>
      <c r="N2357" s="92"/>
      <c r="AG2357" s="100"/>
      <c r="AH2357" s="101"/>
      <c r="AI2357" s="101"/>
      <c r="AJ2357" s="100"/>
      <c r="AK2357" s="100"/>
      <c r="AL2357" s="100"/>
      <c r="AM2357" s="100"/>
      <c r="AN2357" s="100"/>
      <c r="AO2357" s="100"/>
      <c r="AP2357" s="100"/>
      <c r="AQ2357" s="100"/>
      <c r="AR2357" s="100"/>
      <c r="AS2357" s="100"/>
      <c r="AT2357" s="102"/>
      <c r="AX2357" s="100"/>
      <c r="AY2357" s="101"/>
      <c r="AZ2357" s="101"/>
      <c r="BA2357" s="101"/>
      <c r="BB2357" s="100"/>
      <c r="BC2357" s="100"/>
      <c r="BD2357" s="100"/>
      <c r="BE2357" s="100"/>
      <c r="BF2357" s="100"/>
      <c r="BG2357" s="100"/>
      <c r="BH2357" s="100"/>
      <c r="BI2357" s="100"/>
      <c r="BJ2357" s="100"/>
      <c r="BK2357" s="102"/>
    </row>
    <row r="2358" spans="1:63" x14ac:dyDescent="0.25">
      <c r="A2358" s="92"/>
      <c r="B2358" s="92"/>
      <c r="C2358" s="92"/>
      <c r="D2358" s="92"/>
      <c r="E2358" s="92"/>
      <c r="F2358" s="92"/>
      <c r="G2358" s="92"/>
      <c r="H2358" s="92"/>
      <c r="I2358" s="92"/>
      <c r="J2358" s="92"/>
      <c r="K2358" s="92"/>
      <c r="L2358" s="92"/>
      <c r="M2358" s="92"/>
      <c r="N2358" s="92"/>
      <c r="AG2358" s="100"/>
      <c r="AH2358" s="101"/>
      <c r="AI2358" s="101"/>
      <c r="AJ2358" s="100"/>
      <c r="AK2358" s="100"/>
      <c r="AL2358" s="100"/>
      <c r="AM2358" s="100"/>
      <c r="AN2358" s="100"/>
      <c r="AO2358" s="100"/>
      <c r="AP2358" s="100"/>
      <c r="AQ2358" s="100"/>
      <c r="AR2358" s="100"/>
      <c r="AS2358" s="100"/>
      <c r="AT2358" s="102"/>
      <c r="AX2358" s="100"/>
      <c r="AY2358" s="101"/>
      <c r="AZ2358" s="101"/>
      <c r="BA2358" s="100"/>
      <c r="BB2358" s="100"/>
      <c r="BC2358" s="100"/>
      <c r="BD2358" s="100"/>
      <c r="BE2358" s="100"/>
      <c r="BF2358" s="100"/>
      <c r="BG2358" s="100"/>
      <c r="BH2358" s="100"/>
      <c r="BI2358" s="100"/>
      <c r="BJ2358" s="100"/>
      <c r="BK2358" s="102"/>
    </row>
    <row r="2359" spans="1:63" x14ac:dyDescent="0.25">
      <c r="A2359" s="92"/>
      <c r="B2359" s="92"/>
      <c r="C2359" s="92"/>
      <c r="D2359" s="92"/>
      <c r="E2359" s="92"/>
      <c r="F2359" s="92"/>
      <c r="G2359" s="92"/>
      <c r="H2359" s="92"/>
      <c r="I2359" s="92"/>
      <c r="J2359" s="92"/>
      <c r="K2359" s="92"/>
      <c r="L2359" s="92"/>
      <c r="M2359" s="92"/>
      <c r="N2359" s="92"/>
      <c r="AG2359" s="100"/>
      <c r="AH2359" s="101"/>
      <c r="AI2359" s="101"/>
      <c r="AJ2359" s="100"/>
      <c r="AK2359" s="100"/>
      <c r="AL2359" s="100"/>
      <c r="AM2359" s="100"/>
      <c r="AN2359" s="100"/>
      <c r="AO2359" s="100"/>
      <c r="AP2359" s="100"/>
      <c r="AQ2359" s="100"/>
      <c r="AR2359" s="100"/>
      <c r="AS2359" s="100"/>
      <c r="AT2359" s="102"/>
      <c r="AX2359" s="100"/>
      <c r="AY2359" s="101"/>
      <c r="AZ2359" s="101"/>
      <c r="BA2359" s="101"/>
      <c r="BB2359" s="100"/>
      <c r="BC2359" s="100"/>
      <c r="BD2359" s="100"/>
      <c r="BE2359" s="100"/>
      <c r="BF2359" s="100"/>
      <c r="BG2359" s="100"/>
      <c r="BH2359" s="100"/>
      <c r="BI2359" s="100"/>
      <c r="BJ2359" s="100"/>
      <c r="BK2359" s="102"/>
    </row>
    <row r="2360" spans="1:63" x14ac:dyDescent="0.25">
      <c r="A2360" s="92"/>
      <c r="B2360" s="92"/>
      <c r="C2360" s="92"/>
      <c r="D2360" s="92"/>
      <c r="E2360" s="92"/>
      <c r="F2360" s="92"/>
      <c r="G2360" s="92"/>
      <c r="H2360" s="92"/>
      <c r="I2360" s="92"/>
      <c r="J2360" s="92"/>
      <c r="K2360" s="92"/>
      <c r="L2360" s="92"/>
      <c r="M2360" s="92"/>
      <c r="N2360" s="92"/>
      <c r="AG2360" s="100"/>
      <c r="AH2360" s="101"/>
      <c r="AI2360" s="101"/>
      <c r="AJ2360" s="100"/>
      <c r="AK2360" s="100"/>
      <c r="AL2360" s="100"/>
      <c r="AM2360" s="100"/>
      <c r="AN2360" s="100"/>
      <c r="AO2360" s="100"/>
      <c r="AP2360" s="100"/>
      <c r="AQ2360" s="100"/>
      <c r="AR2360" s="100"/>
      <c r="AS2360" s="100"/>
      <c r="AT2360" s="102"/>
      <c r="AX2360" s="100"/>
      <c r="AY2360" s="101"/>
      <c r="AZ2360" s="101"/>
      <c r="BA2360" s="100"/>
      <c r="BB2360" s="100"/>
      <c r="BC2360" s="100"/>
      <c r="BD2360" s="100"/>
      <c r="BE2360" s="100"/>
      <c r="BF2360" s="100"/>
      <c r="BG2360" s="100"/>
      <c r="BH2360" s="100"/>
      <c r="BI2360" s="100"/>
      <c r="BJ2360" s="100"/>
      <c r="BK2360" s="102"/>
    </row>
    <row r="2361" spans="1:63" x14ac:dyDescent="0.25">
      <c r="A2361" s="92"/>
      <c r="B2361" s="92"/>
      <c r="C2361" s="92"/>
      <c r="D2361" s="92"/>
      <c r="E2361" s="92"/>
      <c r="F2361" s="92"/>
      <c r="G2361" s="92"/>
      <c r="H2361" s="92"/>
      <c r="I2361" s="92"/>
      <c r="J2361" s="92"/>
      <c r="K2361" s="92"/>
      <c r="L2361" s="92"/>
      <c r="M2361" s="92"/>
      <c r="N2361" s="92"/>
      <c r="AG2361" s="100"/>
      <c r="AH2361" s="101"/>
      <c r="AI2361" s="101"/>
      <c r="AJ2361" s="100"/>
      <c r="AK2361" s="100"/>
      <c r="AL2361" s="100"/>
      <c r="AM2361" s="100"/>
      <c r="AN2361" s="100"/>
      <c r="AO2361" s="100"/>
      <c r="AP2361" s="100"/>
      <c r="AQ2361" s="100"/>
      <c r="AR2361" s="100"/>
      <c r="AS2361" s="100"/>
      <c r="AT2361" s="102"/>
      <c r="AX2361" s="100"/>
      <c r="AY2361" s="101"/>
      <c r="AZ2361" s="101"/>
      <c r="BA2361" s="100"/>
      <c r="BB2361" s="100"/>
      <c r="BC2361" s="100"/>
      <c r="BD2361" s="100"/>
      <c r="BE2361" s="100"/>
      <c r="BF2361" s="100"/>
      <c r="BG2361" s="100"/>
      <c r="BH2361" s="100"/>
      <c r="BI2361" s="100"/>
      <c r="BJ2361" s="100"/>
      <c r="BK2361" s="102"/>
    </row>
    <row r="2362" spans="1:63" x14ac:dyDescent="0.25">
      <c r="A2362" s="92"/>
      <c r="B2362" s="92"/>
      <c r="C2362" s="92"/>
      <c r="D2362" s="92"/>
      <c r="E2362" s="92"/>
      <c r="F2362" s="92"/>
      <c r="G2362" s="92"/>
      <c r="H2362" s="92"/>
      <c r="I2362" s="92"/>
      <c r="J2362" s="92"/>
      <c r="K2362" s="92"/>
      <c r="L2362" s="92"/>
      <c r="M2362" s="92"/>
      <c r="N2362" s="92"/>
      <c r="AG2362" s="100"/>
      <c r="AH2362" s="101"/>
      <c r="AI2362" s="101"/>
      <c r="AJ2362" s="100"/>
      <c r="AK2362" s="100"/>
      <c r="AL2362" s="100"/>
      <c r="AM2362" s="100"/>
      <c r="AN2362" s="100"/>
      <c r="AO2362" s="100"/>
      <c r="AP2362" s="100"/>
      <c r="AQ2362" s="100"/>
      <c r="AR2362" s="100"/>
      <c r="AS2362" s="100"/>
      <c r="AT2362" s="102"/>
      <c r="AX2362" s="100"/>
      <c r="AY2362" s="101"/>
      <c r="AZ2362" s="101"/>
      <c r="BA2362" s="100"/>
      <c r="BB2362" s="100"/>
      <c r="BC2362" s="100"/>
      <c r="BD2362" s="100"/>
      <c r="BE2362" s="100"/>
      <c r="BF2362" s="100"/>
      <c r="BG2362" s="100"/>
      <c r="BH2362" s="100"/>
      <c r="BI2362" s="100"/>
      <c r="BJ2362" s="100"/>
      <c r="BK2362" s="102"/>
    </row>
    <row r="2363" spans="1:63" x14ac:dyDescent="0.25">
      <c r="A2363" s="92"/>
      <c r="B2363" s="92"/>
      <c r="C2363" s="92"/>
      <c r="D2363" s="92"/>
      <c r="E2363" s="92"/>
      <c r="F2363" s="92"/>
      <c r="G2363" s="92"/>
      <c r="H2363" s="92"/>
      <c r="I2363" s="92"/>
      <c r="J2363" s="92"/>
      <c r="K2363" s="92"/>
      <c r="L2363" s="92"/>
      <c r="M2363" s="92"/>
      <c r="N2363" s="92"/>
      <c r="AG2363" s="100"/>
      <c r="AH2363" s="101"/>
      <c r="AI2363" s="101"/>
      <c r="AJ2363" s="100"/>
      <c r="AK2363" s="100"/>
      <c r="AL2363" s="100"/>
      <c r="AM2363" s="100"/>
      <c r="AN2363" s="100"/>
      <c r="AO2363" s="100"/>
      <c r="AP2363" s="100"/>
      <c r="AQ2363" s="100"/>
      <c r="AR2363" s="100"/>
      <c r="AS2363" s="100"/>
      <c r="AT2363" s="102"/>
      <c r="AX2363" s="100"/>
      <c r="AY2363" s="101"/>
      <c r="AZ2363" s="101"/>
      <c r="BA2363" s="100"/>
      <c r="BB2363" s="100"/>
      <c r="BC2363" s="100"/>
      <c r="BD2363" s="100"/>
      <c r="BE2363" s="100"/>
      <c r="BF2363" s="100"/>
      <c r="BG2363" s="100"/>
      <c r="BH2363" s="100"/>
      <c r="BI2363" s="100"/>
      <c r="BJ2363" s="100"/>
      <c r="BK2363" s="102"/>
    </row>
    <row r="2364" spans="1:63" x14ac:dyDescent="0.25">
      <c r="A2364" s="92"/>
      <c r="B2364" s="92"/>
      <c r="C2364" s="92"/>
      <c r="D2364" s="92"/>
      <c r="E2364" s="92"/>
      <c r="F2364" s="92"/>
      <c r="G2364" s="92"/>
      <c r="H2364" s="92"/>
      <c r="I2364" s="92"/>
      <c r="J2364" s="92"/>
      <c r="K2364" s="92"/>
      <c r="L2364" s="92"/>
      <c r="M2364" s="92"/>
      <c r="N2364" s="92"/>
      <c r="AG2364" s="100"/>
      <c r="AH2364" s="101"/>
      <c r="AI2364" s="101"/>
      <c r="AJ2364" s="100"/>
      <c r="AK2364" s="100"/>
      <c r="AL2364" s="100"/>
      <c r="AM2364" s="100"/>
      <c r="AN2364" s="100"/>
      <c r="AO2364" s="100"/>
      <c r="AP2364" s="100"/>
      <c r="AQ2364" s="100"/>
      <c r="AR2364" s="100"/>
      <c r="AS2364" s="100"/>
      <c r="AT2364" s="102"/>
      <c r="AX2364" s="100"/>
      <c r="AY2364" s="101"/>
      <c r="AZ2364" s="101"/>
      <c r="BA2364" s="100"/>
      <c r="BB2364" s="100"/>
      <c r="BC2364" s="100"/>
      <c r="BD2364" s="100"/>
      <c r="BE2364" s="100"/>
      <c r="BF2364" s="100"/>
      <c r="BG2364" s="100"/>
      <c r="BH2364" s="100"/>
      <c r="BI2364" s="100"/>
      <c r="BJ2364" s="100"/>
      <c r="BK2364" s="102"/>
    </row>
    <row r="2365" spans="1:63" x14ac:dyDescent="0.25">
      <c r="A2365" s="92"/>
      <c r="B2365" s="92"/>
      <c r="C2365" s="92"/>
      <c r="D2365" s="92"/>
      <c r="E2365" s="92"/>
      <c r="F2365" s="92"/>
      <c r="G2365" s="92"/>
      <c r="H2365" s="92"/>
      <c r="I2365" s="92"/>
      <c r="J2365" s="92"/>
      <c r="K2365" s="92"/>
      <c r="L2365" s="92"/>
      <c r="M2365" s="92"/>
      <c r="N2365" s="92"/>
      <c r="AG2365" s="100"/>
      <c r="AH2365" s="101"/>
      <c r="AI2365" s="101"/>
      <c r="AJ2365" s="100"/>
      <c r="AK2365" s="100"/>
      <c r="AL2365" s="100"/>
      <c r="AM2365" s="100"/>
      <c r="AN2365" s="100"/>
      <c r="AO2365" s="100"/>
      <c r="AP2365" s="100"/>
      <c r="AQ2365" s="100"/>
      <c r="AR2365" s="100"/>
      <c r="AS2365" s="100"/>
      <c r="AT2365" s="102"/>
      <c r="AX2365" s="100"/>
      <c r="AY2365" s="101"/>
      <c r="AZ2365" s="101"/>
      <c r="BA2365" s="101"/>
      <c r="BB2365" s="100"/>
      <c r="BC2365" s="100"/>
      <c r="BD2365" s="100"/>
      <c r="BE2365" s="100"/>
      <c r="BF2365" s="100"/>
      <c r="BG2365" s="100"/>
      <c r="BH2365" s="100"/>
      <c r="BI2365" s="100"/>
      <c r="BJ2365" s="100"/>
      <c r="BK2365" s="102"/>
    </row>
    <row r="2366" spans="1:63" x14ac:dyDescent="0.25">
      <c r="A2366" s="92"/>
      <c r="B2366" s="93"/>
      <c r="C2366" s="93"/>
      <c r="D2366" s="92"/>
      <c r="E2366" s="92"/>
      <c r="F2366" s="92"/>
      <c r="G2366" s="92"/>
      <c r="H2366" s="92"/>
      <c r="I2366" s="92"/>
      <c r="J2366" s="96"/>
      <c r="K2366" s="92"/>
      <c r="L2366" s="92"/>
      <c r="M2366" s="92"/>
      <c r="N2366" s="94"/>
      <c r="AG2366" s="100"/>
      <c r="AH2366" s="101"/>
      <c r="AI2366" s="101"/>
      <c r="AJ2366" s="100"/>
      <c r="AK2366" s="100"/>
      <c r="AL2366" s="100"/>
      <c r="AM2366" s="100"/>
      <c r="AN2366" s="100"/>
      <c r="AO2366" s="100"/>
      <c r="AP2366" s="100"/>
      <c r="AQ2366" s="100"/>
      <c r="AR2366" s="100"/>
      <c r="AS2366" s="100"/>
      <c r="AT2366" s="102"/>
      <c r="AX2366" s="100"/>
      <c r="AY2366" s="101"/>
      <c r="AZ2366" s="101"/>
      <c r="BA2366" s="100"/>
      <c r="BB2366" s="100"/>
      <c r="BC2366" s="100"/>
      <c r="BD2366" s="100"/>
      <c r="BE2366" s="100"/>
      <c r="BF2366" s="100"/>
      <c r="BG2366" s="100"/>
      <c r="BH2366" s="100"/>
      <c r="BI2366" s="100"/>
      <c r="BJ2366" s="100"/>
      <c r="BK2366" s="102"/>
    </row>
    <row r="2367" spans="1:63" x14ac:dyDescent="0.25">
      <c r="A2367" s="92"/>
      <c r="B2367" s="93"/>
      <c r="C2367" s="93"/>
      <c r="D2367" s="93"/>
      <c r="E2367" s="92"/>
      <c r="F2367" s="92"/>
      <c r="G2367" s="92"/>
      <c r="H2367" s="92"/>
      <c r="I2367" s="92"/>
      <c r="J2367" s="92"/>
      <c r="K2367" s="92"/>
      <c r="L2367" s="92"/>
      <c r="M2367" s="92"/>
      <c r="N2367" s="94"/>
      <c r="AG2367" s="100"/>
      <c r="AH2367" s="101"/>
      <c r="AI2367" s="101"/>
      <c r="AJ2367" s="100"/>
      <c r="AK2367" s="100"/>
      <c r="AL2367" s="100"/>
      <c r="AM2367" s="100"/>
      <c r="AN2367" s="100"/>
      <c r="AO2367" s="100"/>
      <c r="AP2367" s="100"/>
      <c r="AQ2367" s="100"/>
      <c r="AR2367" s="100"/>
      <c r="AS2367" s="100"/>
      <c r="AT2367" s="102"/>
      <c r="AX2367" s="100"/>
      <c r="AY2367" s="101"/>
      <c r="AZ2367" s="101"/>
      <c r="BA2367" s="100"/>
      <c r="BB2367" s="100"/>
      <c r="BC2367" s="100"/>
      <c r="BD2367" s="100"/>
      <c r="BE2367" s="100"/>
      <c r="BF2367" s="100"/>
      <c r="BG2367" s="100"/>
      <c r="BH2367" s="100"/>
      <c r="BI2367" s="100"/>
      <c r="BJ2367" s="100"/>
      <c r="BK2367" s="102"/>
    </row>
    <row r="2368" spans="1:63" x14ac:dyDescent="0.25">
      <c r="A2368" s="92"/>
      <c r="B2368" s="92"/>
      <c r="C2368" s="92"/>
      <c r="D2368" s="93"/>
      <c r="E2368" s="92"/>
      <c r="F2368" s="92"/>
      <c r="G2368" s="92"/>
      <c r="H2368" s="92"/>
      <c r="I2368" s="92"/>
      <c r="J2368" s="92"/>
      <c r="K2368" s="92"/>
      <c r="L2368" s="92"/>
      <c r="M2368" s="92"/>
      <c r="N2368" s="92"/>
      <c r="AG2368" s="100"/>
      <c r="AH2368" s="101"/>
      <c r="AI2368" s="101"/>
      <c r="AJ2368" s="100"/>
      <c r="AK2368" s="100"/>
      <c r="AL2368" s="100"/>
      <c r="AM2368" s="100"/>
      <c r="AN2368" s="100"/>
      <c r="AO2368" s="100"/>
      <c r="AP2368" s="100"/>
      <c r="AQ2368" s="100"/>
      <c r="AR2368" s="100"/>
      <c r="AS2368" s="100"/>
      <c r="AT2368" s="102"/>
      <c r="AX2368" s="100"/>
      <c r="AY2368" s="101"/>
      <c r="AZ2368" s="101"/>
      <c r="BA2368" s="100"/>
      <c r="BB2368" s="100"/>
      <c r="BC2368" s="100"/>
      <c r="BD2368" s="100"/>
      <c r="BE2368" s="100"/>
      <c r="BF2368" s="100"/>
      <c r="BG2368" s="100"/>
      <c r="BH2368" s="100"/>
      <c r="BI2368" s="100"/>
      <c r="BJ2368" s="100"/>
      <c r="BK2368" s="102"/>
    </row>
    <row r="2369" spans="1:63" x14ac:dyDescent="0.25">
      <c r="A2369" s="92"/>
      <c r="B2369" s="93"/>
      <c r="C2369" s="93"/>
      <c r="D2369" s="92"/>
      <c r="E2369" s="92"/>
      <c r="F2369" s="92"/>
      <c r="G2369" s="92"/>
      <c r="H2369" s="92"/>
      <c r="I2369" s="92"/>
      <c r="J2369" s="92"/>
      <c r="K2369" s="92"/>
      <c r="L2369" s="92"/>
      <c r="M2369" s="92"/>
      <c r="N2369" s="94"/>
      <c r="AG2369" s="100"/>
      <c r="AH2369" s="101"/>
      <c r="AI2369" s="101"/>
      <c r="AJ2369" s="100"/>
      <c r="AK2369" s="100"/>
      <c r="AL2369" s="100"/>
      <c r="AM2369" s="100"/>
      <c r="AN2369" s="100"/>
      <c r="AO2369" s="100"/>
      <c r="AP2369" s="100"/>
      <c r="AQ2369" s="100"/>
      <c r="AR2369" s="100"/>
      <c r="AS2369" s="100"/>
      <c r="AT2369" s="102"/>
      <c r="AX2369" s="100"/>
      <c r="AY2369" s="101"/>
      <c r="AZ2369" s="101"/>
      <c r="BA2369" s="100"/>
      <c r="BB2369" s="100"/>
      <c r="BC2369" s="100"/>
      <c r="BD2369" s="100"/>
      <c r="BE2369" s="100"/>
      <c r="BF2369" s="100"/>
      <c r="BG2369" s="100"/>
      <c r="BH2369" s="100"/>
      <c r="BI2369" s="100"/>
      <c r="BJ2369" s="100"/>
      <c r="BK2369" s="102"/>
    </row>
    <row r="2370" spans="1:63" x14ac:dyDescent="0.25">
      <c r="A2370" s="92"/>
      <c r="B2370" s="93"/>
      <c r="C2370" s="93"/>
      <c r="D2370" s="92"/>
      <c r="E2370" s="92"/>
      <c r="F2370" s="92"/>
      <c r="G2370" s="92"/>
      <c r="H2370" s="92"/>
      <c r="I2370" s="92"/>
      <c r="J2370" s="92"/>
      <c r="K2370" s="92"/>
      <c r="L2370" s="92"/>
      <c r="M2370" s="92"/>
      <c r="N2370" s="94"/>
      <c r="AG2370" s="100"/>
      <c r="AH2370" s="101"/>
      <c r="AI2370" s="101"/>
      <c r="AJ2370" s="100"/>
      <c r="AK2370" s="100"/>
      <c r="AL2370" s="100"/>
      <c r="AM2370" s="100"/>
      <c r="AN2370" s="100"/>
      <c r="AO2370" s="100"/>
      <c r="AP2370" s="100"/>
      <c r="AQ2370" s="100"/>
      <c r="AR2370" s="100"/>
      <c r="AS2370" s="100"/>
      <c r="AT2370" s="102"/>
      <c r="AX2370" s="100"/>
      <c r="AY2370" s="101"/>
      <c r="AZ2370" s="101"/>
      <c r="BA2370" s="100"/>
      <c r="BB2370" s="100"/>
      <c r="BC2370" s="100"/>
      <c r="BD2370" s="100"/>
      <c r="BE2370" s="100"/>
      <c r="BF2370" s="100"/>
      <c r="BG2370" s="100"/>
      <c r="BH2370" s="100"/>
      <c r="BI2370" s="100"/>
      <c r="BJ2370" s="100"/>
      <c r="BK2370" s="102"/>
    </row>
    <row r="2371" spans="1:63" x14ac:dyDescent="0.25">
      <c r="A2371" s="92"/>
      <c r="B2371" s="93"/>
      <c r="C2371" s="93"/>
      <c r="D2371" s="92"/>
      <c r="E2371" s="92"/>
      <c r="F2371" s="92"/>
      <c r="G2371" s="92"/>
      <c r="H2371" s="92"/>
      <c r="I2371" s="92"/>
      <c r="J2371" s="92"/>
      <c r="K2371" s="92"/>
      <c r="L2371" s="92"/>
      <c r="M2371" s="92"/>
      <c r="N2371" s="94"/>
      <c r="AG2371" s="100"/>
      <c r="AH2371" s="101"/>
      <c r="AI2371" s="101"/>
      <c r="AJ2371" s="101"/>
      <c r="AK2371" s="100"/>
      <c r="AL2371" s="100"/>
      <c r="AM2371" s="100"/>
      <c r="AN2371" s="100"/>
      <c r="AO2371" s="100"/>
      <c r="AP2371" s="100"/>
      <c r="AQ2371" s="100"/>
      <c r="AR2371" s="100"/>
      <c r="AS2371" s="100"/>
      <c r="AT2371" s="102"/>
      <c r="AX2371" s="100"/>
      <c r="AY2371" s="101"/>
      <c r="AZ2371" s="101"/>
      <c r="BA2371" s="100"/>
      <c r="BB2371" s="100"/>
      <c r="BC2371" s="100"/>
      <c r="BD2371" s="100"/>
      <c r="BE2371" s="100"/>
      <c r="BF2371" s="100"/>
      <c r="BG2371" s="100"/>
      <c r="BH2371" s="100"/>
      <c r="BI2371" s="100"/>
      <c r="BJ2371" s="100"/>
      <c r="BK2371" s="102"/>
    </row>
    <row r="2372" spans="1:63" x14ac:dyDescent="0.25">
      <c r="A2372" s="92"/>
      <c r="B2372" s="93"/>
      <c r="C2372" s="93"/>
      <c r="D2372" s="92"/>
      <c r="E2372" s="92"/>
      <c r="F2372" s="92"/>
      <c r="G2372" s="92"/>
      <c r="H2372" s="92"/>
      <c r="I2372" s="92"/>
      <c r="J2372" s="92"/>
      <c r="K2372" s="92"/>
      <c r="L2372" s="92"/>
      <c r="M2372" s="92"/>
      <c r="N2372" s="94"/>
      <c r="AG2372" s="100"/>
      <c r="AH2372" s="101"/>
      <c r="AI2372" s="101"/>
      <c r="AJ2372" s="100"/>
      <c r="AK2372" s="100"/>
      <c r="AL2372" s="100"/>
      <c r="AM2372" s="100"/>
      <c r="AN2372" s="100"/>
      <c r="AO2372" s="100"/>
      <c r="AP2372" s="100"/>
      <c r="AQ2372" s="100"/>
      <c r="AR2372" s="100"/>
      <c r="AS2372" s="100"/>
      <c r="AT2372" s="102"/>
      <c r="AX2372" s="100"/>
      <c r="AY2372" s="101"/>
      <c r="AZ2372" s="101"/>
      <c r="BA2372" s="100"/>
      <c r="BB2372" s="100"/>
      <c r="BC2372" s="100"/>
      <c r="BD2372" s="100"/>
      <c r="BE2372" s="100"/>
      <c r="BF2372" s="100"/>
      <c r="BG2372" s="100"/>
      <c r="BH2372" s="100"/>
      <c r="BI2372" s="100"/>
      <c r="BJ2372" s="100"/>
      <c r="BK2372" s="102"/>
    </row>
    <row r="2373" spans="1:63" x14ac:dyDescent="0.25">
      <c r="A2373" s="92"/>
      <c r="B2373" s="93"/>
      <c r="C2373" s="93"/>
      <c r="D2373" s="93"/>
      <c r="E2373" s="92"/>
      <c r="F2373" s="92"/>
      <c r="G2373" s="92"/>
      <c r="H2373" s="92"/>
      <c r="I2373" s="92"/>
      <c r="J2373" s="92"/>
      <c r="K2373" s="92"/>
      <c r="L2373" s="92"/>
      <c r="M2373" s="92"/>
      <c r="N2373" s="94"/>
      <c r="AG2373" s="100"/>
      <c r="AH2373" s="101"/>
      <c r="AI2373" s="101"/>
      <c r="AJ2373" s="100"/>
      <c r="AK2373" s="100"/>
      <c r="AL2373" s="100"/>
      <c r="AM2373" s="100"/>
      <c r="AN2373" s="100"/>
      <c r="AO2373" s="100"/>
      <c r="AP2373" s="100"/>
      <c r="AQ2373" s="100"/>
      <c r="AR2373" s="100"/>
      <c r="AS2373" s="100"/>
      <c r="AT2373" s="102"/>
      <c r="AX2373" s="100"/>
      <c r="AY2373" s="101"/>
      <c r="AZ2373" s="101"/>
      <c r="BA2373" s="101"/>
      <c r="BB2373" s="100"/>
      <c r="BC2373" s="100"/>
      <c r="BD2373" s="100"/>
      <c r="BE2373" s="100"/>
      <c r="BF2373" s="100"/>
      <c r="BG2373" s="100"/>
      <c r="BH2373" s="100"/>
      <c r="BI2373" s="100"/>
      <c r="BJ2373" s="100"/>
      <c r="BK2373" s="102"/>
    </row>
    <row r="2374" spans="1:63" x14ac:dyDescent="0.25">
      <c r="A2374" s="92"/>
      <c r="B2374" s="92"/>
      <c r="C2374" s="92"/>
      <c r="D2374" s="92"/>
      <c r="E2374" s="92"/>
      <c r="F2374" s="92"/>
      <c r="G2374" s="92"/>
      <c r="H2374" s="92"/>
      <c r="I2374" s="92"/>
      <c r="J2374" s="92"/>
      <c r="K2374" s="92"/>
      <c r="L2374" s="92"/>
      <c r="M2374" s="92"/>
      <c r="N2374" s="92"/>
      <c r="AG2374" s="100"/>
      <c r="AH2374" s="101"/>
      <c r="AI2374" s="101"/>
      <c r="AJ2374" s="101"/>
      <c r="AK2374" s="100"/>
      <c r="AL2374" s="100"/>
      <c r="AM2374" s="100"/>
      <c r="AN2374" s="100"/>
      <c r="AO2374" s="100"/>
      <c r="AP2374" s="100"/>
      <c r="AQ2374" s="100"/>
      <c r="AR2374" s="100"/>
      <c r="AS2374" s="100"/>
      <c r="AT2374" s="102"/>
      <c r="AX2374" s="100"/>
      <c r="AY2374" s="101"/>
      <c r="AZ2374" s="101"/>
      <c r="BA2374" s="100"/>
      <c r="BB2374" s="100"/>
      <c r="BC2374" s="100"/>
      <c r="BD2374" s="100"/>
      <c r="BE2374" s="100"/>
      <c r="BF2374" s="100"/>
      <c r="BG2374" s="100"/>
      <c r="BH2374" s="100"/>
      <c r="BI2374" s="100"/>
      <c r="BJ2374" s="100"/>
      <c r="BK2374" s="102"/>
    </row>
    <row r="2375" spans="1:63" x14ac:dyDescent="0.25">
      <c r="A2375" s="92"/>
      <c r="B2375" s="92"/>
      <c r="C2375" s="92"/>
      <c r="D2375" s="92"/>
      <c r="E2375" s="92"/>
      <c r="F2375" s="92"/>
      <c r="G2375" s="92"/>
      <c r="H2375" s="92"/>
      <c r="I2375" s="92"/>
      <c r="J2375" s="92"/>
      <c r="K2375" s="92"/>
      <c r="L2375" s="92"/>
      <c r="M2375" s="92"/>
      <c r="N2375" s="92"/>
      <c r="AG2375" s="100"/>
      <c r="AH2375" s="101"/>
      <c r="AI2375" s="101"/>
      <c r="AJ2375" s="100"/>
      <c r="AK2375" s="100"/>
      <c r="AL2375" s="100"/>
      <c r="AM2375" s="100"/>
      <c r="AN2375" s="100"/>
      <c r="AO2375" s="100"/>
      <c r="AP2375" s="100"/>
      <c r="AQ2375" s="100"/>
      <c r="AR2375" s="100"/>
      <c r="AS2375" s="100"/>
      <c r="AT2375" s="102"/>
      <c r="AX2375" s="100"/>
      <c r="AY2375" s="101"/>
      <c r="AZ2375" s="101"/>
      <c r="BA2375" s="100"/>
      <c r="BB2375" s="100"/>
      <c r="BC2375" s="100"/>
      <c r="BD2375" s="100"/>
      <c r="BE2375" s="100"/>
      <c r="BF2375" s="100"/>
      <c r="BG2375" s="100"/>
      <c r="BH2375" s="100"/>
      <c r="BI2375" s="100"/>
      <c r="BJ2375" s="100"/>
      <c r="BK2375" s="102"/>
    </row>
    <row r="2376" spans="1:63" x14ac:dyDescent="0.25">
      <c r="A2376" s="92"/>
      <c r="B2376" s="92"/>
      <c r="C2376" s="92"/>
      <c r="D2376" s="92"/>
      <c r="E2376" s="92"/>
      <c r="F2376" s="92"/>
      <c r="G2376" s="92"/>
      <c r="H2376" s="92"/>
      <c r="I2376" s="92"/>
      <c r="J2376" s="92"/>
      <c r="K2376" s="92"/>
      <c r="L2376" s="92"/>
      <c r="M2376" s="92"/>
      <c r="N2376" s="92"/>
      <c r="AG2376" s="100"/>
      <c r="AH2376" s="101"/>
      <c r="AI2376" s="101"/>
      <c r="AJ2376" s="100"/>
      <c r="AK2376" s="100"/>
      <c r="AL2376" s="100"/>
      <c r="AM2376" s="100"/>
      <c r="AN2376" s="100"/>
      <c r="AO2376" s="100"/>
      <c r="AP2376" s="100"/>
      <c r="AQ2376" s="100"/>
      <c r="AR2376" s="100"/>
      <c r="AS2376" s="100"/>
      <c r="AT2376" s="102"/>
      <c r="AX2376" s="100"/>
      <c r="AY2376" s="101"/>
      <c r="AZ2376" s="101"/>
      <c r="BA2376" s="100"/>
      <c r="BB2376" s="100"/>
      <c r="BC2376" s="100"/>
      <c r="BD2376" s="100"/>
      <c r="BE2376" s="100"/>
      <c r="BF2376" s="100"/>
      <c r="BG2376" s="100"/>
      <c r="BH2376" s="100"/>
      <c r="BI2376" s="100"/>
      <c r="BJ2376" s="100"/>
      <c r="BK2376" s="102"/>
    </row>
    <row r="2377" spans="1:63" x14ac:dyDescent="0.25">
      <c r="A2377" s="92"/>
      <c r="B2377" s="92"/>
      <c r="C2377" s="92"/>
      <c r="D2377" s="92"/>
      <c r="E2377" s="92"/>
      <c r="F2377" s="92"/>
      <c r="G2377" s="92"/>
      <c r="H2377" s="92"/>
      <c r="I2377" s="92"/>
      <c r="J2377" s="92"/>
      <c r="K2377" s="92"/>
      <c r="L2377" s="92"/>
      <c r="M2377" s="92"/>
      <c r="N2377" s="92"/>
      <c r="AG2377" s="100"/>
      <c r="AH2377" s="101"/>
      <c r="AI2377" s="101"/>
      <c r="AJ2377" s="100"/>
      <c r="AK2377" s="100"/>
      <c r="AL2377" s="100"/>
      <c r="AM2377" s="100"/>
      <c r="AN2377" s="100"/>
      <c r="AO2377" s="100"/>
      <c r="AP2377" s="100"/>
      <c r="AQ2377" s="100"/>
      <c r="AR2377" s="100"/>
      <c r="AS2377" s="100"/>
      <c r="AT2377" s="102"/>
      <c r="AX2377" s="100"/>
      <c r="AY2377" s="101"/>
      <c r="AZ2377" s="101"/>
      <c r="BA2377" s="100"/>
      <c r="BB2377" s="100"/>
      <c r="BC2377" s="100"/>
      <c r="BD2377" s="100"/>
      <c r="BE2377" s="100"/>
      <c r="BF2377" s="100"/>
      <c r="BG2377" s="100"/>
      <c r="BH2377" s="100"/>
      <c r="BI2377" s="100"/>
      <c r="BJ2377" s="100"/>
      <c r="BK2377" s="102"/>
    </row>
    <row r="2378" spans="1:63" x14ac:dyDescent="0.25">
      <c r="A2378" s="92"/>
      <c r="B2378" s="93"/>
      <c r="C2378" s="93"/>
      <c r="D2378" s="92"/>
      <c r="E2378" s="92"/>
      <c r="F2378" s="92"/>
      <c r="G2378" s="92"/>
      <c r="H2378" s="92"/>
      <c r="I2378" s="92"/>
      <c r="J2378" s="92"/>
      <c r="K2378" s="92"/>
      <c r="L2378" s="92"/>
      <c r="M2378" s="92"/>
      <c r="N2378" s="94"/>
      <c r="AG2378" s="100"/>
      <c r="AH2378" s="101"/>
      <c r="AI2378" s="101"/>
      <c r="AJ2378" s="101"/>
      <c r="AK2378" s="100"/>
      <c r="AL2378" s="100"/>
      <c r="AM2378" s="100"/>
      <c r="AN2378" s="100"/>
      <c r="AO2378" s="100"/>
      <c r="AP2378" s="100"/>
      <c r="AQ2378" s="100"/>
      <c r="AR2378" s="100"/>
      <c r="AS2378" s="100"/>
      <c r="AT2378" s="102"/>
      <c r="AX2378" s="100"/>
      <c r="AY2378" s="101"/>
      <c r="AZ2378" s="101"/>
      <c r="BA2378" s="100"/>
      <c r="BB2378" s="100"/>
      <c r="BC2378" s="100"/>
      <c r="BD2378" s="100"/>
      <c r="BE2378" s="100"/>
      <c r="BF2378" s="100"/>
      <c r="BG2378" s="100"/>
      <c r="BH2378" s="100"/>
      <c r="BI2378" s="100"/>
      <c r="BJ2378" s="100"/>
      <c r="BK2378" s="102"/>
    </row>
    <row r="2379" spans="1:63" x14ac:dyDescent="0.25">
      <c r="A2379" s="92"/>
      <c r="B2379" s="93"/>
      <c r="C2379" s="93"/>
      <c r="D2379" s="92"/>
      <c r="E2379" s="92"/>
      <c r="F2379" s="92"/>
      <c r="G2379" s="92"/>
      <c r="H2379" s="92"/>
      <c r="I2379" s="92"/>
      <c r="J2379" s="92"/>
      <c r="K2379" s="92"/>
      <c r="L2379" s="92"/>
      <c r="M2379" s="92"/>
      <c r="N2379" s="94"/>
      <c r="AG2379" s="100"/>
      <c r="AH2379" s="101"/>
      <c r="AI2379" s="101"/>
      <c r="AJ2379" s="100"/>
      <c r="AK2379" s="100"/>
      <c r="AL2379" s="100"/>
      <c r="AM2379" s="100"/>
      <c r="AN2379" s="100"/>
      <c r="AO2379" s="100"/>
      <c r="AP2379" s="100"/>
      <c r="AQ2379" s="100"/>
      <c r="AR2379" s="100"/>
      <c r="AS2379" s="100"/>
      <c r="AT2379" s="102"/>
      <c r="AX2379" s="100"/>
      <c r="AY2379" s="101"/>
      <c r="AZ2379" s="101"/>
      <c r="BA2379" s="100"/>
      <c r="BB2379" s="100"/>
      <c r="BC2379" s="100"/>
      <c r="BD2379" s="100"/>
      <c r="BE2379" s="100"/>
      <c r="BF2379" s="100"/>
      <c r="BG2379" s="100"/>
      <c r="BH2379" s="100"/>
      <c r="BI2379" s="100"/>
      <c r="BJ2379" s="100"/>
      <c r="BK2379" s="102"/>
    </row>
    <row r="2380" spans="1:63" x14ac:dyDescent="0.25">
      <c r="A2380" s="92"/>
      <c r="B2380" s="93"/>
      <c r="C2380" s="93"/>
      <c r="D2380" s="93"/>
      <c r="E2380" s="92"/>
      <c r="F2380" s="92"/>
      <c r="G2380" s="92"/>
      <c r="H2380" s="92"/>
      <c r="I2380" s="92"/>
      <c r="J2380" s="92"/>
      <c r="K2380" s="92"/>
      <c r="L2380" s="92"/>
      <c r="M2380" s="92"/>
      <c r="N2380" s="94"/>
      <c r="AG2380" s="100"/>
      <c r="AH2380" s="101"/>
      <c r="AI2380" s="101"/>
      <c r="AJ2380" s="100"/>
      <c r="AK2380" s="100"/>
      <c r="AL2380" s="100"/>
      <c r="AM2380" s="100"/>
      <c r="AN2380" s="100"/>
      <c r="AO2380" s="100"/>
      <c r="AP2380" s="100"/>
      <c r="AQ2380" s="100"/>
      <c r="AR2380" s="100"/>
      <c r="AS2380" s="100"/>
      <c r="AT2380" s="102"/>
      <c r="AX2380" s="100"/>
      <c r="AY2380" s="101"/>
      <c r="AZ2380" s="101"/>
      <c r="BA2380" s="100"/>
      <c r="BB2380" s="100"/>
      <c r="BC2380" s="100"/>
      <c r="BD2380" s="100"/>
      <c r="BE2380" s="100"/>
      <c r="BF2380" s="100"/>
      <c r="BG2380" s="100"/>
      <c r="BH2380" s="100"/>
      <c r="BI2380" s="100"/>
      <c r="BJ2380" s="100"/>
      <c r="BK2380" s="102"/>
    </row>
    <row r="2381" spans="1:63" x14ac:dyDescent="0.25">
      <c r="A2381" s="92"/>
      <c r="B2381" s="92"/>
      <c r="C2381" s="92"/>
      <c r="D2381" s="92"/>
      <c r="E2381" s="92"/>
      <c r="F2381" s="92"/>
      <c r="G2381" s="92"/>
      <c r="H2381" s="92"/>
      <c r="I2381" s="92"/>
      <c r="J2381" s="92"/>
      <c r="K2381" s="92"/>
      <c r="L2381" s="92"/>
      <c r="M2381" s="92"/>
      <c r="N2381" s="92"/>
      <c r="AG2381" s="100"/>
      <c r="AH2381" s="101"/>
      <c r="AI2381" s="101"/>
      <c r="AJ2381" s="100"/>
      <c r="AK2381" s="100"/>
      <c r="AL2381" s="100"/>
      <c r="AM2381" s="100"/>
      <c r="AN2381" s="100"/>
      <c r="AO2381" s="100"/>
      <c r="AP2381" s="100"/>
      <c r="AQ2381" s="100"/>
      <c r="AR2381" s="100"/>
      <c r="AS2381" s="100"/>
      <c r="AT2381" s="102"/>
      <c r="AX2381" s="100"/>
      <c r="AY2381" s="101"/>
      <c r="AZ2381" s="101"/>
      <c r="BA2381" s="100"/>
      <c r="BB2381" s="100"/>
      <c r="BC2381" s="100"/>
      <c r="BD2381" s="100"/>
      <c r="BE2381" s="100"/>
      <c r="BF2381" s="100"/>
      <c r="BG2381" s="100"/>
      <c r="BH2381" s="100"/>
      <c r="BI2381" s="100"/>
      <c r="BJ2381" s="100"/>
      <c r="BK2381" s="102"/>
    </row>
    <row r="2382" spans="1:63" x14ac:dyDescent="0.25">
      <c r="A2382" s="92"/>
      <c r="B2382" s="92"/>
      <c r="C2382" s="92"/>
      <c r="D2382" s="92"/>
      <c r="E2382" s="92"/>
      <c r="F2382" s="92"/>
      <c r="G2382" s="92"/>
      <c r="H2382" s="92"/>
      <c r="I2382" s="92"/>
      <c r="J2382" s="92"/>
      <c r="K2382" s="92"/>
      <c r="L2382" s="92"/>
      <c r="M2382" s="92"/>
      <c r="N2382" s="92"/>
      <c r="AG2382" s="100"/>
      <c r="AH2382" s="101"/>
      <c r="AI2382" s="101"/>
      <c r="AJ2382" s="100"/>
      <c r="AK2382" s="100"/>
      <c r="AL2382" s="100"/>
      <c r="AM2382" s="100"/>
      <c r="AN2382" s="100"/>
      <c r="AO2382" s="100"/>
      <c r="AP2382" s="100"/>
      <c r="AQ2382" s="100"/>
      <c r="AR2382" s="100"/>
      <c r="AS2382" s="100"/>
      <c r="AT2382" s="102"/>
      <c r="AX2382" s="100"/>
      <c r="AY2382" s="101"/>
      <c r="AZ2382" s="101"/>
      <c r="BA2382" s="100"/>
      <c r="BB2382" s="100"/>
      <c r="BC2382" s="100"/>
      <c r="BD2382" s="100"/>
      <c r="BE2382" s="100"/>
      <c r="BF2382" s="100"/>
      <c r="BG2382" s="100"/>
      <c r="BH2382" s="100"/>
      <c r="BI2382" s="100"/>
      <c r="BJ2382" s="100"/>
      <c r="BK2382" s="102"/>
    </row>
    <row r="2383" spans="1:63" x14ac:dyDescent="0.25">
      <c r="A2383" s="92"/>
      <c r="B2383" s="92"/>
      <c r="C2383" s="92"/>
      <c r="D2383" s="92"/>
      <c r="E2383" s="92"/>
      <c r="F2383" s="92"/>
      <c r="G2383" s="92"/>
      <c r="H2383" s="92"/>
      <c r="I2383" s="92"/>
      <c r="J2383" s="92"/>
      <c r="K2383" s="92"/>
      <c r="L2383" s="92"/>
      <c r="M2383" s="92"/>
      <c r="N2383" s="92"/>
      <c r="AG2383" s="100"/>
      <c r="AH2383" s="101"/>
      <c r="AI2383" s="101"/>
      <c r="AJ2383" s="100"/>
      <c r="AK2383" s="100"/>
      <c r="AL2383" s="100"/>
      <c r="AM2383" s="100"/>
      <c r="AN2383" s="100"/>
      <c r="AO2383" s="100"/>
      <c r="AP2383" s="100"/>
      <c r="AQ2383" s="100"/>
      <c r="AR2383" s="100"/>
      <c r="AS2383" s="100"/>
      <c r="AT2383" s="102"/>
      <c r="AX2383" s="100"/>
      <c r="AY2383" s="101"/>
      <c r="AZ2383" s="101"/>
      <c r="BA2383" s="100"/>
      <c r="BB2383" s="100"/>
      <c r="BC2383" s="100"/>
      <c r="BD2383" s="100"/>
      <c r="BE2383" s="100"/>
      <c r="BF2383" s="100"/>
      <c r="BG2383" s="100"/>
      <c r="BH2383" s="100"/>
      <c r="BI2383" s="100"/>
      <c r="BJ2383" s="100"/>
      <c r="BK2383" s="102"/>
    </row>
    <row r="2384" spans="1:63" x14ac:dyDescent="0.25">
      <c r="A2384" s="92"/>
      <c r="B2384" s="92"/>
      <c r="C2384" s="92"/>
      <c r="D2384" s="92"/>
      <c r="E2384" s="92"/>
      <c r="F2384" s="92"/>
      <c r="G2384" s="92"/>
      <c r="H2384" s="92"/>
      <c r="I2384" s="92"/>
      <c r="J2384" s="92"/>
      <c r="K2384" s="92"/>
      <c r="L2384" s="92"/>
      <c r="M2384" s="92"/>
      <c r="N2384" s="92"/>
      <c r="AG2384" s="100"/>
      <c r="AH2384" s="101"/>
      <c r="AI2384" s="101"/>
      <c r="AJ2384" s="101"/>
      <c r="AK2384" s="100"/>
      <c r="AL2384" s="100"/>
      <c r="AM2384" s="100"/>
      <c r="AN2384" s="100"/>
      <c r="AO2384" s="100"/>
      <c r="AP2384" s="100"/>
      <c r="AQ2384" s="100"/>
      <c r="AR2384" s="100"/>
      <c r="AS2384" s="100"/>
      <c r="AT2384" s="102"/>
      <c r="AX2384" s="100"/>
      <c r="AY2384" s="101"/>
      <c r="AZ2384" s="101"/>
      <c r="BA2384" s="100"/>
      <c r="BB2384" s="100"/>
      <c r="BC2384" s="100"/>
      <c r="BD2384" s="100"/>
      <c r="BE2384" s="100"/>
      <c r="BF2384" s="100"/>
      <c r="BG2384" s="100"/>
      <c r="BH2384" s="100"/>
      <c r="BI2384" s="100"/>
      <c r="BJ2384" s="100"/>
      <c r="BK2384" s="102"/>
    </row>
    <row r="2385" spans="1:63" x14ac:dyDescent="0.25">
      <c r="A2385" s="92"/>
      <c r="B2385" s="92"/>
      <c r="C2385" s="92"/>
      <c r="D2385" s="92"/>
      <c r="E2385" s="92"/>
      <c r="F2385" s="92"/>
      <c r="G2385" s="92"/>
      <c r="H2385" s="92"/>
      <c r="I2385" s="92"/>
      <c r="J2385" s="92"/>
      <c r="K2385" s="92"/>
      <c r="L2385" s="92"/>
      <c r="M2385" s="92"/>
      <c r="N2385" s="92"/>
      <c r="AG2385" s="100"/>
      <c r="AH2385" s="101"/>
      <c r="AI2385" s="101"/>
      <c r="AJ2385" s="100"/>
      <c r="AK2385" s="100"/>
      <c r="AL2385" s="100"/>
      <c r="AM2385" s="100"/>
      <c r="AN2385" s="100"/>
      <c r="AO2385" s="100"/>
      <c r="AP2385" s="100"/>
      <c r="AQ2385" s="100"/>
      <c r="AR2385" s="100"/>
      <c r="AS2385" s="100"/>
      <c r="AT2385" s="102"/>
      <c r="AX2385" s="100"/>
      <c r="AY2385" s="101"/>
      <c r="AZ2385" s="101"/>
      <c r="BA2385" s="100"/>
      <c r="BB2385" s="100"/>
      <c r="BC2385" s="100"/>
      <c r="BD2385" s="100"/>
      <c r="BE2385" s="100"/>
      <c r="BF2385" s="100"/>
      <c r="BG2385" s="100"/>
      <c r="BH2385" s="100"/>
      <c r="BI2385" s="100"/>
      <c r="BJ2385" s="100"/>
      <c r="BK2385" s="102"/>
    </row>
    <row r="2386" spans="1:63" x14ac:dyDescent="0.25">
      <c r="A2386" s="92"/>
      <c r="B2386" s="93"/>
      <c r="C2386" s="93"/>
      <c r="D2386" s="93"/>
      <c r="E2386" s="92"/>
      <c r="F2386" s="92"/>
      <c r="G2386" s="92"/>
      <c r="H2386" s="92"/>
      <c r="I2386" s="92"/>
      <c r="J2386" s="92"/>
      <c r="K2386" s="92"/>
      <c r="L2386" s="92"/>
      <c r="M2386" s="92"/>
      <c r="N2386" s="94"/>
      <c r="AG2386" s="100"/>
      <c r="AH2386" s="101"/>
      <c r="AI2386" s="101"/>
      <c r="AJ2386" s="100"/>
      <c r="AK2386" s="100"/>
      <c r="AL2386" s="100"/>
      <c r="AM2386" s="100"/>
      <c r="AN2386" s="100"/>
      <c r="AO2386" s="100"/>
      <c r="AP2386" s="100"/>
      <c r="AQ2386" s="100"/>
      <c r="AR2386" s="100"/>
      <c r="AS2386" s="100"/>
      <c r="AT2386" s="102"/>
      <c r="AX2386" s="100"/>
      <c r="AY2386" s="101"/>
      <c r="AZ2386" s="101"/>
      <c r="BA2386" s="100"/>
      <c r="BB2386" s="100"/>
      <c r="BC2386" s="100"/>
      <c r="BD2386" s="100"/>
      <c r="BE2386" s="100"/>
      <c r="BF2386" s="100"/>
      <c r="BG2386" s="100"/>
      <c r="BH2386" s="100"/>
      <c r="BI2386" s="100"/>
      <c r="BJ2386" s="100"/>
      <c r="BK2386" s="102"/>
    </row>
    <row r="2387" spans="1:63" x14ac:dyDescent="0.25">
      <c r="A2387" s="92"/>
      <c r="B2387" s="93"/>
      <c r="C2387" s="93"/>
      <c r="D2387" s="92"/>
      <c r="E2387" s="92"/>
      <c r="F2387" s="92"/>
      <c r="G2387" s="92"/>
      <c r="H2387" s="92"/>
      <c r="I2387" s="92"/>
      <c r="J2387" s="92"/>
      <c r="K2387" s="92"/>
      <c r="L2387" s="92"/>
      <c r="M2387" s="92"/>
      <c r="N2387" s="94"/>
      <c r="AG2387" s="100"/>
      <c r="AH2387" s="101"/>
      <c r="AI2387" s="101"/>
      <c r="AJ2387" s="101"/>
      <c r="AK2387" s="100"/>
      <c r="AL2387" s="100"/>
      <c r="AM2387" s="100"/>
      <c r="AN2387" s="100"/>
      <c r="AO2387" s="100"/>
      <c r="AP2387" s="100"/>
      <c r="AQ2387" s="100"/>
      <c r="AR2387" s="100"/>
      <c r="AS2387" s="100"/>
      <c r="AT2387" s="102"/>
      <c r="AX2387" s="100"/>
      <c r="AY2387" s="101"/>
      <c r="AZ2387" s="101"/>
      <c r="BA2387" s="100"/>
      <c r="BB2387" s="100"/>
      <c r="BC2387" s="100"/>
      <c r="BD2387" s="100"/>
      <c r="BE2387" s="100"/>
      <c r="BF2387" s="100"/>
      <c r="BG2387" s="100"/>
      <c r="BH2387" s="100"/>
      <c r="BI2387" s="100"/>
      <c r="BJ2387" s="100"/>
      <c r="BK2387" s="102"/>
    </row>
    <row r="2388" spans="1:63" x14ac:dyDescent="0.25">
      <c r="A2388" s="92"/>
      <c r="B2388" s="92"/>
      <c r="C2388" s="92"/>
      <c r="D2388" s="92"/>
      <c r="E2388" s="92"/>
      <c r="F2388" s="92"/>
      <c r="G2388" s="92"/>
      <c r="H2388" s="92"/>
      <c r="I2388" s="92"/>
      <c r="J2388" s="92"/>
      <c r="K2388" s="92"/>
      <c r="L2388" s="92"/>
      <c r="M2388" s="92"/>
      <c r="N2388" s="92"/>
      <c r="AG2388" s="100"/>
      <c r="AH2388" s="101"/>
      <c r="AI2388" s="101"/>
      <c r="AJ2388" s="100"/>
      <c r="AK2388" s="100"/>
      <c r="AL2388" s="100"/>
      <c r="AM2388" s="100"/>
      <c r="AN2388" s="100"/>
      <c r="AO2388" s="100"/>
      <c r="AP2388" s="100"/>
      <c r="AQ2388" s="100"/>
      <c r="AR2388" s="100"/>
      <c r="AS2388" s="100"/>
      <c r="AT2388" s="102"/>
      <c r="AX2388" s="100"/>
      <c r="AY2388" s="101"/>
      <c r="AZ2388" s="101"/>
      <c r="BA2388" s="100"/>
      <c r="BB2388" s="100"/>
      <c r="BC2388" s="100"/>
      <c r="BD2388" s="100"/>
      <c r="BE2388" s="100"/>
      <c r="BF2388" s="100"/>
      <c r="BG2388" s="100"/>
      <c r="BH2388" s="100"/>
      <c r="BI2388" s="100"/>
      <c r="BJ2388" s="100"/>
      <c r="BK2388" s="102"/>
    </row>
    <row r="2389" spans="1:63" x14ac:dyDescent="0.25">
      <c r="A2389" s="92"/>
      <c r="B2389" s="92"/>
      <c r="C2389" s="92"/>
      <c r="D2389" s="92"/>
      <c r="E2389" s="92"/>
      <c r="F2389" s="92"/>
      <c r="G2389" s="92"/>
      <c r="H2389" s="92"/>
      <c r="I2389" s="92"/>
      <c r="J2389" s="92"/>
      <c r="K2389" s="92"/>
      <c r="L2389" s="92"/>
      <c r="M2389" s="92"/>
      <c r="N2389" s="92"/>
      <c r="AG2389" s="100"/>
      <c r="AH2389" s="101"/>
      <c r="AI2389" s="101"/>
      <c r="AJ2389" s="100"/>
      <c r="AK2389" s="100"/>
      <c r="AL2389" s="100"/>
      <c r="AM2389" s="100"/>
      <c r="AN2389" s="100"/>
      <c r="AO2389" s="100"/>
      <c r="AP2389" s="100"/>
      <c r="AQ2389" s="100"/>
      <c r="AR2389" s="100"/>
      <c r="AS2389" s="100"/>
      <c r="AT2389" s="102"/>
      <c r="AX2389" s="100"/>
      <c r="AY2389" s="101"/>
      <c r="AZ2389" s="101"/>
      <c r="BA2389" s="100"/>
      <c r="BB2389" s="100"/>
      <c r="BC2389" s="100"/>
      <c r="BD2389" s="100"/>
      <c r="BE2389" s="100"/>
      <c r="BF2389" s="100"/>
      <c r="BG2389" s="100"/>
      <c r="BH2389" s="100"/>
      <c r="BI2389" s="100"/>
      <c r="BJ2389" s="100"/>
      <c r="BK2389" s="102"/>
    </row>
    <row r="2390" spans="1:63" x14ac:dyDescent="0.25">
      <c r="A2390" s="92"/>
      <c r="B2390" s="92"/>
      <c r="C2390" s="92"/>
      <c r="D2390" s="92"/>
      <c r="E2390" s="92"/>
      <c r="F2390" s="92"/>
      <c r="G2390" s="92"/>
      <c r="H2390" s="92"/>
      <c r="I2390" s="92"/>
      <c r="J2390" s="92"/>
      <c r="K2390" s="92"/>
      <c r="L2390" s="92"/>
      <c r="M2390" s="92"/>
      <c r="N2390" s="92"/>
      <c r="AG2390" s="100"/>
      <c r="AH2390" s="101"/>
      <c r="AI2390" s="101"/>
      <c r="AJ2390" s="100"/>
      <c r="AK2390" s="100"/>
      <c r="AL2390" s="100"/>
      <c r="AM2390" s="100"/>
      <c r="AN2390" s="100"/>
      <c r="AO2390" s="100"/>
      <c r="AP2390" s="100"/>
      <c r="AQ2390" s="100"/>
      <c r="AR2390" s="100"/>
      <c r="AS2390" s="100"/>
      <c r="AT2390" s="102"/>
      <c r="AX2390" s="100"/>
      <c r="AY2390" s="101"/>
      <c r="AZ2390" s="101"/>
      <c r="BA2390" s="100"/>
      <c r="BB2390" s="100"/>
      <c r="BC2390" s="100"/>
      <c r="BD2390" s="100"/>
      <c r="BE2390" s="100"/>
      <c r="BF2390" s="100"/>
      <c r="BG2390" s="100"/>
      <c r="BH2390" s="100"/>
      <c r="BI2390" s="100"/>
      <c r="BJ2390" s="100"/>
      <c r="BK2390" s="102"/>
    </row>
    <row r="2391" spans="1:63" x14ac:dyDescent="0.25">
      <c r="A2391" s="92"/>
      <c r="B2391" s="92"/>
      <c r="C2391" s="92"/>
      <c r="D2391" s="92"/>
      <c r="E2391" s="92"/>
      <c r="F2391" s="92"/>
      <c r="G2391" s="92"/>
      <c r="H2391" s="92"/>
      <c r="I2391" s="92"/>
      <c r="J2391" s="92"/>
      <c r="K2391" s="92"/>
      <c r="L2391" s="92"/>
      <c r="M2391" s="92"/>
      <c r="N2391" s="92"/>
      <c r="AG2391" s="100"/>
      <c r="AH2391" s="101"/>
      <c r="AI2391" s="101"/>
      <c r="AJ2391" s="100"/>
      <c r="AK2391" s="100"/>
      <c r="AL2391" s="100"/>
      <c r="AM2391" s="100"/>
      <c r="AN2391" s="100"/>
      <c r="AO2391" s="100"/>
      <c r="AP2391" s="100"/>
      <c r="AQ2391" s="100"/>
      <c r="AR2391" s="100"/>
      <c r="AS2391" s="100"/>
      <c r="AT2391" s="102"/>
      <c r="AX2391" s="100"/>
      <c r="AY2391" s="101"/>
      <c r="AZ2391" s="101"/>
      <c r="BA2391" s="101"/>
      <c r="BB2391" s="100"/>
      <c r="BC2391" s="100"/>
      <c r="BD2391" s="100"/>
      <c r="BE2391" s="100"/>
      <c r="BF2391" s="100"/>
      <c r="BG2391" s="100"/>
      <c r="BH2391" s="100"/>
      <c r="BI2391" s="100"/>
      <c r="BJ2391" s="100"/>
      <c r="BK2391" s="102"/>
    </row>
    <row r="2392" spans="1:63" x14ac:dyDescent="0.25">
      <c r="A2392" s="92"/>
      <c r="B2392" s="92"/>
      <c r="C2392" s="92"/>
      <c r="D2392" s="92"/>
      <c r="E2392" s="92"/>
      <c r="F2392" s="92"/>
      <c r="G2392" s="92"/>
      <c r="H2392" s="92"/>
      <c r="I2392" s="92"/>
      <c r="J2392" s="92"/>
      <c r="K2392" s="92"/>
      <c r="L2392" s="92"/>
      <c r="M2392" s="92"/>
      <c r="N2392" s="92"/>
      <c r="AG2392" s="100"/>
      <c r="AH2392" s="101"/>
      <c r="AI2392" s="101"/>
      <c r="AJ2392" s="100"/>
      <c r="AK2392" s="100"/>
      <c r="AL2392" s="100"/>
      <c r="AM2392" s="100"/>
      <c r="AN2392" s="100"/>
      <c r="AO2392" s="100"/>
      <c r="AP2392" s="100"/>
      <c r="AQ2392" s="100"/>
      <c r="AR2392" s="100"/>
      <c r="AS2392" s="100"/>
      <c r="AT2392" s="102"/>
      <c r="AX2392" s="100"/>
      <c r="AY2392" s="101"/>
      <c r="AZ2392" s="101"/>
      <c r="BA2392" s="100"/>
      <c r="BB2392" s="100"/>
      <c r="BC2392" s="100"/>
      <c r="BD2392" s="100"/>
      <c r="BE2392" s="100"/>
      <c r="BF2392" s="100"/>
      <c r="BG2392" s="100"/>
      <c r="BH2392" s="100"/>
      <c r="BI2392" s="100"/>
      <c r="BJ2392" s="100"/>
      <c r="BK2392" s="102"/>
    </row>
    <row r="2393" spans="1:63" x14ac:dyDescent="0.25">
      <c r="A2393" s="92"/>
      <c r="B2393" s="92"/>
      <c r="C2393" s="92"/>
      <c r="D2393" s="92"/>
      <c r="E2393" s="92"/>
      <c r="F2393" s="92"/>
      <c r="G2393" s="92"/>
      <c r="H2393" s="92"/>
      <c r="I2393" s="92"/>
      <c r="J2393" s="92"/>
      <c r="K2393" s="92"/>
      <c r="L2393" s="92"/>
      <c r="M2393" s="92"/>
      <c r="N2393" s="92"/>
      <c r="AG2393" s="100"/>
      <c r="AH2393" s="101"/>
      <c r="AI2393" s="101"/>
      <c r="AJ2393" s="101"/>
      <c r="AK2393" s="100"/>
      <c r="AL2393" s="100"/>
      <c r="AM2393" s="100"/>
      <c r="AN2393" s="100"/>
      <c r="AO2393" s="100"/>
      <c r="AP2393" s="100"/>
      <c r="AQ2393" s="100"/>
      <c r="AR2393" s="100"/>
      <c r="AS2393" s="100"/>
      <c r="AT2393" s="102"/>
      <c r="AX2393" s="100"/>
      <c r="AY2393" s="101"/>
      <c r="AZ2393" s="101"/>
      <c r="BA2393" s="100"/>
      <c r="BB2393" s="100"/>
      <c r="BC2393" s="100"/>
      <c r="BD2393" s="100"/>
      <c r="BE2393" s="100"/>
      <c r="BF2393" s="100"/>
      <c r="BG2393" s="100"/>
      <c r="BH2393" s="100"/>
      <c r="BI2393" s="100"/>
      <c r="BJ2393" s="100"/>
      <c r="BK2393" s="102"/>
    </row>
    <row r="2394" spans="1:63" x14ac:dyDescent="0.25">
      <c r="A2394" s="92"/>
      <c r="B2394" s="93"/>
      <c r="C2394" s="93"/>
      <c r="D2394" s="92"/>
      <c r="E2394" s="92"/>
      <c r="F2394" s="92"/>
      <c r="G2394" s="92"/>
      <c r="H2394" s="92"/>
      <c r="I2394" s="92"/>
      <c r="J2394" s="92"/>
      <c r="K2394" s="92"/>
      <c r="L2394" s="92"/>
      <c r="M2394" s="92"/>
      <c r="N2394" s="94"/>
      <c r="AG2394" s="100"/>
      <c r="AH2394" s="101"/>
      <c r="AI2394" s="101"/>
      <c r="AJ2394" s="100"/>
      <c r="AK2394" s="100"/>
      <c r="AL2394" s="100"/>
      <c r="AM2394" s="100"/>
      <c r="AN2394" s="100"/>
      <c r="AO2394" s="100"/>
      <c r="AP2394" s="100"/>
      <c r="AQ2394" s="100"/>
      <c r="AR2394" s="100"/>
      <c r="AS2394" s="100"/>
      <c r="AT2394" s="102"/>
      <c r="AX2394" s="100"/>
      <c r="AY2394" s="101"/>
      <c r="AZ2394" s="101"/>
      <c r="BA2394" s="101"/>
      <c r="BB2394" s="100"/>
      <c r="BC2394" s="100"/>
      <c r="BD2394" s="100"/>
      <c r="BE2394" s="100"/>
      <c r="BF2394" s="100"/>
      <c r="BG2394" s="100"/>
      <c r="BH2394" s="100"/>
      <c r="BI2394" s="100"/>
      <c r="BJ2394" s="100"/>
      <c r="BK2394" s="102"/>
    </row>
    <row r="2395" spans="1:63" x14ac:dyDescent="0.25">
      <c r="A2395" s="92"/>
      <c r="B2395" s="93"/>
      <c r="C2395" s="93"/>
      <c r="D2395" s="92"/>
      <c r="E2395" s="92"/>
      <c r="F2395" s="92"/>
      <c r="G2395" s="92"/>
      <c r="H2395" s="92"/>
      <c r="I2395" s="92"/>
      <c r="J2395" s="92"/>
      <c r="K2395" s="92"/>
      <c r="L2395" s="92"/>
      <c r="M2395" s="92"/>
      <c r="N2395" s="94"/>
      <c r="AG2395" s="100"/>
      <c r="AH2395" s="101"/>
      <c r="AI2395" s="101"/>
      <c r="AJ2395" s="100"/>
      <c r="AK2395" s="100"/>
      <c r="AL2395" s="100"/>
      <c r="AM2395" s="100"/>
      <c r="AN2395" s="100"/>
      <c r="AO2395" s="100"/>
      <c r="AP2395" s="100"/>
      <c r="AQ2395" s="100"/>
      <c r="AR2395" s="100"/>
      <c r="AS2395" s="100"/>
      <c r="AT2395" s="102"/>
      <c r="AX2395" s="100"/>
      <c r="AY2395" s="101"/>
      <c r="AZ2395" s="101"/>
      <c r="BA2395" s="100"/>
      <c r="BB2395" s="100"/>
      <c r="BC2395" s="100"/>
      <c r="BD2395" s="100"/>
      <c r="BE2395" s="100"/>
      <c r="BF2395" s="100"/>
      <c r="BG2395" s="100"/>
      <c r="BH2395" s="100"/>
      <c r="BI2395" s="100"/>
      <c r="BJ2395" s="100"/>
      <c r="BK2395" s="102"/>
    </row>
    <row r="2396" spans="1:63" x14ac:dyDescent="0.25">
      <c r="A2396" s="92"/>
      <c r="B2396" s="92"/>
      <c r="C2396" s="92"/>
      <c r="D2396" s="92"/>
      <c r="E2396" s="92"/>
      <c r="F2396" s="92"/>
      <c r="G2396" s="92"/>
      <c r="H2396" s="92"/>
      <c r="I2396" s="92"/>
      <c r="J2396" s="92"/>
      <c r="K2396" s="92"/>
      <c r="L2396" s="92"/>
      <c r="M2396" s="92"/>
      <c r="N2396" s="92"/>
      <c r="AG2396" s="100"/>
      <c r="AH2396" s="101"/>
      <c r="AI2396" s="101"/>
      <c r="AJ2396" s="100"/>
      <c r="AK2396" s="100"/>
      <c r="AL2396" s="100"/>
      <c r="AM2396" s="100"/>
      <c r="AN2396" s="100"/>
      <c r="AO2396" s="100"/>
      <c r="AP2396" s="100"/>
      <c r="AQ2396" s="100"/>
      <c r="AR2396" s="100"/>
      <c r="AS2396" s="100"/>
      <c r="AT2396" s="102"/>
      <c r="AX2396" s="100"/>
      <c r="AY2396" s="101"/>
      <c r="AZ2396" s="101"/>
      <c r="BA2396" s="100"/>
      <c r="BB2396" s="100"/>
      <c r="BC2396" s="100"/>
      <c r="BD2396" s="100"/>
      <c r="BE2396" s="100"/>
      <c r="BF2396" s="100"/>
      <c r="BG2396" s="100"/>
      <c r="BH2396" s="100"/>
      <c r="BI2396" s="100"/>
      <c r="BJ2396" s="100"/>
      <c r="BK2396" s="102"/>
    </row>
    <row r="2397" spans="1:63" x14ac:dyDescent="0.25">
      <c r="A2397" s="92"/>
      <c r="B2397" s="92"/>
      <c r="C2397" s="92"/>
      <c r="D2397" s="92"/>
      <c r="E2397" s="92"/>
      <c r="F2397" s="92"/>
      <c r="G2397" s="92"/>
      <c r="H2397" s="92"/>
      <c r="I2397" s="92"/>
      <c r="J2397" s="92"/>
      <c r="K2397" s="92"/>
      <c r="L2397" s="92"/>
      <c r="M2397" s="92"/>
      <c r="N2397" s="92"/>
      <c r="AG2397" s="100"/>
      <c r="AH2397" s="101"/>
      <c r="AI2397" s="101"/>
      <c r="AJ2397" s="100"/>
      <c r="AK2397" s="100"/>
      <c r="AL2397" s="100"/>
      <c r="AM2397" s="100"/>
      <c r="AN2397" s="100"/>
      <c r="AO2397" s="100"/>
      <c r="AP2397" s="100"/>
      <c r="AQ2397" s="100"/>
      <c r="AR2397" s="100"/>
      <c r="AS2397" s="100"/>
      <c r="AT2397" s="102"/>
      <c r="AX2397" s="100"/>
      <c r="AY2397" s="101"/>
      <c r="AZ2397" s="101"/>
      <c r="BA2397" s="100"/>
      <c r="BB2397" s="100"/>
      <c r="BC2397" s="100"/>
      <c r="BD2397" s="100"/>
      <c r="BE2397" s="100"/>
      <c r="BF2397" s="100"/>
      <c r="BG2397" s="100"/>
      <c r="BH2397" s="100"/>
      <c r="BI2397" s="100"/>
      <c r="BJ2397" s="100"/>
      <c r="BK2397" s="102"/>
    </row>
    <row r="2398" spans="1:63" x14ac:dyDescent="0.25">
      <c r="A2398" s="92"/>
      <c r="B2398" s="92"/>
      <c r="C2398" s="92"/>
      <c r="D2398" s="92"/>
      <c r="E2398" s="92"/>
      <c r="F2398" s="92"/>
      <c r="G2398" s="92"/>
      <c r="H2398" s="92"/>
      <c r="I2398" s="92"/>
      <c r="J2398" s="92"/>
      <c r="K2398" s="92"/>
      <c r="L2398" s="92"/>
      <c r="M2398" s="92"/>
      <c r="N2398" s="92"/>
      <c r="AG2398" s="100"/>
      <c r="AH2398" s="101"/>
      <c r="AI2398" s="101"/>
      <c r="AJ2398" s="101"/>
      <c r="AK2398" s="100"/>
      <c r="AL2398" s="100"/>
      <c r="AM2398" s="100"/>
      <c r="AN2398" s="100"/>
      <c r="AO2398" s="100"/>
      <c r="AP2398" s="100"/>
      <c r="AQ2398" s="100"/>
      <c r="AR2398" s="100"/>
      <c r="AS2398" s="100"/>
      <c r="AT2398" s="102"/>
      <c r="AX2398" s="100"/>
      <c r="AY2398" s="101"/>
      <c r="AZ2398" s="101"/>
      <c r="BA2398" s="101"/>
      <c r="BB2398" s="100"/>
      <c r="BC2398" s="100"/>
      <c r="BD2398" s="100"/>
      <c r="BE2398" s="100"/>
      <c r="BF2398" s="100"/>
      <c r="BG2398" s="100"/>
      <c r="BH2398" s="100"/>
      <c r="BI2398" s="100"/>
      <c r="BJ2398" s="100"/>
      <c r="BK2398" s="102"/>
    </row>
    <row r="2399" spans="1:63" x14ac:dyDescent="0.25">
      <c r="A2399" s="92"/>
      <c r="B2399" s="92"/>
      <c r="C2399" s="92"/>
      <c r="D2399" s="92"/>
      <c r="E2399" s="92"/>
      <c r="F2399" s="92"/>
      <c r="G2399" s="92"/>
      <c r="H2399" s="92"/>
      <c r="I2399" s="92"/>
      <c r="J2399" s="92"/>
      <c r="K2399" s="92"/>
      <c r="L2399" s="92"/>
      <c r="M2399" s="92"/>
      <c r="N2399" s="92"/>
      <c r="AG2399" s="100"/>
      <c r="AH2399" s="101"/>
      <c r="AI2399" s="101"/>
      <c r="AJ2399" s="100"/>
      <c r="AK2399" s="100"/>
      <c r="AL2399" s="100"/>
      <c r="AM2399" s="100"/>
      <c r="AN2399" s="100"/>
      <c r="AO2399" s="100"/>
      <c r="AP2399" s="100"/>
      <c r="AQ2399" s="100"/>
      <c r="AR2399" s="100"/>
      <c r="AS2399" s="100"/>
      <c r="AT2399" s="102"/>
      <c r="AX2399" s="100"/>
      <c r="AY2399" s="101"/>
      <c r="AZ2399" s="101"/>
      <c r="BA2399" s="100"/>
      <c r="BB2399" s="100"/>
      <c r="BC2399" s="100"/>
      <c r="BD2399" s="100"/>
      <c r="BE2399" s="100"/>
      <c r="BF2399" s="100"/>
      <c r="BG2399" s="100"/>
      <c r="BH2399" s="100"/>
      <c r="BI2399" s="100"/>
      <c r="BJ2399" s="100"/>
      <c r="BK2399" s="102"/>
    </row>
    <row r="2400" spans="1:63" x14ac:dyDescent="0.25">
      <c r="A2400" s="92"/>
      <c r="B2400" s="92"/>
      <c r="C2400" s="92"/>
      <c r="D2400" s="92"/>
      <c r="E2400" s="92"/>
      <c r="F2400" s="92"/>
      <c r="G2400" s="92"/>
      <c r="H2400" s="92"/>
      <c r="I2400" s="92"/>
      <c r="J2400" s="92"/>
      <c r="K2400" s="92"/>
      <c r="L2400" s="92"/>
      <c r="M2400" s="92"/>
      <c r="N2400" s="92"/>
      <c r="AG2400" s="100"/>
      <c r="AH2400" s="101"/>
      <c r="AI2400" s="101"/>
      <c r="AJ2400" s="100"/>
      <c r="AK2400" s="100"/>
      <c r="AL2400" s="100"/>
      <c r="AM2400" s="100"/>
      <c r="AN2400" s="100"/>
      <c r="AO2400" s="100"/>
      <c r="AP2400" s="100"/>
      <c r="AQ2400" s="100"/>
      <c r="AR2400" s="100"/>
      <c r="AS2400" s="100"/>
      <c r="AT2400" s="102"/>
      <c r="AX2400" s="100"/>
      <c r="AY2400" s="101"/>
      <c r="AZ2400" s="101"/>
      <c r="BA2400" s="100"/>
      <c r="BB2400" s="100"/>
      <c r="BC2400" s="100"/>
      <c r="BD2400" s="100"/>
      <c r="BE2400" s="100"/>
      <c r="BF2400" s="100"/>
      <c r="BG2400" s="100"/>
      <c r="BH2400" s="100"/>
      <c r="BI2400" s="100"/>
      <c r="BJ2400" s="100"/>
      <c r="BK2400" s="102"/>
    </row>
    <row r="2401" spans="1:63" x14ac:dyDescent="0.25">
      <c r="A2401" s="92"/>
      <c r="B2401" s="92"/>
      <c r="C2401" s="92"/>
      <c r="D2401" s="92"/>
      <c r="E2401" s="92"/>
      <c r="F2401" s="92"/>
      <c r="G2401" s="92"/>
      <c r="H2401" s="92"/>
      <c r="I2401" s="92"/>
      <c r="J2401" s="92"/>
      <c r="K2401" s="92"/>
      <c r="L2401" s="92"/>
      <c r="M2401" s="92"/>
      <c r="N2401" s="92"/>
      <c r="AG2401" s="100"/>
      <c r="AH2401" s="101"/>
      <c r="AI2401" s="100"/>
      <c r="AJ2401" s="101"/>
      <c r="AK2401" s="100"/>
      <c r="AL2401" s="100"/>
      <c r="AM2401" s="100"/>
      <c r="AN2401" s="100"/>
      <c r="AO2401" s="100"/>
      <c r="AP2401" s="100"/>
      <c r="AQ2401" s="100"/>
      <c r="AR2401" s="100"/>
      <c r="AS2401" s="100"/>
      <c r="AT2401" s="102"/>
      <c r="AX2401" s="100"/>
      <c r="AY2401" s="101"/>
      <c r="AZ2401" s="101"/>
      <c r="BA2401" s="100"/>
      <c r="BB2401" s="100"/>
      <c r="BC2401" s="100"/>
      <c r="BD2401" s="100"/>
      <c r="BE2401" s="100"/>
      <c r="BF2401" s="100"/>
      <c r="BG2401" s="100"/>
      <c r="BH2401" s="100"/>
      <c r="BI2401" s="100"/>
      <c r="BJ2401" s="100"/>
      <c r="BK2401" s="102"/>
    </row>
    <row r="2402" spans="1:63" x14ac:dyDescent="0.25">
      <c r="A2402" s="92"/>
      <c r="B2402" s="92"/>
      <c r="C2402" s="92"/>
      <c r="D2402" s="92"/>
      <c r="E2402" s="92"/>
      <c r="F2402" s="92"/>
      <c r="G2402" s="92"/>
      <c r="H2402" s="92"/>
      <c r="I2402" s="92"/>
      <c r="J2402" s="92"/>
      <c r="K2402" s="92"/>
      <c r="L2402" s="92"/>
      <c r="M2402" s="92"/>
      <c r="N2402" s="92"/>
      <c r="AG2402" s="100"/>
      <c r="AH2402" s="101"/>
      <c r="AI2402" s="100"/>
      <c r="AJ2402" s="101"/>
      <c r="AK2402" s="100"/>
      <c r="AL2402" s="100"/>
      <c r="AM2402" s="100"/>
      <c r="AN2402" s="100"/>
      <c r="AO2402" s="100"/>
      <c r="AP2402" s="100"/>
      <c r="AQ2402" s="100"/>
      <c r="AR2402" s="100"/>
      <c r="AS2402" s="100"/>
      <c r="AT2402" s="102"/>
      <c r="AX2402" s="100"/>
      <c r="AY2402" s="101"/>
      <c r="AZ2402" s="101"/>
      <c r="BA2402" s="100"/>
      <c r="BB2402" s="100"/>
      <c r="BC2402" s="100"/>
      <c r="BD2402" s="100"/>
      <c r="BE2402" s="100"/>
      <c r="BF2402" s="100"/>
      <c r="BG2402" s="100"/>
      <c r="BH2402" s="100"/>
      <c r="BI2402" s="100"/>
      <c r="BJ2402" s="100"/>
      <c r="BK2402" s="102"/>
    </row>
    <row r="2403" spans="1:63" x14ac:dyDescent="0.25">
      <c r="A2403" s="92"/>
      <c r="B2403" s="92"/>
      <c r="C2403" s="92"/>
      <c r="D2403" s="92"/>
      <c r="E2403" s="92"/>
      <c r="F2403" s="92"/>
      <c r="G2403" s="92"/>
      <c r="H2403" s="92"/>
      <c r="I2403" s="92"/>
      <c r="J2403" s="92"/>
      <c r="K2403" s="92"/>
      <c r="L2403" s="92"/>
      <c r="M2403" s="92"/>
      <c r="N2403" s="92"/>
      <c r="AG2403" s="100"/>
      <c r="AH2403" s="101"/>
      <c r="AI2403" s="101"/>
      <c r="AJ2403" s="100"/>
      <c r="AK2403" s="100"/>
      <c r="AL2403" s="100"/>
      <c r="AM2403" s="100"/>
      <c r="AN2403" s="100"/>
      <c r="AO2403" s="100"/>
      <c r="AP2403" s="100"/>
      <c r="AQ2403" s="100"/>
      <c r="AR2403" s="100"/>
      <c r="AS2403" s="100"/>
      <c r="AT2403" s="102"/>
      <c r="AX2403" s="100"/>
      <c r="AY2403" s="101"/>
      <c r="AZ2403" s="101"/>
      <c r="BA2403" s="100"/>
      <c r="BB2403" s="100"/>
      <c r="BC2403" s="100"/>
      <c r="BD2403" s="100"/>
      <c r="BE2403" s="100"/>
      <c r="BF2403" s="100"/>
      <c r="BG2403" s="100"/>
      <c r="BH2403" s="100"/>
      <c r="BI2403" s="100"/>
      <c r="BJ2403" s="100"/>
      <c r="BK2403" s="102"/>
    </row>
    <row r="2404" spans="1:63" x14ac:dyDescent="0.25">
      <c r="A2404" s="92"/>
      <c r="B2404" s="93"/>
      <c r="C2404" s="93"/>
      <c r="D2404" s="93"/>
      <c r="E2404" s="92"/>
      <c r="F2404" s="92"/>
      <c r="G2404" s="92"/>
      <c r="H2404" s="92"/>
      <c r="I2404" s="92"/>
      <c r="J2404" s="92"/>
      <c r="K2404" s="92"/>
      <c r="L2404" s="92"/>
      <c r="M2404" s="92"/>
      <c r="N2404" s="94"/>
      <c r="AG2404" s="100"/>
      <c r="AH2404" s="101"/>
      <c r="AI2404" s="100"/>
      <c r="AJ2404" s="101"/>
      <c r="AK2404" s="100"/>
      <c r="AL2404" s="100"/>
      <c r="AM2404" s="100"/>
      <c r="AN2404" s="100"/>
      <c r="AO2404" s="100"/>
      <c r="AP2404" s="100"/>
      <c r="AQ2404" s="100"/>
      <c r="AR2404" s="100"/>
      <c r="AS2404" s="100"/>
      <c r="AT2404" s="102"/>
      <c r="AX2404" s="100"/>
      <c r="AY2404" s="101"/>
      <c r="AZ2404" s="101"/>
      <c r="BA2404" s="101"/>
      <c r="BB2404" s="100"/>
      <c r="BC2404" s="100"/>
      <c r="BD2404" s="100"/>
      <c r="BE2404" s="100"/>
      <c r="BF2404" s="100"/>
      <c r="BG2404" s="100"/>
      <c r="BH2404" s="100"/>
      <c r="BI2404" s="100"/>
      <c r="BJ2404" s="100"/>
      <c r="BK2404" s="102"/>
    </row>
    <row r="2405" spans="1:63" x14ac:dyDescent="0.25">
      <c r="A2405" s="92"/>
      <c r="B2405" s="93"/>
      <c r="C2405" s="93"/>
      <c r="D2405" s="93"/>
      <c r="E2405" s="92"/>
      <c r="F2405" s="92"/>
      <c r="G2405" s="92"/>
      <c r="H2405" s="92"/>
      <c r="I2405" s="92"/>
      <c r="J2405" s="92"/>
      <c r="K2405" s="92"/>
      <c r="L2405" s="92"/>
      <c r="M2405" s="92"/>
      <c r="N2405" s="94"/>
      <c r="AG2405" s="100"/>
      <c r="AH2405" s="101"/>
      <c r="AI2405" s="100"/>
      <c r="AJ2405" s="101"/>
      <c r="AK2405" s="100"/>
      <c r="AL2405" s="100"/>
      <c r="AM2405" s="100"/>
      <c r="AN2405" s="100"/>
      <c r="AO2405" s="100"/>
      <c r="AP2405" s="100"/>
      <c r="AQ2405" s="100"/>
      <c r="AR2405" s="100"/>
      <c r="AS2405" s="100"/>
      <c r="AT2405" s="102"/>
      <c r="AX2405" s="100"/>
      <c r="AY2405" s="101"/>
      <c r="AZ2405" s="101"/>
      <c r="BA2405" s="100"/>
      <c r="BB2405" s="100"/>
      <c r="BC2405" s="100"/>
      <c r="BD2405" s="100"/>
      <c r="BE2405" s="100"/>
      <c r="BF2405" s="100"/>
      <c r="BG2405" s="100"/>
      <c r="BH2405" s="100"/>
      <c r="BI2405" s="100"/>
      <c r="BJ2405" s="100"/>
      <c r="BK2405" s="102"/>
    </row>
    <row r="2406" spans="1:63" x14ac:dyDescent="0.25">
      <c r="A2406" s="92"/>
      <c r="B2406" s="93"/>
      <c r="C2406" s="93"/>
      <c r="D2406" s="92"/>
      <c r="E2406" s="92"/>
      <c r="F2406" s="92"/>
      <c r="G2406" s="92"/>
      <c r="H2406" s="92"/>
      <c r="I2406" s="92"/>
      <c r="J2406" s="92"/>
      <c r="K2406" s="92"/>
      <c r="L2406" s="92"/>
      <c r="M2406" s="92"/>
      <c r="N2406" s="94"/>
      <c r="AG2406" s="100"/>
      <c r="AH2406" s="101"/>
      <c r="AI2406" s="100"/>
      <c r="AJ2406" s="101"/>
      <c r="AK2406" s="100"/>
      <c r="AL2406" s="100"/>
      <c r="AM2406" s="100"/>
      <c r="AN2406" s="100"/>
      <c r="AO2406" s="100"/>
      <c r="AP2406" s="100"/>
      <c r="AQ2406" s="100"/>
      <c r="AR2406" s="100"/>
      <c r="AS2406" s="100"/>
      <c r="AT2406" s="102"/>
      <c r="AX2406" s="100"/>
      <c r="AY2406" s="101"/>
      <c r="AZ2406" s="101"/>
      <c r="BA2406" s="100"/>
      <c r="BB2406" s="100"/>
      <c r="BC2406" s="100"/>
      <c r="BD2406" s="100"/>
      <c r="BE2406" s="100"/>
      <c r="BF2406" s="100"/>
      <c r="BG2406" s="100"/>
      <c r="BH2406" s="100"/>
      <c r="BI2406" s="100"/>
      <c r="BJ2406" s="100"/>
      <c r="BK2406" s="102"/>
    </row>
    <row r="2407" spans="1:63" x14ac:dyDescent="0.25">
      <c r="A2407" s="92"/>
      <c r="B2407" s="93"/>
      <c r="C2407" s="93"/>
      <c r="D2407" s="92"/>
      <c r="E2407" s="92"/>
      <c r="F2407" s="92"/>
      <c r="G2407" s="92"/>
      <c r="H2407" s="92"/>
      <c r="I2407" s="92"/>
      <c r="J2407" s="92"/>
      <c r="K2407" s="92"/>
      <c r="L2407" s="92"/>
      <c r="M2407" s="92"/>
      <c r="N2407" s="94"/>
      <c r="AG2407" s="100"/>
      <c r="AH2407" s="101"/>
      <c r="AI2407" s="100"/>
      <c r="AJ2407" s="101"/>
      <c r="AK2407" s="100"/>
      <c r="AL2407" s="100"/>
      <c r="AM2407" s="100"/>
      <c r="AN2407" s="100"/>
      <c r="AO2407" s="100"/>
      <c r="AP2407" s="100"/>
      <c r="AQ2407" s="100"/>
      <c r="AR2407" s="100"/>
      <c r="AS2407" s="100"/>
      <c r="AT2407" s="102"/>
      <c r="AX2407" s="100"/>
      <c r="AY2407" s="101"/>
      <c r="AZ2407" s="101"/>
      <c r="BA2407" s="101"/>
      <c r="BB2407" s="100"/>
      <c r="BC2407" s="100"/>
      <c r="BD2407" s="100"/>
      <c r="BE2407" s="100"/>
      <c r="BF2407" s="100"/>
      <c r="BG2407" s="100"/>
      <c r="BH2407" s="100"/>
      <c r="BI2407" s="100"/>
      <c r="BJ2407" s="100"/>
      <c r="BK2407" s="102"/>
    </row>
    <row r="2408" spans="1:63" x14ac:dyDescent="0.25">
      <c r="A2408" s="92"/>
      <c r="B2408" s="93"/>
      <c r="C2408" s="93"/>
      <c r="D2408" s="92"/>
      <c r="E2408" s="92"/>
      <c r="F2408" s="92"/>
      <c r="G2408" s="92"/>
      <c r="H2408" s="92"/>
      <c r="I2408" s="92"/>
      <c r="J2408" s="92"/>
      <c r="K2408" s="92"/>
      <c r="L2408" s="92"/>
      <c r="M2408" s="92"/>
      <c r="N2408" s="94"/>
      <c r="AG2408" s="100"/>
      <c r="AH2408" s="101"/>
      <c r="AI2408" s="100"/>
      <c r="AJ2408" s="101"/>
      <c r="AK2408" s="100"/>
      <c r="AL2408" s="100"/>
      <c r="AM2408" s="100"/>
      <c r="AN2408" s="100"/>
      <c r="AO2408" s="100"/>
      <c r="AP2408" s="100"/>
      <c r="AQ2408" s="100"/>
      <c r="AR2408" s="100"/>
      <c r="AS2408" s="100"/>
      <c r="AT2408" s="102"/>
      <c r="AX2408" s="100"/>
      <c r="AY2408" s="101"/>
      <c r="AZ2408" s="101"/>
      <c r="BA2408" s="100"/>
      <c r="BB2408" s="100"/>
      <c r="BC2408" s="100"/>
      <c r="BD2408" s="100"/>
      <c r="BE2408" s="100"/>
      <c r="BF2408" s="100"/>
      <c r="BG2408" s="100"/>
      <c r="BH2408" s="100"/>
      <c r="BI2408" s="100"/>
      <c r="BJ2408" s="100"/>
      <c r="BK2408" s="102"/>
    </row>
    <row r="2409" spans="1:63" x14ac:dyDescent="0.25">
      <c r="A2409" s="92"/>
      <c r="B2409" s="93"/>
      <c r="C2409" s="93"/>
      <c r="D2409" s="92"/>
      <c r="E2409" s="92"/>
      <c r="F2409" s="92"/>
      <c r="G2409" s="92"/>
      <c r="H2409" s="92"/>
      <c r="I2409" s="92"/>
      <c r="J2409" s="92"/>
      <c r="K2409" s="92"/>
      <c r="L2409" s="92"/>
      <c r="M2409" s="92"/>
      <c r="N2409" s="94"/>
      <c r="AG2409" s="100"/>
      <c r="AH2409" s="101"/>
      <c r="AI2409" s="100"/>
      <c r="AJ2409" s="101"/>
      <c r="AK2409" s="100"/>
      <c r="AL2409" s="100"/>
      <c r="AM2409" s="100"/>
      <c r="AN2409" s="100"/>
      <c r="AO2409" s="100"/>
      <c r="AP2409" s="100"/>
      <c r="AQ2409" s="100"/>
      <c r="AR2409" s="100"/>
      <c r="AS2409" s="100"/>
      <c r="AT2409" s="102"/>
      <c r="AX2409" s="100"/>
      <c r="AY2409" s="101"/>
      <c r="AZ2409" s="101"/>
      <c r="BA2409" s="100"/>
      <c r="BB2409" s="100"/>
      <c r="BC2409" s="100"/>
      <c r="BD2409" s="100"/>
      <c r="BE2409" s="100"/>
      <c r="BF2409" s="100"/>
      <c r="BG2409" s="100"/>
      <c r="BH2409" s="100"/>
      <c r="BI2409" s="100"/>
      <c r="BJ2409" s="100"/>
      <c r="BK2409" s="102"/>
    </row>
    <row r="2410" spans="1:63" x14ac:dyDescent="0.25">
      <c r="A2410" s="92"/>
      <c r="B2410" s="93"/>
      <c r="C2410" s="93"/>
      <c r="D2410" s="93"/>
      <c r="E2410" s="92"/>
      <c r="F2410" s="92"/>
      <c r="G2410" s="92"/>
      <c r="H2410" s="92"/>
      <c r="I2410" s="92"/>
      <c r="J2410" s="92"/>
      <c r="K2410" s="92"/>
      <c r="L2410" s="92"/>
      <c r="M2410" s="92"/>
      <c r="N2410" s="94"/>
      <c r="AG2410" s="100"/>
      <c r="AH2410" s="101"/>
      <c r="AI2410" s="101"/>
      <c r="AJ2410" s="100"/>
      <c r="AK2410" s="100"/>
      <c r="AL2410" s="100"/>
      <c r="AM2410" s="100"/>
      <c r="AN2410" s="100"/>
      <c r="AO2410" s="100"/>
      <c r="AP2410" s="100"/>
      <c r="AQ2410" s="100"/>
      <c r="AR2410" s="100"/>
      <c r="AS2410" s="100"/>
      <c r="AT2410" s="102"/>
      <c r="AX2410" s="100"/>
      <c r="AY2410" s="101"/>
      <c r="AZ2410" s="101"/>
      <c r="BA2410" s="100"/>
      <c r="BB2410" s="100"/>
      <c r="BC2410" s="100"/>
      <c r="BD2410" s="100"/>
      <c r="BE2410" s="100"/>
      <c r="BF2410" s="100"/>
      <c r="BG2410" s="100"/>
      <c r="BH2410" s="100"/>
      <c r="BI2410" s="100"/>
      <c r="BJ2410" s="100"/>
      <c r="BK2410" s="102"/>
    </row>
    <row r="2411" spans="1:63" x14ac:dyDescent="0.25">
      <c r="A2411" s="92"/>
      <c r="B2411" s="92"/>
      <c r="C2411" s="92"/>
      <c r="D2411" s="93"/>
      <c r="E2411" s="92"/>
      <c r="F2411" s="92"/>
      <c r="G2411" s="92"/>
      <c r="H2411" s="92"/>
      <c r="I2411" s="92"/>
      <c r="J2411" s="92"/>
      <c r="K2411" s="92"/>
      <c r="L2411" s="92"/>
      <c r="M2411" s="92"/>
      <c r="N2411" s="92"/>
      <c r="AG2411" s="100"/>
      <c r="AH2411" s="101"/>
      <c r="AI2411" s="101"/>
      <c r="AJ2411" s="100"/>
      <c r="AK2411" s="100"/>
      <c r="AL2411" s="100"/>
      <c r="AM2411" s="100"/>
      <c r="AN2411" s="100"/>
      <c r="AO2411" s="100"/>
      <c r="AP2411" s="100"/>
      <c r="AQ2411" s="100"/>
      <c r="AR2411" s="100"/>
      <c r="AS2411" s="100"/>
      <c r="AT2411" s="102"/>
      <c r="AX2411" s="100"/>
      <c r="AY2411" s="101"/>
      <c r="AZ2411" s="101"/>
      <c r="BA2411" s="100"/>
      <c r="BB2411" s="100"/>
      <c r="BC2411" s="100"/>
      <c r="BD2411" s="100"/>
      <c r="BE2411" s="100"/>
      <c r="BF2411" s="100"/>
      <c r="BG2411" s="100"/>
      <c r="BH2411" s="100"/>
      <c r="BI2411" s="100"/>
      <c r="BJ2411" s="100"/>
      <c r="BK2411" s="102"/>
    </row>
    <row r="2412" spans="1:63" x14ac:dyDescent="0.25">
      <c r="A2412" s="92"/>
      <c r="B2412" s="93"/>
      <c r="C2412" s="93"/>
      <c r="D2412" s="92"/>
      <c r="E2412" s="92"/>
      <c r="F2412" s="92"/>
      <c r="G2412" s="92"/>
      <c r="H2412" s="92"/>
      <c r="I2412" s="92"/>
      <c r="J2412" s="92"/>
      <c r="K2412" s="92"/>
      <c r="L2412" s="92"/>
      <c r="M2412" s="92"/>
      <c r="N2412" s="94"/>
      <c r="AG2412" s="100"/>
      <c r="AH2412" s="101"/>
      <c r="AI2412" s="100"/>
      <c r="AJ2412" s="101"/>
      <c r="AK2412" s="100"/>
      <c r="AL2412" s="100"/>
      <c r="AM2412" s="100"/>
      <c r="AN2412" s="100"/>
      <c r="AO2412" s="100"/>
      <c r="AP2412" s="100"/>
      <c r="AQ2412" s="100"/>
      <c r="AR2412" s="100"/>
      <c r="AS2412" s="100"/>
      <c r="AT2412" s="102"/>
      <c r="AX2412" s="100"/>
      <c r="AY2412" s="101"/>
      <c r="AZ2412" s="101"/>
      <c r="BA2412" s="100"/>
      <c r="BB2412" s="100"/>
      <c r="BC2412" s="100"/>
      <c r="BD2412" s="100"/>
      <c r="BE2412" s="100"/>
      <c r="BF2412" s="100"/>
      <c r="BG2412" s="100"/>
      <c r="BH2412" s="100"/>
      <c r="BI2412" s="100"/>
      <c r="BJ2412" s="100"/>
      <c r="BK2412" s="102"/>
    </row>
    <row r="2413" spans="1:63" x14ac:dyDescent="0.25">
      <c r="A2413" s="92"/>
      <c r="B2413" s="92"/>
      <c r="C2413" s="92"/>
      <c r="D2413" s="92"/>
      <c r="E2413" s="92"/>
      <c r="F2413" s="92"/>
      <c r="G2413" s="92"/>
      <c r="H2413" s="92"/>
      <c r="I2413" s="92"/>
      <c r="J2413" s="92"/>
      <c r="K2413" s="92"/>
      <c r="L2413" s="92"/>
      <c r="M2413" s="92"/>
      <c r="N2413" s="92"/>
      <c r="AG2413" s="100"/>
      <c r="AH2413" s="101"/>
      <c r="AI2413" s="100"/>
      <c r="AJ2413" s="101"/>
      <c r="AK2413" s="100"/>
      <c r="AL2413" s="100"/>
      <c r="AM2413" s="100"/>
      <c r="AN2413" s="100"/>
      <c r="AO2413" s="100"/>
      <c r="AP2413" s="100"/>
      <c r="AQ2413" s="100"/>
      <c r="AR2413" s="100"/>
      <c r="AS2413" s="100"/>
      <c r="AT2413" s="102"/>
      <c r="AX2413" s="100"/>
      <c r="AY2413" s="101"/>
      <c r="AZ2413" s="101"/>
      <c r="BA2413" s="101"/>
      <c r="BB2413" s="100"/>
      <c r="BC2413" s="100"/>
      <c r="BD2413" s="100"/>
      <c r="BE2413" s="100"/>
      <c r="BF2413" s="100"/>
      <c r="BG2413" s="100"/>
      <c r="BH2413" s="100"/>
      <c r="BI2413" s="100"/>
      <c r="BJ2413" s="100"/>
      <c r="BK2413" s="102"/>
    </row>
    <row r="2414" spans="1:63" x14ac:dyDescent="0.25">
      <c r="A2414" s="92"/>
      <c r="B2414" s="92"/>
      <c r="C2414" s="92"/>
      <c r="D2414" s="92"/>
      <c r="E2414" s="92"/>
      <c r="F2414" s="92"/>
      <c r="G2414" s="92"/>
      <c r="H2414" s="92"/>
      <c r="I2414" s="92"/>
      <c r="J2414" s="92"/>
      <c r="K2414" s="92"/>
      <c r="L2414" s="92"/>
      <c r="M2414" s="92"/>
      <c r="N2414" s="92"/>
      <c r="AG2414" s="100"/>
      <c r="AH2414" s="101"/>
      <c r="AI2414" s="100"/>
      <c r="AJ2414" s="101"/>
      <c r="AK2414" s="100"/>
      <c r="AL2414" s="100"/>
      <c r="AM2414" s="100"/>
      <c r="AN2414" s="100"/>
      <c r="AO2414" s="100"/>
      <c r="AP2414" s="100"/>
      <c r="AQ2414" s="100"/>
      <c r="AR2414" s="100"/>
      <c r="AS2414" s="100"/>
      <c r="AT2414" s="102"/>
      <c r="AX2414" s="100"/>
      <c r="AY2414" s="101"/>
      <c r="AZ2414" s="101"/>
      <c r="BA2414" s="100"/>
      <c r="BB2414" s="100"/>
      <c r="BC2414" s="100"/>
      <c r="BD2414" s="100"/>
      <c r="BE2414" s="100"/>
      <c r="BF2414" s="100"/>
      <c r="BG2414" s="100"/>
      <c r="BH2414" s="100"/>
      <c r="BI2414" s="100"/>
      <c r="BJ2414" s="100"/>
      <c r="BK2414" s="102"/>
    </row>
    <row r="2415" spans="1:63" x14ac:dyDescent="0.25">
      <c r="A2415" s="92"/>
      <c r="B2415" s="93"/>
      <c r="C2415" s="93"/>
      <c r="D2415" s="93"/>
      <c r="E2415" s="92"/>
      <c r="F2415" s="92"/>
      <c r="G2415" s="92"/>
      <c r="H2415" s="92"/>
      <c r="I2415" s="92"/>
      <c r="J2415" s="92"/>
      <c r="K2415" s="92"/>
      <c r="L2415" s="92"/>
      <c r="M2415" s="92"/>
      <c r="N2415" s="94"/>
      <c r="AG2415" s="100"/>
      <c r="AH2415" s="101"/>
      <c r="AI2415" s="101"/>
      <c r="AJ2415" s="101"/>
      <c r="AK2415" s="100"/>
      <c r="AL2415" s="100"/>
      <c r="AM2415" s="100"/>
      <c r="AN2415" s="100"/>
      <c r="AO2415" s="100"/>
      <c r="AP2415" s="100"/>
      <c r="AQ2415" s="100"/>
      <c r="AR2415" s="100"/>
      <c r="AS2415" s="100"/>
      <c r="AT2415" s="102"/>
      <c r="AX2415" s="100"/>
      <c r="AY2415" s="101"/>
      <c r="AZ2415" s="101"/>
      <c r="BA2415" s="100"/>
      <c r="BB2415" s="100"/>
      <c r="BC2415" s="100"/>
      <c r="BD2415" s="100"/>
      <c r="BE2415" s="100"/>
      <c r="BF2415" s="100"/>
      <c r="BG2415" s="100"/>
      <c r="BH2415" s="100"/>
      <c r="BI2415" s="100"/>
      <c r="BJ2415" s="100"/>
      <c r="BK2415" s="102"/>
    </row>
    <row r="2416" spans="1:63" x14ac:dyDescent="0.25">
      <c r="A2416" s="92"/>
      <c r="B2416" s="93"/>
      <c r="C2416" s="93"/>
      <c r="D2416" s="92"/>
      <c r="E2416" s="92"/>
      <c r="F2416" s="92"/>
      <c r="G2416" s="92"/>
      <c r="H2416" s="92"/>
      <c r="I2416" s="92"/>
      <c r="J2416" s="92"/>
      <c r="K2416" s="92"/>
      <c r="L2416" s="92"/>
      <c r="M2416" s="92"/>
      <c r="N2416" s="94"/>
      <c r="AG2416" s="100"/>
      <c r="AH2416" s="101"/>
      <c r="AI2416" s="100"/>
      <c r="AJ2416" s="101"/>
      <c r="AK2416" s="100"/>
      <c r="AL2416" s="100"/>
      <c r="AM2416" s="100"/>
      <c r="AN2416" s="100"/>
      <c r="AO2416" s="100"/>
      <c r="AP2416" s="100"/>
      <c r="AQ2416" s="100"/>
      <c r="AR2416" s="100"/>
      <c r="AS2416" s="100"/>
      <c r="AT2416" s="102"/>
      <c r="AX2416" s="100"/>
      <c r="AY2416" s="101"/>
      <c r="AZ2416" s="101"/>
      <c r="BA2416" s="100"/>
      <c r="BB2416" s="100"/>
      <c r="BC2416" s="100"/>
      <c r="BD2416" s="100"/>
      <c r="BE2416" s="100"/>
      <c r="BF2416" s="100"/>
      <c r="BG2416" s="100"/>
      <c r="BH2416" s="100"/>
      <c r="BI2416" s="100"/>
      <c r="BJ2416" s="100"/>
      <c r="BK2416" s="102"/>
    </row>
    <row r="2417" spans="1:63" x14ac:dyDescent="0.25">
      <c r="A2417" s="92"/>
      <c r="B2417" s="92"/>
      <c r="C2417" s="92"/>
      <c r="D2417" s="92"/>
      <c r="E2417" s="92"/>
      <c r="F2417" s="92"/>
      <c r="G2417" s="92"/>
      <c r="H2417" s="92"/>
      <c r="I2417" s="92"/>
      <c r="J2417" s="92"/>
      <c r="K2417" s="92"/>
      <c r="L2417" s="92"/>
      <c r="M2417" s="92"/>
      <c r="N2417" s="92"/>
      <c r="AG2417" s="100"/>
      <c r="AH2417" s="101"/>
      <c r="AI2417" s="100"/>
      <c r="AJ2417" s="101"/>
      <c r="AK2417" s="100"/>
      <c r="AL2417" s="100"/>
      <c r="AM2417" s="100"/>
      <c r="AN2417" s="100"/>
      <c r="AO2417" s="100"/>
      <c r="AP2417" s="100"/>
      <c r="AQ2417" s="100"/>
      <c r="AR2417" s="100"/>
      <c r="AS2417" s="100"/>
      <c r="AT2417" s="102"/>
      <c r="AX2417" s="100"/>
      <c r="AY2417" s="101"/>
      <c r="AZ2417" s="101"/>
      <c r="BA2417" s="100"/>
      <c r="BB2417" s="100"/>
      <c r="BC2417" s="100"/>
      <c r="BD2417" s="100"/>
      <c r="BE2417" s="100"/>
      <c r="BF2417" s="100"/>
      <c r="BG2417" s="100"/>
      <c r="BH2417" s="100"/>
      <c r="BI2417" s="100"/>
      <c r="BJ2417" s="100"/>
      <c r="BK2417" s="102"/>
    </row>
    <row r="2418" spans="1:63" x14ac:dyDescent="0.25">
      <c r="A2418" s="92"/>
      <c r="B2418" s="93"/>
      <c r="C2418" s="93"/>
      <c r="D2418" s="93"/>
      <c r="E2418" s="92"/>
      <c r="F2418" s="92"/>
      <c r="G2418" s="92"/>
      <c r="H2418" s="92"/>
      <c r="I2418" s="92"/>
      <c r="J2418" s="92"/>
      <c r="K2418" s="92"/>
      <c r="L2418" s="92"/>
      <c r="M2418" s="92"/>
      <c r="N2418" s="94"/>
      <c r="AG2418" s="100"/>
      <c r="AH2418" s="101"/>
      <c r="AI2418" s="100"/>
      <c r="AJ2418" s="101"/>
      <c r="AK2418" s="100"/>
      <c r="AL2418" s="100"/>
      <c r="AM2418" s="100"/>
      <c r="AN2418" s="100"/>
      <c r="AO2418" s="100"/>
      <c r="AP2418" s="100"/>
      <c r="AQ2418" s="100"/>
      <c r="AR2418" s="100"/>
      <c r="AS2418" s="100"/>
      <c r="AT2418" s="102"/>
      <c r="AX2418" s="100"/>
      <c r="AY2418" s="101"/>
      <c r="AZ2418" s="101"/>
      <c r="BA2418" s="101"/>
      <c r="BB2418" s="100"/>
      <c r="BC2418" s="100"/>
      <c r="BD2418" s="100"/>
      <c r="BE2418" s="100"/>
      <c r="BF2418" s="100"/>
      <c r="BG2418" s="100"/>
      <c r="BH2418" s="100"/>
      <c r="BI2418" s="100"/>
      <c r="BJ2418" s="100"/>
      <c r="BK2418" s="102"/>
    </row>
    <row r="2419" spans="1:63" x14ac:dyDescent="0.25">
      <c r="A2419" s="92"/>
      <c r="B2419" s="92"/>
      <c r="C2419" s="92"/>
      <c r="D2419" s="92"/>
      <c r="E2419" s="92"/>
      <c r="F2419" s="92"/>
      <c r="G2419" s="92"/>
      <c r="H2419" s="92"/>
      <c r="I2419" s="92"/>
      <c r="J2419" s="92"/>
      <c r="K2419" s="92"/>
      <c r="L2419" s="92"/>
      <c r="M2419" s="92"/>
      <c r="N2419" s="92"/>
      <c r="AG2419" s="100"/>
      <c r="AH2419" s="101"/>
      <c r="AI2419" s="101"/>
      <c r="AJ2419" s="100"/>
      <c r="AK2419" s="100"/>
      <c r="AL2419" s="100"/>
      <c r="AM2419" s="100"/>
      <c r="AN2419" s="100"/>
      <c r="AO2419" s="100"/>
      <c r="AP2419" s="100"/>
      <c r="AQ2419" s="100"/>
      <c r="AR2419" s="100"/>
      <c r="AS2419" s="100"/>
      <c r="AT2419" s="102"/>
      <c r="AX2419" s="100"/>
      <c r="AY2419" s="101"/>
      <c r="AZ2419" s="101"/>
      <c r="BA2419" s="100"/>
      <c r="BB2419" s="100"/>
      <c r="BC2419" s="100"/>
      <c r="BD2419" s="100"/>
      <c r="BE2419" s="100"/>
      <c r="BF2419" s="100"/>
      <c r="BG2419" s="100"/>
      <c r="BH2419" s="100"/>
      <c r="BI2419" s="100"/>
      <c r="BJ2419" s="100"/>
      <c r="BK2419" s="102"/>
    </row>
    <row r="2420" spans="1:63" x14ac:dyDescent="0.25">
      <c r="A2420" s="92"/>
      <c r="B2420" s="92"/>
      <c r="C2420" s="92"/>
      <c r="D2420" s="92"/>
      <c r="E2420" s="92"/>
      <c r="F2420" s="92"/>
      <c r="G2420" s="92"/>
      <c r="H2420" s="92"/>
      <c r="I2420" s="92"/>
      <c r="J2420" s="92"/>
      <c r="K2420" s="92"/>
      <c r="L2420" s="92"/>
      <c r="M2420" s="92"/>
      <c r="N2420" s="92"/>
      <c r="AG2420" s="100"/>
      <c r="AH2420" s="101"/>
      <c r="AI2420" s="100"/>
      <c r="AJ2420" s="101"/>
      <c r="AK2420" s="100"/>
      <c r="AL2420" s="100"/>
      <c r="AM2420" s="100"/>
      <c r="AN2420" s="100"/>
      <c r="AO2420" s="100"/>
      <c r="AP2420" s="100"/>
      <c r="AQ2420" s="100"/>
      <c r="AR2420" s="100"/>
      <c r="AS2420" s="100"/>
      <c r="AT2420" s="102"/>
      <c r="AX2420" s="100"/>
      <c r="AY2420" s="101"/>
      <c r="AZ2420" s="101"/>
      <c r="BA2420" s="100"/>
      <c r="BB2420" s="100"/>
      <c r="BC2420" s="100"/>
      <c r="BD2420" s="100"/>
      <c r="BE2420" s="100"/>
      <c r="BF2420" s="100"/>
      <c r="BG2420" s="100"/>
      <c r="BH2420" s="100"/>
      <c r="BI2420" s="100"/>
      <c r="BJ2420" s="100"/>
      <c r="BK2420" s="102"/>
    </row>
    <row r="2421" spans="1:63" x14ac:dyDescent="0.25">
      <c r="A2421" s="92"/>
      <c r="B2421" s="93"/>
      <c r="C2421" s="93"/>
      <c r="D2421" s="92"/>
      <c r="E2421" s="92"/>
      <c r="F2421" s="92"/>
      <c r="G2421" s="92"/>
      <c r="H2421" s="92"/>
      <c r="I2421" s="92"/>
      <c r="J2421" s="92"/>
      <c r="K2421" s="92"/>
      <c r="L2421" s="92"/>
      <c r="M2421" s="92"/>
      <c r="N2421" s="94"/>
      <c r="AG2421" s="100"/>
      <c r="AH2421" s="101"/>
      <c r="AI2421" s="100"/>
      <c r="AJ2421" s="101"/>
      <c r="AK2421" s="100"/>
      <c r="AL2421" s="100"/>
      <c r="AM2421" s="100"/>
      <c r="AN2421" s="100"/>
      <c r="AO2421" s="100"/>
      <c r="AP2421" s="100"/>
      <c r="AQ2421" s="100"/>
      <c r="AR2421" s="100"/>
      <c r="AS2421" s="100"/>
      <c r="AT2421" s="102"/>
      <c r="AX2421" s="100"/>
      <c r="AY2421" s="101"/>
      <c r="AZ2421" s="100"/>
      <c r="BA2421" s="101"/>
      <c r="BB2421" s="100"/>
      <c r="BC2421" s="100"/>
      <c r="BD2421" s="100"/>
      <c r="BE2421" s="100"/>
      <c r="BF2421" s="100"/>
      <c r="BG2421" s="100"/>
      <c r="BH2421" s="100"/>
      <c r="BI2421" s="100"/>
      <c r="BJ2421" s="100"/>
      <c r="BK2421" s="102"/>
    </row>
    <row r="2422" spans="1:63" x14ac:dyDescent="0.25">
      <c r="A2422" s="92"/>
      <c r="B2422" s="93"/>
      <c r="C2422" s="93"/>
      <c r="D2422" s="92"/>
      <c r="E2422" s="92"/>
      <c r="F2422" s="92"/>
      <c r="G2422" s="92"/>
      <c r="H2422" s="92"/>
      <c r="I2422" s="92"/>
      <c r="J2422" s="92"/>
      <c r="K2422" s="92"/>
      <c r="L2422" s="92"/>
      <c r="M2422" s="92"/>
      <c r="N2422" s="94"/>
      <c r="AG2422" s="100"/>
      <c r="AH2422" s="101"/>
      <c r="AI2422" s="100"/>
      <c r="AJ2422" s="101"/>
      <c r="AK2422" s="100"/>
      <c r="AL2422" s="100"/>
      <c r="AM2422" s="100"/>
      <c r="AN2422" s="100"/>
      <c r="AO2422" s="100"/>
      <c r="AP2422" s="100"/>
      <c r="AQ2422" s="100"/>
      <c r="AR2422" s="100"/>
      <c r="AS2422" s="100"/>
      <c r="AT2422" s="102"/>
      <c r="AX2422" s="100"/>
      <c r="AY2422" s="101"/>
      <c r="AZ2422" s="100"/>
      <c r="BA2422" s="101"/>
      <c r="BB2422" s="100"/>
      <c r="BC2422" s="100"/>
      <c r="BD2422" s="100"/>
      <c r="BE2422" s="100"/>
      <c r="BF2422" s="100"/>
      <c r="BG2422" s="100"/>
      <c r="BH2422" s="100"/>
      <c r="BI2422" s="100"/>
      <c r="BJ2422" s="100"/>
      <c r="BK2422" s="102"/>
    </row>
    <row r="2423" spans="1:63" x14ac:dyDescent="0.25">
      <c r="A2423" s="92"/>
      <c r="B2423" s="93"/>
      <c r="C2423" s="93"/>
      <c r="D2423" s="92"/>
      <c r="E2423" s="92"/>
      <c r="F2423" s="92"/>
      <c r="G2423" s="92"/>
      <c r="H2423" s="92"/>
      <c r="I2423" s="92"/>
      <c r="J2423" s="92"/>
      <c r="K2423" s="92"/>
      <c r="L2423" s="92"/>
      <c r="M2423" s="92"/>
      <c r="N2423" s="94"/>
      <c r="AG2423" s="100"/>
      <c r="AH2423" s="101"/>
      <c r="AI2423" s="100"/>
      <c r="AJ2423" s="101"/>
      <c r="AK2423" s="100"/>
      <c r="AL2423" s="100"/>
      <c r="AM2423" s="100"/>
      <c r="AN2423" s="100"/>
      <c r="AO2423" s="100"/>
      <c r="AP2423" s="100"/>
      <c r="AQ2423" s="100"/>
      <c r="AR2423" s="100"/>
      <c r="AS2423" s="100"/>
      <c r="AT2423" s="102"/>
      <c r="AX2423" s="100"/>
      <c r="AY2423" s="101"/>
      <c r="AZ2423" s="101"/>
      <c r="BA2423" s="100"/>
      <c r="BB2423" s="100"/>
      <c r="BC2423" s="100"/>
      <c r="BD2423" s="100"/>
      <c r="BE2423" s="100"/>
      <c r="BF2423" s="100"/>
      <c r="BG2423" s="100"/>
      <c r="BH2423" s="100"/>
      <c r="BI2423" s="100"/>
      <c r="BJ2423" s="100"/>
      <c r="BK2423" s="102"/>
    </row>
    <row r="2424" spans="1:63" x14ac:dyDescent="0.25">
      <c r="A2424" s="92"/>
      <c r="B2424" s="93"/>
      <c r="C2424" s="93"/>
      <c r="D2424" s="93"/>
      <c r="E2424" s="92"/>
      <c r="F2424" s="92"/>
      <c r="G2424" s="92"/>
      <c r="H2424" s="92"/>
      <c r="I2424" s="92"/>
      <c r="J2424" s="92"/>
      <c r="K2424" s="92"/>
      <c r="L2424" s="92"/>
      <c r="M2424" s="92"/>
      <c r="N2424" s="94"/>
      <c r="AG2424" s="100"/>
      <c r="AH2424" s="101"/>
      <c r="AI2424" s="100"/>
      <c r="AJ2424" s="101"/>
      <c r="AK2424" s="100"/>
      <c r="AL2424" s="100"/>
      <c r="AM2424" s="100"/>
      <c r="AN2424" s="100"/>
      <c r="AO2424" s="100"/>
      <c r="AP2424" s="100"/>
      <c r="AQ2424" s="100"/>
      <c r="AR2424" s="100"/>
      <c r="AS2424" s="100"/>
      <c r="AT2424" s="102"/>
      <c r="AX2424" s="100"/>
      <c r="AY2424" s="101"/>
      <c r="AZ2424" s="100"/>
      <c r="BA2424" s="101"/>
      <c r="BB2424" s="100"/>
      <c r="BC2424" s="100"/>
      <c r="BD2424" s="100"/>
      <c r="BE2424" s="100"/>
      <c r="BF2424" s="100"/>
      <c r="BG2424" s="100"/>
      <c r="BH2424" s="100"/>
      <c r="BI2424" s="100"/>
      <c r="BJ2424" s="100"/>
      <c r="BK2424" s="102"/>
    </row>
    <row r="2425" spans="1:63" x14ac:dyDescent="0.25">
      <c r="A2425" s="92"/>
      <c r="B2425" s="92"/>
      <c r="C2425" s="92"/>
      <c r="D2425" s="92"/>
      <c r="E2425" s="92"/>
      <c r="F2425" s="92"/>
      <c r="G2425" s="92"/>
      <c r="H2425" s="92"/>
      <c r="I2425" s="92"/>
      <c r="J2425" s="92"/>
      <c r="K2425" s="92"/>
      <c r="L2425" s="92"/>
      <c r="M2425" s="92"/>
      <c r="N2425" s="92"/>
      <c r="AG2425" s="100"/>
      <c r="AH2425" s="101"/>
      <c r="AI2425" s="100"/>
      <c r="AJ2425" s="101"/>
      <c r="AK2425" s="100"/>
      <c r="AL2425" s="100"/>
      <c r="AM2425" s="100"/>
      <c r="AN2425" s="100"/>
      <c r="AO2425" s="100"/>
      <c r="AP2425" s="100"/>
      <c r="AQ2425" s="100"/>
      <c r="AR2425" s="100"/>
      <c r="AS2425" s="100"/>
      <c r="AT2425" s="102"/>
      <c r="AX2425" s="100"/>
      <c r="AY2425" s="101"/>
      <c r="AZ2425" s="100"/>
      <c r="BA2425" s="101"/>
      <c r="BB2425" s="100"/>
      <c r="BC2425" s="100"/>
      <c r="BD2425" s="100"/>
      <c r="BE2425" s="100"/>
      <c r="BF2425" s="100"/>
      <c r="BG2425" s="100"/>
      <c r="BH2425" s="100"/>
      <c r="BI2425" s="100"/>
      <c r="BJ2425" s="100"/>
      <c r="BK2425" s="102"/>
    </row>
    <row r="2426" spans="1:63" x14ac:dyDescent="0.25">
      <c r="A2426" s="92"/>
      <c r="B2426" s="92"/>
      <c r="C2426" s="92"/>
      <c r="D2426" s="92"/>
      <c r="E2426" s="92"/>
      <c r="F2426" s="92"/>
      <c r="G2426" s="92"/>
      <c r="H2426" s="92"/>
      <c r="I2426" s="92"/>
      <c r="J2426" s="92"/>
      <c r="K2426" s="92"/>
      <c r="L2426" s="92"/>
      <c r="M2426" s="92"/>
      <c r="N2426" s="92"/>
      <c r="AG2426" s="100"/>
      <c r="AH2426" s="101"/>
      <c r="AI2426" s="100"/>
      <c r="AJ2426" s="101"/>
      <c r="AK2426" s="100"/>
      <c r="AL2426" s="100"/>
      <c r="AM2426" s="100"/>
      <c r="AN2426" s="100"/>
      <c r="AO2426" s="100"/>
      <c r="AP2426" s="100"/>
      <c r="AQ2426" s="100"/>
      <c r="AR2426" s="100"/>
      <c r="AS2426" s="100"/>
      <c r="AT2426" s="102"/>
      <c r="AX2426" s="100"/>
      <c r="AY2426" s="101"/>
      <c r="AZ2426" s="100"/>
      <c r="BA2426" s="101"/>
      <c r="BB2426" s="100"/>
      <c r="BC2426" s="100"/>
      <c r="BD2426" s="100"/>
      <c r="BE2426" s="100"/>
      <c r="BF2426" s="100"/>
      <c r="BG2426" s="100"/>
      <c r="BH2426" s="100"/>
      <c r="BI2426" s="100"/>
      <c r="BJ2426" s="100"/>
      <c r="BK2426" s="102"/>
    </row>
    <row r="2427" spans="1:63" x14ac:dyDescent="0.25">
      <c r="A2427" s="92"/>
      <c r="B2427" s="92"/>
      <c r="C2427" s="92"/>
      <c r="D2427" s="92"/>
      <c r="E2427" s="92"/>
      <c r="F2427" s="92"/>
      <c r="G2427" s="92"/>
      <c r="H2427" s="92"/>
      <c r="I2427" s="92"/>
      <c r="J2427" s="92"/>
      <c r="K2427" s="92"/>
      <c r="L2427" s="92"/>
      <c r="M2427" s="92"/>
      <c r="N2427" s="92"/>
      <c r="AG2427" s="100"/>
      <c r="AH2427" s="101"/>
      <c r="AI2427" s="100"/>
      <c r="AJ2427" s="101"/>
      <c r="AK2427" s="100"/>
      <c r="AL2427" s="100"/>
      <c r="AM2427" s="100"/>
      <c r="AN2427" s="100"/>
      <c r="AO2427" s="100"/>
      <c r="AP2427" s="100"/>
      <c r="AQ2427" s="100"/>
      <c r="AR2427" s="100"/>
      <c r="AS2427" s="100"/>
      <c r="AT2427" s="102"/>
      <c r="AX2427" s="100"/>
      <c r="AY2427" s="101"/>
      <c r="AZ2427" s="100"/>
      <c r="BA2427" s="101"/>
      <c r="BB2427" s="100"/>
      <c r="BC2427" s="100"/>
      <c r="BD2427" s="100"/>
      <c r="BE2427" s="100"/>
      <c r="BF2427" s="100"/>
      <c r="BG2427" s="100"/>
      <c r="BH2427" s="100"/>
      <c r="BI2427" s="100"/>
      <c r="BJ2427" s="100"/>
      <c r="BK2427" s="102"/>
    </row>
    <row r="2428" spans="1:63" x14ac:dyDescent="0.25">
      <c r="A2428" s="92"/>
      <c r="B2428" s="93"/>
      <c r="C2428" s="93"/>
      <c r="D2428" s="92"/>
      <c r="E2428" s="92"/>
      <c r="F2428" s="92"/>
      <c r="G2428" s="92"/>
      <c r="H2428" s="92"/>
      <c r="I2428" s="92"/>
      <c r="J2428" s="92"/>
      <c r="K2428" s="92"/>
      <c r="L2428" s="92"/>
      <c r="M2428" s="92"/>
      <c r="N2428" s="94"/>
      <c r="AG2428" s="100"/>
      <c r="AH2428" s="101"/>
      <c r="AI2428" s="100"/>
      <c r="AJ2428" s="101"/>
      <c r="AK2428" s="100"/>
      <c r="AL2428" s="100"/>
      <c r="AM2428" s="100"/>
      <c r="AN2428" s="100"/>
      <c r="AO2428" s="100"/>
      <c r="AP2428" s="100"/>
      <c r="AQ2428" s="100"/>
      <c r="AR2428" s="100"/>
      <c r="AS2428" s="100"/>
      <c r="AT2428" s="102"/>
      <c r="AX2428" s="100"/>
      <c r="AY2428" s="101"/>
      <c r="AZ2428" s="100"/>
      <c r="BA2428" s="101"/>
      <c r="BB2428" s="100"/>
      <c r="BC2428" s="100"/>
      <c r="BD2428" s="100"/>
      <c r="BE2428" s="100"/>
      <c r="BF2428" s="100"/>
      <c r="BG2428" s="100"/>
      <c r="BH2428" s="100"/>
      <c r="BI2428" s="100"/>
      <c r="BJ2428" s="100"/>
      <c r="BK2428" s="102"/>
    </row>
    <row r="2429" spans="1:63" x14ac:dyDescent="0.25">
      <c r="A2429" s="92"/>
      <c r="B2429" s="93"/>
      <c r="C2429" s="93"/>
      <c r="D2429" s="93"/>
      <c r="E2429" s="92"/>
      <c r="F2429" s="92"/>
      <c r="G2429" s="92"/>
      <c r="H2429" s="92"/>
      <c r="I2429" s="92"/>
      <c r="J2429" s="92"/>
      <c r="K2429" s="92"/>
      <c r="L2429" s="92"/>
      <c r="M2429" s="92"/>
      <c r="N2429" s="94"/>
      <c r="AG2429" s="100"/>
      <c r="AH2429" s="101"/>
      <c r="AI2429" s="100"/>
      <c r="AJ2429" s="101"/>
      <c r="AK2429" s="100"/>
      <c r="AL2429" s="100"/>
      <c r="AM2429" s="100"/>
      <c r="AN2429" s="100"/>
      <c r="AO2429" s="100"/>
      <c r="AP2429" s="100"/>
      <c r="AQ2429" s="100"/>
      <c r="AR2429" s="100"/>
      <c r="AS2429" s="100"/>
      <c r="AT2429" s="102"/>
      <c r="AX2429" s="100"/>
      <c r="AY2429" s="101"/>
      <c r="AZ2429" s="100"/>
      <c r="BA2429" s="101"/>
      <c r="BB2429" s="100"/>
      <c r="BC2429" s="100"/>
      <c r="BD2429" s="100"/>
      <c r="BE2429" s="100"/>
      <c r="BF2429" s="100"/>
      <c r="BG2429" s="100"/>
      <c r="BH2429" s="100"/>
      <c r="BI2429" s="100"/>
      <c r="BJ2429" s="100"/>
      <c r="BK2429" s="102"/>
    </row>
    <row r="2430" spans="1:63" x14ac:dyDescent="0.25">
      <c r="A2430" s="92"/>
      <c r="B2430" s="93"/>
      <c r="C2430" s="93"/>
      <c r="D2430" s="92"/>
      <c r="E2430" s="92"/>
      <c r="F2430" s="92"/>
      <c r="G2430" s="92"/>
      <c r="H2430" s="92"/>
      <c r="I2430" s="92"/>
      <c r="J2430" s="92"/>
      <c r="K2430" s="92"/>
      <c r="L2430" s="92"/>
      <c r="M2430" s="92"/>
      <c r="N2430" s="94"/>
      <c r="AG2430" s="100"/>
      <c r="AH2430" s="101"/>
      <c r="AI2430" s="100"/>
      <c r="AJ2430" s="101"/>
      <c r="AK2430" s="100"/>
      <c r="AL2430" s="100"/>
      <c r="AM2430" s="100"/>
      <c r="AN2430" s="100"/>
      <c r="AO2430" s="100"/>
      <c r="AP2430" s="100"/>
      <c r="AQ2430" s="100"/>
      <c r="AR2430" s="100"/>
      <c r="AS2430" s="100"/>
      <c r="AT2430" s="102"/>
      <c r="AX2430" s="100"/>
      <c r="AY2430" s="101"/>
      <c r="AZ2430" s="101"/>
      <c r="BA2430" s="100"/>
      <c r="BB2430" s="100"/>
      <c r="BC2430" s="100"/>
      <c r="BD2430" s="100"/>
      <c r="BE2430" s="100"/>
      <c r="BF2430" s="100"/>
      <c r="BG2430" s="100"/>
      <c r="BH2430" s="100"/>
      <c r="BI2430" s="100"/>
      <c r="BJ2430" s="100"/>
      <c r="BK2430" s="102"/>
    </row>
    <row r="2431" spans="1:63" x14ac:dyDescent="0.25">
      <c r="A2431" s="92"/>
      <c r="B2431" s="93"/>
      <c r="C2431" s="93"/>
      <c r="D2431" s="92"/>
      <c r="E2431" s="92"/>
      <c r="F2431" s="92"/>
      <c r="G2431" s="92"/>
      <c r="H2431" s="92"/>
      <c r="I2431" s="92"/>
      <c r="J2431" s="92"/>
      <c r="K2431" s="92"/>
      <c r="L2431" s="92"/>
      <c r="M2431" s="92"/>
      <c r="N2431" s="94"/>
      <c r="AG2431" s="100"/>
      <c r="AH2431" s="101"/>
      <c r="AI2431" s="100"/>
      <c r="AJ2431" s="101"/>
      <c r="AK2431" s="100"/>
      <c r="AL2431" s="100"/>
      <c r="AM2431" s="100"/>
      <c r="AN2431" s="100"/>
      <c r="AO2431" s="100"/>
      <c r="AP2431" s="100"/>
      <c r="AQ2431" s="100"/>
      <c r="AR2431" s="100"/>
      <c r="AS2431" s="100"/>
      <c r="AT2431" s="102"/>
      <c r="AX2431" s="100"/>
      <c r="AY2431" s="101"/>
      <c r="AZ2431" s="101"/>
      <c r="BA2431" s="100"/>
      <c r="BB2431" s="100"/>
      <c r="BC2431" s="100"/>
      <c r="BD2431" s="100"/>
      <c r="BE2431" s="100"/>
      <c r="BF2431" s="100"/>
      <c r="BG2431" s="100"/>
      <c r="BH2431" s="100"/>
      <c r="BI2431" s="100"/>
      <c r="BJ2431" s="100"/>
      <c r="BK2431" s="102"/>
    </row>
    <row r="2432" spans="1:63" x14ac:dyDescent="0.25">
      <c r="A2432" s="92"/>
      <c r="B2432" s="93"/>
      <c r="C2432" s="93"/>
      <c r="D2432" s="92"/>
      <c r="E2432" s="92"/>
      <c r="F2432" s="92"/>
      <c r="G2432" s="92"/>
      <c r="H2432" s="92"/>
      <c r="I2432" s="92"/>
      <c r="J2432" s="92"/>
      <c r="K2432" s="92"/>
      <c r="L2432" s="92"/>
      <c r="M2432" s="92"/>
      <c r="N2432" s="94"/>
      <c r="AG2432" s="100"/>
      <c r="AH2432" s="101"/>
      <c r="AI2432" s="100"/>
      <c r="AJ2432" s="101"/>
      <c r="AK2432" s="100"/>
      <c r="AL2432" s="100"/>
      <c r="AM2432" s="100"/>
      <c r="AN2432" s="100"/>
      <c r="AO2432" s="100"/>
      <c r="AP2432" s="100"/>
      <c r="AQ2432" s="100"/>
      <c r="AR2432" s="100"/>
      <c r="AS2432" s="100"/>
      <c r="AT2432" s="102"/>
      <c r="AX2432" s="100"/>
      <c r="AY2432" s="101"/>
      <c r="AZ2432" s="100"/>
      <c r="BA2432" s="101"/>
      <c r="BB2432" s="100"/>
      <c r="BC2432" s="100"/>
      <c r="BD2432" s="100"/>
      <c r="BE2432" s="100"/>
      <c r="BF2432" s="100"/>
      <c r="BG2432" s="100"/>
      <c r="BH2432" s="100"/>
      <c r="BI2432" s="100"/>
      <c r="BJ2432" s="100"/>
      <c r="BK2432" s="102"/>
    </row>
    <row r="2433" spans="1:63" x14ac:dyDescent="0.25">
      <c r="A2433" s="92"/>
      <c r="B2433" s="92"/>
      <c r="C2433" s="92"/>
      <c r="D2433" s="92"/>
      <c r="E2433" s="92"/>
      <c r="F2433" s="92"/>
      <c r="G2433" s="92"/>
      <c r="H2433" s="92"/>
      <c r="I2433" s="92"/>
      <c r="J2433" s="92"/>
      <c r="K2433" s="92"/>
      <c r="L2433" s="92"/>
      <c r="M2433" s="92"/>
      <c r="N2433" s="92"/>
      <c r="AG2433" s="100"/>
      <c r="AH2433" s="101"/>
      <c r="AI2433" s="100"/>
      <c r="AJ2433" s="101"/>
      <c r="AK2433" s="100"/>
      <c r="AL2433" s="100"/>
      <c r="AM2433" s="100"/>
      <c r="AN2433" s="100"/>
      <c r="AO2433" s="100"/>
      <c r="AP2433" s="100"/>
      <c r="AQ2433" s="100"/>
      <c r="AR2433" s="100"/>
      <c r="AS2433" s="100"/>
      <c r="AT2433" s="102"/>
      <c r="AX2433" s="100"/>
      <c r="AY2433" s="101"/>
      <c r="AZ2433" s="100"/>
      <c r="BA2433" s="101"/>
      <c r="BB2433" s="100"/>
      <c r="BC2433" s="100"/>
      <c r="BD2433" s="100"/>
      <c r="BE2433" s="100"/>
      <c r="BF2433" s="100"/>
      <c r="BG2433" s="100"/>
      <c r="BH2433" s="100"/>
      <c r="BI2433" s="100"/>
      <c r="BJ2433" s="100"/>
      <c r="BK2433" s="102"/>
    </row>
    <row r="2434" spans="1:63" x14ac:dyDescent="0.25">
      <c r="A2434" s="92"/>
      <c r="B2434" s="93"/>
      <c r="C2434" s="93"/>
      <c r="D2434" s="92"/>
      <c r="E2434" s="92"/>
      <c r="F2434" s="92"/>
      <c r="G2434" s="92"/>
      <c r="H2434" s="92"/>
      <c r="I2434" s="92"/>
      <c r="J2434" s="92"/>
      <c r="K2434" s="92"/>
      <c r="L2434" s="92"/>
      <c r="M2434" s="92"/>
      <c r="N2434" s="94"/>
      <c r="AG2434" s="100"/>
      <c r="AH2434" s="101"/>
      <c r="AI2434" s="100"/>
      <c r="AJ2434" s="101"/>
      <c r="AK2434" s="100"/>
      <c r="AL2434" s="100"/>
      <c r="AM2434" s="100"/>
      <c r="AN2434" s="100"/>
      <c r="AO2434" s="100"/>
      <c r="AP2434" s="100"/>
      <c r="AQ2434" s="100"/>
      <c r="AR2434" s="100"/>
      <c r="AS2434" s="100"/>
      <c r="AT2434" s="102"/>
      <c r="AX2434" s="100"/>
      <c r="AY2434" s="101"/>
      <c r="AZ2434" s="100"/>
      <c r="BA2434" s="101"/>
      <c r="BB2434" s="100"/>
      <c r="BC2434" s="100"/>
      <c r="BD2434" s="100"/>
      <c r="BE2434" s="100"/>
      <c r="BF2434" s="100"/>
      <c r="BG2434" s="100"/>
      <c r="BH2434" s="100"/>
      <c r="BI2434" s="100"/>
      <c r="BJ2434" s="100"/>
      <c r="BK2434" s="102"/>
    </row>
    <row r="2435" spans="1:63" x14ac:dyDescent="0.25">
      <c r="A2435" s="92"/>
      <c r="B2435" s="93"/>
      <c r="C2435" s="93"/>
      <c r="D2435" s="92"/>
      <c r="E2435" s="92"/>
      <c r="F2435" s="92"/>
      <c r="G2435" s="92"/>
      <c r="H2435" s="92"/>
      <c r="I2435" s="92"/>
      <c r="J2435" s="92"/>
      <c r="K2435" s="92"/>
      <c r="L2435" s="92"/>
      <c r="M2435" s="92"/>
      <c r="N2435" s="94"/>
      <c r="AG2435" s="100"/>
      <c r="AH2435" s="101"/>
      <c r="AI2435" s="100"/>
      <c r="AJ2435" s="101"/>
      <c r="AK2435" s="100"/>
      <c r="AL2435" s="100"/>
      <c r="AM2435" s="100"/>
      <c r="AN2435" s="100"/>
      <c r="AO2435" s="100"/>
      <c r="AP2435" s="100"/>
      <c r="AQ2435" s="100"/>
      <c r="AR2435" s="100"/>
      <c r="AS2435" s="100"/>
      <c r="AT2435" s="102"/>
      <c r="AX2435" s="100"/>
      <c r="AY2435" s="101"/>
      <c r="AZ2435" s="101"/>
      <c r="BA2435" s="101"/>
      <c r="BB2435" s="100"/>
      <c r="BC2435" s="100"/>
      <c r="BD2435" s="100"/>
      <c r="BE2435" s="100"/>
      <c r="BF2435" s="100"/>
      <c r="BG2435" s="100"/>
      <c r="BH2435" s="100"/>
      <c r="BI2435" s="100"/>
      <c r="BJ2435" s="100"/>
      <c r="BK2435" s="102"/>
    </row>
    <row r="2436" spans="1:63" x14ac:dyDescent="0.25">
      <c r="A2436" s="92"/>
      <c r="B2436" s="93"/>
      <c r="C2436" s="93"/>
      <c r="D2436" s="92"/>
      <c r="E2436" s="92"/>
      <c r="F2436" s="92"/>
      <c r="G2436" s="92"/>
      <c r="H2436" s="92"/>
      <c r="I2436" s="92"/>
      <c r="J2436" s="92"/>
      <c r="K2436" s="92"/>
      <c r="L2436" s="92"/>
      <c r="M2436" s="92"/>
      <c r="N2436" s="94"/>
      <c r="AG2436" s="100"/>
      <c r="AH2436" s="101"/>
      <c r="AI2436" s="100"/>
      <c r="AJ2436" s="101"/>
      <c r="AK2436" s="100"/>
      <c r="AL2436" s="100"/>
      <c r="AM2436" s="100"/>
      <c r="AN2436" s="100"/>
      <c r="AO2436" s="100"/>
      <c r="AP2436" s="100"/>
      <c r="AQ2436" s="100"/>
      <c r="AR2436" s="100"/>
      <c r="AS2436" s="100"/>
      <c r="AT2436" s="102"/>
      <c r="AX2436" s="100"/>
      <c r="AY2436" s="101"/>
      <c r="AZ2436" s="100"/>
      <c r="BA2436" s="101"/>
      <c r="BB2436" s="100"/>
      <c r="BC2436" s="100"/>
      <c r="BD2436" s="100"/>
      <c r="BE2436" s="100"/>
      <c r="BF2436" s="100"/>
      <c r="BG2436" s="100"/>
      <c r="BH2436" s="100"/>
      <c r="BI2436" s="100"/>
      <c r="BJ2436" s="100"/>
      <c r="BK2436" s="102"/>
    </row>
    <row r="2437" spans="1:63" x14ac:dyDescent="0.25">
      <c r="A2437" s="92"/>
      <c r="B2437" s="92"/>
      <c r="C2437" s="92"/>
      <c r="D2437" s="92"/>
      <c r="E2437" s="92"/>
      <c r="F2437" s="92"/>
      <c r="G2437" s="92"/>
      <c r="H2437" s="92"/>
      <c r="I2437" s="92"/>
      <c r="J2437" s="92"/>
      <c r="K2437" s="92"/>
      <c r="L2437" s="92"/>
      <c r="M2437" s="92"/>
      <c r="N2437" s="92"/>
      <c r="AG2437" s="100"/>
      <c r="AH2437" s="101"/>
      <c r="AI2437" s="100"/>
      <c r="AJ2437" s="101"/>
      <c r="AK2437" s="100"/>
      <c r="AL2437" s="100"/>
      <c r="AM2437" s="100"/>
      <c r="AN2437" s="100"/>
      <c r="AO2437" s="100"/>
      <c r="AP2437" s="100"/>
      <c r="AQ2437" s="100"/>
      <c r="AR2437" s="100"/>
      <c r="AS2437" s="100"/>
      <c r="AT2437" s="102"/>
      <c r="AX2437" s="100"/>
      <c r="AY2437" s="101"/>
      <c r="AZ2437" s="100"/>
      <c r="BA2437" s="101"/>
      <c r="BB2437" s="100"/>
      <c r="BC2437" s="100"/>
      <c r="BD2437" s="100"/>
      <c r="BE2437" s="100"/>
      <c r="BF2437" s="100"/>
      <c r="BG2437" s="100"/>
      <c r="BH2437" s="100"/>
      <c r="BI2437" s="100"/>
      <c r="BJ2437" s="100"/>
      <c r="BK2437" s="102"/>
    </row>
    <row r="2438" spans="1:63" x14ac:dyDescent="0.25">
      <c r="A2438" s="92"/>
      <c r="B2438" s="93"/>
      <c r="C2438" s="93"/>
      <c r="D2438" s="93"/>
      <c r="E2438" s="92"/>
      <c r="F2438" s="92"/>
      <c r="G2438" s="92"/>
      <c r="H2438" s="92"/>
      <c r="I2438" s="92"/>
      <c r="J2438" s="92"/>
      <c r="K2438" s="92"/>
      <c r="L2438" s="92"/>
      <c r="M2438" s="92"/>
      <c r="N2438" s="94"/>
      <c r="AG2438" s="100"/>
      <c r="AH2438" s="101"/>
      <c r="AI2438" s="101"/>
      <c r="AJ2438" s="100"/>
      <c r="AK2438" s="100"/>
      <c r="AL2438" s="100"/>
      <c r="AM2438" s="100"/>
      <c r="AN2438" s="100"/>
      <c r="AO2438" s="100"/>
      <c r="AP2438" s="100"/>
      <c r="AQ2438" s="100"/>
      <c r="AR2438" s="100"/>
      <c r="AS2438" s="100"/>
      <c r="AT2438" s="102"/>
      <c r="AX2438" s="100"/>
      <c r="AY2438" s="101"/>
      <c r="AZ2438" s="100"/>
      <c r="BA2438" s="101"/>
      <c r="BB2438" s="100"/>
      <c r="BC2438" s="100"/>
      <c r="BD2438" s="100"/>
      <c r="BE2438" s="100"/>
      <c r="BF2438" s="100"/>
      <c r="BG2438" s="100"/>
      <c r="BH2438" s="100"/>
      <c r="BI2438" s="100"/>
      <c r="BJ2438" s="100"/>
      <c r="BK2438" s="102"/>
    </row>
    <row r="2439" spans="1:63" x14ac:dyDescent="0.25">
      <c r="A2439" s="92"/>
      <c r="B2439" s="93"/>
      <c r="C2439" s="93"/>
      <c r="D2439" s="92"/>
      <c r="E2439" s="92"/>
      <c r="F2439" s="92"/>
      <c r="G2439" s="92"/>
      <c r="H2439" s="92"/>
      <c r="I2439" s="92"/>
      <c r="J2439" s="92"/>
      <c r="K2439" s="92"/>
      <c r="L2439" s="92"/>
      <c r="M2439" s="92"/>
      <c r="N2439" s="94"/>
      <c r="AG2439" s="100"/>
      <c r="AH2439" s="101"/>
      <c r="AI2439" s="100"/>
      <c r="AJ2439" s="101"/>
      <c r="AK2439" s="100"/>
      <c r="AL2439" s="100"/>
      <c r="AM2439" s="100"/>
      <c r="AN2439" s="100"/>
      <c r="AO2439" s="100"/>
      <c r="AP2439" s="100"/>
      <c r="AQ2439" s="100"/>
      <c r="AR2439" s="100"/>
      <c r="AS2439" s="100"/>
      <c r="AT2439" s="102"/>
      <c r="AX2439" s="100"/>
      <c r="AY2439" s="101"/>
      <c r="AZ2439" s="101"/>
      <c r="BA2439" s="100"/>
      <c r="BB2439" s="100"/>
      <c r="BC2439" s="100"/>
      <c r="BD2439" s="100"/>
      <c r="BE2439" s="100"/>
      <c r="BF2439" s="100"/>
      <c r="BG2439" s="100"/>
      <c r="BH2439" s="100"/>
      <c r="BI2439" s="100"/>
      <c r="BJ2439" s="100"/>
      <c r="BK2439" s="102"/>
    </row>
    <row r="2440" spans="1:63" x14ac:dyDescent="0.25">
      <c r="A2440" s="92"/>
      <c r="B2440" s="92"/>
      <c r="C2440" s="92"/>
      <c r="D2440" s="92"/>
      <c r="E2440" s="92"/>
      <c r="F2440" s="92"/>
      <c r="G2440" s="92"/>
      <c r="H2440" s="92"/>
      <c r="I2440" s="92"/>
      <c r="J2440" s="92"/>
      <c r="K2440" s="92"/>
      <c r="L2440" s="92"/>
      <c r="M2440" s="92"/>
      <c r="N2440" s="92"/>
      <c r="AG2440" s="100"/>
      <c r="AH2440" s="101"/>
      <c r="AI2440" s="100"/>
      <c r="AJ2440" s="101"/>
      <c r="AK2440" s="100"/>
      <c r="AL2440" s="100"/>
      <c r="AM2440" s="100"/>
      <c r="AN2440" s="100"/>
      <c r="AO2440" s="100"/>
      <c r="AP2440" s="100"/>
      <c r="AQ2440" s="100"/>
      <c r="AR2440" s="100"/>
      <c r="AS2440" s="100"/>
      <c r="AT2440" s="102"/>
      <c r="AX2440" s="100"/>
      <c r="AY2440" s="101"/>
      <c r="AZ2440" s="100"/>
      <c r="BA2440" s="101"/>
      <c r="BB2440" s="100"/>
      <c r="BC2440" s="100"/>
      <c r="BD2440" s="100"/>
      <c r="BE2440" s="100"/>
      <c r="BF2440" s="100"/>
      <c r="BG2440" s="100"/>
      <c r="BH2440" s="100"/>
      <c r="BI2440" s="100"/>
      <c r="BJ2440" s="100"/>
      <c r="BK2440" s="102"/>
    </row>
    <row r="2441" spans="1:63" x14ac:dyDescent="0.25">
      <c r="A2441" s="92"/>
      <c r="B2441" s="93"/>
      <c r="C2441" s="93"/>
      <c r="D2441" s="92"/>
      <c r="E2441" s="92"/>
      <c r="F2441" s="92"/>
      <c r="G2441" s="92"/>
      <c r="H2441" s="92"/>
      <c r="I2441" s="92"/>
      <c r="J2441" s="92"/>
      <c r="K2441" s="92"/>
      <c r="L2441" s="92"/>
      <c r="M2441" s="92"/>
      <c r="N2441" s="94"/>
      <c r="AG2441" s="100"/>
      <c r="AH2441" s="101"/>
      <c r="AI2441" s="100"/>
      <c r="AJ2441" s="101"/>
      <c r="AK2441" s="100"/>
      <c r="AL2441" s="100"/>
      <c r="AM2441" s="100"/>
      <c r="AN2441" s="100"/>
      <c r="AO2441" s="100"/>
      <c r="AP2441" s="100"/>
      <c r="AQ2441" s="100"/>
      <c r="AR2441" s="100"/>
      <c r="AS2441" s="100"/>
      <c r="AT2441" s="102"/>
      <c r="AX2441" s="100"/>
      <c r="AY2441" s="101"/>
      <c r="AZ2441" s="100"/>
      <c r="BA2441" s="101"/>
      <c r="BB2441" s="100"/>
      <c r="BC2441" s="100"/>
      <c r="BD2441" s="100"/>
      <c r="BE2441" s="100"/>
      <c r="BF2441" s="100"/>
      <c r="BG2441" s="100"/>
      <c r="BH2441" s="100"/>
      <c r="BI2441" s="100"/>
      <c r="BJ2441" s="100"/>
      <c r="BK2441" s="102"/>
    </row>
    <row r="2442" spans="1:63" x14ac:dyDescent="0.25">
      <c r="A2442" s="92"/>
      <c r="B2442" s="93"/>
      <c r="C2442" s="93"/>
      <c r="D2442" s="92"/>
      <c r="E2442" s="92"/>
      <c r="F2442" s="92"/>
      <c r="G2442" s="92"/>
      <c r="H2442" s="92"/>
      <c r="I2442" s="92"/>
      <c r="J2442" s="92"/>
      <c r="K2442" s="92"/>
      <c r="L2442" s="92"/>
      <c r="M2442" s="92"/>
      <c r="N2442" s="94"/>
      <c r="AG2442" s="100"/>
      <c r="AH2442" s="101"/>
      <c r="AI2442" s="100"/>
      <c r="AJ2442" s="101"/>
      <c r="AK2442" s="100"/>
      <c r="AL2442" s="100"/>
      <c r="AM2442" s="100"/>
      <c r="AN2442" s="100"/>
      <c r="AO2442" s="100"/>
      <c r="AP2442" s="100"/>
      <c r="AQ2442" s="100"/>
      <c r="AR2442" s="100"/>
      <c r="AS2442" s="100"/>
      <c r="AT2442" s="102"/>
      <c r="AX2442" s="100"/>
      <c r="AY2442" s="101"/>
      <c r="AZ2442" s="100"/>
      <c r="BA2442" s="101"/>
      <c r="BB2442" s="100"/>
      <c r="BC2442" s="100"/>
      <c r="BD2442" s="100"/>
      <c r="BE2442" s="100"/>
      <c r="BF2442" s="100"/>
      <c r="BG2442" s="100"/>
      <c r="BH2442" s="100"/>
      <c r="BI2442" s="100"/>
      <c r="BJ2442" s="100"/>
      <c r="BK2442" s="102"/>
    </row>
    <row r="2443" spans="1:63" x14ac:dyDescent="0.25">
      <c r="A2443" s="92"/>
      <c r="B2443" s="92"/>
      <c r="C2443" s="92"/>
      <c r="D2443" s="92"/>
      <c r="E2443" s="92"/>
      <c r="F2443" s="92"/>
      <c r="G2443" s="92"/>
      <c r="H2443" s="92"/>
      <c r="I2443" s="92"/>
      <c r="J2443" s="92"/>
      <c r="K2443" s="92"/>
      <c r="L2443" s="92"/>
      <c r="M2443" s="92"/>
      <c r="N2443" s="92"/>
      <c r="AG2443" s="100"/>
      <c r="AH2443" s="101"/>
      <c r="AI2443" s="100"/>
      <c r="AJ2443" s="101"/>
      <c r="AK2443" s="100"/>
      <c r="AL2443" s="100"/>
      <c r="AM2443" s="100"/>
      <c r="AN2443" s="100"/>
      <c r="AO2443" s="100"/>
      <c r="AP2443" s="100"/>
      <c r="AQ2443" s="100"/>
      <c r="AR2443" s="100"/>
      <c r="AS2443" s="100"/>
      <c r="AT2443" s="102"/>
      <c r="AX2443" s="100"/>
      <c r="AY2443" s="101"/>
      <c r="AZ2443" s="100"/>
      <c r="BA2443" s="101"/>
      <c r="BB2443" s="100"/>
      <c r="BC2443" s="100"/>
      <c r="BD2443" s="100"/>
      <c r="BE2443" s="100"/>
      <c r="BF2443" s="100"/>
      <c r="BG2443" s="100"/>
      <c r="BH2443" s="100"/>
      <c r="BI2443" s="100"/>
      <c r="BJ2443" s="100"/>
      <c r="BK2443" s="102"/>
    </row>
    <row r="2444" spans="1:63" x14ac:dyDescent="0.25">
      <c r="A2444" s="92"/>
      <c r="B2444" s="92"/>
      <c r="C2444" s="92"/>
      <c r="D2444" s="92"/>
      <c r="E2444" s="92"/>
      <c r="F2444" s="92"/>
      <c r="G2444" s="92"/>
      <c r="H2444" s="92"/>
      <c r="I2444" s="92"/>
      <c r="J2444" s="92"/>
      <c r="K2444" s="92"/>
      <c r="L2444" s="92"/>
      <c r="M2444" s="92"/>
      <c r="N2444" s="92"/>
      <c r="AG2444" s="100"/>
      <c r="AH2444" s="101"/>
      <c r="AI2444" s="100"/>
      <c r="AJ2444" s="101"/>
      <c r="AK2444" s="100"/>
      <c r="AL2444" s="100"/>
      <c r="AM2444" s="100"/>
      <c r="AN2444" s="100"/>
      <c r="AO2444" s="100"/>
      <c r="AP2444" s="100"/>
      <c r="AQ2444" s="100"/>
      <c r="AR2444" s="100"/>
      <c r="AS2444" s="100"/>
      <c r="AT2444" s="102"/>
      <c r="AX2444" s="100"/>
      <c r="AY2444" s="101"/>
      <c r="AZ2444" s="100"/>
      <c r="BA2444" s="101"/>
      <c r="BB2444" s="100"/>
      <c r="BC2444" s="100"/>
      <c r="BD2444" s="100"/>
      <c r="BE2444" s="100"/>
      <c r="BF2444" s="100"/>
      <c r="BG2444" s="100"/>
      <c r="BH2444" s="100"/>
      <c r="BI2444" s="100"/>
      <c r="BJ2444" s="100"/>
      <c r="BK2444" s="102"/>
    </row>
    <row r="2445" spans="1:63" x14ac:dyDescent="0.25">
      <c r="A2445" s="92"/>
      <c r="B2445" s="92"/>
      <c r="C2445" s="92"/>
      <c r="D2445" s="92"/>
      <c r="E2445" s="92"/>
      <c r="F2445" s="92"/>
      <c r="G2445" s="92"/>
      <c r="H2445" s="92"/>
      <c r="I2445" s="92"/>
      <c r="J2445" s="92"/>
      <c r="K2445" s="92"/>
      <c r="L2445" s="92"/>
      <c r="M2445" s="92"/>
      <c r="N2445" s="92"/>
      <c r="AG2445" s="100"/>
      <c r="AH2445" s="101"/>
      <c r="AI2445" s="100"/>
      <c r="AJ2445" s="101"/>
      <c r="AK2445" s="100"/>
      <c r="AL2445" s="100"/>
      <c r="AM2445" s="100"/>
      <c r="AN2445" s="100"/>
      <c r="AO2445" s="100"/>
      <c r="AP2445" s="100"/>
      <c r="AQ2445" s="100"/>
      <c r="AR2445" s="100"/>
      <c r="AS2445" s="100"/>
      <c r="AT2445" s="102"/>
      <c r="AX2445" s="100"/>
      <c r="AY2445" s="101"/>
      <c r="AZ2445" s="100"/>
      <c r="BA2445" s="101"/>
      <c r="BB2445" s="100"/>
      <c r="BC2445" s="100"/>
      <c r="BD2445" s="100"/>
      <c r="BE2445" s="100"/>
      <c r="BF2445" s="100"/>
      <c r="BG2445" s="100"/>
      <c r="BH2445" s="100"/>
      <c r="BI2445" s="100"/>
      <c r="BJ2445" s="100"/>
      <c r="BK2445" s="102"/>
    </row>
    <row r="2446" spans="1:63" x14ac:dyDescent="0.25">
      <c r="A2446" s="92"/>
      <c r="B2446" s="92"/>
      <c r="C2446" s="92"/>
      <c r="D2446" s="92"/>
      <c r="E2446" s="92"/>
      <c r="F2446" s="92"/>
      <c r="G2446" s="92"/>
      <c r="H2446" s="92"/>
      <c r="I2446" s="92"/>
      <c r="J2446" s="92"/>
      <c r="K2446" s="92"/>
      <c r="L2446" s="92"/>
      <c r="M2446" s="92"/>
      <c r="N2446" s="92"/>
      <c r="AG2446" s="100"/>
      <c r="AH2446" s="101"/>
      <c r="AI2446" s="100"/>
      <c r="AJ2446" s="101"/>
      <c r="AK2446" s="100"/>
      <c r="AL2446" s="100"/>
      <c r="AM2446" s="100"/>
      <c r="AN2446" s="100"/>
      <c r="AO2446" s="100"/>
      <c r="AP2446" s="100"/>
      <c r="AQ2446" s="100"/>
      <c r="AR2446" s="100"/>
      <c r="AS2446" s="100"/>
      <c r="AT2446" s="102"/>
      <c r="AX2446" s="100"/>
      <c r="AY2446" s="101"/>
      <c r="AZ2446" s="100"/>
      <c r="BA2446" s="101"/>
      <c r="BB2446" s="100"/>
      <c r="BC2446" s="100"/>
      <c r="BD2446" s="100"/>
      <c r="BE2446" s="100"/>
      <c r="BF2446" s="100"/>
      <c r="BG2446" s="100"/>
      <c r="BH2446" s="100"/>
      <c r="BI2446" s="100"/>
      <c r="BJ2446" s="100"/>
      <c r="BK2446" s="102"/>
    </row>
    <row r="2447" spans="1:63" x14ac:dyDescent="0.25">
      <c r="A2447" s="92"/>
      <c r="B2447" s="92"/>
      <c r="C2447" s="92"/>
      <c r="D2447" s="92"/>
      <c r="E2447" s="92"/>
      <c r="F2447" s="92"/>
      <c r="G2447" s="92"/>
      <c r="H2447" s="92"/>
      <c r="I2447" s="92"/>
      <c r="J2447" s="92"/>
      <c r="K2447" s="92"/>
      <c r="L2447" s="92"/>
      <c r="M2447" s="92"/>
      <c r="N2447" s="92"/>
      <c r="AG2447" s="100"/>
      <c r="AH2447" s="101"/>
      <c r="AI2447" s="101"/>
      <c r="AJ2447" s="100"/>
      <c r="AK2447" s="100"/>
      <c r="AL2447" s="100"/>
      <c r="AM2447" s="100"/>
      <c r="AN2447" s="100"/>
      <c r="AO2447" s="100"/>
      <c r="AP2447" s="100"/>
      <c r="AQ2447" s="100"/>
      <c r="AR2447" s="100"/>
      <c r="AS2447" s="100"/>
      <c r="AT2447" s="102"/>
      <c r="AX2447" s="100"/>
      <c r="AY2447" s="101"/>
      <c r="AZ2447" s="100"/>
      <c r="BA2447" s="101"/>
      <c r="BB2447" s="100"/>
      <c r="BC2447" s="100"/>
      <c r="BD2447" s="100"/>
      <c r="BE2447" s="100"/>
      <c r="BF2447" s="100"/>
      <c r="BG2447" s="100"/>
      <c r="BH2447" s="100"/>
      <c r="BI2447" s="100"/>
      <c r="BJ2447" s="100"/>
      <c r="BK2447" s="102"/>
    </row>
    <row r="2448" spans="1:63" x14ac:dyDescent="0.25">
      <c r="A2448" s="92"/>
      <c r="B2448" s="93"/>
      <c r="C2448" s="93"/>
      <c r="D2448" s="93"/>
      <c r="E2448" s="92"/>
      <c r="F2448" s="92"/>
      <c r="G2448" s="92"/>
      <c r="H2448" s="92"/>
      <c r="I2448" s="92"/>
      <c r="J2448" s="92"/>
      <c r="K2448" s="92"/>
      <c r="L2448" s="92"/>
      <c r="M2448" s="92"/>
      <c r="N2448" s="94"/>
      <c r="AG2448" s="100"/>
      <c r="AH2448" s="101"/>
      <c r="AI2448" s="100"/>
      <c r="AJ2448" s="101"/>
      <c r="AK2448" s="100"/>
      <c r="AL2448" s="100"/>
      <c r="AM2448" s="100"/>
      <c r="AN2448" s="100"/>
      <c r="AO2448" s="100"/>
      <c r="AP2448" s="100"/>
      <c r="AQ2448" s="100"/>
      <c r="AR2448" s="100"/>
      <c r="AS2448" s="100"/>
      <c r="AT2448" s="102"/>
      <c r="AX2448" s="100"/>
      <c r="AY2448" s="101"/>
      <c r="AZ2448" s="100"/>
      <c r="BA2448" s="101"/>
      <c r="BB2448" s="100"/>
      <c r="BC2448" s="100"/>
      <c r="BD2448" s="100"/>
      <c r="BE2448" s="100"/>
      <c r="BF2448" s="100"/>
      <c r="BG2448" s="100"/>
      <c r="BH2448" s="100"/>
      <c r="BI2448" s="100"/>
      <c r="BJ2448" s="100"/>
      <c r="BK2448" s="102"/>
    </row>
    <row r="2449" spans="1:63" x14ac:dyDescent="0.25">
      <c r="A2449" s="92"/>
      <c r="B2449" s="92"/>
      <c r="C2449" s="92"/>
      <c r="D2449" s="92"/>
      <c r="E2449" s="92"/>
      <c r="F2449" s="92"/>
      <c r="G2449" s="92"/>
      <c r="H2449" s="92"/>
      <c r="I2449" s="92"/>
      <c r="J2449" s="92"/>
      <c r="K2449" s="92"/>
      <c r="L2449" s="92"/>
      <c r="M2449" s="92"/>
      <c r="N2449" s="92"/>
      <c r="AG2449" s="100"/>
      <c r="AH2449" s="101"/>
      <c r="AI2449" s="100"/>
      <c r="AJ2449" s="101"/>
      <c r="AK2449" s="100"/>
      <c r="AL2449" s="100"/>
      <c r="AM2449" s="100"/>
      <c r="AN2449" s="100"/>
      <c r="AO2449" s="100"/>
      <c r="AP2449" s="100"/>
      <c r="AQ2449" s="100"/>
      <c r="AR2449" s="100"/>
      <c r="AS2449" s="100"/>
      <c r="AT2449" s="102"/>
      <c r="AX2449" s="100"/>
      <c r="AY2449" s="101"/>
      <c r="AZ2449" s="100"/>
      <c r="BA2449" s="101"/>
      <c r="BB2449" s="100"/>
      <c r="BC2449" s="100"/>
      <c r="BD2449" s="100"/>
      <c r="BE2449" s="100"/>
      <c r="BF2449" s="100"/>
      <c r="BG2449" s="100"/>
      <c r="BH2449" s="100"/>
      <c r="BI2449" s="100"/>
      <c r="BJ2449" s="100"/>
      <c r="BK2449" s="102"/>
    </row>
    <row r="2450" spans="1:63" x14ac:dyDescent="0.25">
      <c r="A2450" s="92"/>
      <c r="B2450" s="92"/>
      <c r="C2450" s="92"/>
      <c r="D2450" s="92"/>
      <c r="E2450" s="92"/>
      <c r="F2450" s="92"/>
      <c r="G2450" s="92"/>
      <c r="H2450" s="92"/>
      <c r="I2450" s="92"/>
      <c r="J2450" s="92"/>
      <c r="K2450" s="92"/>
      <c r="L2450" s="92"/>
      <c r="M2450" s="92"/>
      <c r="N2450" s="92"/>
      <c r="AG2450" s="100"/>
      <c r="AH2450" s="101"/>
      <c r="AI2450" s="100"/>
      <c r="AJ2450" s="101"/>
      <c r="AK2450" s="100"/>
      <c r="AL2450" s="100"/>
      <c r="AM2450" s="100"/>
      <c r="AN2450" s="100"/>
      <c r="AO2450" s="100"/>
      <c r="AP2450" s="100"/>
      <c r="AQ2450" s="100"/>
      <c r="AR2450" s="100"/>
      <c r="AS2450" s="100"/>
      <c r="AT2450" s="102"/>
      <c r="AX2450" s="100"/>
      <c r="AY2450" s="101"/>
      <c r="AZ2450" s="100"/>
      <c r="BA2450" s="101"/>
      <c r="BB2450" s="100"/>
      <c r="BC2450" s="100"/>
      <c r="BD2450" s="100"/>
      <c r="BE2450" s="100"/>
      <c r="BF2450" s="100"/>
      <c r="BG2450" s="100"/>
      <c r="BH2450" s="100"/>
      <c r="BI2450" s="100"/>
      <c r="BJ2450" s="100"/>
      <c r="BK2450" s="102"/>
    </row>
    <row r="2451" spans="1:63" x14ac:dyDescent="0.25">
      <c r="A2451" s="92"/>
      <c r="B2451" s="92"/>
      <c r="C2451" s="92"/>
      <c r="D2451" s="92"/>
      <c r="E2451" s="92"/>
      <c r="F2451" s="92"/>
      <c r="G2451" s="92"/>
      <c r="H2451" s="92"/>
      <c r="I2451" s="92"/>
      <c r="J2451" s="92"/>
      <c r="K2451" s="92"/>
      <c r="L2451" s="92"/>
      <c r="M2451" s="92"/>
      <c r="N2451" s="92"/>
      <c r="AG2451" s="100"/>
      <c r="AH2451" s="101"/>
      <c r="AI2451" s="100"/>
      <c r="AJ2451" s="101"/>
      <c r="AK2451" s="100"/>
      <c r="AL2451" s="100"/>
      <c r="AM2451" s="100"/>
      <c r="AN2451" s="100"/>
      <c r="AO2451" s="100"/>
      <c r="AP2451" s="100"/>
      <c r="AQ2451" s="100"/>
      <c r="AR2451" s="100"/>
      <c r="AS2451" s="100"/>
      <c r="AT2451" s="102"/>
      <c r="AX2451" s="100"/>
      <c r="AY2451" s="101"/>
      <c r="AZ2451" s="100"/>
      <c r="BA2451" s="101"/>
      <c r="BB2451" s="100"/>
      <c r="BC2451" s="100"/>
      <c r="BD2451" s="100"/>
      <c r="BE2451" s="100"/>
      <c r="BF2451" s="100"/>
      <c r="BG2451" s="100"/>
      <c r="BH2451" s="100"/>
      <c r="BI2451" s="100"/>
      <c r="BJ2451" s="100"/>
      <c r="BK2451" s="102"/>
    </row>
    <row r="2452" spans="1:63" x14ac:dyDescent="0.25">
      <c r="A2452" s="92"/>
      <c r="B2452" s="93"/>
      <c r="C2452" s="93"/>
      <c r="D2452" s="92"/>
      <c r="E2452" s="92"/>
      <c r="F2452" s="92"/>
      <c r="G2452" s="92"/>
      <c r="H2452" s="92"/>
      <c r="I2452" s="92"/>
      <c r="J2452" s="92"/>
      <c r="K2452" s="92"/>
      <c r="L2452" s="92"/>
      <c r="M2452" s="92"/>
      <c r="N2452" s="94"/>
      <c r="AG2452" s="100"/>
      <c r="AH2452" s="101"/>
      <c r="AI2452" s="100"/>
      <c r="AJ2452" s="101"/>
      <c r="AK2452" s="100"/>
      <c r="AL2452" s="100"/>
      <c r="AM2452" s="100"/>
      <c r="AN2452" s="100"/>
      <c r="AO2452" s="100"/>
      <c r="AP2452" s="100"/>
      <c r="AQ2452" s="100"/>
      <c r="AR2452" s="100"/>
      <c r="AS2452" s="100"/>
      <c r="AT2452" s="102"/>
      <c r="AX2452" s="100"/>
      <c r="AY2452" s="101"/>
      <c r="AZ2452" s="100"/>
      <c r="BA2452" s="101"/>
      <c r="BB2452" s="100"/>
      <c r="BC2452" s="100"/>
      <c r="BD2452" s="100"/>
      <c r="BE2452" s="100"/>
      <c r="BF2452" s="100"/>
      <c r="BG2452" s="100"/>
      <c r="BH2452" s="100"/>
      <c r="BI2452" s="100"/>
      <c r="BJ2452" s="100"/>
      <c r="BK2452" s="102"/>
    </row>
    <row r="2453" spans="1:63" x14ac:dyDescent="0.25">
      <c r="A2453" s="92"/>
      <c r="B2453" s="92"/>
      <c r="C2453" s="92"/>
      <c r="D2453" s="92"/>
      <c r="E2453" s="92"/>
      <c r="F2453" s="92"/>
      <c r="G2453" s="92"/>
      <c r="H2453" s="92"/>
      <c r="I2453" s="92"/>
      <c r="J2453" s="92"/>
      <c r="K2453" s="92"/>
      <c r="L2453" s="92"/>
      <c r="M2453" s="92"/>
      <c r="N2453" s="92"/>
      <c r="AG2453" s="100"/>
      <c r="AH2453" s="101"/>
      <c r="AI2453" s="100"/>
      <c r="AJ2453" s="101"/>
      <c r="AK2453" s="100"/>
      <c r="AL2453" s="100"/>
      <c r="AM2453" s="100"/>
      <c r="AN2453" s="100"/>
      <c r="AO2453" s="100"/>
      <c r="AP2453" s="100"/>
      <c r="AQ2453" s="100"/>
      <c r="AR2453" s="100"/>
      <c r="AS2453" s="100"/>
      <c r="AT2453" s="102"/>
      <c r="AX2453" s="100"/>
      <c r="AY2453" s="101"/>
      <c r="AZ2453" s="100"/>
      <c r="BA2453" s="101"/>
      <c r="BB2453" s="100"/>
      <c r="BC2453" s="100"/>
      <c r="BD2453" s="100"/>
      <c r="BE2453" s="100"/>
      <c r="BF2453" s="100"/>
      <c r="BG2453" s="100"/>
      <c r="BH2453" s="100"/>
      <c r="BI2453" s="100"/>
      <c r="BJ2453" s="100"/>
      <c r="BK2453" s="102"/>
    </row>
    <row r="2454" spans="1:63" x14ac:dyDescent="0.25">
      <c r="A2454" s="92"/>
      <c r="B2454" s="93"/>
      <c r="C2454" s="93"/>
      <c r="D2454" s="92"/>
      <c r="E2454" s="92"/>
      <c r="F2454" s="92"/>
      <c r="G2454" s="92"/>
      <c r="H2454" s="92"/>
      <c r="I2454" s="92"/>
      <c r="J2454" s="92"/>
      <c r="K2454" s="92"/>
      <c r="L2454" s="92"/>
      <c r="M2454" s="92"/>
      <c r="N2454" s="94"/>
      <c r="AG2454" s="100"/>
      <c r="AH2454" s="101"/>
      <c r="AI2454" s="100"/>
      <c r="AJ2454" s="101"/>
      <c r="AK2454" s="100"/>
      <c r="AL2454" s="100"/>
      <c r="AM2454" s="100"/>
      <c r="AN2454" s="100"/>
      <c r="AO2454" s="100"/>
      <c r="AP2454" s="100"/>
      <c r="AQ2454" s="100"/>
      <c r="AR2454" s="100"/>
      <c r="AS2454" s="100"/>
      <c r="AT2454" s="102"/>
      <c r="AX2454" s="100"/>
      <c r="AY2454" s="101"/>
      <c r="AZ2454" s="100"/>
      <c r="BA2454" s="101"/>
      <c r="BB2454" s="100"/>
      <c r="BC2454" s="100"/>
      <c r="BD2454" s="100"/>
      <c r="BE2454" s="100"/>
      <c r="BF2454" s="100"/>
      <c r="BG2454" s="100"/>
      <c r="BH2454" s="100"/>
      <c r="BI2454" s="100"/>
      <c r="BJ2454" s="100"/>
      <c r="BK2454" s="102"/>
    </row>
    <row r="2455" spans="1:63" x14ac:dyDescent="0.25">
      <c r="A2455" s="92"/>
      <c r="B2455" s="93"/>
      <c r="C2455" s="93"/>
      <c r="D2455" s="93"/>
      <c r="E2455" s="92"/>
      <c r="F2455" s="92"/>
      <c r="G2455" s="92"/>
      <c r="H2455" s="92"/>
      <c r="I2455" s="92"/>
      <c r="J2455" s="92"/>
      <c r="K2455" s="92"/>
      <c r="L2455" s="92"/>
      <c r="M2455" s="92"/>
      <c r="N2455" s="94"/>
      <c r="AG2455" s="100"/>
      <c r="AH2455" s="101"/>
      <c r="AI2455" s="100"/>
      <c r="AJ2455" s="101"/>
      <c r="AK2455" s="100"/>
      <c r="AL2455" s="100"/>
      <c r="AM2455" s="100"/>
      <c r="AN2455" s="100"/>
      <c r="AO2455" s="100"/>
      <c r="AP2455" s="100"/>
      <c r="AQ2455" s="100"/>
      <c r="AR2455" s="100"/>
      <c r="AS2455" s="100"/>
      <c r="AT2455" s="102"/>
      <c r="AX2455" s="100"/>
      <c r="AY2455" s="101"/>
      <c r="AZ2455" s="100"/>
      <c r="BA2455" s="101"/>
      <c r="BB2455" s="100"/>
      <c r="BC2455" s="100"/>
      <c r="BD2455" s="100"/>
      <c r="BE2455" s="100"/>
      <c r="BF2455" s="100"/>
      <c r="BG2455" s="100"/>
      <c r="BH2455" s="100"/>
      <c r="BI2455" s="100"/>
      <c r="BJ2455" s="100"/>
      <c r="BK2455" s="102"/>
    </row>
    <row r="2456" spans="1:63" x14ac:dyDescent="0.25">
      <c r="A2456" s="92"/>
      <c r="B2456" s="92"/>
      <c r="C2456" s="92"/>
      <c r="D2456" s="92"/>
      <c r="E2456" s="92"/>
      <c r="F2456" s="92"/>
      <c r="G2456" s="92"/>
      <c r="H2456" s="92"/>
      <c r="I2456" s="92"/>
      <c r="J2456" s="92"/>
      <c r="K2456" s="92"/>
      <c r="L2456" s="92"/>
      <c r="M2456" s="92"/>
      <c r="N2456" s="92"/>
      <c r="AG2456" s="100"/>
      <c r="AH2456" s="101"/>
      <c r="AI2456" s="100"/>
      <c r="AJ2456" s="101"/>
      <c r="AK2456" s="100"/>
      <c r="AL2456" s="100"/>
      <c r="AM2456" s="100"/>
      <c r="AN2456" s="100"/>
      <c r="AO2456" s="100"/>
      <c r="AP2456" s="100"/>
      <c r="AQ2456" s="100"/>
      <c r="AR2456" s="100"/>
      <c r="AS2456" s="100"/>
      <c r="AT2456" s="102"/>
      <c r="AX2456" s="100"/>
      <c r="AY2456" s="101"/>
      <c r="AZ2456" s="100"/>
      <c r="BA2456" s="101"/>
      <c r="BB2456" s="100"/>
      <c r="BC2456" s="100"/>
      <c r="BD2456" s="100"/>
      <c r="BE2456" s="100"/>
      <c r="BF2456" s="100"/>
      <c r="BG2456" s="100"/>
      <c r="BH2456" s="100"/>
      <c r="BI2456" s="100"/>
      <c r="BJ2456" s="100"/>
      <c r="BK2456" s="102"/>
    </row>
    <row r="2457" spans="1:63" x14ac:dyDescent="0.25">
      <c r="A2457" s="92"/>
      <c r="B2457" s="92"/>
      <c r="C2457" s="92"/>
      <c r="D2457" s="92"/>
      <c r="E2457" s="92"/>
      <c r="F2457" s="92"/>
      <c r="G2457" s="92"/>
      <c r="H2457" s="92"/>
      <c r="I2457" s="92"/>
      <c r="J2457" s="92"/>
      <c r="K2457" s="92"/>
      <c r="L2457" s="92"/>
      <c r="M2457" s="92"/>
      <c r="N2457" s="92"/>
      <c r="AG2457" s="100"/>
      <c r="AH2457" s="101"/>
      <c r="AI2457" s="100"/>
      <c r="AJ2457" s="101"/>
      <c r="AK2457" s="100"/>
      <c r="AL2457" s="100"/>
      <c r="AM2457" s="100"/>
      <c r="AN2457" s="100"/>
      <c r="AO2457" s="100"/>
      <c r="AP2457" s="100"/>
      <c r="AQ2457" s="100"/>
      <c r="AR2457" s="100"/>
      <c r="AS2457" s="100"/>
      <c r="AT2457" s="102"/>
      <c r="AX2457" s="100"/>
      <c r="AY2457" s="101"/>
      <c r="AZ2457" s="100"/>
      <c r="BA2457" s="101"/>
      <c r="BB2457" s="100"/>
      <c r="BC2457" s="100"/>
      <c r="BD2457" s="100"/>
      <c r="BE2457" s="100"/>
      <c r="BF2457" s="100"/>
      <c r="BG2457" s="100"/>
      <c r="BH2457" s="100"/>
      <c r="BI2457" s="100"/>
      <c r="BJ2457" s="100"/>
      <c r="BK2457" s="102"/>
    </row>
    <row r="2458" spans="1:63" x14ac:dyDescent="0.25">
      <c r="A2458" s="92"/>
      <c r="B2458" s="92"/>
      <c r="C2458" s="92"/>
      <c r="D2458" s="92"/>
      <c r="E2458" s="92"/>
      <c r="F2458" s="92"/>
      <c r="G2458" s="92"/>
      <c r="H2458" s="92"/>
      <c r="I2458" s="92"/>
      <c r="J2458" s="92"/>
      <c r="K2458" s="92"/>
      <c r="L2458" s="92"/>
      <c r="M2458" s="92"/>
      <c r="N2458" s="92"/>
      <c r="AG2458" s="100"/>
      <c r="AH2458" s="101"/>
      <c r="AI2458" s="100"/>
      <c r="AJ2458" s="101"/>
      <c r="AK2458" s="100"/>
      <c r="AL2458" s="100"/>
      <c r="AM2458" s="100"/>
      <c r="AN2458" s="100"/>
      <c r="AO2458" s="100"/>
      <c r="AP2458" s="100"/>
      <c r="AQ2458" s="100"/>
      <c r="AR2458" s="100"/>
      <c r="AS2458" s="100"/>
      <c r="AT2458" s="102"/>
      <c r="AX2458" s="100"/>
      <c r="AY2458" s="101"/>
      <c r="AZ2458" s="101"/>
      <c r="BA2458" s="100"/>
      <c r="BB2458" s="100"/>
      <c r="BC2458" s="100"/>
      <c r="BD2458" s="100"/>
      <c r="BE2458" s="100"/>
      <c r="BF2458" s="100"/>
      <c r="BG2458" s="100"/>
      <c r="BH2458" s="100"/>
      <c r="BI2458" s="100"/>
      <c r="BJ2458" s="100"/>
      <c r="BK2458" s="102"/>
    </row>
    <row r="2459" spans="1:63" x14ac:dyDescent="0.25">
      <c r="A2459" s="92"/>
      <c r="B2459" s="92"/>
      <c r="C2459" s="92"/>
      <c r="D2459" s="92"/>
      <c r="E2459" s="92"/>
      <c r="F2459" s="92"/>
      <c r="G2459" s="92"/>
      <c r="H2459" s="92"/>
      <c r="I2459" s="92"/>
      <c r="J2459" s="92"/>
      <c r="K2459" s="92"/>
      <c r="L2459" s="92"/>
      <c r="M2459" s="92"/>
      <c r="N2459" s="92"/>
      <c r="AG2459" s="100"/>
      <c r="AH2459" s="101"/>
      <c r="AI2459" s="100"/>
      <c r="AJ2459" s="101"/>
      <c r="AK2459" s="100"/>
      <c r="AL2459" s="100"/>
      <c r="AM2459" s="100"/>
      <c r="AN2459" s="100"/>
      <c r="AO2459" s="100"/>
      <c r="AP2459" s="100"/>
      <c r="AQ2459" s="100"/>
      <c r="AR2459" s="100"/>
      <c r="AS2459" s="100"/>
      <c r="AT2459" s="102"/>
      <c r="AX2459" s="100"/>
      <c r="AY2459" s="101"/>
      <c r="AZ2459" s="100"/>
      <c r="BA2459" s="101"/>
      <c r="BB2459" s="100"/>
      <c r="BC2459" s="100"/>
      <c r="BD2459" s="100"/>
      <c r="BE2459" s="100"/>
      <c r="BF2459" s="100"/>
      <c r="BG2459" s="100"/>
      <c r="BH2459" s="100"/>
      <c r="BI2459" s="100"/>
      <c r="BJ2459" s="100"/>
      <c r="BK2459" s="102"/>
    </row>
    <row r="2460" spans="1:63" x14ac:dyDescent="0.25">
      <c r="A2460" s="92"/>
      <c r="B2460" s="92"/>
      <c r="C2460" s="92"/>
      <c r="D2460" s="92"/>
      <c r="E2460" s="92"/>
      <c r="F2460" s="92"/>
      <c r="G2460" s="92"/>
      <c r="H2460" s="92"/>
      <c r="I2460" s="92"/>
      <c r="J2460" s="92"/>
      <c r="K2460" s="92"/>
      <c r="L2460" s="92"/>
      <c r="M2460" s="92"/>
      <c r="N2460" s="92"/>
      <c r="AG2460" s="100"/>
      <c r="AH2460" s="101"/>
      <c r="AI2460" s="100"/>
      <c r="AJ2460" s="101"/>
      <c r="AK2460" s="100"/>
      <c r="AL2460" s="100"/>
      <c r="AM2460" s="100"/>
      <c r="AN2460" s="100"/>
      <c r="AO2460" s="100"/>
      <c r="AP2460" s="100"/>
      <c r="AQ2460" s="100"/>
      <c r="AR2460" s="100"/>
      <c r="AS2460" s="100"/>
      <c r="AT2460" s="102"/>
      <c r="AX2460" s="100"/>
      <c r="AY2460" s="101"/>
      <c r="AZ2460" s="100"/>
      <c r="BA2460" s="101"/>
      <c r="BB2460" s="100"/>
      <c r="BC2460" s="100"/>
      <c r="BD2460" s="100"/>
      <c r="BE2460" s="100"/>
      <c r="BF2460" s="100"/>
      <c r="BG2460" s="100"/>
      <c r="BH2460" s="100"/>
      <c r="BI2460" s="100"/>
      <c r="BJ2460" s="100"/>
      <c r="BK2460" s="102"/>
    </row>
    <row r="2461" spans="1:63" x14ac:dyDescent="0.25">
      <c r="A2461" s="92"/>
      <c r="B2461" s="93"/>
      <c r="C2461" s="93"/>
      <c r="D2461" s="93"/>
      <c r="E2461" s="92"/>
      <c r="F2461" s="92"/>
      <c r="G2461" s="92"/>
      <c r="H2461" s="92"/>
      <c r="I2461" s="92"/>
      <c r="J2461" s="92"/>
      <c r="K2461" s="92"/>
      <c r="L2461" s="92"/>
      <c r="M2461" s="92"/>
      <c r="N2461" s="94"/>
      <c r="AG2461" s="100"/>
      <c r="AH2461" s="101"/>
      <c r="AI2461" s="100"/>
      <c r="AJ2461" s="101"/>
      <c r="AK2461" s="100"/>
      <c r="AL2461" s="100"/>
      <c r="AM2461" s="100"/>
      <c r="AN2461" s="100"/>
      <c r="AO2461" s="100"/>
      <c r="AP2461" s="100"/>
      <c r="AQ2461" s="100"/>
      <c r="AR2461" s="100"/>
      <c r="AS2461" s="100"/>
      <c r="AT2461" s="102"/>
      <c r="AX2461" s="100"/>
      <c r="AY2461" s="101"/>
      <c r="AZ2461" s="100"/>
      <c r="BA2461" s="101"/>
      <c r="BB2461" s="100"/>
      <c r="BC2461" s="100"/>
      <c r="BD2461" s="100"/>
      <c r="BE2461" s="100"/>
      <c r="BF2461" s="100"/>
      <c r="BG2461" s="100"/>
      <c r="BH2461" s="100"/>
      <c r="BI2461" s="100"/>
      <c r="BJ2461" s="100"/>
      <c r="BK2461" s="102"/>
    </row>
    <row r="2462" spans="1:63" x14ac:dyDescent="0.25">
      <c r="A2462" s="92"/>
      <c r="B2462" s="93"/>
      <c r="C2462" s="93"/>
      <c r="D2462" s="92"/>
      <c r="E2462" s="92"/>
      <c r="F2462" s="92"/>
      <c r="G2462" s="92"/>
      <c r="H2462" s="92"/>
      <c r="I2462" s="92"/>
      <c r="J2462" s="92"/>
      <c r="K2462" s="92"/>
      <c r="L2462" s="92"/>
      <c r="M2462" s="92"/>
      <c r="N2462" s="94"/>
      <c r="AG2462" s="100"/>
      <c r="AH2462" s="101"/>
      <c r="AI2462" s="100"/>
      <c r="AJ2462" s="101"/>
      <c r="AK2462" s="100"/>
      <c r="AL2462" s="100"/>
      <c r="AM2462" s="100"/>
      <c r="AN2462" s="100"/>
      <c r="AO2462" s="100"/>
      <c r="AP2462" s="100"/>
      <c r="AQ2462" s="100"/>
      <c r="AR2462" s="100"/>
      <c r="AS2462" s="100"/>
      <c r="AT2462" s="102"/>
      <c r="AX2462" s="100"/>
      <c r="AY2462" s="101"/>
      <c r="AZ2462" s="100"/>
      <c r="BA2462" s="101"/>
      <c r="BB2462" s="100"/>
      <c r="BC2462" s="100"/>
      <c r="BD2462" s="100"/>
      <c r="BE2462" s="100"/>
      <c r="BF2462" s="100"/>
      <c r="BG2462" s="100"/>
      <c r="BH2462" s="100"/>
      <c r="BI2462" s="100"/>
      <c r="BJ2462" s="100"/>
      <c r="BK2462" s="102"/>
    </row>
    <row r="2463" spans="1:63" x14ac:dyDescent="0.25">
      <c r="A2463" s="92"/>
      <c r="B2463" s="93"/>
      <c r="C2463" s="93"/>
      <c r="D2463" s="93"/>
      <c r="E2463" s="92"/>
      <c r="F2463" s="92"/>
      <c r="G2463" s="92"/>
      <c r="H2463" s="92"/>
      <c r="I2463" s="92"/>
      <c r="J2463" s="92"/>
      <c r="K2463" s="92"/>
      <c r="L2463" s="92"/>
      <c r="M2463" s="92"/>
      <c r="N2463" s="94"/>
      <c r="AG2463" s="100"/>
      <c r="AH2463" s="101"/>
      <c r="AI2463" s="100"/>
      <c r="AJ2463" s="101"/>
      <c r="AK2463" s="100"/>
      <c r="AL2463" s="100"/>
      <c r="AM2463" s="100"/>
      <c r="AN2463" s="100"/>
      <c r="AO2463" s="100"/>
      <c r="AP2463" s="100"/>
      <c r="AQ2463" s="100"/>
      <c r="AR2463" s="100"/>
      <c r="AS2463" s="100"/>
      <c r="AT2463" s="102"/>
      <c r="AX2463" s="100"/>
      <c r="AY2463" s="101"/>
      <c r="AZ2463" s="100"/>
      <c r="BA2463" s="101"/>
      <c r="BB2463" s="100"/>
      <c r="BC2463" s="100"/>
      <c r="BD2463" s="100"/>
      <c r="BE2463" s="100"/>
      <c r="BF2463" s="100"/>
      <c r="BG2463" s="100"/>
      <c r="BH2463" s="100"/>
      <c r="BI2463" s="100"/>
      <c r="BJ2463" s="100"/>
      <c r="BK2463" s="102"/>
    </row>
    <row r="2464" spans="1:63" x14ac:dyDescent="0.25">
      <c r="A2464" s="92"/>
      <c r="B2464" s="93"/>
      <c r="C2464" s="93"/>
      <c r="D2464" s="92"/>
      <c r="E2464" s="92"/>
      <c r="F2464" s="92"/>
      <c r="G2464" s="92"/>
      <c r="H2464" s="92"/>
      <c r="I2464" s="92"/>
      <c r="J2464" s="92"/>
      <c r="K2464" s="92"/>
      <c r="L2464" s="92"/>
      <c r="M2464" s="92"/>
      <c r="N2464" s="94"/>
      <c r="AG2464" s="100"/>
      <c r="AH2464" s="101"/>
      <c r="AI2464" s="100"/>
      <c r="AJ2464" s="101"/>
      <c r="AK2464" s="100"/>
      <c r="AL2464" s="100"/>
      <c r="AM2464" s="100"/>
      <c r="AN2464" s="100"/>
      <c r="AO2464" s="100"/>
      <c r="AP2464" s="100"/>
      <c r="AQ2464" s="100"/>
      <c r="AR2464" s="100"/>
      <c r="AS2464" s="100"/>
      <c r="AT2464" s="102"/>
      <c r="AX2464" s="100"/>
      <c r="AY2464" s="101"/>
      <c r="AZ2464" s="100"/>
      <c r="BA2464" s="101"/>
      <c r="BB2464" s="100"/>
      <c r="BC2464" s="100"/>
      <c r="BD2464" s="100"/>
      <c r="BE2464" s="100"/>
      <c r="BF2464" s="100"/>
      <c r="BG2464" s="100"/>
      <c r="BH2464" s="100"/>
      <c r="BI2464" s="100"/>
      <c r="BJ2464" s="100"/>
      <c r="BK2464" s="102"/>
    </row>
    <row r="2465" spans="1:63" x14ac:dyDescent="0.25">
      <c r="A2465" s="92"/>
      <c r="B2465" s="93"/>
      <c r="C2465" s="93"/>
      <c r="D2465" s="92"/>
      <c r="E2465" s="92"/>
      <c r="F2465" s="92"/>
      <c r="G2465" s="92"/>
      <c r="H2465" s="92"/>
      <c r="I2465" s="92"/>
      <c r="J2465" s="92"/>
      <c r="K2465" s="92"/>
      <c r="L2465" s="92"/>
      <c r="M2465" s="92"/>
      <c r="N2465" s="94"/>
      <c r="AG2465" s="100"/>
      <c r="AH2465" s="101"/>
      <c r="AI2465" s="100"/>
      <c r="AJ2465" s="101"/>
      <c r="AK2465" s="100"/>
      <c r="AL2465" s="100"/>
      <c r="AM2465" s="100"/>
      <c r="AN2465" s="100"/>
      <c r="AO2465" s="100"/>
      <c r="AP2465" s="100"/>
      <c r="AQ2465" s="100"/>
      <c r="AR2465" s="100"/>
      <c r="AS2465" s="100"/>
      <c r="AT2465" s="102"/>
      <c r="AX2465" s="100"/>
      <c r="AY2465" s="101"/>
      <c r="AZ2465" s="100"/>
      <c r="BA2465" s="101"/>
      <c r="BB2465" s="100"/>
      <c r="BC2465" s="100"/>
      <c r="BD2465" s="100"/>
      <c r="BE2465" s="100"/>
      <c r="BF2465" s="100"/>
      <c r="BG2465" s="100"/>
      <c r="BH2465" s="100"/>
      <c r="BI2465" s="100"/>
      <c r="BJ2465" s="100"/>
      <c r="BK2465" s="102"/>
    </row>
    <row r="2466" spans="1:63" x14ac:dyDescent="0.25">
      <c r="A2466" s="92"/>
      <c r="B2466" s="92"/>
      <c r="C2466" s="92"/>
      <c r="D2466" s="92"/>
      <c r="E2466" s="92"/>
      <c r="F2466" s="92"/>
      <c r="G2466" s="92"/>
      <c r="H2466" s="92"/>
      <c r="I2466" s="92"/>
      <c r="J2466" s="92"/>
      <c r="K2466" s="92"/>
      <c r="L2466" s="92"/>
      <c r="M2466" s="92"/>
      <c r="N2466" s="92"/>
      <c r="AG2466" s="100"/>
      <c r="AH2466" s="101"/>
      <c r="AI2466" s="100"/>
      <c r="AJ2466" s="101"/>
      <c r="AK2466" s="100"/>
      <c r="AL2466" s="100"/>
      <c r="AM2466" s="100"/>
      <c r="AN2466" s="100"/>
      <c r="AO2466" s="100"/>
      <c r="AP2466" s="100"/>
      <c r="AQ2466" s="100"/>
      <c r="AR2466" s="100"/>
      <c r="AS2466" s="100"/>
      <c r="AT2466" s="102"/>
      <c r="AX2466" s="100"/>
      <c r="AY2466" s="101"/>
      <c r="AZ2466" s="100"/>
      <c r="BA2466" s="101"/>
      <c r="BB2466" s="100"/>
      <c r="BC2466" s="100"/>
      <c r="BD2466" s="100"/>
      <c r="BE2466" s="100"/>
      <c r="BF2466" s="100"/>
      <c r="BG2466" s="100"/>
      <c r="BH2466" s="100"/>
      <c r="BI2466" s="100"/>
      <c r="BJ2466" s="100"/>
      <c r="BK2466" s="102"/>
    </row>
    <row r="2467" spans="1:63" x14ac:dyDescent="0.25">
      <c r="A2467" s="92"/>
      <c r="B2467" s="93"/>
      <c r="C2467" s="93"/>
      <c r="D2467" s="92"/>
      <c r="E2467" s="92"/>
      <c r="F2467" s="92"/>
      <c r="G2467" s="92"/>
      <c r="H2467" s="92"/>
      <c r="I2467" s="92"/>
      <c r="J2467" s="92"/>
      <c r="K2467" s="92"/>
      <c r="L2467" s="92"/>
      <c r="M2467" s="92"/>
      <c r="N2467" s="94"/>
      <c r="AG2467" s="100"/>
      <c r="AH2467" s="101"/>
      <c r="AI2467" s="100"/>
      <c r="AJ2467" s="100"/>
      <c r="AK2467" s="100"/>
      <c r="AL2467" s="100"/>
      <c r="AM2467" s="100"/>
      <c r="AN2467" s="100"/>
      <c r="AO2467" s="100"/>
      <c r="AP2467" s="100"/>
      <c r="AQ2467" s="100"/>
      <c r="AR2467" s="100"/>
      <c r="AS2467" s="100"/>
      <c r="AT2467" s="102"/>
      <c r="AX2467" s="100"/>
      <c r="AY2467" s="101"/>
      <c r="AZ2467" s="101"/>
      <c r="BA2467" s="100"/>
      <c r="BB2467" s="100"/>
      <c r="BC2467" s="100"/>
      <c r="BD2467" s="100"/>
      <c r="BE2467" s="100"/>
      <c r="BF2467" s="100"/>
      <c r="BG2467" s="100"/>
      <c r="BH2467" s="100"/>
      <c r="BI2467" s="100"/>
      <c r="BJ2467" s="100"/>
      <c r="BK2467" s="102"/>
    </row>
    <row r="2468" spans="1:63" x14ac:dyDescent="0.25">
      <c r="A2468" s="92"/>
      <c r="B2468" s="92"/>
      <c r="C2468" s="92"/>
      <c r="D2468" s="92"/>
      <c r="E2468" s="92"/>
      <c r="F2468" s="92"/>
      <c r="G2468" s="92"/>
      <c r="H2468" s="92"/>
      <c r="I2468" s="92"/>
      <c r="J2468" s="92"/>
      <c r="K2468" s="92"/>
      <c r="L2468" s="92"/>
      <c r="M2468" s="92"/>
      <c r="N2468" s="92"/>
      <c r="AG2468" s="100"/>
      <c r="AH2468" s="101"/>
      <c r="AI2468" s="100"/>
      <c r="AJ2468" s="101"/>
      <c r="AK2468" s="100"/>
      <c r="AL2468" s="100"/>
      <c r="AM2468" s="100"/>
      <c r="AN2468" s="100"/>
      <c r="AO2468" s="100"/>
      <c r="AP2468" s="100"/>
      <c r="AQ2468" s="100"/>
      <c r="AR2468" s="100"/>
      <c r="AS2468" s="100"/>
      <c r="AT2468" s="102"/>
      <c r="AX2468" s="100"/>
      <c r="AY2468" s="101"/>
      <c r="AZ2468" s="100"/>
      <c r="BA2468" s="101"/>
      <c r="BB2468" s="100"/>
      <c r="BC2468" s="100"/>
      <c r="BD2468" s="100"/>
      <c r="BE2468" s="100"/>
      <c r="BF2468" s="100"/>
      <c r="BG2468" s="100"/>
      <c r="BH2468" s="100"/>
      <c r="BI2468" s="100"/>
      <c r="BJ2468" s="100"/>
      <c r="BK2468" s="102"/>
    </row>
    <row r="2469" spans="1:63" x14ac:dyDescent="0.25">
      <c r="A2469" s="92"/>
      <c r="B2469" s="92"/>
      <c r="C2469" s="92"/>
      <c r="D2469" s="92"/>
      <c r="E2469" s="92"/>
      <c r="F2469" s="92"/>
      <c r="G2469" s="92"/>
      <c r="H2469" s="92"/>
      <c r="I2469" s="92"/>
      <c r="J2469" s="92"/>
      <c r="K2469" s="92"/>
      <c r="L2469" s="92"/>
      <c r="M2469" s="92"/>
      <c r="N2469" s="92"/>
      <c r="AG2469" s="100"/>
      <c r="AH2469" s="101"/>
      <c r="AI2469" s="100"/>
      <c r="AJ2469" s="101"/>
      <c r="AK2469" s="100"/>
      <c r="AL2469" s="100"/>
      <c r="AM2469" s="100"/>
      <c r="AN2469" s="100"/>
      <c r="AO2469" s="100"/>
      <c r="AP2469" s="100"/>
      <c r="AQ2469" s="100"/>
      <c r="AR2469" s="100"/>
      <c r="AS2469" s="100"/>
      <c r="AT2469" s="102"/>
      <c r="AX2469" s="100"/>
      <c r="AY2469" s="101"/>
      <c r="AZ2469" s="100"/>
      <c r="BA2469" s="101"/>
      <c r="BB2469" s="100"/>
      <c r="BC2469" s="100"/>
      <c r="BD2469" s="100"/>
      <c r="BE2469" s="100"/>
      <c r="BF2469" s="100"/>
      <c r="BG2469" s="100"/>
      <c r="BH2469" s="100"/>
      <c r="BI2469" s="100"/>
      <c r="BJ2469" s="100"/>
      <c r="BK2469" s="102"/>
    </row>
    <row r="2470" spans="1:63" x14ac:dyDescent="0.25">
      <c r="A2470" s="92"/>
      <c r="B2470" s="93"/>
      <c r="C2470" s="93"/>
      <c r="D2470" s="93"/>
      <c r="E2470" s="92"/>
      <c r="F2470" s="92"/>
      <c r="G2470" s="92"/>
      <c r="H2470" s="92"/>
      <c r="I2470" s="92"/>
      <c r="J2470" s="92"/>
      <c r="K2470" s="92"/>
      <c r="L2470" s="92"/>
      <c r="M2470" s="92"/>
      <c r="N2470" s="94"/>
      <c r="AG2470" s="100"/>
      <c r="AH2470" s="101"/>
      <c r="AI2470" s="100"/>
      <c r="AJ2470" s="101"/>
      <c r="AK2470" s="100"/>
      <c r="AL2470" s="100"/>
      <c r="AM2470" s="100"/>
      <c r="AN2470" s="100"/>
      <c r="AO2470" s="100"/>
      <c r="AP2470" s="100"/>
      <c r="AQ2470" s="100"/>
      <c r="AR2470" s="100"/>
      <c r="AS2470" s="100"/>
      <c r="AT2470" s="102"/>
      <c r="AX2470" s="100"/>
      <c r="AY2470" s="101"/>
      <c r="AZ2470" s="100"/>
      <c r="BA2470" s="101"/>
      <c r="BB2470" s="100"/>
      <c r="BC2470" s="100"/>
      <c r="BD2470" s="100"/>
      <c r="BE2470" s="100"/>
      <c r="BF2470" s="100"/>
      <c r="BG2470" s="100"/>
      <c r="BH2470" s="100"/>
      <c r="BI2470" s="100"/>
      <c r="BJ2470" s="100"/>
      <c r="BK2470" s="102"/>
    </row>
    <row r="2471" spans="1:63" x14ac:dyDescent="0.25">
      <c r="A2471" s="92"/>
      <c r="B2471" s="92"/>
      <c r="C2471" s="92"/>
      <c r="D2471" s="92"/>
      <c r="E2471" s="92"/>
      <c r="F2471" s="92"/>
      <c r="G2471" s="92"/>
      <c r="H2471" s="92"/>
      <c r="I2471" s="92"/>
      <c r="J2471" s="92"/>
      <c r="K2471" s="92"/>
      <c r="L2471" s="92"/>
      <c r="M2471" s="92"/>
      <c r="N2471" s="92"/>
      <c r="AG2471" s="100"/>
      <c r="AH2471" s="101"/>
      <c r="AI2471" s="100"/>
      <c r="AJ2471" s="100"/>
      <c r="AK2471" s="100"/>
      <c r="AL2471" s="100"/>
      <c r="AM2471" s="100"/>
      <c r="AN2471" s="100"/>
      <c r="AO2471" s="100"/>
      <c r="AP2471" s="100"/>
      <c r="AQ2471" s="100"/>
      <c r="AR2471" s="100"/>
      <c r="AS2471" s="100"/>
      <c r="AT2471" s="102"/>
      <c r="AX2471" s="100"/>
      <c r="AY2471" s="101"/>
      <c r="AZ2471" s="100"/>
      <c r="BA2471" s="101"/>
      <c r="BB2471" s="100"/>
      <c r="BC2471" s="100"/>
      <c r="BD2471" s="100"/>
      <c r="BE2471" s="100"/>
      <c r="BF2471" s="100"/>
      <c r="BG2471" s="100"/>
      <c r="BH2471" s="100"/>
      <c r="BI2471" s="100"/>
      <c r="BJ2471" s="100"/>
      <c r="BK2471" s="102"/>
    </row>
    <row r="2472" spans="1:63" x14ac:dyDescent="0.25">
      <c r="A2472" s="92"/>
      <c r="B2472" s="92"/>
      <c r="C2472" s="92"/>
      <c r="D2472" s="92"/>
      <c r="E2472" s="92"/>
      <c r="F2472" s="92"/>
      <c r="G2472" s="92"/>
      <c r="H2472" s="92"/>
      <c r="I2472" s="92"/>
      <c r="J2472" s="92"/>
      <c r="K2472" s="92"/>
      <c r="L2472" s="92"/>
      <c r="M2472" s="92"/>
      <c r="N2472" s="92"/>
      <c r="AG2472" s="100"/>
      <c r="AH2472" s="101"/>
      <c r="AI2472" s="100"/>
      <c r="AJ2472" s="101"/>
      <c r="AK2472" s="100"/>
      <c r="AL2472" s="100"/>
      <c r="AM2472" s="100"/>
      <c r="AN2472" s="100"/>
      <c r="AO2472" s="100"/>
      <c r="AP2472" s="100"/>
      <c r="AQ2472" s="100"/>
      <c r="AR2472" s="100"/>
      <c r="AS2472" s="100"/>
      <c r="AT2472" s="102"/>
      <c r="AX2472" s="100"/>
      <c r="AY2472" s="101"/>
      <c r="AZ2472" s="100"/>
      <c r="BA2472" s="101"/>
      <c r="BB2472" s="100"/>
      <c r="BC2472" s="100"/>
      <c r="BD2472" s="100"/>
      <c r="BE2472" s="100"/>
      <c r="BF2472" s="100"/>
      <c r="BG2472" s="100"/>
      <c r="BH2472" s="100"/>
      <c r="BI2472" s="100"/>
      <c r="BJ2472" s="100"/>
      <c r="BK2472" s="102"/>
    </row>
    <row r="2473" spans="1:63" x14ac:dyDescent="0.25">
      <c r="A2473" s="92"/>
      <c r="B2473" s="92"/>
      <c r="C2473" s="92"/>
      <c r="D2473" s="92"/>
      <c r="E2473" s="92"/>
      <c r="F2473" s="92"/>
      <c r="G2473" s="92"/>
      <c r="H2473" s="92"/>
      <c r="I2473" s="92"/>
      <c r="J2473" s="92"/>
      <c r="K2473" s="92"/>
      <c r="L2473" s="92"/>
      <c r="M2473" s="92"/>
      <c r="N2473" s="92"/>
      <c r="AG2473" s="100"/>
      <c r="AH2473" s="101"/>
      <c r="AI2473" s="100"/>
      <c r="AJ2473" s="100"/>
      <c r="AK2473" s="100"/>
      <c r="AL2473" s="100"/>
      <c r="AM2473" s="100"/>
      <c r="AN2473" s="100"/>
      <c r="AO2473" s="100"/>
      <c r="AP2473" s="100"/>
      <c r="AQ2473" s="100"/>
      <c r="AR2473" s="100"/>
      <c r="AS2473" s="100"/>
      <c r="AT2473" s="102"/>
      <c r="AX2473" s="100"/>
      <c r="AY2473" s="101"/>
      <c r="AZ2473" s="100"/>
      <c r="BA2473" s="101"/>
      <c r="BB2473" s="100"/>
      <c r="BC2473" s="100"/>
      <c r="BD2473" s="100"/>
      <c r="BE2473" s="100"/>
      <c r="BF2473" s="100"/>
      <c r="BG2473" s="100"/>
      <c r="BH2473" s="100"/>
      <c r="BI2473" s="100"/>
      <c r="BJ2473" s="100"/>
      <c r="BK2473" s="102"/>
    </row>
    <row r="2474" spans="1:63" x14ac:dyDescent="0.25">
      <c r="A2474" s="92"/>
      <c r="B2474" s="93"/>
      <c r="C2474" s="93"/>
      <c r="D2474" s="92"/>
      <c r="E2474" s="92"/>
      <c r="F2474" s="92"/>
      <c r="G2474" s="92"/>
      <c r="H2474" s="92"/>
      <c r="I2474" s="92"/>
      <c r="J2474" s="92"/>
      <c r="K2474" s="92"/>
      <c r="L2474" s="92"/>
      <c r="M2474" s="92"/>
      <c r="N2474" s="94"/>
      <c r="AG2474" s="100"/>
      <c r="AH2474" s="101"/>
      <c r="AI2474" s="100"/>
      <c r="AJ2474" s="101"/>
      <c r="AK2474" s="100"/>
      <c r="AL2474" s="100"/>
      <c r="AM2474" s="100"/>
      <c r="AN2474" s="100"/>
      <c r="AO2474" s="100"/>
      <c r="AP2474" s="100"/>
      <c r="AQ2474" s="100"/>
      <c r="AR2474" s="100"/>
      <c r="AS2474" s="100"/>
      <c r="AT2474" s="102"/>
      <c r="AX2474" s="100"/>
      <c r="AY2474" s="101"/>
      <c r="AZ2474" s="100"/>
      <c r="BA2474" s="101"/>
      <c r="BB2474" s="100"/>
      <c r="BC2474" s="100"/>
      <c r="BD2474" s="100"/>
      <c r="BE2474" s="100"/>
      <c r="BF2474" s="100"/>
      <c r="BG2474" s="100"/>
      <c r="BH2474" s="100"/>
      <c r="BI2474" s="100"/>
      <c r="BJ2474" s="100"/>
      <c r="BK2474" s="102"/>
    </row>
    <row r="2475" spans="1:63" x14ac:dyDescent="0.25">
      <c r="A2475" s="92"/>
      <c r="B2475" s="93"/>
      <c r="C2475" s="93"/>
      <c r="D2475" s="92"/>
      <c r="E2475" s="92"/>
      <c r="F2475" s="92"/>
      <c r="G2475" s="92"/>
      <c r="H2475" s="92"/>
      <c r="I2475" s="92"/>
      <c r="J2475" s="92"/>
      <c r="K2475" s="92"/>
      <c r="L2475" s="92"/>
      <c r="M2475" s="92"/>
      <c r="N2475" s="94"/>
      <c r="AG2475" s="100"/>
      <c r="AH2475" s="101"/>
      <c r="AI2475" s="100"/>
      <c r="AJ2475" s="100"/>
      <c r="AK2475" s="100"/>
      <c r="AL2475" s="100"/>
      <c r="AM2475" s="100"/>
      <c r="AN2475" s="100"/>
      <c r="AO2475" s="100"/>
      <c r="AP2475" s="100"/>
      <c r="AQ2475" s="100"/>
      <c r="AR2475" s="100"/>
      <c r="AS2475" s="100"/>
      <c r="AT2475" s="102"/>
      <c r="AX2475" s="100"/>
      <c r="AY2475" s="101"/>
      <c r="AZ2475" s="100"/>
      <c r="BA2475" s="101"/>
      <c r="BB2475" s="100"/>
      <c r="BC2475" s="100"/>
      <c r="BD2475" s="100"/>
      <c r="BE2475" s="100"/>
      <c r="BF2475" s="100"/>
      <c r="BG2475" s="100"/>
      <c r="BH2475" s="100"/>
      <c r="BI2475" s="100"/>
      <c r="BJ2475" s="100"/>
      <c r="BK2475" s="102"/>
    </row>
    <row r="2476" spans="1:63" x14ac:dyDescent="0.25">
      <c r="A2476" s="92"/>
      <c r="B2476" s="93"/>
      <c r="C2476" s="93"/>
      <c r="D2476" s="92"/>
      <c r="E2476" s="92"/>
      <c r="F2476" s="92"/>
      <c r="G2476" s="92"/>
      <c r="H2476" s="92"/>
      <c r="I2476" s="92"/>
      <c r="J2476" s="92"/>
      <c r="K2476" s="92"/>
      <c r="L2476" s="92"/>
      <c r="M2476" s="92"/>
      <c r="N2476" s="94"/>
      <c r="AG2476" s="100"/>
      <c r="AH2476" s="101"/>
      <c r="AI2476" s="100"/>
      <c r="AJ2476" s="101"/>
      <c r="AK2476" s="100"/>
      <c r="AL2476" s="100"/>
      <c r="AM2476" s="100"/>
      <c r="AN2476" s="100"/>
      <c r="AO2476" s="100"/>
      <c r="AP2476" s="100"/>
      <c r="AQ2476" s="100"/>
      <c r="AR2476" s="100"/>
      <c r="AS2476" s="100"/>
      <c r="AT2476" s="102"/>
      <c r="AX2476" s="100"/>
      <c r="AY2476" s="101"/>
      <c r="AZ2476" s="100"/>
      <c r="BA2476" s="101"/>
      <c r="BB2476" s="100"/>
      <c r="BC2476" s="100"/>
      <c r="BD2476" s="100"/>
      <c r="BE2476" s="100"/>
      <c r="BF2476" s="100"/>
      <c r="BG2476" s="100"/>
      <c r="BH2476" s="100"/>
      <c r="BI2476" s="100"/>
      <c r="BJ2476" s="100"/>
      <c r="BK2476" s="102"/>
    </row>
    <row r="2477" spans="1:63" x14ac:dyDescent="0.25">
      <c r="A2477" s="92"/>
      <c r="B2477" s="93"/>
      <c r="C2477" s="93"/>
      <c r="D2477" s="92"/>
      <c r="E2477" s="92"/>
      <c r="F2477" s="92"/>
      <c r="G2477" s="92"/>
      <c r="H2477" s="92"/>
      <c r="I2477" s="92"/>
      <c r="J2477" s="92"/>
      <c r="K2477" s="92"/>
      <c r="L2477" s="92"/>
      <c r="M2477" s="92"/>
      <c r="N2477" s="94"/>
      <c r="AG2477" s="100"/>
      <c r="AH2477" s="101"/>
      <c r="AI2477" s="100"/>
      <c r="AJ2477" s="100"/>
      <c r="AK2477" s="100"/>
      <c r="AL2477" s="100"/>
      <c r="AM2477" s="100"/>
      <c r="AN2477" s="100"/>
      <c r="AO2477" s="100"/>
      <c r="AP2477" s="100"/>
      <c r="AQ2477" s="100"/>
      <c r="AR2477" s="100"/>
      <c r="AS2477" s="100"/>
      <c r="AT2477" s="102"/>
      <c r="AX2477" s="100"/>
      <c r="AY2477" s="101"/>
      <c r="AZ2477" s="100"/>
      <c r="BA2477" s="101"/>
      <c r="BB2477" s="100"/>
      <c r="BC2477" s="100"/>
      <c r="BD2477" s="100"/>
      <c r="BE2477" s="100"/>
      <c r="BF2477" s="100"/>
      <c r="BG2477" s="100"/>
      <c r="BH2477" s="100"/>
      <c r="BI2477" s="100"/>
      <c r="BJ2477" s="100"/>
      <c r="BK2477" s="102"/>
    </row>
    <row r="2478" spans="1:63" x14ac:dyDescent="0.25">
      <c r="A2478" s="92"/>
      <c r="B2478" s="92"/>
      <c r="C2478" s="92"/>
      <c r="D2478" s="92"/>
      <c r="E2478" s="92"/>
      <c r="F2478" s="92"/>
      <c r="G2478" s="92"/>
      <c r="H2478" s="92"/>
      <c r="I2478" s="92"/>
      <c r="J2478" s="92"/>
      <c r="K2478" s="92"/>
      <c r="L2478" s="92"/>
      <c r="M2478" s="92"/>
      <c r="N2478" s="92"/>
      <c r="AG2478" s="100"/>
      <c r="AH2478" s="101"/>
      <c r="AI2478" s="100"/>
      <c r="AJ2478" s="100"/>
      <c r="AK2478" s="100"/>
      <c r="AL2478" s="100"/>
      <c r="AM2478" s="100"/>
      <c r="AN2478" s="100"/>
      <c r="AO2478" s="100"/>
      <c r="AP2478" s="100"/>
      <c r="AQ2478" s="100"/>
      <c r="AR2478" s="100"/>
      <c r="AS2478" s="100"/>
      <c r="AT2478" s="102"/>
      <c r="AX2478" s="100"/>
      <c r="AY2478" s="101"/>
      <c r="AZ2478" s="100"/>
      <c r="BA2478" s="101"/>
      <c r="BB2478" s="100"/>
      <c r="BC2478" s="100"/>
      <c r="BD2478" s="100"/>
      <c r="BE2478" s="100"/>
      <c r="BF2478" s="100"/>
      <c r="BG2478" s="100"/>
      <c r="BH2478" s="100"/>
      <c r="BI2478" s="100"/>
      <c r="BJ2478" s="100"/>
      <c r="BK2478" s="102"/>
    </row>
    <row r="2479" spans="1:63" x14ac:dyDescent="0.25">
      <c r="A2479" s="92"/>
      <c r="B2479" s="92"/>
      <c r="C2479" s="92"/>
      <c r="D2479" s="92"/>
      <c r="E2479" s="92"/>
      <c r="F2479" s="92"/>
      <c r="G2479" s="92"/>
      <c r="H2479" s="92"/>
      <c r="I2479" s="92"/>
      <c r="J2479" s="92"/>
      <c r="K2479" s="92"/>
      <c r="L2479" s="92"/>
      <c r="M2479" s="92"/>
      <c r="N2479" s="92"/>
      <c r="AG2479" s="100"/>
      <c r="AH2479" s="101"/>
      <c r="AI2479" s="101"/>
      <c r="AJ2479" s="100"/>
      <c r="AK2479" s="100"/>
      <c r="AL2479" s="100"/>
      <c r="AM2479" s="100"/>
      <c r="AN2479" s="100"/>
      <c r="AO2479" s="100"/>
      <c r="AP2479" s="100"/>
      <c r="AQ2479" s="100"/>
      <c r="AR2479" s="100"/>
      <c r="AS2479" s="100"/>
      <c r="AT2479" s="102"/>
      <c r="AX2479" s="100"/>
      <c r="AY2479" s="101"/>
      <c r="AZ2479" s="100"/>
      <c r="BA2479" s="101"/>
      <c r="BB2479" s="100"/>
      <c r="BC2479" s="100"/>
      <c r="BD2479" s="100"/>
      <c r="BE2479" s="100"/>
      <c r="BF2479" s="100"/>
      <c r="BG2479" s="100"/>
      <c r="BH2479" s="100"/>
      <c r="BI2479" s="100"/>
      <c r="BJ2479" s="100"/>
      <c r="BK2479" s="102"/>
    </row>
    <row r="2480" spans="1:63" x14ac:dyDescent="0.25">
      <c r="A2480" s="92"/>
      <c r="B2480" s="92"/>
      <c r="C2480" s="92"/>
      <c r="D2480" s="92"/>
      <c r="E2480" s="92"/>
      <c r="F2480" s="92"/>
      <c r="G2480" s="92"/>
      <c r="H2480" s="92"/>
      <c r="I2480" s="92"/>
      <c r="J2480" s="92"/>
      <c r="K2480" s="92"/>
      <c r="L2480" s="92"/>
      <c r="M2480" s="92"/>
      <c r="N2480" s="92"/>
      <c r="AG2480" s="100"/>
      <c r="AH2480" s="101"/>
      <c r="AI2480" s="100"/>
      <c r="AJ2480" s="100"/>
      <c r="AK2480" s="100"/>
      <c r="AL2480" s="100"/>
      <c r="AM2480" s="100"/>
      <c r="AN2480" s="100"/>
      <c r="AO2480" s="100"/>
      <c r="AP2480" s="100"/>
      <c r="AQ2480" s="100"/>
      <c r="AR2480" s="100"/>
      <c r="AS2480" s="100"/>
      <c r="AT2480" s="102"/>
      <c r="AX2480" s="100"/>
      <c r="AY2480" s="101"/>
      <c r="AZ2480" s="100"/>
      <c r="BA2480" s="101"/>
      <c r="BB2480" s="100"/>
      <c r="BC2480" s="100"/>
      <c r="BD2480" s="100"/>
      <c r="BE2480" s="100"/>
      <c r="BF2480" s="100"/>
      <c r="BG2480" s="100"/>
      <c r="BH2480" s="100"/>
      <c r="BI2480" s="100"/>
      <c r="BJ2480" s="100"/>
      <c r="BK2480" s="102"/>
    </row>
    <row r="2481" spans="1:63" x14ac:dyDescent="0.25">
      <c r="A2481" s="92"/>
      <c r="B2481" s="93"/>
      <c r="C2481" s="93"/>
      <c r="D2481" s="92"/>
      <c r="E2481" s="92"/>
      <c r="F2481" s="92"/>
      <c r="G2481" s="92"/>
      <c r="H2481" s="92"/>
      <c r="I2481" s="92"/>
      <c r="J2481" s="92"/>
      <c r="K2481" s="92"/>
      <c r="L2481" s="92"/>
      <c r="M2481" s="92"/>
      <c r="N2481" s="94"/>
      <c r="AG2481" s="100"/>
      <c r="AH2481" s="101"/>
      <c r="AI2481" s="100"/>
      <c r="AJ2481" s="101"/>
      <c r="AK2481" s="100"/>
      <c r="AL2481" s="100"/>
      <c r="AM2481" s="100"/>
      <c r="AN2481" s="100"/>
      <c r="AO2481" s="100"/>
      <c r="AP2481" s="100"/>
      <c r="AQ2481" s="100"/>
      <c r="AR2481" s="100"/>
      <c r="AS2481" s="100"/>
      <c r="AT2481" s="102"/>
      <c r="AX2481" s="100"/>
      <c r="AY2481" s="101"/>
      <c r="AZ2481" s="100"/>
      <c r="BA2481" s="101"/>
      <c r="BB2481" s="100"/>
      <c r="BC2481" s="100"/>
      <c r="BD2481" s="100"/>
      <c r="BE2481" s="100"/>
      <c r="BF2481" s="100"/>
      <c r="BG2481" s="100"/>
      <c r="BH2481" s="100"/>
      <c r="BI2481" s="100"/>
      <c r="BJ2481" s="100"/>
      <c r="BK2481" s="102"/>
    </row>
    <row r="2482" spans="1:63" x14ac:dyDescent="0.25">
      <c r="A2482" s="92"/>
      <c r="B2482" s="92"/>
      <c r="C2482" s="92"/>
      <c r="D2482" s="92"/>
      <c r="E2482" s="92"/>
      <c r="F2482" s="92"/>
      <c r="G2482" s="92"/>
      <c r="H2482" s="92"/>
      <c r="I2482" s="92"/>
      <c r="J2482" s="92"/>
      <c r="K2482" s="92"/>
      <c r="L2482" s="92"/>
      <c r="M2482" s="92"/>
      <c r="N2482" s="92"/>
      <c r="AG2482" s="100"/>
      <c r="AH2482" s="101"/>
      <c r="AI2482" s="100"/>
      <c r="AJ2482" s="100"/>
      <c r="AK2482" s="100"/>
      <c r="AL2482" s="100"/>
      <c r="AM2482" s="100"/>
      <c r="AN2482" s="100"/>
      <c r="AO2482" s="100"/>
      <c r="AP2482" s="100"/>
      <c r="AQ2482" s="100"/>
      <c r="AR2482" s="100"/>
      <c r="AS2482" s="100"/>
      <c r="AT2482" s="102"/>
      <c r="AX2482" s="100"/>
      <c r="AY2482" s="101"/>
      <c r="AZ2482" s="100"/>
      <c r="BA2482" s="101"/>
      <c r="BB2482" s="100"/>
      <c r="BC2482" s="100"/>
      <c r="BD2482" s="100"/>
      <c r="BE2482" s="100"/>
      <c r="BF2482" s="100"/>
      <c r="BG2482" s="100"/>
      <c r="BH2482" s="100"/>
      <c r="BI2482" s="100"/>
      <c r="BJ2482" s="100"/>
      <c r="BK2482" s="102"/>
    </row>
    <row r="2483" spans="1:63" x14ac:dyDescent="0.25">
      <c r="A2483" s="92"/>
      <c r="B2483" s="93"/>
      <c r="C2483" s="93"/>
      <c r="D2483" s="92"/>
      <c r="E2483" s="92"/>
      <c r="F2483" s="92"/>
      <c r="G2483" s="92"/>
      <c r="H2483" s="92"/>
      <c r="I2483" s="92"/>
      <c r="J2483" s="92"/>
      <c r="K2483" s="92"/>
      <c r="L2483" s="92"/>
      <c r="M2483" s="92"/>
      <c r="N2483" s="94"/>
      <c r="AG2483" s="100"/>
      <c r="AH2483" s="101"/>
      <c r="AI2483" s="100"/>
      <c r="AJ2483" s="101"/>
      <c r="AK2483" s="100"/>
      <c r="AL2483" s="100"/>
      <c r="AM2483" s="100"/>
      <c r="AN2483" s="100"/>
      <c r="AO2483" s="100"/>
      <c r="AP2483" s="100"/>
      <c r="AQ2483" s="100"/>
      <c r="AR2483" s="100"/>
      <c r="AS2483" s="100"/>
      <c r="AT2483" s="102"/>
      <c r="AX2483" s="100"/>
      <c r="AY2483" s="101"/>
      <c r="AZ2483" s="100"/>
      <c r="BA2483" s="101"/>
      <c r="BB2483" s="100"/>
      <c r="BC2483" s="100"/>
      <c r="BD2483" s="100"/>
      <c r="BE2483" s="100"/>
      <c r="BF2483" s="100"/>
      <c r="BG2483" s="100"/>
      <c r="BH2483" s="100"/>
      <c r="BI2483" s="100"/>
      <c r="BJ2483" s="100"/>
      <c r="BK2483" s="102"/>
    </row>
    <row r="2484" spans="1:63" x14ac:dyDescent="0.25">
      <c r="A2484" s="92"/>
      <c r="B2484" s="93"/>
      <c r="C2484" s="93"/>
      <c r="D2484" s="92"/>
      <c r="E2484" s="92"/>
      <c r="F2484" s="92"/>
      <c r="G2484" s="92"/>
      <c r="H2484" s="92"/>
      <c r="I2484" s="92"/>
      <c r="J2484" s="92"/>
      <c r="K2484" s="92"/>
      <c r="L2484" s="92"/>
      <c r="M2484" s="92"/>
      <c r="N2484" s="94"/>
      <c r="AG2484" s="100"/>
      <c r="AH2484" s="101"/>
      <c r="AI2484" s="100"/>
      <c r="AJ2484" s="101"/>
      <c r="AK2484" s="100"/>
      <c r="AL2484" s="100"/>
      <c r="AM2484" s="100"/>
      <c r="AN2484" s="100"/>
      <c r="AO2484" s="100"/>
      <c r="AP2484" s="100"/>
      <c r="AQ2484" s="100"/>
      <c r="AR2484" s="100"/>
      <c r="AS2484" s="100"/>
      <c r="AT2484" s="102"/>
      <c r="AX2484" s="100"/>
      <c r="AY2484" s="101"/>
      <c r="AZ2484" s="100"/>
      <c r="BA2484" s="101"/>
      <c r="BB2484" s="100"/>
      <c r="BC2484" s="100"/>
      <c r="BD2484" s="100"/>
      <c r="BE2484" s="100"/>
      <c r="BF2484" s="100"/>
      <c r="BG2484" s="100"/>
      <c r="BH2484" s="100"/>
      <c r="BI2484" s="100"/>
      <c r="BJ2484" s="100"/>
      <c r="BK2484" s="102"/>
    </row>
    <row r="2485" spans="1:63" x14ac:dyDescent="0.25">
      <c r="A2485" s="92"/>
      <c r="B2485" s="93"/>
      <c r="C2485" s="93"/>
      <c r="D2485" s="92"/>
      <c r="E2485" s="92"/>
      <c r="F2485" s="92"/>
      <c r="G2485" s="92"/>
      <c r="H2485" s="92"/>
      <c r="I2485" s="92"/>
      <c r="J2485" s="92"/>
      <c r="K2485" s="92"/>
      <c r="L2485" s="92"/>
      <c r="M2485" s="92"/>
      <c r="N2485" s="94"/>
      <c r="AG2485" s="100"/>
      <c r="AH2485" s="101"/>
      <c r="AI2485" s="101"/>
      <c r="AJ2485" s="100"/>
      <c r="AK2485" s="100"/>
      <c r="AL2485" s="100"/>
      <c r="AM2485" s="100"/>
      <c r="AN2485" s="100"/>
      <c r="AO2485" s="100"/>
      <c r="AP2485" s="100"/>
      <c r="AQ2485" s="100"/>
      <c r="AR2485" s="100"/>
      <c r="AS2485" s="100"/>
      <c r="AT2485" s="102"/>
      <c r="AX2485" s="100"/>
      <c r="AY2485" s="101"/>
      <c r="AZ2485" s="100"/>
      <c r="BA2485" s="101"/>
      <c r="BB2485" s="100"/>
      <c r="BC2485" s="100"/>
      <c r="BD2485" s="100"/>
      <c r="BE2485" s="100"/>
      <c r="BF2485" s="100"/>
      <c r="BG2485" s="100"/>
      <c r="BH2485" s="100"/>
      <c r="BI2485" s="100"/>
      <c r="BJ2485" s="100"/>
      <c r="BK2485" s="102"/>
    </row>
    <row r="2486" spans="1:63" x14ac:dyDescent="0.25">
      <c r="A2486" s="92"/>
      <c r="B2486" s="93"/>
      <c r="C2486" s="93"/>
      <c r="D2486" s="92"/>
      <c r="E2486" s="92"/>
      <c r="F2486" s="92"/>
      <c r="G2486" s="92"/>
      <c r="H2486" s="92"/>
      <c r="I2486" s="92"/>
      <c r="J2486" s="92"/>
      <c r="K2486" s="92"/>
      <c r="L2486" s="92"/>
      <c r="M2486" s="92"/>
      <c r="N2486" s="94"/>
      <c r="AG2486" s="100"/>
      <c r="AH2486" s="101"/>
      <c r="AI2486" s="100"/>
      <c r="AJ2486" s="101"/>
      <c r="AK2486" s="100"/>
      <c r="AL2486" s="100"/>
      <c r="AM2486" s="100"/>
      <c r="AN2486" s="100"/>
      <c r="AO2486" s="100"/>
      <c r="AP2486" s="100"/>
      <c r="AQ2486" s="100"/>
      <c r="AR2486" s="100"/>
      <c r="AS2486" s="100"/>
      <c r="AT2486" s="102"/>
      <c r="AX2486" s="100"/>
      <c r="AY2486" s="101"/>
      <c r="AZ2486" s="100"/>
      <c r="BA2486" s="101"/>
      <c r="BB2486" s="100"/>
      <c r="BC2486" s="100"/>
      <c r="BD2486" s="100"/>
      <c r="BE2486" s="100"/>
      <c r="BF2486" s="100"/>
      <c r="BG2486" s="100"/>
      <c r="BH2486" s="100"/>
      <c r="BI2486" s="100"/>
      <c r="BJ2486" s="100"/>
      <c r="BK2486" s="102"/>
    </row>
    <row r="2487" spans="1:63" x14ac:dyDescent="0.25">
      <c r="A2487" s="92"/>
      <c r="B2487" s="92"/>
      <c r="C2487" s="92"/>
      <c r="D2487" s="92"/>
      <c r="E2487" s="92"/>
      <c r="F2487" s="92"/>
      <c r="G2487" s="92"/>
      <c r="H2487" s="92"/>
      <c r="I2487" s="92"/>
      <c r="J2487" s="92"/>
      <c r="K2487" s="92"/>
      <c r="L2487" s="92"/>
      <c r="M2487" s="92"/>
      <c r="N2487" s="92"/>
      <c r="AG2487" s="100"/>
      <c r="AH2487" s="101"/>
      <c r="AI2487" s="100"/>
      <c r="AJ2487" s="101"/>
      <c r="AK2487" s="100"/>
      <c r="AL2487" s="100"/>
      <c r="AM2487" s="100"/>
      <c r="AN2487" s="100"/>
      <c r="AO2487" s="100"/>
      <c r="AP2487" s="100"/>
      <c r="AQ2487" s="100"/>
      <c r="AR2487" s="100"/>
      <c r="AS2487" s="100"/>
      <c r="AT2487" s="102"/>
      <c r="AX2487" s="100"/>
      <c r="AY2487" s="101"/>
      <c r="AZ2487" s="100"/>
      <c r="BA2487" s="100"/>
      <c r="BB2487" s="100"/>
      <c r="BC2487" s="100"/>
      <c r="BD2487" s="100"/>
      <c r="BE2487" s="100"/>
      <c r="BF2487" s="100"/>
      <c r="BG2487" s="100"/>
      <c r="BH2487" s="100"/>
      <c r="BI2487" s="100"/>
      <c r="BJ2487" s="100"/>
      <c r="BK2487" s="102"/>
    </row>
    <row r="2488" spans="1:63" x14ac:dyDescent="0.25">
      <c r="A2488" s="92"/>
      <c r="B2488" s="93"/>
      <c r="C2488" s="93"/>
      <c r="D2488" s="92"/>
      <c r="E2488" s="92"/>
      <c r="F2488" s="92"/>
      <c r="G2488" s="92"/>
      <c r="H2488" s="92"/>
      <c r="I2488" s="92"/>
      <c r="J2488" s="92"/>
      <c r="K2488" s="92"/>
      <c r="L2488" s="92"/>
      <c r="M2488" s="92"/>
      <c r="N2488" s="94"/>
      <c r="AG2488" s="100"/>
      <c r="AH2488" s="101"/>
      <c r="AI2488" s="100"/>
      <c r="AJ2488" s="101"/>
      <c r="AK2488" s="100"/>
      <c r="AL2488" s="100"/>
      <c r="AM2488" s="100"/>
      <c r="AN2488" s="100"/>
      <c r="AO2488" s="100"/>
      <c r="AP2488" s="100"/>
      <c r="AQ2488" s="100"/>
      <c r="AR2488" s="100"/>
      <c r="AS2488" s="100"/>
      <c r="AT2488" s="102"/>
      <c r="AX2488" s="100"/>
      <c r="AY2488" s="101"/>
      <c r="AZ2488" s="100"/>
      <c r="BA2488" s="101"/>
      <c r="BB2488" s="100"/>
      <c r="BC2488" s="100"/>
      <c r="BD2488" s="100"/>
      <c r="BE2488" s="100"/>
      <c r="BF2488" s="100"/>
      <c r="BG2488" s="100"/>
      <c r="BH2488" s="100"/>
      <c r="BI2488" s="100"/>
      <c r="BJ2488" s="100"/>
      <c r="BK2488" s="102"/>
    </row>
    <row r="2489" spans="1:63" x14ac:dyDescent="0.25">
      <c r="A2489" s="92"/>
      <c r="B2489" s="93"/>
      <c r="C2489" s="93"/>
      <c r="D2489" s="92"/>
      <c r="E2489" s="92"/>
      <c r="F2489" s="92"/>
      <c r="G2489" s="92"/>
      <c r="H2489" s="92"/>
      <c r="I2489" s="92"/>
      <c r="J2489" s="92"/>
      <c r="K2489" s="92"/>
      <c r="L2489" s="92"/>
      <c r="M2489" s="92"/>
      <c r="N2489" s="94"/>
      <c r="AG2489" s="100"/>
      <c r="AH2489" s="101"/>
      <c r="AI2489" s="100"/>
      <c r="AJ2489" s="101"/>
      <c r="AK2489" s="100"/>
      <c r="AL2489" s="100"/>
      <c r="AM2489" s="100"/>
      <c r="AN2489" s="100"/>
      <c r="AO2489" s="100"/>
      <c r="AP2489" s="100"/>
      <c r="AQ2489" s="100"/>
      <c r="AR2489" s="100"/>
      <c r="AS2489" s="100"/>
      <c r="AT2489" s="102"/>
      <c r="AX2489" s="100"/>
      <c r="AY2489" s="101"/>
      <c r="AZ2489" s="100"/>
      <c r="BA2489" s="101"/>
      <c r="BB2489" s="100"/>
      <c r="BC2489" s="100"/>
      <c r="BD2489" s="100"/>
      <c r="BE2489" s="100"/>
      <c r="BF2489" s="100"/>
      <c r="BG2489" s="100"/>
      <c r="BH2489" s="100"/>
      <c r="BI2489" s="100"/>
      <c r="BJ2489" s="100"/>
      <c r="BK2489" s="102"/>
    </row>
    <row r="2490" spans="1:63" x14ac:dyDescent="0.25">
      <c r="A2490" s="92"/>
      <c r="B2490" s="93"/>
      <c r="C2490" s="93"/>
      <c r="D2490" s="92"/>
      <c r="E2490" s="92"/>
      <c r="F2490" s="92"/>
      <c r="G2490" s="92"/>
      <c r="H2490" s="92"/>
      <c r="I2490" s="92"/>
      <c r="J2490" s="92"/>
      <c r="K2490" s="92"/>
      <c r="L2490" s="92"/>
      <c r="M2490" s="92"/>
      <c r="N2490" s="94"/>
      <c r="AG2490" s="100"/>
      <c r="AH2490" s="101"/>
      <c r="AI2490" s="100"/>
      <c r="AJ2490" s="100"/>
      <c r="AK2490" s="100"/>
      <c r="AL2490" s="100"/>
      <c r="AM2490" s="100"/>
      <c r="AN2490" s="100"/>
      <c r="AO2490" s="100"/>
      <c r="AP2490" s="100"/>
      <c r="AQ2490" s="100"/>
      <c r="AR2490" s="100"/>
      <c r="AS2490" s="100"/>
      <c r="AT2490" s="102"/>
      <c r="AX2490" s="100"/>
      <c r="AY2490" s="101"/>
      <c r="AZ2490" s="100"/>
      <c r="BA2490" s="101"/>
      <c r="BB2490" s="100"/>
      <c r="BC2490" s="100"/>
      <c r="BD2490" s="100"/>
      <c r="BE2490" s="100"/>
      <c r="BF2490" s="100"/>
      <c r="BG2490" s="100"/>
      <c r="BH2490" s="100"/>
      <c r="BI2490" s="100"/>
      <c r="BJ2490" s="100"/>
      <c r="BK2490" s="102"/>
    </row>
    <row r="2491" spans="1:63" x14ac:dyDescent="0.25">
      <c r="A2491" s="92"/>
      <c r="B2491" s="93"/>
      <c r="C2491" s="93"/>
      <c r="D2491" s="92"/>
      <c r="E2491" s="92"/>
      <c r="F2491" s="92"/>
      <c r="G2491" s="92"/>
      <c r="H2491" s="92"/>
      <c r="I2491" s="92"/>
      <c r="J2491" s="92"/>
      <c r="K2491" s="92"/>
      <c r="L2491" s="92"/>
      <c r="M2491" s="92"/>
      <c r="N2491" s="94"/>
      <c r="AG2491" s="100"/>
      <c r="AH2491" s="101"/>
      <c r="AI2491" s="100"/>
      <c r="AJ2491" s="101"/>
      <c r="AK2491" s="100"/>
      <c r="AL2491" s="100"/>
      <c r="AM2491" s="100"/>
      <c r="AN2491" s="100"/>
      <c r="AO2491" s="100"/>
      <c r="AP2491" s="100"/>
      <c r="AQ2491" s="100"/>
      <c r="AR2491" s="100"/>
      <c r="AS2491" s="100"/>
      <c r="AT2491" s="102"/>
      <c r="AX2491" s="100"/>
      <c r="AY2491" s="101"/>
      <c r="AZ2491" s="100"/>
      <c r="BA2491" s="100"/>
      <c r="BB2491" s="100"/>
      <c r="BC2491" s="100"/>
      <c r="BD2491" s="100"/>
      <c r="BE2491" s="100"/>
      <c r="BF2491" s="100"/>
      <c r="BG2491" s="100"/>
      <c r="BH2491" s="100"/>
      <c r="BI2491" s="100"/>
      <c r="BJ2491" s="100"/>
      <c r="BK2491" s="102"/>
    </row>
    <row r="2492" spans="1:63" x14ac:dyDescent="0.25">
      <c r="A2492" s="92"/>
      <c r="B2492" s="93"/>
      <c r="C2492" s="93"/>
      <c r="D2492" s="92"/>
      <c r="E2492" s="92"/>
      <c r="F2492" s="92"/>
      <c r="G2492" s="92"/>
      <c r="H2492" s="92"/>
      <c r="I2492" s="92"/>
      <c r="J2492" s="92"/>
      <c r="K2492" s="92"/>
      <c r="L2492" s="92"/>
      <c r="M2492" s="92"/>
      <c r="N2492" s="94"/>
      <c r="AG2492" s="100"/>
      <c r="AH2492" s="101"/>
      <c r="AI2492" s="100"/>
      <c r="AJ2492" s="101"/>
      <c r="AK2492" s="100"/>
      <c r="AL2492" s="100"/>
      <c r="AM2492" s="100"/>
      <c r="AN2492" s="100"/>
      <c r="AO2492" s="100"/>
      <c r="AP2492" s="100"/>
      <c r="AQ2492" s="100"/>
      <c r="AR2492" s="100"/>
      <c r="AS2492" s="100"/>
      <c r="AT2492" s="102"/>
      <c r="AX2492" s="100"/>
      <c r="AY2492" s="101"/>
      <c r="AZ2492" s="100"/>
      <c r="BA2492" s="101"/>
      <c r="BB2492" s="100"/>
      <c r="BC2492" s="100"/>
      <c r="BD2492" s="100"/>
      <c r="BE2492" s="100"/>
      <c r="BF2492" s="100"/>
      <c r="BG2492" s="100"/>
      <c r="BH2492" s="100"/>
      <c r="BI2492" s="100"/>
      <c r="BJ2492" s="100"/>
      <c r="BK2492" s="102"/>
    </row>
    <row r="2493" spans="1:63" x14ac:dyDescent="0.25">
      <c r="A2493" s="92"/>
      <c r="B2493" s="93"/>
      <c r="C2493" s="93"/>
      <c r="D2493" s="92"/>
      <c r="E2493" s="92"/>
      <c r="F2493" s="92"/>
      <c r="G2493" s="92"/>
      <c r="H2493" s="92"/>
      <c r="I2493" s="92"/>
      <c r="J2493" s="92"/>
      <c r="K2493" s="92"/>
      <c r="L2493" s="92"/>
      <c r="M2493" s="92"/>
      <c r="N2493" s="94"/>
      <c r="AG2493" s="100"/>
      <c r="AH2493" s="101"/>
      <c r="AI2493" s="101"/>
      <c r="AJ2493" s="101"/>
      <c r="AK2493" s="100"/>
      <c r="AL2493" s="100"/>
      <c r="AM2493" s="100"/>
      <c r="AN2493" s="100"/>
      <c r="AO2493" s="100"/>
      <c r="AP2493" s="100"/>
      <c r="AQ2493" s="100"/>
      <c r="AR2493" s="100"/>
      <c r="AS2493" s="100"/>
      <c r="AT2493" s="102"/>
      <c r="AX2493" s="100"/>
      <c r="AY2493" s="101"/>
      <c r="AZ2493" s="100"/>
      <c r="BA2493" s="100"/>
      <c r="BB2493" s="100"/>
      <c r="BC2493" s="100"/>
      <c r="BD2493" s="100"/>
      <c r="BE2493" s="100"/>
      <c r="BF2493" s="100"/>
      <c r="BG2493" s="100"/>
      <c r="BH2493" s="100"/>
      <c r="BI2493" s="100"/>
      <c r="BJ2493" s="100"/>
      <c r="BK2493" s="102"/>
    </row>
    <row r="2494" spans="1:63" x14ac:dyDescent="0.25">
      <c r="A2494" s="92"/>
      <c r="B2494" s="93"/>
      <c r="C2494" s="93"/>
      <c r="D2494" s="92"/>
      <c r="E2494" s="92"/>
      <c r="F2494" s="92"/>
      <c r="G2494" s="92"/>
      <c r="H2494" s="92"/>
      <c r="I2494" s="92"/>
      <c r="J2494" s="92"/>
      <c r="K2494" s="92"/>
      <c r="L2494" s="92"/>
      <c r="M2494" s="92"/>
      <c r="N2494" s="94"/>
      <c r="AG2494" s="100"/>
      <c r="AH2494" s="101"/>
      <c r="AI2494" s="100"/>
      <c r="AJ2494" s="101"/>
      <c r="AK2494" s="100"/>
      <c r="AL2494" s="100"/>
      <c r="AM2494" s="100"/>
      <c r="AN2494" s="100"/>
      <c r="AO2494" s="100"/>
      <c r="AP2494" s="100"/>
      <c r="AQ2494" s="100"/>
      <c r="AR2494" s="100"/>
      <c r="AS2494" s="100"/>
      <c r="AT2494" s="102"/>
      <c r="AX2494" s="100"/>
      <c r="AY2494" s="101"/>
      <c r="AZ2494" s="100"/>
      <c r="BA2494" s="101"/>
      <c r="BB2494" s="100"/>
      <c r="BC2494" s="100"/>
      <c r="BD2494" s="100"/>
      <c r="BE2494" s="100"/>
      <c r="BF2494" s="100"/>
      <c r="BG2494" s="100"/>
      <c r="BH2494" s="100"/>
      <c r="BI2494" s="100"/>
      <c r="BJ2494" s="100"/>
      <c r="BK2494" s="102"/>
    </row>
    <row r="2495" spans="1:63" x14ac:dyDescent="0.25">
      <c r="A2495" s="92"/>
      <c r="B2495" s="93"/>
      <c r="C2495" s="93"/>
      <c r="D2495" s="92"/>
      <c r="E2495" s="92"/>
      <c r="F2495" s="92"/>
      <c r="G2495" s="92"/>
      <c r="H2495" s="92"/>
      <c r="I2495" s="92"/>
      <c r="J2495" s="92"/>
      <c r="K2495" s="92"/>
      <c r="L2495" s="92"/>
      <c r="M2495" s="92"/>
      <c r="N2495" s="94"/>
      <c r="AG2495" s="100"/>
      <c r="AH2495" s="101"/>
      <c r="AI2495" s="100"/>
      <c r="AJ2495" s="101"/>
      <c r="AK2495" s="100"/>
      <c r="AL2495" s="100"/>
      <c r="AM2495" s="100"/>
      <c r="AN2495" s="100"/>
      <c r="AO2495" s="100"/>
      <c r="AP2495" s="100"/>
      <c r="AQ2495" s="100"/>
      <c r="AR2495" s="100"/>
      <c r="AS2495" s="100"/>
      <c r="AT2495" s="102"/>
      <c r="AX2495" s="100"/>
      <c r="AY2495" s="101"/>
      <c r="AZ2495" s="100"/>
      <c r="BA2495" s="100"/>
      <c r="BB2495" s="100"/>
      <c r="BC2495" s="100"/>
      <c r="BD2495" s="100"/>
      <c r="BE2495" s="100"/>
      <c r="BF2495" s="100"/>
      <c r="BG2495" s="100"/>
      <c r="BH2495" s="100"/>
      <c r="BI2495" s="100"/>
      <c r="BJ2495" s="100"/>
      <c r="BK2495" s="102"/>
    </row>
    <row r="2496" spans="1:63" x14ac:dyDescent="0.25">
      <c r="A2496" s="92"/>
      <c r="B2496" s="93"/>
      <c r="C2496" s="93"/>
      <c r="D2496" s="93"/>
      <c r="E2496" s="92"/>
      <c r="F2496" s="92"/>
      <c r="G2496" s="92"/>
      <c r="H2496" s="92"/>
      <c r="I2496" s="92"/>
      <c r="J2496" s="92"/>
      <c r="K2496" s="92"/>
      <c r="L2496" s="92"/>
      <c r="M2496" s="92"/>
      <c r="N2496" s="94"/>
      <c r="AG2496" s="100"/>
      <c r="AH2496" s="101"/>
      <c r="AI2496" s="100"/>
      <c r="AJ2496" s="100"/>
      <c r="AK2496" s="100"/>
      <c r="AL2496" s="100"/>
      <c r="AM2496" s="100"/>
      <c r="AN2496" s="100"/>
      <c r="AO2496" s="100"/>
      <c r="AP2496" s="100"/>
      <c r="AQ2496" s="100"/>
      <c r="AR2496" s="100"/>
      <c r="AS2496" s="100"/>
      <c r="AT2496" s="102"/>
      <c r="AX2496" s="100"/>
      <c r="AY2496" s="101"/>
      <c r="AZ2496" s="100"/>
      <c r="BA2496" s="101"/>
      <c r="BB2496" s="100"/>
      <c r="BC2496" s="100"/>
      <c r="BD2496" s="100"/>
      <c r="BE2496" s="100"/>
      <c r="BF2496" s="100"/>
      <c r="BG2496" s="100"/>
      <c r="BH2496" s="100"/>
      <c r="BI2496" s="100"/>
      <c r="BJ2496" s="100"/>
      <c r="BK2496" s="102"/>
    </row>
    <row r="2497" spans="1:63" x14ac:dyDescent="0.25">
      <c r="A2497" s="92"/>
      <c r="B2497" s="93"/>
      <c r="C2497" s="93"/>
      <c r="D2497" s="93"/>
      <c r="E2497" s="92"/>
      <c r="F2497" s="92"/>
      <c r="G2497" s="92"/>
      <c r="H2497" s="92"/>
      <c r="I2497" s="92"/>
      <c r="J2497" s="92"/>
      <c r="K2497" s="92"/>
      <c r="L2497" s="92"/>
      <c r="M2497" s="92"/>
      <c r="N2497" s="94"/>
      <c r="AG2497" s="100"/>
      <c r="AH2497" s="101"/>
      <c r="AI2497" s="101"/>
      <c r="AJ2497" s="101"/>
      <c r="AK2497" s="100"/>
      <c r="AL2497" s="100"/>
      <c r="AM2497" s="100"/>
      <c r="AN2497" s="100"/>
      <c r="AO2497" s="100"/>
      <c r="AP2497" s="100"/>
      <c r="AQ2497" s="100"/>
      <c r="AR2497" s="100"/>
      <c r="AS2497" s="100"/>
      <c r="AT2497" s="102"/>
      <c r="AX2497" s="100"/>
      <c r="AY2497" s="101"/>
      <c r="AZ2497" s="100"/>
      <c r="BA2497" s="100"/>
      <c r="BB2497" s="100"/>
      <c r="BC2497" s="100"/>
      <c r="BD2497" s="100"/>
      <c r="BE2497" s="100"/>
      <c r="BF2497" s="100"/>
      <c r="BG2497" s="100"/>
      <c r="BH2497" s="100"/>
      <c r="BI2497" s="100"/>
      <c r="BJ2497" s="100"/>
      <c r="BK2497" s="102"/>
    </row>
    <row r="2498" spans="1:63" x14ac:dyDescent="0.25">
      <c r="A2498" s="92"/>
      <c r="B2498" s="92"/>
      <c r="C2498" s="92"/>
      <c r="D2498" s="93"/>
      <c r="E2498" s="92"/>
      <c r="F2498" s="92"/>
      <c r="G2498" s="92"/>
      <c r="H2498" s="92"/>
      <c r="I2498" s="92"/>
      <c r="J2498" s="92"/>
      <c r="K2498" s="92"/>
      <c r="L2498" s="92"/>
      <c r="M2498" s="92"/>
      <c r="N2498" s="92"/>
      <c r="AG2498" s="100"/>
      <c r="AH2498" s="101"/>
      <c r="AI2498" s="100"/>
      <c r="AJ2498" s="101"/>
      <c r="AK2498" s="100"/>
      <c r="AL2498" s="100"/>
      <c r="AM2498" s="100"/>
      <c r="AN2498" s="100"/>
      <c r="AO2498" s="100"/>
      <c r="AP2498" s="100"/>
      <c r="AQ2498" s="100"/>
      <c r="AR2498" s="100"/>
      <c r="AS2498" s="100"/>
      <c r="AT2498" s="102"/>
      <c r="AX2498" s="100"/>
      <c r="AY2498" s="101"/>
      <c r="AZ2498" s="100"/>
      <c r="BA2498" s="100"/>
      <c r="BB2498" s="100"/>
      <c r="BC2498" s="100"/>
      <c r="BD2498" s="100"/>
      <c r="BE2498" s="100"/>
      <c r="BF2498" s="100"/>
      <c r="BG2498" s="100"/>
      <c r="BH2498" s="100"/>
      <c r="BI2498" s="100"/>
      <c r="BJ2498" s="100"/>
      <c r="BK2498" s="102"/>
    </row>
    <row r="2499" spans="1:63" x14ac:dyDescent="0.25">
      <c r="A2499" s="92"/>
      <c r="B2499" s="93"/>
      <c r="C2499" s="93"/>
      <c r="D2499" s="93"/>
      <c r="E2499" s="92"/>
      <c r="F2499" s="92"/>
      <c r="G2499" s="92"/>
      <c r="H2499" s="92"/>
      <c r="I2499" s="92"/>
      <c r="J2499" s="92"/>
      <c r="K2499" s="92"/>
      <c r="L2499" s="92"/>
      <c r="M2499" s="92"/>
      <c r="N2499" s="94"/>
      <c r="AG2499" s="100"/>
      <c r="AH2499" s="101"/>
      <c r="AI2499" s="100"/>
      <c r="AJ2499" s="101"/>
      <c r="AK2499" s="100"/>
      <c r="AL2499" s="100"/>
      <c r="AM2499" s="100"/>
      <c r="AN2499" s="100"/>
      <c r="AO2499" s="100"/>
      <c r="AP2499" s="100"/>
      <c r="AQ2499" s="100"/>
      <c r="AR2499" s="100"/>
      <c r="AS2499" s="100"/>
      <c r="AT2499" s="102"/>
      <c r="AX2499" s="100"/>
      <c r="AY2499" s="101"/>
      <c r="AZ2499" s="101"/>
      <c r="BA2499" s="100"/>
      <c r="BB2499" s="100"/>
      <c r="BC2499" s="100"/>
      <c r="BD2499" s="100"/>
      <c r="BE2499" s="100"/>
      <c r="BF2499" s="100"/>
      <c r="BG2499" s="100"/>
      <c r="BH2499" s="100"/>
      <c r="BI2499" s="100"/>
      <c r="BJ2499" s="100"/>
      <c r="BK2499" s="102"/>
    </row>
    <row r="2500" spans="1:63" x14ac:dyDescent="0.25">
      <c r="A2500" s="92"/>
      <c r="B2500" s="92"/>
      <c r="C2500" s="92"/>
      <c r="D2500" s="92"/>
      <c r="E2500" s="92"/>
      <c r="F2500" s="92"/>
      <c r="G2500" s="92"/>
      <c r="H2500" s="92"/>
      <c r="I2500" s="92"/>
      <c r="J2500" s="92"/>
      <c r="K2500" s="92"/>
      <c r="L2500" s="92"/>
      <c r="M2500" s="92"/>
      <c r="N2500" s="92"/>
      <c r="AG2500" s="100"/>
      <c r="AH2500" s="101"/>
      <c r="AI2500" s="100"/>
      <c r="AJ2500" s="101"/>
      <c r="AK2500" s="100"/>
      <c r="AL2500" s="100"/>
      <c r="AM2500" s="100"/>
      <c r="AN2500" s="100"/>
      <c r="AO2500" s="100"/>
      <c r="AP2500" s="100"/>
      <c r="AQ2500" s="100"/>
      <c r="AR2500" s="100"/>
      <c r="AS2500" s="100"/>
      <c r="AT2500" s="102"/>
      <c r="AX2500" s="100"/>
      <c r="AY2500" s="101"/>
      <c r="AZ2500" s="100"/>
      <c r="BA2500" s="100"/>
      <c r="BB2500" s="100"/>
      <c r="BC2500" s="100"/>
      <c r="BD2500" s="100"/>
      <c r="BE2500" s="100"/>
      <c r="BF2500" s="100"/>
      <c r="BG2500" s="100"/>
      <c r="BH2500" s="100"/>
      <c r="BI2500" s="100"/>
      <c r="BJ2500" s="100"/>
      <c r="BK2500" s="102"/>
    </row>
    <row r="2501" spans="1:63" x14ac:dyDescent="0.25">
      <c r="A2501" s="92"/>
      <c r="B2501" s="92"/>
      <c r="C2501" s="92"/>
      <c r="D2501" s="92"/>
      <c r="E2501" s="92"/>
      <c r="F2501" s="92"/>
      <c r="G2501" s="92"/>
      <c r="H2501" s="92"/>
      <c r="I2501" s="92"/>
      <c r="J2501" s="92"/>
      <c r="K2501" s="92"/>
      <c r="L2501" s="92"/>
      <c r="M2501" s="92"/>
      <c r="N2501" s="92"/>
      <c r="AG2501" s="100"/>
      <c r="AH2501" s="101"/>
      <c r="AI2501" s="101"/>
      <c r="AJ2501" s="101"/>
      <c r="AK2501" s="100"/>
      <c r="AL2501" s="100"/>
      <c r="AM2501" s="100"/>
      <c r="AN2501" s="100"/>
      <c r="AO2501" s="100"/>
      <c r="AP2501" s="100"/>
      <c r="AQ2501" s="100"/>
      <c r="AR2501" s="100"/>
      <c r="AS2501" s="100"/>
      <c r="AT2501" s="102"/>
      <c r="AX2501" s="100"/>
      <c r="AY2501" s="101"/>
      <c r="AZ2501" s="100"/>
      <c r="BA2501" s="101"/>
      <c r="BB2501" s="100"/>
      <c r="BC2501" s="100"/>
      <c r="BD2501" s="100"/>
      <c r="BE2501" s="100"/>
      <c r="BF2501" s="100"/>
      <c r="BG2501" s="100"/>
      <c r="BH2501" s="100"/>
      <c r="BI2501" s="100"/>
      <c r="BJ2501" s="100"/>
      <c r="BK2501" s="102"/>
    </row>
    <row r="2502" spans="1:63" x14ac:dyDescent="0.25">
      <c r="A2502" s="92"/>
      <c r="B2502" s="92"/>
      <c r="C2502" s="92"/>
      <c r="D2502" s="92"/>
      <c r="E2502" s="92"/>
      <c r="F2502" s="92"/>
      <c r="G2502" s="92"/>
      <c r="H2502" s="92"/>
      <c r="I2502" s="92"/>
      <c r="J2502" s="92"/>
      <c r="K2502" s="92"/>
      <c r="L2502" s="92"/>
      <c r="M2502" s="92"/>
      <c r="N2502" s="92"/>
      <c r="AG2502" s="100"/>
      <c r="AH2502" s="101"/>
      <c r="AI2502" s="100"/>
      <c r="AJ2502" s="101"/>
      <c r="AK2502" s="100"/>
      <c r="AL2502" s="100"/>
      <c r="AM2502" s="100"/>
      <c r="AN2502" s="100"/>
      <c r="AO2502" s="100"/>
      <c r="AP2502" s="100"/>
      <c r="AQ2502" s="100"/>
      <c r="AR2502" s="100"/>
      <c r="AS2502" s="100"/>
      <c r="AT2502" s="102"/>
      <c r="AX2502" s="100"/>
      <c r="AY2502" s="101"/>
      <c r="AZ2502" s="100"/>
      <c r="BA2502" s="100"/>
      <c r="BB2502" s="100"/>
      <c r="BC2502" s="100"/>
      <c r="BD2502" s="100"/>
      <c r="BE2502" s="100"/>
      <c r="BF2502" s="100"/>
      <c r="BG2502" s="100"/>
      <c r="BH2502" s="100"/>
      <c r="BI2502" s="100"/>
      <c r="BJ2502" s="100"/>
      <c r="BK2502" s="102"/>
    </row>
    <row r="2503" spans="1:63" x14ac:dyDescent="0.25">
      <c r="A2503" s="92"/>
      <c r="B2503" s="92"/>
      <c r="C2503" s="92"/>
      <c r="D2503" s="92"/>
      <c r="E2503" s="92"/>
      <c r="F2503" s="92"/>
      <c r="G2503" s="92"/>
      <c r="H2503" s="92"/>
      <c r="I2503" s="92"/>
      <c r="J2503" s="92"/>
      <c r="K2503" s="92"/>
      <c r="L2503" s="92"/>
      <c r="M2503" s="92"/>
      <c r="N2503" s="92"/>
      <c r="AG2503" s="100"/>
      <c r="AH2503" s="101"/>
      <c r="AI2503" s="100"/>
      <c r="AJ2503" s="101"/>
      <c r="AK2503" s="100"/>
      <c r="AL2503" s="100"/>
      <c r="AM2503" s="100"/>
      <c r="AN2503" s="100"/>
      <c r="AO2503" s="100"/>
      <c r="AP2503" s="100"/>
      <c r="AQ2503" s="100"/>
      <c r="AR2503" s="100"/>
      <c r="AS2503" s="100"/>
      <c r="AT2503" s="102"/>
      <c r="AX2503" s="100"/>
      <c r="AY2503" s="101"/>
      <c r="AZ2503" s="100"/>
      <c r="BA2503" s="101"/>
      <c r="BB2503" s="100"/>
      <c r="BC2503" s="100"/>
      <c r="BD2503" s="100"/>
      <c r="BE2503" s="100"/>
      <c r="BF2503" s="100"/>
      <c r="BG2503" s="100"/>
      <c r="BH2503" s="100"/>
      <c r="BI2503" s="100"/>
      <c r="BJ2503" s="100"/>
      <c r="BK2503" s="102"/>
    </row>
    <row r="2504" spans="1:63" x14ac:dyDescent="0.25">
      <c r="A2504" s="92"/>
      <c r="B2504" s="93"/>
      <c r="C2504" s="93"/>
      <c r="D2504" s="92"/>
      <c r="E2504" s="92"/>
      <c r="F2504" s="92"/>
      <c r="G2504" s="92"/>
      <c r="H2504" s="92"/>
      <c r="I2504" s="92"/>
      <c r="J2504" s="92"/>
      <c r="K2504" s="92"/>
      <c r="L2504" s="92"/>
      <c r="M2504" s="92"/>
      <c r="N2504" s="94"/>
      <c r="AG2504" s="100"/>
      <c r="AH2504" s="101"/>
      <c r="AI2504" s="100"/>
      <c r="AJ2504" s="101"/>
      <c r="AK2504" s="100"/>
      <c r="AL2504" s="100"/>
      <c r="AM2504" s="100"/>
      <c r="AN2504" s="100"/>
      <c r="AO2504" s="100"/>
      <c r="AP2504" s="100"/>
      <c r="AQ2504" s="100"/>
      <c r="AR2504" s="100"/>
      <c r="AS2504" s="100"/>
      <c r="AT2504" s="102"/>
      <c r="AX2504" s="100"/>
      <c r="AY2504" s="101"/>
      <c r="AZ2504" s="100"/>
      <c r="BA2504" s="101"/>
      <c r="BB2504" s="100"/>
      <c r="BC2504" s="100"/>
      <c r="BD2504" s="100"/>
      <c r="BE2504" s="100"/>
      <c r="BF2504" s="100"/>
      <c r="BG2504" s="100"/>
      <c r="BH2504" s="100"/>
      <c r="BI2504" s="100"/>
      <c r="BJ2504" s="100"/>
      <c r="BK2504" s="102"/>
    </row>
    <row r="2505" spans="1:63" x14ac:dyDescent="0.25">
      <c r="A2505" s="92"/>
      <c r="B2505" s="93"/>
      <c r="C2505" s="93"/>
      <c r="D2505" s="92"/>
      <c r="E2505" s="92"/>
      <c r="F2505" s="92"/>
      <c r="G2505" s="92"/>
      <c r="H2505" s="92"/>
      <c r="I2505" s="92"/>
      <c r="J2505" s="92"/>
      <c r="K2505" s="92"/>
      <c r="L2505" s="92"/>
      <c r="M2505" s="92"/>
      <c r="N2505" s="94"/>
      <c r="AG2505" s="100"/>
      <c r="AH2505" s="101"/>
      <c r="AI2505" s="101"/>
      <c r="AJ2505" s="101"/>
      <c r="AK2505" s="100"/>
      <c r="AL2505" s="100"/>
      <c r="AM2505" s="100"/>
      <c r="AN2505" s="100"/>
      <c r="AO2505" s="100"/>
      <c r="AP2505" s="100"/>
      <c r="AQ2505" s="100"/>
      <c r="AR2505" s="100"/>
      <c r="AS2505" s="100"/>
      <c r="AT2505" s="102"/>
      <c r="AX2505" s="100"/>
      <c r="AY2505" s="101"/>
      <c r="AZ2505" s="101"/>
      <c r="BA2505" s="100"/>
      <c r="BB2505" s="100"/>
      <c r="BC2505" s="100"/>
      <c r="BD2505" s="100"/>
      <c r="BE2505" s="100"/>
      <c r="BF2505" s="100"/>
      <c r="BG2505" s="100"/>
      <c r="BH2505" s="100"/>
      <c r="BI2505" s="100"/>
      <c r="BJ2505" s="100"/>
      <c r="BK2505" s="102"/>
    </row>
    <row r="2506" spans="1:63" x14ac:dyDescent="0.25">
      <c r="A2506" s="92"/>
      <c r="B2506" s="93"/>
      <c r="C2506" s="93"/>
      <c r="D2506" s="93"/>
      <c r="E2506" s="92"/>
      <c r="F2506" s="92"/>
      <c r="G2506" s="92"/>
      <c r="H2506" s="92"/>
      <c r="I2506" s="92"/>
      <c r="J2506" s="92"/>
      <c r="K2506" s="92"/>
      <c r="L2506" s="92"/>
      <c r="M2506" s="92"/>
      <c r="N2506" s="94"/>
      <c r="AG2506" s="100"/>
      <c r="AH2506" s="101"/>
      <c r="AI2506" s="100"/>
      <c r="AJ2506" s="100"/>
      <c r="AK2506" s="100"/>
      <c r="AL2506" s="100"/>
      <c r="AM2506" s="100"/>
      <c r="AN2506" s="100"/>
      <c r="AO2506" s="100"/>
      <c r="AP2506" s="100"/>
      <c r="AQ2506" s="100"/>
      <c r="AR2506" s="100"/>
      <c r="AS2506" s="100"/>
      <c r="AT2506" s="102"/>
      <c r="AX2506" s="100"/>
      <c r="AY2506" s="101"/>
      <c r="AZ2506" s="100"/>
      <c r="BA2506" s="101"/>
      <c r="BB2506" s="100"/>
      <c r="BC2506" s="100"/>
      <c r="BD2506" s="100"/>
      <c r="BE2506" s="100"/>
      <c r="BF2506" s="100"/>
      <c r="BG2506" s="100"/>
      <c r="BH2506" s="100"/>
      <c r="BI2506" s="100"/>
      <c r="BJ2506" s="100"/>
      <c r="BK2506" s="102"/>
    </row>
    <row r="2507" spans="1:63" x14ac:dyDescent="0.25">
      <c r="A2507" s="92"/>
      <c r="B2507" s="92"/>
      <c r="C2507" s="92"/>
      <c r="D2507" s="92"/>
      <c r="E2507" s="92"/>
      <c r="F2507" s="92"/>
      <c r="G2507" s="92"/>
      <c r="H2507" s="92"/>
      <c r="I2507" s="92"/>
      <c r="J2507" s="92"/>
      <c r="K2507" s="92"/>
      <c r="L2507" s="92"/>
      <c r="M2507" s="92"/>
      <c r="N2507" s="92"/>
      <c r="AG2507" s="100"/>
      <c r="AH2507" s="101"/>
      <c r="AI2507" s="100"/>
      <c r="AJ2507" s="101"/>
      <c r="AK2507" s="100"/>
      <c r="AL2507" s="100"/>
      <c r="AM2507" s="100"/>
      <c r="AN2507" s="100"/>
      <c r="AO2507" s="100"/>
      <c r="AP2507" s="100"/>
      <c r="AQ2507" s="100"/>
      <c r="AR2507" s="100"/>
      <c r="AS2507" s="100"/>
      <c r="AT2507" s="102"/>
      <c r="AX2507" s="100"/>
      <c r="AY2507" s="101"/>
      <c r="AZ2507" s="100"/>
      <c r="BA2507" s="101"/>
      <c r="BB2507" s="100"/>
      <c r="BC2507" s="100"/>
      <c r="BD2507" s="100"/>
      <c r="BE2507" s="100"/>
      <c r="BF2507" s="100"/>
      <c r="BG2507" s="100"/>
      <c r="BH2507" s="100"/>
      <c r="BI2507" s="100"/>
      <c r="BJ2507" s="100"/>
      <c r="BK2507" s="102"/>
    </row>
    <row r="2508" spans="1:63" x14ac:dyDescent="0.25">
      <c r="A2508" s="92"/>
      <c r="B2508" s="92"/>
      <c r="C2508" s="92"/>
      <c r="D2508" s="92"/>
      <c r="E2508" s="92"/>
      <c r="F2508" s="92"/>
      <c r="G2508" s="92"/>
      <c r="H2508" s="92"/>
      <c r="I2508" s="92"/>
      <c r="J2508" s="92"/>
      <c r="K2508" s="92"/>
      <c r="L2508" s="92"/>
      <c r="M2508" s="92"/>
      <c r="N2508" s="92"/>
      <c r="AG2508" s="100"/>
      <c r="AH2508" s="101"/>
      <c r="AI2508" s="100"/>
      <c r="AJ2508" s="101"/>
      <c r="AK2508" s="100"/>
      <c r="AL2508" s="100"/>
      <c r="AM2508" s="100"/>
      <c r="AN2508" s="100"/>
      <c r="AO2508" s="100"/>
      <c r="AP2508" s="100"/>
      <c r="AQ2508" s="100"/>
      <c r="AR2508" s="100"/>
      <c r="AS2508" s="100"/>
      <c r="AT2508" s="102"/>
      <c r="AX2508" s="100"/>
      <c r="AY2508" s="101"/>
      <c r="AZ2508" s="100"/>
      <c r="BA2508" s="101"/>
      <c r="BB2508" s="100"/>
      <c r="BC2508" s="100"/>
      <c r="BD2508" s="100"/>
      <c r="BE2508" s="100"/>
      <c r="BF2508" s="100"/>
      <c r="BG2508" s="100"/>
      <c r="BH2508" s="100"/>
      <c r="BI2508" s="100"/>
      <c r="BJ2508" s="100"/>
      <c r="BK2508" s="102"/>
    </row>
    <row r="2509" spans="1:63" x14ac:dyDescent="0.25">
      <c r="A2509" s="92"/>
      <c r="B2509" s="92"/>
      <c r="C2509" s="92"/>
      <c r="D2509" s="92"/>
      <c r="E2509" s="92"/>
      <c r="F2509" s="92"/>
      <c r="G2509" s="92"/>
      <c r="H2509" s="92"/>
      <c r="I2509" s="92"/>
      <c r="J2509" s="92"/>
      <c r="K2509" s="92"/>
      <c r="L2509" s="92"/>
      <c r="M2509" s="92"/>
      <c r="N2509" s="92"/>
      <c r="AG2509" s="100"/>
      <c r="AH2509" s="101"/>
      <c r="AI2509" s="100"/>
      <c r="AJ2509" s="101"/>
      <c r="AK2509" s="100"/>
      <c r="AL2509" s="100"/>
      <c r="AM2509" s="100"/>
      <c r="AN2509" s="100"/>
      <c r="AO2509" s="100"/>
      <c r="AP2509" s="100"/>
      <c r="AQ2509" s="100"/>
      <c r="AR2509" s="100"/>
      <c r="AS2509" s="100"/>
      <c r="AT2509" s="102"/>
      <c r="AX2509" s="100"/>
      <c r="AY2509" s="101"/>
      <c r="AZ2509" s="100"/>
      <c r="BA2509" s="101"/>
      <c r="BB2509" s="100"/>
      <c r="BC2509" s="100"/>
      <c r="BD2509" s="100"/>
      <c r="BE2509" s="100"/>
      <c r="BF2509" s="100"/>
      <c r="BG2509" s="100"/>
      <c r="BH2509" s="100"/>
      <c r="BI2509" s="100"/>
      <c r="BJ2509" s="100"/>
      <c r="BK2509" s="102"/>
    </row>
    <row r="2510" spans="1:63" x14ac:dyDescent="0.25">
      <c r="A2510" s="92"/>
      <c r="B2510" s="93"/>
      <c r="C2510" s="93"/>
      <c r="D2510" s="92"/>
      <c r="E2510" s="92"/>
      <c r="F2510" s="92"/>
      <c r="G2510" s="92"/>
      <c r="H2510" s="92"/>
      <c r="I2510" s="92"/>
      <c r="J2510" s="92"/>
      <c r="K2510" s="92"/>
      <c r="L2510" s="92"/>
      <c r="M2510" s="92"/>
      <c r="N2510" s="94"/>
      <c r="AG2510" s="100"/>
      <c r="AH2510" s="101"/>
      <c r="AI2510" s="100"/>
      <c r="AJ2510" s="101"/>
      <c r="AK2510" s="100"/>
      <c r="AL2510" s="100"/>
      <c r="AM2510" s="100"/>
      <c r="AN2510" s="100"/>
      <c r="AO2510" s="100"/>
      <c r="AP2510" s="100"/>
      <c r="AQ2510" s="100"/>
      <c r="AR2510" s="100"/>
      <c r="AS2510" s="100"/>
      <c r="AT2510" s="102"/>
      <c r="AX2510" s="100"/>
      <c r="AY2510" s="101"/>
      <c r="AZ2510" s="100"/>
      <c r="BA2510" s="100"/>
      <c r="BB2510" s="100"/>
      <c r="BC2510" s="100"/>
      <c r="BD2510" s="100"/>
      <c r="BE2510" s="100"/>
      <c r="BF2510" s="100"/>
      <c r="BG2510" s="100"/>
      <c r="BH2510" s="100"/>
      <c r="BI2510" s="100"/>
      <c r="BJ2510" s="100"/>
      <c r="BK2510" s="102"/>
    </row>
    <row r="2511" spans="1:63" x14ac:dyDescent="0.25">
      <c r="A2511" s="92"/>
      <c r="B2511" s="93"/>
      <c r="C2511" s="93"/>
      <c r="D2511" s="92"/>
      <c r="E2511" s="92"/>
      <c r="F2511" s="92"/>
      <c r="G2511" s="92"/>
      <c r="H2511" s="92"/>
      <c r="I2511" s="92"/>
      <c r="J2511" s="92"/>
      <c r="K2511" s="92"/>
      <c r="L2511" s="92"/>
      <c r="M2511" s="92"/>
      <c r="N2511" s="94"/>
      <c r="AG2511" s="100"/>
      <c r="AH2511" s="101"/>
      <c r="AI2511" s="100"/>
      <c r="AJ2511" s="100"/>
      <c r="AK2511" s="100"/>
      <c r="AL2511" s="100"/>
      <c r="AM2511" s="100"/>
      <c r="AN2511" s="100"/>
      <c r="AO2511" s="100"/>
      <c r="AP2511" s="100"/>
      <c r="AQ2511" s="100"/>
      <c r="AR2511" s="100"/>
      <c r="AS2511" s="100"/>
      <c r="AT2511" s="102"/>
      <c r="AX2511" s="100"/>
      <c r="AY2511" s="101"/>
      <c r="AZ2511" s="100"/>
      <c r="BA2511" s="101"/>
      <c r="BB2511" s="100"/>
      <c r="BC2511" s="100"/>
      <c r="BD2511" s="100"/>
      <c r="BE2511" s="100"/>
      <c r="BF2511" s="100"/>
      <c r="BG2511" s="100"/>
      <c r="BH2511" s="100"/>
      <c r="BI2511" s="100"/>
      <c r="BJ2511" s="100"/>
      <c r="BK2511" s="102"/>
    </row>
    <row r="2512" spans="1:63" x14ac:dyDescent="0.25">
      <c r="A2512" s="92"/>
      <c r="B2512" s="93"/>
      <c r="C2512" s="93"/>
      <c r="D2512" s="93"/>
      <c r="E2512" s="92"/>
      <c r="F2512" s="92"/>
      <c r="G2512" s="92"/>
      <c r="H2512" s="92"/>
      <c r="I2512" s="92"/>
      <c r="J2512" s="92"/>
      <c r="K2512" s="92"/>
      <c r="L2512" s="92"/>
      <c r="M2512" s="92"/>
      <c r="N2512" s="94"/>
      <c r="AG2512" s="100"/>
      <c r="AH2512" s="101"/>
      <c r="AI2512" s="101"/>
      <c r="AJ2512" s="100"/>
      <c r="AK2512" s="100"/>
      <c r="AL2512" s="100"/>
      <c r="AM2512" s="100"/>
      <c r="AN2512" s="100"/>
      <c r="AO2512" s="100"/>
      <c r="AP2512" s="100"/>
      <c r="AQ2512" s="100"/>
      <c r="AR2512" s="100"/>
      <c r="AS2512" s="100"/>
      <c r="AT2512" s="102"/>
      <c r="AX2512" s="100"/>
      <c r="AY2512" s="101"/>
      <c r="AZ2512" s="100"/>
      <c r="BA2512" s="101"/>
      <c r="BB2512" s="100"/>
      <c r="BC2512" s="100"/>
      <c r="BD2512" s="100"/>
      <c r="BE2512" s="100"/>
      <c r="BF2512" s="100"/>
      <c r="BG2512" s="100"/>
      <c r="BH2512" s="100"/>
      <c r="BI2512" s="100"/>
      <c r="BJ2512" s="100"/>
      <c r="BK2512" s="102"/>
    </row>
    <row r="2513" spans="1:63" x14ac:dyDescent="0.25">
      <c r="A2513" s="92"/>
      <c r="B2513" s="92"/>
      <c r="C2513" s="92"/>
      <c r="D2513" s="92"/>
      <c r="E2513" s="92"/>
      <c r="F2513" s="92"/>
      <c r="G2513" s="92"/>
      <c r="H2513" s="92"/>
      <c r="I2513" s="92"/>
      <c r="J2513" s="92"/>
      <c r="K2513" s="92"/>
      <c r="L2513" s="92"/>
      <c r="M2513" s="92"/>
      <c r="N2513" s="92"/>
      <c r="AG2513" s="100"/>
      <c r="AH2513" s="101"/>
      <c r="AI2513" s="101"/>
      <c r="AJ2513" s="100"/>
      <c r="AK2513" s="100"/>
      <c r="AL2513" s="100"/>
      <c r="AM2513" s="100"/>
      <c r="AN2513" s="100"/>
      <c r="AO2513" s="100"/>
      <c r="AP2513" s="100"/>
      <c r="AQ2513" s="100"/>
      <c r="AR2513" s="100"/>
      <c r="AS2513" s="100"/>
      <c r="AT2513" s="102"/>
      <c r="AX2513" s="100"/>
      <c r="AY2513" s="101"/>
      <c r="AZ2513" s="101"/>
      <c r="BA2513" s="101"/>
      <c r="BB2513" s="100"/>
      <c r="BC2513" s="100"/>
      <c r="BD2513" s="100"/>
      <c r="BE2513" s="100"/>
      <c r="BF2513" s="100"/>
      <c r="BG2513" s="100"/>
      <c r="BH2513" s="100"/>
      <c r="BI2513" s="100"/>
      <c r="BJ2513" s="100"/>
      <c r="BK2513" s="102"/>
    </row>
    <row r="2514" spans="1:63" x14ac:dyDescent="0.25">
      <c r="A2514" s="92"/>
      <c r="B2514" s="92"/>
      <c r="C2514" s="92"/>
      <c r="D2514" s="92"/>
      <c r="E2514" s="92"/>
      <c r="F2514" s="92"/>
      <c r="G2514" s="92"/>
      <c r="H2514" s="92"/>
      <c r="I2514" s="92"/>
      <c r="J2514" s="92"/>
      <c r="K2514" s="92"/>
      <c r="L2514" s="92"/>
      <c r="M2514" s="92"/>
      <c r="N2514" s="92"/>
      <c r="AG2514" s="100"/>
      <c r="AH2514" s="101"/>
      <c r="AI2514" s="100"/>
      <c r="AJ2514" s="101"/>
      <c r="AK2514" s="100"/>
      <c r="AL2514" s="100"/>
      <c r="AM2514" s="100"/>
      <c r="AN2514" s="100"/>
      <c r="AO2514" s="100"/>
      <c r="AP2514" s="100"/>
      <c r="AQ2514" s="100"/>
      <c r="AR2514" s="100"/>
      <c r="AS2514" s="100"/>
      <c r="AT2514" s="102"/>
      <c r="AX2514" s="100"/>
      <c r="AY2514" s="101"/>
      <c r="AZ2514" s="100"/>
      <c r="BA2514" s="101"/>
      <c r="BB2514" s="100"/>
      <c r="BC2514" s="100"/>
      <c r="BD2514" s="100"/>
      <c r="BE2514" s="100"/>
      <c r="BF2514" s="100"/>
      <c r="BG2514" s="100"/>
      <c r="BH2514" s="100"/>
      <c r="BI2514" s="100"/>
      <c r="BJ2514" s="100"/>
      <c r="BK2514" s="102"/>
    </row>
    <row r="2515" spans="1:63" x14ac:dyDescent="0.25">
      <c r="A2515" s="92"/>
      <c r="B2515" s="93"/>
      <c r="C2515" s="93"/>
      <c r="D2515" s="92"/>
      <c r="E2515" s="92"/>
      <c r="F2515" s="92"/>
      <c r="G2515" s="92"/>
      <c r="H2515" s="92"/>
      <c r="I2515" s="92"/>
      <c r="J2515" s="92"/>
      <c r="K2515" s="92"/>
      <c r="L2515" s="92"/>
      <c r="M2515" s="92"/>
      <c r="N2515" s="94"/>
      <c r="AG2515" s="100"/>
      <c r="AH2515" s="101"/>
      <c r="AI2515" s="100"/>
      <c r="AJ2515" s="101"/>
      <c r="AK2515" s="100"/>
      <c r="AL2515" s="100"/>
      <c r="AM2515" s="100"/>
      <c r="AN2515" s="100"/>
      <c r="AO2515" s="100"/>
      <c r="AP2515" s="100"/>
      <c r="AQ2515" s="100"/>
      <c r="AR2515" s="100"/>
      <c r="AS2515" s="100"/>
      <c r="AT2515" s="102"/>
      <c r="AX2515" s="100"/>
      <c r="AY2515" s="101"/>
      <c r="AZ2515" s="100"/>
      <c r="BA2515" s="101"/>
      <c r="BB2515" s="100"/>
      <c r="BC2515" s="100"/>
      <c r="BD2515" s="100"/>
      <c r="BE2515" s="100"/>
      <c r="BF2515" s="100"/>
      <c r="BG2515" s="100"/>
      <c r="BH2515" s="100"/>
      <c r="BI2515" s="100"/>
      <c r="BJ2515" s="100"/>
      <c r="BK2515" s="102"/>
    </row>
    <row r="2516" spans="1:63" x14ac:dyDescent="0.25">
      <c r="A2516" s="92"/>
      <c r="B2516" s="93"/>
      <c r="C2516" s="93"/>
      <c r="D2516" s="92"/>
      <c r="E2516" s="92"/>
      <c r="F2516" s="92"/>
      <c r="G2516" s="92"/>
      <c r="H2516" s="92"/>
      <c r="I2516" s="92"/>
      <c r="J2516" s="92"/>
      <c r="K2516" s="92"/>
      <c r="L2516" s="92"/>
      <c r="M2516" s="92"/>
      <c r="N2516" s="94"/>
      <c r="AG2516" s="100"/>
      <c r="AH2516" s="101"/>
      <c r="AI2516" s="100"/>
      <c r="AJ2516" s="101"/>
      <c r="AK2516" s="100"/>
      <c r="AL2516" s="100"/>
      <c r="AM2516" s="100"/>
      <c r="AN2516" s="100"/>
      <c r="AO2516" s="100"/>
      <c r="AP2516" s="100"/>
      <c r="AQ2516" s="100"/>
      <c r="AR2516" s="100"/>
      <c r="AS2516" s="100"/>
      <c r="AT2516" s="102"/>
      <c r="AX2516" s="100"/>
      <c r="AY2516" s="101"/>
      <c r="AZ2516" s="100"/>
      <c r="BA2516" s="100"/>
      <c r="BB2516" s="100"/>
      <c r="BC2516" s="100"/>
      <c r="BD2516" s="100"/>
      <c r="BE2516" s="100"/>
      <c r="BF2516" s="100"/>
      <c r="BG2516" s="100"/>
      <c r="BH2516" s="100"/>
      <c r="BI2516" s="100"/>
      <c r="BJ2516" s="100"/>
      <c r="BK2516" s="102"/>
    </row>
    <row r="2517" spans="1:63" x14ac:dyDescent="0.25">
      <c r="A2517" s="92"/>
      <c r="B2517" s="92"/>
      <c r="C2517" s="92"/>
      <c r="D2517" s="92"/>
      <c r="E2517" s="92"/>
      <c r="F2517" s="92"/>
      <c r="G2517" s="92"/>
      <c r="H2517" s="92"/>
      <c r="I2517" s="92"/>
      <c r="J2517" s="92"/>
      <c r="K2517" s="92"/>
      <c r="L2517" s="92"/>
      <c r="M2517" s="92"/>
      <c r="N2517" s="92"/>
      <c r="AG2517" s="100"/>
      <c r="AH2517" s="101"/>
      <c r="AI2517" s="100"/>
      <c r="AJ2517" s="100"/>
      <c r="AK2517" s="100"/>
      <c r="AL2517" s="100"/>
      <c r="AM2517" s="100"/>
      <c r="AN2517" s="100"/>
      <c r="AO2517" s="100"/>
      <c r="AP2517" s="100"/>
      <c r="AQ2517" s="100"/>
      <c r="AR2517" s="100"/>
      <c r="AS2517" s="100"/>
      <c r="AT2517" s="102"/>
      <c r="AX2517" s="100"/>
      <c r="AY2517" s="101"/>
      <c r="AZ2517" s="101"/>
      <c r="BA2517" s="101"/>
      <c r="BB2517" s="100"/>
      <c r="BC2517" s="100"/>
      <c r="BD2517" s="100"/>
      <c r="BE2517" s="100"/>
      <c r="BF2517" s="100"/>
      <c r="BG2517" s="100"/>
      <c r="BH2517" s="100"/>
      <c r="BI2517" s="100"/>
      <c r="BJ2517" s="100"/>
      <c r="BK2517" s="102"/>
    </row>
    <row r="2518" spans="1:63" x14ac:dyDescent="0.25">
      <c r="A2518" s="92"/>
      <c r="B2518" s="93"/>
      <c r="C2518" s="93"/>
      <c r="D2518" s="92"/>
      <c r="E2518" s="92"/>
      <c r="F2518" s="92"/>
      <c r="G2518" s="92"/>
      <c r="H2518" s="92"/>
      <c r="I2518" s="92"/>
      <c r="J2518" s="92"/>
      <c r="K2518" s="92"/>
      <c r="L2518" s="92"/>
      <c r="M2518" s="92"/>
      <c r="N2518" s="94"/>
      <c r="AG2518" s="100"/>
      <c r="AH2518" s="101"/>
      <c r="AI2518" s="100"/>
      <c r="AJ2518" s="101"/>
      <c r="AK2518" s="100"/>
      <c r="AL2518" s="100"/>
      <c r="AM2518" s="100"/>
      <c r="AN2518" s="100"/>
      <c r="AO2518" s="100"/>
      <c r="AP2518" s="100"/>
      <c r="AQ2518" s="100"/>
      <c r="AR2518" s="100"/>
      <c r="AS2518" s="100"/>
      <c r="AT2518" s="102"/>
      <c r="AX2518" s="100"/>
      <c r="AY2518" s="101"/>
      <c r="AZ2518" s="100"/>
      <c r="BA2518" s="101"/>
      <c r="BB2518" s="100"/>
      <c r="BC2518" s="100"/>
      <c r="BD2518" s="100"/>
      <c r="BE2518" s="100"/>
      <c r="BF2518" s="100"/>
      <c r="BG2518" s="100"/>
      <c r="BH2518" s="100"/>
      <c r="BI2518" s="100"/>
      <c r="BJ2518" s="100"/>
      <c r="BK2518" s="102"/>
    </row>
    <row r="2519" spans="1:63" x14ac:dyDescent="0.25">
      <c r="A2519" s="92"/>
      <c r="B2519" s="93"/>
      <c r="C2519" s="93"/>
      <c r="D2519" s="93"/>
      <c r="E2519" s="92"/>
      <c r="F2519" s="92"/>
      <c r="G2519" s="92"/>
      <c r="H2519" s="92"/>
      <c r="I2519" s="92"/>
      <c r="J2519" s="92"/>
      <c r="K2519" s="92"/>
      <c r="L2519" s="92"/>
      <c r="M2519" s="92"/>
      <c r="N2519" s="94"/>
      <c r="AG2519" s="100"/>
      <c r="AH2519" s="101"/>
      <c r="AI2519" s="100"/>
      <c r="AJ2519" s="100"/>
      <c r="AK2519" s="100"/>
      <c r="AL2519" s="100"/>
      <c r="AM2519" s="100"/>
      <c r="AN2519" s="100"/>
      <c r="AO2519" s="100"/>
      <c r="AP2519" s="100"/>
      <c r="AQ2519" s="100"/>
      <c r="AR2519" s="100"/>
      <c r="AS2519" s="100"/>
      <c r="AT2519" s="102"/>
      <c r="AX2519" s="100"/>
      <c r="AY2519" s="101"/>
      <c r="AZ2519" s="100"/>
      <c r="BA2519" s="101"/>
      <c r="BB2519" s="100"/>
      <c r="BC2519" s="100"/>
      <c r="BD2519" s="100"/>
      <c r="BE2519" s="100"/>
      <c r="BF2519" s="100"/>
      <c r="BG2519" s="100"/>
      <c r="BH2519" s="100"/>
      <c r="BI2519" s="100"/>
      <c r="BJ2519" s="100"/>
      <c r="BK2519" s="102"/>
    </row>
    <row r="2520" spans="1:63" x14ac:dyDescent="0.25">
      <c r="A2520" s="92"/>
      <c r="B2520" s="93"/>
      <c r="C2520" s="93"/>
      <c r="D2520" s="92"/>
      <c r="E2520" s="92"/>
      <c r="F2520" s="92"/>
      <c r="G2520" s="92"/>
      <c r="H2520" s="92"/>
      <c r="I2520" s="92"/>
      <c r="J2520" s="92"/>
      <c r="K2520" s="92"/>
      <c r="L2520" s="92"/>
      <c r="M2520" s="92"/>
      <c r="N2520" s="94"/>
      <c r="AG2520" s="100"/>
      <c r="AH2520" s="101"/>
      <c r="AI2520" s="100"/>
      <c r="AJ2520" s="101"/>
      <c r="AK2520" s="100"/>
      <c r="AL2520" s="100"/>
      <c r="AM2520" s="100"/>
      <c r="AN2520" s="100"/>
      <c r="AO2520" s="100"/>
      <c r="AP2520" s="100"/>
      <c r="AQ2520" s="100"/>
      <c r="AR2520" s="100"/>
      <c r="AS2520" s="100"/>
      <c r="AT2520" s="102"/>
      <c r="AX2520" s="100"/>
      <c r="AY2520" s="101"/>
      <c r="AZ2520" s="100"/>
      <c r="BA2520" s="101"/>
      <c r="BB2520" s="100"/>
      <c r="BC2520" s="100"/>
      <c r="BD2520" s="100"/>
      <c r="BE2520" s="100"/>
      <c r="BF2520" s="100"/>
      <c r="BG2520" s="100"/>
      <c r="BH2520" s="100"/>
      <c r="BI2520" s="100"/>
      <c r="BJ2520" s="100"/>
      <c r="BK2520" s="102"/>
    </row>
    <row r="2521" spans="1:63" x14ac:dyDescent="0.25">
      <c r="A2521" s="92"/>
      <c r="B2521" s="93"/>
      <c r="C2521" s="93"/>
      <c r="D2521" s="93"/>
      <c r="E2521" s="92"/>
      <c r="F2521" s="92"/>
      <c r="G2521" s="92"/>
      <c r="H2521" s="92"/>
      <c r="I2521" s="92"/>
      <c r="J2521" s="92"/>
      <c r="K2521" s="92"/>
      <c r="L2521" s="92"/>
      <c r="M2521" s="92"/>
      <c r="N2521" s="94"/>
      <c r="AG2521" s="100"/>
      <c r="AH2521" s="101"/>
      <c r="AI2521" s="100"/>
      <c r="AJ2521" s="100"/>
      <c r="AK2521" s="100"/>
      <c r="AL2521" s="100"/>
      <c r="AM2521" s="100"/>
      <c r="AN2521" s="100"/>
      <c r="AO2521" s="100"/>
      <c r="AP2521" s="100"/>
      <c r="AQ2521" s="100"/>
      <c r="AR2521" s="100"/>
      <c r="AS2521" s="100"/>
      <c r="AT2521" s="102"/>
      <c r="AX2521" s="100"/>
      <c r="AY2521" s="101"/>
      <c r="AZ2521" s="101"/>
      <c r="BA2521" s="101"/>
      <c r="BB2521" s="100"/>
      <c r="BC2521" s="100"/>
      <c r="BD2521" s="100"/>
      <c r="BE2521" s="100"/>
      <c r="BF2521" s="100"/>
      <c r="BG2521" s="100"/>
      <c r="BH2521" s="100"/>
      <c r="BI2521" s="100"/>
      <c r="BJ2521" s="100"/>
      <c r="BK2521" s="102"/>
    </row>
    <row r="2522" spans="1:63" x14ac:dyDescent="0.25">
      <c r="A2522" s="92"/>
      <c r="B2522" s="93"/>
      <c r="C2522" s="93"/>
      <c r="D2522" s="92"/>
      <c r="E2522" s="92"/>
      <c r="F2522" s="92"/>
      <c r="G2522" s="92"/>
      <c r="H2522" s="92"/>
      <c r="I2522" s="92"/>
      <c r="J2522" s="92"/>
      <c r="K2522" s="92"/>
      <c r="L2522" s="92"/>
      <c r="M2522" s="92"/>
      <c r="N2522" s="94"/>
      <c r="AG2522" s="100"/>
      <c r="AH2522" s="101"/>
      <c r="AI2522" s="100"/>
      <c r="AJ2522" s="101"/>
      <c r="AK2522" s="100"/>
      <c r="AL2522" s="100"/>
      <c r="AM2522" s="100"/>
      <c r="AN2522" s="100"/>
      <c r="AO2522" s="100"/>
      <c r="AP2522" s="100"/>
      <c r="AQ2522" s="100"/>
      <c r="AR2522" s="100"/>
      <c r="AS2522" s="100"/>
      <c r="AT2522" s="102"/>
      <c r="AX2522" s="100"/>
      <c r="AY2522" s="101"/>
      <c r="AZ2522" s="100"/>
      <c r="BA2522" s="101"/>
      <c r="BB2522" s="100"/>
      <c r="BC2522" s="100"/>
      <c r="BD2522" s="100"/>
      <c r="BE2522" s="100"/>
      <c r="BF2522" s="100"/>
      <c r="BG2522" s="100"/>
      <c r="BH2522" s="100"/>
      <c r="BI2522" s="100"/>
      <c r="BJ2522" s="100"/>
      <c r="BK2522" s="102"/>
    </row>
    <row r="2523" spans="1:63" x14ac:dyDescent="0.25">
      <c r="A2523" s="92"/>
      <c r="B2523" s="93"/>
      <c r="C2523" s="93"/>
      <c r="D2523" s="92"/>
      <c r="E2523" s="92"/>
      <c r="F2523" s="92"/>
      <c r="G2523" s="92"/>
      <c r="H2523" s="92"/>
      <c r="I2523" s="92"/>
      <c r="J2523" s="92"/>
      <c r="K2523" s="92"/>
      <c r="L2523" s="92"/>
      <c r="M2523" s="92"/>
      <c r="N2523" s="94"/>
      <c r="AG2523" s="100"/>
      <c r="AH2523" s="101"/>
      <c r="AI2523" s="100"/>
      <c r="AJ2523" s="100"/>
      <c r="AK2523" s="100"/>
      <c r="AL2523" s="100"/>
      <c r="AM2523" s="100"/>
      <c r="AN2523" s="100"/>
      <c r="AO2523" s="100"/>
      <c r="AP2523" s="100"/>
      <c r="AQ2523" s="100"/>
      <c r="AR2523" s="100"/>
      <c r="AS2523" s="100"/>
      <c r="AT2523" s="102"/>
      <c r="AX2523" s="100"/>
      <c r="AY2523" s="101"/>
      <c r="AZ2523" s="100"/>
      <c r="BA2523" s="101"/>
      <c r="BB2523" s="100"/>
      <c r="BC2523" s="100"/>
      <c r="BD2523" s="100"/>
      <c r="BE2523" s="100"/>
      <c r="BF2523" s="100"/>
      <c r="BG2523" s="100"/>
      <c r="BH2523" s="100"/>
      <c r="BI2523" s="100"/>
      <c r="BJ2523" s="100"/>
      <c r="BK2523" s="102"/>
    </row>
    <row r="2524" spans="1:63" x14ac:dyDescent="0.25">
      <c r="A2524" s="92"/>
      <c r="B2524" s="93"/>
      <c r="C2524" s="93"/>
      <c r="D2524" s="92"/>
      <c r="E2524" s="92"/>
      <c r="F2524" s="92"/>
      <c r="G2524" s="92"/>
      <c r="H2524" s="92"/>
      <c r="I2524" s="92"/>
      <c r="J2524" s="92"/>
      <c r="K2524" s="92"/>
      <c r="L2524" s="92"/>
      <c r="M2524" s="92"/>
      <c r="N2524" s="94"/>
      <c r="AG2524" s="100"/>
      <c r="AH2524" s="101"/>
      <c r="AI2524" s="100"/>
      <c r="AJ2524" s="101"/>
      <c r="AK2524" s="100"/>
      <c r="AL2524" s="100"/>
      <c r="AM2524" s="100"/>
      <c r="AN2524" s="100"/>
      <c r="AO2524" s="100"/>
      <c r="AP2524" s="100"/>
      <c r="AQ2524" s="100"/>
      <c r="AR2524" s="100"/>
      <c r="AS2524" s="100"/>
      <c r="AT2524" s="102"/>
      <c r="AX2524" s="100"/>
      <c r="AY2524" s="101"/>
      <c r="AZ2524" s="100"/>
      <c r="BA2524" s="101"/>
      <c r="BB2524" s="100"/>
      <c r="BC2524" s="100"/>
      <c r="BD2524" s="100"/>
      <c r="BE2524" s="100"/>
      <c r="BF2524" s="100"/>
      <c r="BG2524" s="100"/>
      <c r="BH2524" s="100"/>
      <c r="BI2524" s="100"/>
      <c r="BJ2524" s="100"/>
      <c r="BK2524" s="102"/>
    </row>
    <row r="2525" spans="1:63" x14ac:dyDescent="0.25">
      <c r="A2525" s="92"/>
      <c r="B2525" s="93"/>
      <c r="C2525" s="93"/>
      <c r="D2525" s="92"/>
      <c r="E2525" s="92"/>
      <c r="F2525" s="92"/>
      <c r="G2525" s="92"/>
      <c r="H2525" s="92"/>
      <c r="I2525" s="92"/>
      <c r="J2525" s="92"/>
      <c r="K2525" s="92"/>
      <c r="L2525" s="92"/>
      <c r="M2525" s="92"/>
      <c r="N2525" s="94"/>
      <c r="AG2525" s="100"/>
      <c r="AH2525" s="101"/>
      <c r="AI2525" s="100"/>
      <c r="AJ2525" s="100"/>
      <c r="AK2525" s="100"/>
      <c r="AL2525" s="100"/>
      <c r="AM2525" s="100"/>
      <c r="AN2525" s="100"/>
      <c r="AO2525" s="100"/>
      <c r="AP2525" s="100"/>
      <c r="AQ2525" s="100"/>
      <c r="AR2525" s="100"/>
      <c r="AS2525" s="100"/>
      <c r="AT2525" s="102"/>
      <c r="AX2525" s="100"/>
      <c r="AY2525" s="101"/>
      <c r="AZ2525" s="101"/>
      <c r="BA2525" s="101"/>
      <c r="BB2525" s="100"/>
      <c r="BC2525" s="100"/>
      <c r="BD2525" s="100"/>
      <c r="BE2525" s="100"/>
      <c r="BF2525" s="100"/>
      <c r="BG2525" s="100"/>
      <c r="BH2525" s="100"/>
      <c r="BI2525" s="100"/>
      <c r="BJ2525" s="100"/>
      <c r="BK2525" s="102"/>
    </row>
    <row r="2526" spans="1:63" x14ac:dyDescent="0.25">
      <c r="A2526" s="92"/>
      <c r="B2526" s="93"/>
      <c r="C2526" s="93"/>
      <c r="D2526" s="92"/>
      <c r="E2526" s="92"/>
      <c r="F2526" s="92"/>
      <c r="G2526" s="92"/>
      <c r="H2526" s="92"/>
      <c r="I2526" s="92"/>
      <c r="J2526" s="92"/>
      <c r="K2526" s="92"/>
      <c r="L2526" s="92"/>
      <c r="M2526" s="92"/>
      <c r="N2526" s="94"/>
      <c r="AG2526" s="100"/>
      <c r="AH2526" s="101"/>
      <c r="AI2526" s="101"/>
      <c r="AJ2526" s="100"/>
      <c r="AK2526" s="100"/>
      <c r="AL2526" s="100"/>
      <c r="AM2526" s="100"/>
      <c r="AN2526" s="100"/>
      <c r="AO2526" s="100"/>
      <c r="AP2526" s="100"/>
      <c r="AQ2526" s="100"/>
      <c r="AR2526" s="100"/>
      <c r="AS2526" s="100"/>
      <c r="AT2526" s="102"/>
      <c r="AX2526" s="100"/>
      <c r="AY2526" s="101"/>
      <c r="AZ2526" s="100"/>
      <c r="BA2526" s="100"/>
      <c r="BB2526" s="100"/>
      <c r="BC2526" s="100"/>
      <c r="BD2526" s="100"/>
      <c r="BE2526" s="100"/>
      <c r="BF2526" s="100"/>
      <c r="BG2526" s="100"/>
      <c r="BH2526" s="100"/>
      <c r="BI2526" s="100"/>
      <c r="BJ2526" s="100"/>
      <c r="BK2526" s="102"/>
    </row>
    <row r="2527" spans="1:63" x14ac:dyDescent="0.25">
      <c r="A2527" s="92"/>
      <c r="B2527" s="92"/>
      <c r="C2527" s="92"/>
      <c r="D2527" s="92"/>
      <c r="E2527" s="92"/>
      <c r="F2527" s="92"/>
      <c r="G2527" s="92"/>
      <c r="H2527" s="92"/>
      <c r="I2527" s="92"/>
      <c r="J2527" s="92"/>
      <c r="K2527" s="92"/>
      <c r="L2527" s="92"/>
      <c r="M2527" s="92"/>
      <c r="N2527" s="92"/>
      <c r="AG2527" s="100"/>
      <c r="AH2527" s="101"/>
      <c r="AI2527" s="101"/>
      <c r="AJ2527" s="100"/>
      <c r="AK2527" s="100"/>
      <c r="AL2527" s="100"/>
      <c r="AM2527" s="100"/>
      <c r="AN2527" s="100"/>
      <c r="AO2527" s="100"/>
      <c r="AP2527" s="100"/>
      <c r="AQ2527" s="100"/>
      <c r="AR2527" s="100"/>
      <c r="AS2527" s="100"/>
      <c r="AT2527" s="102"/>
      <c r="AX2527" s="100"/>
      <c r="AY2527" s="101"/>
      <c r="AZ2527" s="100"/>
      <c r="BA2527" s="101"/>
      <c r="BB2527" s="100"/>
      <c r="BC2527" s="100"/>
      <c r="BD2527" s="100"/>
      <c r="BE2527" s="100"/>
      <c r="BF2527" s="100"/>
      <c r="BG2527" s="100"/>
      <c r="BH2527" s="100"/>
      <c r="BI2527" s="100"/>
      <c r="BJ2527" s="100"/>
      <c r="BK2527" s="102"/>
    </row>
    <row r="2528" spans="1:63" x14ac:dyDescent="0.25">
      <c r="A2528" s="92"/>
      <c r="B2528" s="93"/>
      <c r="C2528" s="93"/>
      <c r="D2528" s="92"/>
      <c r="E2528" s="92"/>
      <c r="F2528" s="92"/>
      <c r="G2528" s="92"/>
      <c r="H2528" s="92"/>
      <c r="I2528" s="92"/>
      <c r="J2528" s="92"/>
      <c r="K2528" s="92"/>
      <c r="L2528" s="92"/>
      <c r="M2528" s="92"/>
      <c r="N2528" s="94"/>
      <c r="AG2528" s="100"/>
      <c r="AH2528" s="101"/>
      <c r="AI2528" s="100"/>
      <c r="AJ2528" s="101"/>
      <c r="AK2528" s="100"/>
      <c r="AL2528" s="100"/>
      <c r="AM2528" s="100"/>
      <c r="AN2528" s="100"/>
      <c r="AO2528" s="100"/>
      <c r="AP2528" s="100"/>
      <c r="AQ2528" s="100"/>
      <c r="AR2528" s="100"/>
      <c r="AS2528" s="100"/>
      <c r="AT2528" s="102"/>
      <c r="AX2528" s="100"/>
      <c r="AY2528" s="101"/>
      <c r="AZ2528" s="100"/>
      <c r="BA2528" s="101"/>
      <c r="BB2528" s="100"/>
      <c r="BC2528" s="100"/>
      <c r="BD2528" s="100"/>
      <c r="BE2528" s="100"/>
      <c r="BF2528" s="100"/>
      <c r="BG2528" s="100"/>
      <c r="BH2528" s="100"/>
      <c r="BI2528" s="100"/>
      <c r="BJ2528" s="100"/>
      <c r="BK2528" s="102"/>
    </row>
    <row r="2529" spans="1:63" x14ac:dyDescent="0.25">
      <c r="A2529" s="92"/>
      <c r="B2529" s="93"/>
      <c r="C2529" s="93"/>
      <c r="D2529" s="93"/>
      <c r="E2529" s="92"/>
      <c r="F2529" s="92"/>
      <c r="G2529" s="92"/>
      <c r="H2529" s="92"/>
      <c r="I2529" s="92"/>
      <c r="J2529" s="92"/>
      <c r="K2529" s="92"/>
      <c r="L2529" s="92"/>
      <c r="M2529" s="92"/>
      <c r="N2529" s="94"/>
      <c r="AG2529" s="100"/>
      <c r="AH2529" s="101"/>
      <c r="AI2529" s="100"/>
      <c r="AJ2529" s="101"/>
      <c r="AK2529" s="100"/>
      <c r="AL2529" s="100"/>
      <c r="AM2529" s="100"/>
      <c r="AN2529" s="100"/>
      <c r="AO2529" s="100"/>
      <c r="AP2529" s="100"/>
      <c r="AQ2529" s="100"/>
      <c r="AR2529" s="100"/>
      <c r="AS2529" s="100"/>
      <c r="AT2529" s="102"/>
      <c r="AX2529" s="100"/>
      <c r="AY2529" s="101"/>
      <c r="AZ2529" s="100"/>
      <c r="BA2529" s="101"/>
      <c r="BB2529" s="100"/>
      <c r="BC2529" s="100"/>
      <c r="BD2529" s="100"/>
      <c r="BE2529" s="100"/>
      <c r="BF2529" s="100"/>
      <c r="BG2529" s="100"/>
      <c r="BH2529" s="100"/>
      <c r="BI2529" s="100"/>
      <c r="BJ2529" s="100"/>
      <c r="BK2529" s="102"/>
    </row>
    <row r="2530" spans="1:63" x14ac:dyDescent="0.25">
      <c r="A2530" s="92"/>
      <c r="B2530" s="92"/>
      <c r="C2530" s="92"/>
      <c r="D2530" s="92"/>
      <c r="E2530" s="92"/>
      <c r="F2530" s="92"/>
      <c r="G2530" s="92"/>
      <c r="H2530" s="92"/>
      <c r="I2530" s="92"/>
      <c r="J2530" s="92"/>
      <c r="K2530" s="92"/>
      <c r="L2530" s="92"/>
      <c r="M2530" s="92"/>
      <c r="N2530" s="92"/>
      <c r="AG2530" s="100"/>
      <c r="AH2530" s="101"/>
      <c r="AI2530" s="100"/>
      <c r="AJ2530" s="101"/>
      <c r="AK2530" s="100"/>
      <c r="AL2530" s="100"/>
      <c r="AM2530" s="100"/>
      <c r="AN2530" s="100"/>
      <c r="AO2530" s="100"/>
      <c r="AP2530" s="100"/>
      <c r="AQ2530" s="100"/>
      <c r="AR2530" s="100"/>
      <c r="AS2530" s="100"/>
      <c r="AT2530" s="102"/>
      <c r="AX2530" s="100"/>
      <c r="AY2530" s="101"/>
      <c r="AZ2530" s="100"/>
      <c r="BA2530" s="101"/>
      <c r="BB2530" s="100"/>
      <c r="BC2530" s="100"/>
      <c r="BD2530" s="100"/>
      <c r="BE2530" s="100"/>
      <c r="BF2530" s="100"/>
      <c r="BG2530" s="100"/>
      <c r="BH2530" s="100"/>
      <c r="BI2530" s="100"/>
      <c r="BJ2530" s="100"/>
      <c r="BK2530" s="102"/>
    </row>
    <row r="2531" spans="1:63" x14ac:dyDescent="0.25">
      <c r="A2531" s="92"/>
      <c r="B2531" s="92"/>
      <c r="C2531" s="92"/>
      <c r="D2531" s="92"/>
      <c r="E2531" s="92"/>
      <c r="F2531" s="92"/>
      <c r="G2531" s="92"/>
      <c r="H2531" s="92"/>
      <c r="I2531" s="92"/>
      <c r="J2531" s="92"/>
      <c r="K2531" s="92"/>
      <c r="L2531" s="92"/>
      <c r="M2531" s="92"/>
      <c r="N2531" s="92"/>
      <c r="AG2531" s="100"/>
      <c r="AH2531" s="101"/>
      <c r="AI2531" s="100"/>
      <c r="AJ2531" s="101"/>
      <c r="AK2531" s="100"/>
      <c r="AL2531" s="100"/>
      <c r="AM2531" s="100"/>
      <c r="AN2531" s="100"/>
      <c r="AO2531" s="100"/>
      <c r="AP2531" s="100"/>
      <c r="AQ2531" s="100"/>
      <c r="AR2531" s="100"/>
      <c r="AS2531" s="100"/>
      <c r="AT2531" s="102"/>
      <c r="AX2531" s="100"/>
      <c r="AY2531" s="101"/>
      <c r="AZ2531" s="100"/>
      <c r="BA2531" s="100"/>
      <c r="BB2531" s="100"/>
      <c r="BC2531" s="100"/>
      <c r="BD2531" s="100"/>
      <c r="BE2531" s="100"/>
      <c r="BF2531" s="100"/>
      <c r="BG2531" s="100"/>
      <c r="BH2531" s="100"/>
      <c r="BI2531" s="100"/>
      <c r="BJ2531" s="100"/>
      <c r="BK2531" s="102"/>
    </row>
    <row r="2532" spans="1:63" x14ac:dyDescent="0.25">
      <c r="A2532" s="92"/>
      <c r="B2532" s="92"/>
      <c r="C2532" s="92"/>
      <c r="D2532" s="92"/>
      <c r="E2532" s="92"/>
      <c r="F2532" s="92"/>
      <c r="G2532" s="92"/>
      <c r="H2532" s="92"/>
      <c r="I2532" s="92"/>
      <c r="J2532" s="92"/>
      <c r="K2532" s="92"/>
      <c r="L2532" s="92"/>
      <c r="M2532" s="92"/>
      <c r="N2532" s="92"/>
      <c r="AG2532" s="100"/>
      <c r="AH2532" s="101"/>
      <c r="AI2532" s="100"/>
      <c r="AJ2532" s="101"/>
      <c r="AK2532" s="100"/>
      <c r="AL2532" s="100"/>
      <c r="AM2532" s="100"/>
      <c r="AN2532" s="100"/>
      <c r="AO2532" s="100"/>
      <c r="AP2532" s="100"/>
      <c r="AQ2532" s="100"/>
      <c r="AR2532" s="100"/>
      <c r="AS2532" s="100"/>
      <c r="AT2532" s="102"/>
      <c r="AX2532" s="100"/>
      <c r="AY2532" s="101"/>
      <c r="AZ2532" s="101"/>
      <c r="BA2532" s="100"/>
      <c r="BB2532" s="100"/>
      <c r="BC2532" s="100"/>
      <c r="BD2532" s="100"/>
      <c r="BE2532" s="100"/>
      <c r="BF2532" s="100"/>
      <c r="BG2532" s="100"/>
      <c r="BH2532" s="100"/>
      <c r="BI2532" s="100"/>
      <c r="BJ2532" s="100"/>
      <c r="BK2532" s="102"/>
    </row>
    <row r="2533" spans="1:63" x14ac:dyDescent="0.25">
      <c r="A2533" s="92"/>
      <c r="B2533" s="93"/>
      <c r="C2533" s="93"/>
      <c r="D2533" s="92"/>
      <c r="E2533" s="92"/>
      <c r="F2533" s="92"/>
      <c r="G2533" s="92"/>
      <c r="H2533" s="92"/>
      <c r="I2533" s="92"/>
      <c r="J2533" s="92"/>
      <c r="K2533" s="92"/>
      <c r="L2533" s="92"/>
      <c r="M2533" s="92"/>
      <c r="N2533" s="94"/>
      <c r="AG2533" s="100"/>
      <c r="AH2533" s="101"/>
      <c r="AI2533" s="100"/>
      <c r="AJ2533" s="101"/>
      <c r="AK2533" s="100"/>
      <c r="AL2533" s="100"/>
      <c r="AM2533" s="100"/>
      <c r="AN2533" s="100"/>
      <c r="AO2533" s="100"/>
      <c r="AP2533" s="100"/>
      <c r="AQ2533" s="100"/>
      <c r="AR2533" s="100"/>
      <c r="AS2533" s="100"/>
      <c r="AT2533" s="102"/>
      <c r="AX2533" s="100"/>
      <c r="AY2533" s="101"/>
      <c r="AZ2533" s="101"/>
      <c r="BA2533" s="100"/>
      <c r="BB2533" s="100"/>
      <c r="BC2533" s="100"/>
      <c r="BD2533" s="100"/>
      <c r="BE2533" s="100"/>
      <c r="BF2533" s="100"/>
      <c r="BG2533" s="100"/>
      <c r="BH2533" s="100"/>
      <c r="BI2533" s="100"/>
      <c r="BJ2533" s="100"/>
      <c r="BK2533" s="102"/>
    </row>
    <row r="2534" spans="1:63" x14ac:dyDescent="0.25">
      <c r="A2534" s="92"/>
      <c r="B2534" s="92"/>
      <c r="C2534" s="92"/>
      <c r="D2534" s="92"/>
      <c r="E2534" s="92"/>
      <c r="F2534" s="92"/>
      <c r="G2534" s="92"/>
      <c r="H2534" s="92"/>
      <c r="I2534" s="92"/>
      <c r="J2534" s="92"/>
      <c r="K2534" s="92"/>
      <c r="L2534" s="92"/>
      <c r="M2534" s="92"/>
      <c r="N2534" s="92"/>
      <c r="AG2534" s="100"/>
      <c r="AH2534" s="101"/>
      <c r="AI2534" s="100"/>
      <c r="AJ2534" s="101"/>
      <c r="AK2534" s="100"/>
      <c r="AL2534" s="100"/>
      <c r="AM2534" s="100"/>
      <c r="AN2534" s="100"/>
      <c r="AO2534" s="100"/>
      <c r="AP2534" s="100"/>
      <c r="AQ2534" s="100"/>
      <c r="AR2534" s="100"/>
      <c r="AS2534" s="100"/>
      <c r="AT2534" s="102"/>
      <c r="AX2534" s="100"/>
      <c r="AY2534" s="101"/>
      <c r="AZ2534" s="100"/>
      <c r="BA2534" s="101"/>
      <c r="BB2534" s="100"/>
      <c r="BC2534" s="100"/>
      <c r="BD2534" s="100"/>
      <c r="BE2534" s="100"/>
      <c r="BF2534" s="100"/>
      <c r="BG2534" s="100"/>
      <c r="BH2534" s="100"/>
      <c r="BI2534" s="100"/>
      <c r="BJ2534" s="100"/>
      <c r="BK2534" s="102"/>
    </row>
    <row r="2535" spans="1:63" x14ac:dyDescent="0.25">
      <c r="A2535" s="92"/>
      <c r="B2535" s="92"/>
      <c r="C2535" s="92"/>
      <c r="D2535" s="92"/>
      <c r="E2535" s="92"/>
      <c r="F2535" s="92"/>
      <c r="G2535" s="92"/>
      <c r="H2535" s="92"/>
      <c r="I2535" s="92"/>
      <c r="J2535" s="92"/>
      <c r="K2535" s="92"/>
      <c r="L2535" s="92"/>
      <c r="M2535" s="92"/>
      <c r="N2535" s="92"/>
      <c r="AG2535" s="100"/>
      <c r="AH2535" s="101"/>
      <c r="AI2535" s="100"/>
      <c r="AJ2535" s="101"/>
      <c r="AK2535" s="100"/>
      <c r="AL2535" s="100"/>
      <c r="AM2535" s="100"/>
      <c r="AN2535" s="100"/>
      <c r="AO2535" s="100"/>
      <c r="AP2535" s="100"/>
      <c r="AQ2535" s="100"/>
      <c r="AR2535" s="100"/>
      <c r="AS2535" s="100"/>
      <c r="AT2535" s="102"/>
      <c r="AX2535" s="100"/>
      <c r="AY2535" s="101"/>
      <c r="AZ2535" s="100"/>
      <c r="BA2535" s="101"/>
      <c r="BB2535" s="100"/>
      <c r="BC2535" s="100"/>
      <c r="BD2535" s="100"/>
      <c r="BE2535" s="100"/>
      <c r="BF2535" s="100"/>
      <c r="BG2535" s="100"/>
      <c r="BH2535" s="100"/>
      <c r="BI2535" s="100"/>
      <c r="BJ2535" s="100"/>
      <c r="BK2535" s="102"/>
    </row>
    <row r="2536" spans="1:63" x14ac:dyDescent="0.25">
      <c r="A2536" s="92"/>
      <c r="B2536" s="93"/>
      <c r="C2536" s="93"/>
      <c r="D2536" s="92"/>
      <c r="E2536" s="92"/>
      <c r="F2536" s="92"/>
      <c r="G2536" s="92"/>
      <c r="H2536" s="92"/>
      <c r="I2536" s="92"/>
      <c r="J2536" s="92"/>
      <c r="K2536" s="92"/>
      <c r="L2536" s="92"/>
      <c r="M2536" s="92"/>
      <c r="N2536" s="94"/>
      <c r="AG2536" s="100"/>
      <c r="AH2536" s="101"/>
      <c r="AI2536" s="100"/>
      <c r="AJ2536" s="101"/>
      <c r="AK2536" s="100"/>
      <c r="AL2536" s="100"/>
      <c r="AM2536" s="100"/>
      <c r="AN2536" s="100"/>
      <c r="AO2536" s="100"/>
      <c r="AP2536" s="100"/>
      <c r="AQ2536" s="100"/>
      <c r="AR2536" s="100"/>
      <c r="AS2536" s="100"/>
      <c r="AT2536" s="102"/>
      <c r="AX2536" s="100"/>
      <c r="AY2536" s="101"/>
      <c r="AZ2536" s="100"/>
      <c r="BA2536" s="101"/>
      <c r="BB2536" s="100"/>
      <c r="BC2536" s="100"/>
      <c r="BD2536" s="100"/>
      <c r="BE2536" s="100"/>
      <c r="BF2536" s="100"/>
      <c r="BG2536" s="100"/>
      <c r="BH2536" s="100"/>
      <c r="BI2536" s="100"/>
      <c r="BJ2536" s="100"/>
      <c r="BK2536" s="102"/>
    </row>
    <row r="2537" spans="1:63" x14ac:dyDescent="0.25">
      <c r="A2537" s="92"/>
      <c r="B2537" s="93"/>
      <c r="C2537" s="93"/>
      <c r="D2537" s="92"/>
      <c r="E2537" s="92"/>
      <c r="F2537" s="92"/>
      <c r="G2537" s="92"/>
      <c r="H2537" s="92"/>
      <c r="I2537" s="92"/>
      <c r="J2537" s="92"/>
      <c r="K2537" s="92"/>
      <c r="L2537" s="92"/>
      <c r="M2537" s="92"/>
      <c r="N2537" s="94"/>
      <c r="AG2537" s="100"/>
      <c r="AH2537" s="101"/>
      <c r="AI2537" s="100"/>
      <c r="AJ2537" s="101"/>
      <c r="AK2537" s="100"/>
      <c r="AL2537" s="100"/>
      <c r="AM2537" s="100"/>
      <c r="AN2537" s="100"/>
      <c r="AO2537" s="100"/>
      <c r="AP2537" s="100"/>
      <c r="AQ2537" s="100"/>
      <c r="AR2537" s="100"/>
      <c r="AS2537" s="100"/>
      <c r="AT2537" s="102"/>
      <c r="AX2537" s="100"/>
      <c r="AY2537" s="101"/>
      <c r="AZ2537" s="100"/>
      <c r="BA2537" s="100"/>
      <c r="BB2537" s="100"/>
      <c r="BC2537" s="100"/>
      <c r="BD2537" s="100"/>
      <c r="BE2537" s="100"/>
      <c r="BF2537" s="100"/>
      <c r="BG2537" s="100"/>
      <c r="BH2537" s="100"/>
      <c r="BI2537" s="100"/>
      <c r="BJ2537" s="100"/>
      <c r="BK2537" s="102"/>
    </row>
    <row r="2538" spans="1:63" x14ac:dyDescent="0.25">
      <c r="A2538" s="92"/>
      <c r="B2538" s="93"/>
      <c r="C2538" s="93"/>
      <c r="D2538" s="92"/>
      <c r="E2538" s="92"/>
      <c r="F2538" s="92"/>
      <c r="G2538" s="92"/>
      <c r="H2538" s="92"/>
      <c r="I2538" s="92"/>
      <c r="J2538" s="92"/>
      <c r="K2538" s="92"/>
      <c r="L2538" s="92"/>
      <c r="M2538" s="92"/>
      <c r="N2538" s="94"/>
      <c r="AG2538" s="100"/>
      <c r="AH2538" s="101"/>
      <c r="AI2538" s="100"/>
      <c r="AJ2538" s="100"/>
      <c r="AK2538" s="100"/>
      <c r="AL2538" s="100"/>
      <c r="AM2538" s="100"/>
      <c r="AN2538" s="100"/>
      <c r="AO2538" s="100"/>
      <c r="AP2538" s="100"/>
      <c r="AQ2538" s="100"/>
      <c r="AR2538" s="100"/>
      <c r="AS2538" s="100"/>
      <c r="AT2538" s="102"/>
      <c r="AX2538" s="100"/>
      <c r="AY2538" s="101"/>
      <c r="AZ2538" s="100"/>
      <c r="BA2538" s="101"/>
      <c r="BB2538" s="100"/>
      <c r="BC2538" s="100"/>
      <c r="BD2538" s="100"/>
      <c r="BE2538" s="100"/>
      <c r="BF2538" s="100"/>
      <c r="BG2538" s="100"/>
      <c r="BH2538" s="100"/>
      <c r="BI2538" s="100"/>
      <c r="BJ2538" s="100"/>
      <c r="BK2538" s="102"/>
    </row>
    <row r="2539" spans="1:63" x14ac:dyDescent="0.25">
      <c r="A2539" s="92"/>
      <c r="B2539" s="93"/>
      <c r="C2539" s="93"/>
      <c r="D2539" s="93"/>
      <c r="E2539" s="92"/>
      <c r="F2539" s="92"/>
      <c r="G2539" s="92"/>
      <c r="H2539" s="92"/>
      <c r="I2539" s="92"/>
      <c r="J2539" s="92"/>
      <c r="K2539" s="92"/>
      <c r="L2539" s="92"/>
      <c r="M2539" s="92"/>
      <c r="N2539" s="94"/>
      <c r="AG2539" s="100"/>
      <c r="AH2539" s="101"/>
      <c r="AI2539" s="100"/>
      <c r="AJ2539" s="101"/>
      <c r="AK2539" s="100"/>
      <c r="AL2539" s="100"/>
      <c r="AM2539" s="100"/>
      <c r="AN2539" s="100"/>
      <c r="AO2539" s="100"/>
      <c r="AP2539" s="100"/>
      <c r="AQ2539" s="100"/>
      <c r="AR2539" s="100"/>
      <c r="AS2539" s="100"/>
      <c r="AT2539" s="102"/>
      <c r="AX2539" s="100"/>
      <c r="AY2539" s="101"/>
      <c r="AZ2539" s="100"/>
      <c r="BA2539" s="100"/>
      <c r="BB2539" s="100"/>
      <c r="BC2539" s="100"/>
      <c r="BD2539" s="100"/>
      <c r="BE2539" s="100"/>
      <c r="BF2539" s="100"/>
      <c r="BG2539" s="100"/>
      <c r="BH2539" s="100"/>
      <c r="BI2539" s="100"/>
      <c r="BJ2539" s="100"/>
      <c r="BK2539" s="102"/>
    </row>
    <row r="2540" spans="1:63" x14ac:dyDescent="0.25">
      <c r="A2540" s="92"/>
      <c r="B2540" s="92"/>
      <c r="C2540" s="92"/>
      <c r="D2540" s="93"/>
      <c r="E2540" s="92"/>
      <c r="F2540" s="92"/>
      <c r="G2540" s="92"/>
      <c r="H2540" s="92"/>
      <c r="I2540" s="92"/>
      <c r="J2540" s="92"/>
      <c r="K2540" s="92"/>
      <c r="L2540" s="92"/>
      <c r="M2540" s="92"/>
      <c r="N2540" s="92"/>
      <c r="AG2540" s="100"/>
      <c r="AH2540" s="101"/>
      <c r="AI2540" s="100"/>
      <c r="AJ2540" s="101"/>
      <c r="AK2540" s="100"/>
      <c r="AL2540" s="100"/>
      <c r="AM2540" s="100"/>
      <c r="AN2540" s="100"/>
      <c r="AO2540" s="100"/>
      <c r="AP2540" s="100"/>
      <c r="AQ2540" s="100"/>
      <c r="AR2540" s="100"/>
      <c r="AS2540" s="100"/>
      <c r="AT2540" s="102"/>
      <c r="AX2540" s="100"/>
      <c r="AY2540" s="101"/>
      <c r="AZ2540" s="100"/>
      <c r="BA2540" s="101"/>
      <c r="BB2540" s="100"/>
      <c r="BC2540" s="100"/>
      <c r="BD2540" s="100"/>
      <c r="BE2540" s="100"/>
      <c r="BF2540" s="100"/>
      <c r="BG2540" s="100"/>
      <c r="BH2540" s="100"/>
      <c r="BI2540" s="100"/>
      <c r="BJ2540" s="100"/>
      <c r="BK2540" s="102"/>
    </row>
    <row r="2541" spans="1:63" x14ac:dyDescent="0.25">
      <c r="A2541" s="92"/>
      <c r="B2541" s="92"/>
      <c r="C2541" s="92"/>
      <c r="D2541" s="93"/>
      <c r="E2541" s="92"/>
      <c r="F2541" s="92"/>
      <c r="G2541" s="92"/>
      <c r="H2541" s="92"/>
      <c r="I2541" s="92"/>
      <c r="J2541" s="92"/>
      <c r="K2541" s="92"/>
      <c r="L2541" s="92"/>
      <c r="M2541" s="92"/>
      <c r="N2541" s="92"/>
      <c r="AG2541" s="100"/>
      <c r="AH2541" s="101"/>
      <c r="AI2541" s="100"/>
      <c r="AJ2541" s="101"/>
      <c r="AK2541" s="100"/>
      <c r="AL2541" s="100"/>
      <c r="AM2541" s="100"/>
      <c r="AN2541" s="100"/>
      <c r="AO2541" s="100"/>
      <c r="AP2541" s="100"/>
      <c r="AQ2541" s="100"/>
      <c r="AR2541" s="100"/>
      <c r="AS2541" s="100"/>
      <c r="AT2541" s="102"/>
      <c r="AX2541" s="100"/>
      <c r="AY2541" s="101"/>
      <c r="AZ2541" s="100"/>
      <c r="BA2541" s="100"/>
      <c r="BB2541" s="100"/>
      <c r="BC2541" s="100"/>
      <c r="BD2541" s="100"/>
      <c r="BE2541" s="100"/>
      <c r="BF2541" s="100"/>
      <c r="BG2541" s="100"/>
      <c r="BH2541" s="100"/>
      <c r="BI2541" s="100"/>
      <c r="BJ2541" s="100"/>
      <c r="BK2541" s="102"/>
    </row>
    <row r="2542" spans="1:63" x14ac:dyDescent="0.25">
      <c r="A2542" s="92"/>
      <c r="B2542" s="92"/>
      <c r="C2542" s="92"/>
      <c r="D2542" s="93"/>
      <c r="E2542" s="92"/>
      <c r="F2542" s="92"/>
      <c r="G2542" s="92"/>
      <c r="H2542" s="92"/>
      <c r="I2542" s="92"/>
      <c r="J2542" s="92"/>
      <c r="K2542" s="92"/>
      <c r="L2542" s="92"/>
      <c r="M2542" s="92"/>
      <c r="N2542" s="92"/>
      <c r="AG2542" s="100"/>
      <c r="AH2542" s="101"/>
      <c r="AI2542" s="100"/>
      <c r="AJ2542" s="101"/>
      <c r="AK2542" s="100"/>
      <c r="AL2542" s="100"/>
      <c r="AM2542" s="100"/>
      <c r="AN2542" s="100"/>
      <c r="AO2542" s="100"/>
      <c r="AP2542" s="100"/>
      <c r="AQ2542" s="100"/>
      <c r="AR2542" s="100"/>
      <c r="AS2542" s="100"/>
      <c r="AT2542" s="102"/>
      <c r="AX2542" s="100"/>
      <c r="AY2542" s="101"/>
      <c r="AZ2542" s="100"/>
      <c r="BA2542" s="101"/>
      <c r="BB2542" s="100"/>
      <c r="BC2542" s="100"/>
      <c r="BD2542" s="100"/>
      <c r="BE2542" s="100"/>
      <c r="BF2542" s="100"/>
      <c r="BG2542" s="100"/>
      <c r="BH2542" s="100"/>
      <c r="BI2542" s="100"/>
      <c r="BJ2542" s="100"/>
      <c r="BK2542" s="102"/>
    </row>
    <row r="2543" spans="1:63" x14ac:dyDescent="0.25">
      <c r="A2543" s="92"/>
      <c r="B2543" s="93"/>
      <c r="C2543" s="93"/>
      <c r="D2543" s="93"/>
      <c r="E2543" s="92"/>
      <c r="F2543" s="92"/>
      <c r="G2543" s="92"/>
      <c r="H2543" s="92"/>
      <c r="I2543" s="92"/>
      <c r="J2543" s="92"/>
      <c r="K2543" s="92"/>
      <c r="L2543" s="92"/>
      <c r="M2543" s="92"/>
      <c r="N2543" s="94"/>
      <c r="AG2543" s="100"/>
      <c r="AH2543" s="101"/>
      <c r="AI2543" s="100"/>
      <c r="AJ2543" s="101"/>
      <c r="AK2543" s="100"/>
      <c r="AL2543" s="100"/>
      <c r="AM2543" s="100"/>
      <c r="AN2543" s="100"/>
      <c r="AO2543" s="100"/>
      <c r="AP2543" s="100"/>
      <c r="AQ2543" s="100"/>
      <c r="AR2543" s="100"/>
      <c r="AS2543" s="100"/>
      <c r="AT2543" s="102"/>
      <c r="AX2543" s="100"/>
      <c r="AY2543" s="101"/>
      <c r="AZ2543" s="100"/>
      <c r="BA2543" s="100"/>
      <c r="BB2543" s="100"/>
      <c r="BC2543" s="100"/>
      <c r="BD2543" s="100"/>
      <c r="BE2543" s="100"/>
      <c r="BF2543" s="100"/>
      <c r="BG2543" s="100"/>
      <c r="BH2543" s="100"/>
      <c r="BI2543" s="100"/>
      <c r="BJ2543" s="100"/>
      <c r="BK2543" s="102"/>
    </row>
    <row r="2544" spans="1:63" x14ac:dyDescent="0.25">
      <c r="A2544" s="92"/>
      <c r="B2544" s="92"/>
      <c r="C2544" s="92"/>
      <c r="D2544" s="92"/>
      <c r="E2544" s="92"/>
      <c r="F2544" s="92"/>
      <c r="G2544" s="92"/>
      <c r="H2544" s="92"/>
      <c r="I2544" s="92"/>
      <c r="J2544" s="92"/>
      <c r="K2544" s="92"/>
      <c r="L2544" s="92"/>
      <c r="M2544" s="92"/>
      <c r="N2544" s="92"/>
      <c r="AG2544" s="100"/>
      <c r="AH2544" s="101"/>
      <c r="AI2544" s="100"/>
      <c r="AJ2544" s="101"/>
      <c r="AK2544" s="100"/>
      <c r="AL2544" s="100"/>
      <c r="AM2544" s="100"/>
      <c r="AN2544" s="100"/>
      <c r="AO2544" s="100"/>
      <c r="AP2544" s="100"/>
      <c r="AQ2544" s="100"/>
      <c r="AR2544" s="100"/>
      <c r="AS2544" s="100"/>
      <c r="AT2544" s="102"/>
      <c r="AX2544" s="100"/>
      <c r="AY2544" s="101"/>
      <c r="AZ2544" s="100"/>
      <c r="BA2544" s="101"/>
      <c r="BB2544" s="100"/>
      <c r="BC2544" s="100"/>
      <c r="BD2544" s="100"/>
      <c r="BE2544" s="100"/>
      <c r="BF2544" s="100"/>
      <c r="BG2544" s="100"/>
      <c r="BH2544" s="100"/>
      <c r="BI2544" s="100"/>
      <c r="BJ2544" s="100"/>
      <c r="BK2544" s="102"/>
    </row>
    <row r="2545" spans="1:63" x14ac:dyDescent="0.25">
      <c r="A2545" s="92"/>
      <c r="B2545" s="93"/>
      <c r="C2545" s="93"/>
      <c r="D2545" s="92"/>
      <c r="E2545" s="92"/>
      <c r="F2545" s="92"/>
      <c r="G2545" s="92"/>
      <c r="H2545" s="92"/>
      <c r="I2545" s="92"/>
      <c r="J2545" s="92"/>
      <c r="K2545" s="92"/>
      <c r="L2545" s="92"/>
      <c r="M2545" s="92"/>
      <c r="N2545" s="94"/>
      <c r="AG2545" s="100"/>
      <c r="AH2545" s="101"/>
      <c r="AI2545" s="100"/>
      <c r="AJ2545" s="101"/>
      <c r="AK2545" s="100"/>
      <c r="AL2545" s="100"/>
      <c r="AM2545" s="100"/>
      <c r="AN2545" s="100"/>
      <c r="AO2545" s="100"/>
      <c r="AP2545" s="100"/>
      <c r="AQ2545" s="100"/>
      <c r="AR2545" s="100"/>
      <c r="AS2545" s="100"/>
      <c r="AT2545" s="102"/>
      <c r="AX2545" s="100"/>
      <c r="AY2545" s="101"/>
      <c r="AZ2545" s="100"/>
      <c r="BA2545" s="100"/>
      <c r="BB2545" s="100"/>
      <c r="BC2545" s="100"/>
      <c r="BD2545" s="100"/>
      <c r="BE2545" s="100"/>
      <c r="BF2545" s="100"/>
      <c r="BG2545" s="100"/>
      <c r="BH2545" s="100"/>
      <c r="BI2545" s="100"/>
      <c r="BJ2545" s="100"/>
      <c r="BK2545" s="102"/>
    </row>
    <row r="2546" spans="1:63" x14ac:dyDescent="0.25">
      <c r="A2546" s="92"/>
      <c r="B2546" s="93"/>
      <c r="C2546" s="93"/>
      <c r="D2546" s="92"/>
      <c r="E2546" s="92"/>
      <c r="F2546" s="92"/>
      <c r="G2546" s="92"/>
      <c r="H2546" s="92"/>
      <c r="I2546" s="92"/>
      <c r="J2546" s="92"/>
      <c r="K2546" s="92"/>
      <c r="L2546" s="92"/>
      <c r="M2546" s="92"/>
      <c r="N2546" s="94"/>
      <c r="AG2546" s="100"/>
      <c r="AH2546" s="101"/>
      <c r="AI2546" s="100"/>
      <c r="AJ2546" s="101"/>
      <c r="AK2546" s="100"/>
      <c r="AL2546" s="100"/>
      <c r="AM2546" s="100"/>
      <c r="AN2546" s="100"/>
      <c r="AO2546" s="100"/>
      <c r="AP2546" s="100"/>
      <c r="AQ2546" s="100"/>
      <c r="AR2546" s="100"/>
      <c r="AS2546" s="100"/>
      <c r="AT2546" s="102"/>
      <c r="AX2546" s="100"/>
      <c r="AY2546" s="101"/>
      <c r="AZ2546" s="101"/>
      <c r="BA2546" s="100"/>
      <c r="BB2546" s="100"/>
      <c r="BC2546" s="100"/>
      <c r="BD2546" s="100"/>
      <c r="BE2546" s="100"/>
      <c r="BF2546" s="100"/>
      <c r="BG2546" s="100"/>
      <c r="BH2546" s="100"/>
      <c r="BI2546" s="100"/>
      <c r="BJ2546" s="100"/>
      <c r="BK2546" s="102"/>
    </row>
    <row r="2547" spans="1:63" x14ac:dyDescent="0.25">
      <c r="A2547" s="92"/>
      <c r="B2547" s="93"/>
      <c r="C2547" s="93"/>
      <c r="D2547" s="92"/>
      <c r="E2547" s="92"/>
      <c r="F2547" s="92"/>
      <c r="G2547" s="92"/>
      <c r="H2547" s="92"/>
      <c r="I2547" s="92"/>
      <c r="J2547" s="92"/>
      <c r="K2547" s="92"/>
      <c r="L2547" s="92"/>
      <c r="M2547" s="92"/>
      <c r="N2547" s="94"/>
      <c r="AG2547" s="100"/>
      <c r="AH2547" s="101"/>
      <c r="AI2547" s="100"/>
      <c r="AJ2547" s="101"/>
      <c r="AK2547" s="100"/>
      <c r="AL2547" s="100"/>
      <c r="AM2547" s="100"/>
      <c r="AN2547" s="100"/>
      <c r="AO2547" s="100"/>
      <c r="AP2547" s="100"/>
      <c r="AQ2547" s="100"/>
      <c r="AR2547" s="100"/>
      <c r="AS2547" s="100"/>
      <c r="AT2547" s="102"/>
      <c r="AX2547" s="100"/>
      <c r="AY2547" s="101"/>
      <c r="AZ2547" s="101"/>
      <c r="BA2547" s="100"/>
      <c r="BB2547" s="100"/>
      <c r="BC2547" s="100"/>
      <c r="BD2547" s="100"/>
      <c r="BE2547" s="100"/>
      <c r="BF2547" s="100"/>
      <c r="BG2547" s="100"/>
      <c r="BH2547" s="100"/>
      <c r="BI2547" s="100"/>
      <c r="BJ2547" s="100"/>
      <c r="BK2547" s="102"/>
    </row>
    <row r="2548" spans="1:63" x14ac:dyDescent="0.25">
      <c r="A2548" s="92"/>
      <c r="B2548" s="92"/>
      <c r="C2548" s="92"/>
      <c r="D2548" s="92"/>
      <c r="E2548" s="92"/>
      <c r="F2548" s="92"/>
      <c r="G2548" s="92"/>
      <c r="H2548" s="92"/>
      <c r="I2548" s="92"/>
      <c r="J2548" s="92"/>
      <c r="K2548" s="92"/>
      <c r="L2548" s="92"/>
      <c r="M2548" s="92"/>
      <c r="N2548" s="92"/>
      <c r="AG2548" s="100"/>
      <c r="AH2548" s="101"/>
      <c r="AI2548" s="100"/>
      <c r="AJ2548" s="101"/>
      <c r="AK2548" s="100"/>
      <c r="AL2548" s="100"/>
      <c r="AM2548" s="100"/>
      <c r="AN2548" s="100"/>
      <c r="AO2548" s="100"/>
      <c r="AP2548" s="100"/>
      <c r="AQ2548" s="100"/>
      <c r="AR2548" s="100"/>
      <c r="AS2548" s="100"/>
      <c r="AT2548" s="102"/>
      <c r="AX2548" s="100"/>
      <c r="AY2548" s="101"/>
      <c r="AZ2548" s="100"/>
      <c r="BA2548" s="101"/>
      <c r="BB2548" s="100"/>
      <c r="BC2548" s="100"/>
      <c r="BD2548" s="100"/>
      <c r="BE2548" s="100"/>
      <c r="BF2548" s="100"/>
      <c r="BG2548" s="100"/>
      <c r="BH2548" s="100"/>
      <c r="BI2548" s="100"/>
      <c r="BJ2548" s="100"/>
      <c r="BK2548" s="102"/>
    </row>
    <row r="2549" spans="1:63" x14ac:dyDescent="0.25">
      <c r="A2549" s="92"/>
      <c r="B2549" s="93"/>
      <c r="C2549" s="93"/>
      <c r="D2549" s="92"/>
      <c r="E2549" s="92"/>
      <c r="F2549" s="92"/>
      <c r="G2549" s="92"/>
      <c r="H2549" s="92"/>
      <c r="I2549" s="92"/>
      <c r="J2549" s="92"/>
      <c r="K2549" s="92"/>
      <c r="L2549" s="92"/>
      <c r="M2549" s="92"/>
      <c r="N2549" s="94"/>
      <c r="AG2549" s="100"/>
      <c r="AH2549" s="101"/>
      <c r="AI2549" s="100"/>
      <c r="AJ2549" s="101"/>
      <c r="AK2549" s="100"/>
      <c r="AL2549" s="100"/>
      <c r="AM2549" s="100"/>
      <c r="AN2549" s="100"/>
      <c r="AO2549" s="100"/>
      <c r="AP2549" s="100"/>
      <c r="AQ2549" s="100"/>
      <c r="AR2549" s="100"/>
      <c r="AS2549" s="100"/>
      <c r="AT2549" s="102"/>
      <c r="AX2549" s="100"/>
      <c r="AY2549" s="101"/>
      <c r="AZ2549" s="100"/>
      <c r="BA2549" s="101"/>
      <c r="BB2549" s="100"/>
      <c r="BC2549" s="100"/>
      <c r="BD2549" s="100"/>
      <c r="BE2549" s="100"/>
      <c r="BF2549" s="100"/>
      <c r="BG2549" s="100"/>
      <c r="BH2549" s="100"/>
      <c r="BI2549" s="100"/>
      <c r="BJ2549" s="100"/>
      <c r="BK2549" s="102"/>
    </row>
    <row r="2550" spans="1:63" x14ac:dyDescent="0.25">
      <c r="A2550" s="92"/>
      <c r="B2550" s="92"/>
      <c r="C2550" s="92"/>
      <c r="D2550" s="92"/>
      <c r="E2550" s="92"/>
      <c r="F2550" s="92"/>
      <c r="G2550" s="92"/>
      <c r="H2550" s="92"/>
      <c r="I2550" s="92"/>
      <c r="J2550" s="92"/>
      <c r="K2550" s="92"/>
      <c r="L2550" s="92"/>
      <c r="M2550" s="92"/>
      <c r="N2550" s="92"/>
      <c r="AG2550" s="100"/>
      <c r="AH2550" s="101"/>
      <c r="AI2550" s="101"/>
      <c r="AJ2550" s="100"/>
      <c r="AK2550" s="100"/>
      <c r="AL2550" s="100"/>
      <c r="AM2550" s="100"/>
      <c r="AN2550" s="100"/>
      <c r="AO2550" s="100"/>
      <c r="AP2550" s="100"/>
      <c r="AQ2550" s="100"/>
      <c r="AR2550" s="100"/>
      <c r="AS2550" s="100"/>
      <c r="AT2550" s="102"/>
      <c r="AX2550" s="100"/>
      <c r="AY2550" s="101"/>
      <c r="AZ2550" s="100"/>
      <c r="BA2550" s="101"/>
      <c r="BB2550" s="100"/>
      <c r="BC2550" s="100"/>
      <c r="BD2550" s="100"/>
      <c r="BE2550" s="100"/>
      <c r="BF2550" s="100"/>
      <c r="BG2550" s="100"/>
      <c r="BH2550" s="100"/>
      <c r="BI2550" s="100"/>
      <c r="BJ2550" s="100"/>
      <c r="BK2550" s="102"/>
    </row>
    <row r="2551" spans="1:63" x14ac:dyDescent="0.25">
      <c r="A2551" s="92"/>
      <c r="B2551" s="93"/>
      <c r="C2551" s="93"/>
      <c r="D2551" s="92"/>
      <c r="E2551" s="92"/>
      <c r="F2551" s="92"/>
      <c r="G2551" s="92"/>
      <c r="H2551" s="92"/>
      <c r="I2551" s="92"/>
      <c r="J2551" s="92"/>
      <c r="K2551" s="92"/>
      <c r="L2551" s="92"/>
      <c r="M2551" s="92"/>
      <c r="N2551" s="94"/>
      <c r="AG2551" s="100"/>
      <c r="AH2551" s="101"/>
      <c r="AI2551" s="100"/>
      <c r="AJ2551" s="101"/>
      <c r="AK2551" s="100"/>
      <c r="AL2551" s="100"/>
      <c r="AM2551" s="100"/>
      <c r="AN2551" s="100"/>
      <c r="AO2551" s="100"/>
      <c r="AP2551" s="100"/>
      <c r="AQ2551" s="100"/>
      <c r="AR2551" s="100"/>
      <c r="AS2551" s="100"/>
      <c r="AT2551" s="102"/>
      <c r="AX2551" s="100"/>
      <c r="AY2551" s="101"/>
      <c r="AZ2551" s="100"/>
      <c r="BA2551" s="101"/>
      <c r="BB2551" s="100"/>
      <c r="BC2551" s="100"/>
      <c r="BD2551" s="100"/>
      <c r="BE2551" s="100"/>
      <c r="BF2551" s="100"/>
      <c r="BG2551" s="100"/>
      <c r="BH2551" s="100"/>
      <c r="BI2551" s="100"/>
      <c r="BJ2551" s="100"/>
      <c r="BK2551" s="102"/>
    </row>
    <row r="2552" spans="1:63" x14ac:dyDescent="0.25">
      <c r="A2552" s="92"/>
      <c r="B2552" s="92"/>
      <c r="C2552" s="92"/>
      <c r="D2552" s="92"/>
      <c r="E2552" s="92"/>
      <c r="F2552" s="92"/>
      <c r="G2552" s="92"/>
      <c r="H2552" s="92"/>
      <c r="I2552" s="92"/>
      <c r="J2552" s="92"/>
      <c r="K2552" s="92"/>
      <c r="L2552" s="92"/>
      <c r="M2552" s="92"/>
      <c r="N2552" s="92"/>
      <c r="AG2552" s="100"/>
      <c r="AH2552" s="101"/>
      <c r="AI2552" s="100"/>
      <c r="AJ2552" s="101"/>
      <c r="AK2552" s="100"/>
      <c r="AL2552" s="100"/>
      <c r="AM2552" s="100"/>
      <c r="AN2552" s="100"/>
      <c r="AO2552" s="100"/>
      <c r="AP2552" s="100"/>
      <c r="AQ2552" s="100"/>
      <c r="AR2552" s="100"/>
      <c r="AS2552" s="100"/>
      <c r="AT2552" s="102"/>
      <c r="AX2552" s="100"/>
      <c r="AY2552" s="101"/>
      <c r="AZ2552" s="100"/>
      <c r="BA2552" s="101"/>
      <c r="BB2552" s="100"/>
      <c r="BC2552" s="100"/>
      <c r="BD2552" s="100"/>
      <c r="BE2552" s="100"/>
      <c r="BF2552" s="100"/>
      <c r="BG2552" s="100"/>
      <c r="BH2552" s="100"/>
      <c r="BI2552" s="100"/>
      <c r="BJ2552" s="100"/>
      <c r="BK2552" s="102"/>
    </row>
    <row r="2553" spans="1:63" x14ac:dyDescent="0.25">
      <c r="A2553" s="92"/>
      <c r="B2553" s="92"/>
      <c r="C2553" s="92"/>
      <c r="D2553" s="92"/>
      <c r="E2553" s="92"/>
      <c r="F2553" s="92"/>
      <c r="G2553" s="92"/>
      <c r="H2553" s="92"/>
      <c r="I2553" s="92"/>
      <c r="J2553" s="92"/>
      <c r="K2553" s="92"/>
      <c r="L2553" s="92"/>
      <c r="M2553" s="92"/>
      <c r="N2553" s="92"/>
      <c r="AG2553" s="100"/>
      <c r="AH2553" s="101"/>
      <c r="AI2553" s="100"/>
      <c r="AJ2553" s="100"/>
      <c r="AK2553" s="100"/>
      <c r="AL2553" s="100"/>
      <c r="AM2553" s="100"/>
      <c r="AN2553" s="100"/>
      <c r="AO2553" s="100"/>
      <c r="AP2553" s="100"/>
      <c r="AQ2553" s="100"/>
      <c r="AR2553" s="100"/>
      <c r="AS2553" s="100"/>
      <c r="AT2553" s="102"/>
      <c r="AX2553" s="100"/>
      <c r="AY2553" s="101"/>
      <c r="AZ2553" s="100"/>
      <c r="BA2553" s="101"/>
      <c r="BB2553" s="100"/>
      <c r="BC2553" s="100"/>
      <c r="BD2553" s="100"/>
      <c r="BE2553" s="100"/>
      <c r="BF2553" s="100"/>
      <c r="BG2553" s="100"/>
      <c r="BH2553" s="100"/>
      <c r="BI2553" s="100"/>
      <c r="BJ2553" s="100"/>
      <c r="BK2553" s="102"/>
    </row>
    <row r="2554" spans="1:63" x14ac:dyDescent="0.25">
      <c r="A2554" s="92"/>
      <c r="B2554" s="92"/>
      <c r="C2554" s="92"/>
      <c r="D2554" s="92"/>
      <c r="E2554" s="92"/>
      <c r="F2554" s="92"/>
      <c r="G2554" s="92"/>
      <c r="H2554" s="92"/>
      <c r="I2554" s="92"/>
      <c r="J2554" s="92"/>
      <c r="K2554" s="92"/>
      <c r="L2554" s="92"/>
      <c r="M2554" s="92"/>
      <c r="N2554" s="92"/>
      <c r="AG2554" s="100"/>
      <c r="AH2554" s="101"/>
      <c r="AI2554" s="100"/>
      <c r="AJ2554" s="101"/>
      <c r="AK2554" s="100"/>
      <c r="AL2554" s="100"/>
      <c r="AM2554" s="100"/>
      <c r="AN2554" s="100"/>
      <c r="AO2554" s="100"/>
      <c r="AP2554" s="100"/>
      <c r="AQ2554" s="100"/>
      <c r="AR2554" s="100"/>
      <c r="AS2554" s="100"/>
      <c r="AT2554" s="102"/>
      <c r="AX2554" s="100"/>
      <c r="AY2554" s="101"/>
      <c r="AZ2554" s="100"/>
      <c r="BA2554" s="101"/>
      <c r="BB2554" s="100"/>
      <c r="BC2554" s="100"/>
      <c r="BD2554" s="100"/>
      <c r="BE2554" s="100"/>
      <c r="BF2554" s="100"/>
      <c r="BG2554" s="100"/>
      <c r="BH2554" s="100"/>
      <c r="BI2554" s="100"/>
      <c r="BJ2554" s="100"/>
      <c r="BK2554" s="102"/>
    </row>
    <row r="2555" spans="1:63" x14ac:dyDescent="0.25">
      <c r="A2555" s="92"/>
      <c r="B2555" s="92"/>
      <c r="C2555" s="92"/>
      <c r="D2555" s="92"/>
      <c r="E2555" s="92"/>
      <c r="F2555" s="92"/>
      <c r="G2555" s="92"/>
      <c r="H2555" s="92"/>
      <c r="I2555" s="92"/>
      <c r="J2555" s="92"/>
      <c r="K2555" s="92"/>
      <c r="L2555" s="92"/>
      <c r="M2555" s="92"/>
      <c r="N2555" s="92"/>
      <c r="AG2555" s="100"/>
      <c r="AH2555" s="101"/>
      <c r="AI2555" s="100"/>
      <c r="AJ2555" s="101"/>
      <c r="AK2555" s="100"/>
      <c r="AL2555" s="100"/>
      <c r="AM2555" s="100"/>
      <c r="AN2555" s="100"/>
      <c r="AO2555" s="100"/>
      <c r="AP2555" s="100"/>
      <c r="AQ2555" s="100"/>
      <c r="AR2555" s="100"/>
      <c r="AS2555" s="100"/>
      <c r="AT2555" s="102"/>
      <c r="AX2555" s="100"/>
      <c r="AY2555" s="101"/>
      <c r="AZ2555" s="100"/>
      <c r="BA2555" s="101"/>
      <c r="BB2555" s="100"/>
      <c r="BC2555" s="100"/>
      <c r="BD2555" s="100"/>
      <c r="BE2555" s="100"/>
      <c r="BF2555" s="100"/>
      <c r="BG2555" s="100"/>
      <c r="BH2555" s="100"/>
      <c r="BI2555" s="100"/>
      <c r="BJ2555" s="100"/>
      <c r="BK2555" s="102"/>
    </row>
    <row r="2556" spans="1:63" x14ac:dyDescent="0.25">
      <c r="A2556" s="92"/>
      <c r="B2556" s="92"/>
      <c r="C2556" s="92"/>
      <c r="D2556" s="92"/>
      <c r="E2556" s="92"/>
      <c r="F2556" s="92"/>
      <c r="G2556" s="92"/>
      <c r="H2556" s="92"/>
      <c r="I2556" s="92"/>
      <c r="J2556" s="92"/>
      <c r="K2556" s="92"/>
      <c r="L2556" s="92"/>
      <c r="M2556" s="92"/>
      <c r="N2556" s="92"/>
      <c r="AG2556" s="100"/>
      <c r="AH2556" s="101"/>
      <c r="AI2556" s="100"/>
      <c r="AJ2556" s="100"/>
      <c r="AK2556" s="100"/>
      <c r="AL2556" s="100"/>
      <c r="AM2556" s="100"/>
      <c r="AN2556" s="100"/>
      <c r="AO2556" s="100"/>
      <c r="AP2556" s="100"/>
      <c r="AQ2556" s="100"/>
      <c r="AR2556" s="100"/>
      <c r="AS2556" s="100"/>
      <c r="AT2556" s="102"/>
      <c r="AX2556" s="100"/>
      <c r="AY2556" s="101"/>
      <c r="AZ2556" s="100"/>
      <c r="BA2556" s="101"/>
      <c r="BB2556" s="100"/>
      <c r="BC2556" s="100"/>
      <c r="BD2556" s="100"/>
      <c r="BE2556" s="100"/>
      <c r="BF2556" s="100"/>
      <c r="BG2556" s="100"/>
      <c r="BH2556" s="100"/>
      <c r="BI2556" s="100"/>
      <c r="BJ2556" s="100"/>
      <c r="BK2556" s="102"/>
    </row>
    <row r="2557" spans="1:63" x14ac:dyDescent="0.25">
      <c r="A2557" s="92"/>
      <c r="B2557" s="92"/>
      <c r="C2557" s="92"/>
      <c r="D2557" s="92"/>
      <c r="E2557" s="92"/>
      <c r="F2557" s="92"/>
      <c r="G2557" s="92"/>
      <c r="H2557" s="92"/>
      <c r="I2557" s="92"/>
      <c r="J2557" s="92"/>
      <c r="K2557" s="92"/>
      <c r="L2557" s="92"/>
      <c r="M2557" s="92"/>
      <c r="N2557" s="92"/>
      <c r="AG2557" s="100"/>
      <c r="AH2557" s="101"/>
      <c r="AI2557" s="100"/>
      <c r="AJ2557" s="101"/>
      <c r="AK2557" s="100"/>
      <c r="AL2557" s="100"/>
      <c r="AM2557" s="100"/>
      <c r="AN2557" s="100"/>
      <c r="AO2557" s="100"/>
      <c r="AP2557" s="100"/>
      <c r="AQ2557" s="100"/>
      <c r="AR2557" s="100"/>
      <c r="AS2557" s="100"/>
      <c r="AT2557" s="102"/>
      <c r="AX2557" s="100"/>
      <c r="AY2557" s="101"/>
      <c r="AZ2557" s="100"/>
      <c r="BA2557" s="101"/>
      <c r="BB2557" s="100"/>
      <c r="BC2557" s="100"/>
      <c r="BD2557" s="100"/>
      <c r="BE2557" s="100"/>
      <c r="BF2557" s="100"/>
      <c r="BG2557" s="100"/>
      <c r="BH2557" s="100"/>
      <c r="BI2557" s="100"/>
      <c r="BJ2557" s="100"/>
      <c r="BK2557" s="102"/>
    </row>
    <row r="2558" spans="1:63" x14ac:dyDescent="0.25">
      <c r="A2558" s="92"/>
      <c r="B2558" s="93"/>
      <c r="C2558" s="93"/>
      <c r="D2558" s="92"/>
      <c r="E2558" s="92"/>
      <c r="F2558" s="92"/>
      <c r="G2558" s="92"/>
      <c r="H2558" s="92"/>
      <c r="I2558" s="92"/>
      <c r="J2558" s="92"/>
      <c r="K2558" s="92"/>
      <c r="L2558" s="92"/>
      <c r="M2558" s="92"/>
      <c r="N2558" s="94"/>
      <c r="AG2558" s="100"/>
      <c r="AH2558" s="101"/>
      <c r="AI2558" s="100"/>
      <c r="AJ2558" s="101"/>
      <c r="AK2558" s="100"/>
      <c r="AL2558" s="100"/>
      <c r="AM2558" s="100"/>
      <c r="AN2558" s="100"/>
      <c r="AO2558" s="100"/>
      <c r="AP2558" s="100"/>
      <c r="AQ2558" s="100"/>
      <c r="AR2558" s="100"/>
      <c r="AS2558" s="100"/>
      <c r="AT2558" s="102"/>
      <c r="AX2558" s="100"/>
      <c r="AY2558" s="101"/>
      <c r="AZ2558" s="100"/>
      <c r="BA2558" s="100"/>
      <c r="BB2558" s="100"/>
      <c r="BC2558" s="100"/>
      <c r="BD2558" s="100"/>
      <c r="BE2558" s="100"/>
      <c r="BF2558" s="100"/>
      <c r="BG2558" s="100"/>
      <c r="BH2558" s="100"/>
      <c r="BI2558" s="100"/>
      <c r="BJ2558" s="100"/>
      <c r="BK2558" s="102"/>
    </row>
    <row r="2559" spans="1:63" x14ac:dyDescent="0.25">
      <c r="A2559" s="92"/>
      <c r="B2559" s="93"/>
      <c r="C2559" s="93"/>
      <c r="D2559" s="92"/>
      <c r="E2559" s="92"/>
      <c r="F2559" s="92"/>
      <c r="G2559" s="92"/>
      <c r="H2559" s="92"/>
      <c r="I2559" s="92"/>
      <c r="J2559" s="92"/>
      <c r="K2559" s="92"/>
      <c r="L2559" s="92"/>
      <c r="M2559" s="92"/>
      <c r="N2559" s="94"/>
      <c r="AG2559" s="100"/>
      <c r="AH2559" s="101"/>
      <c r="AI2559" s="100"/>
      <c r="AJ2559" s="101"/>
      <c r="AK2559" s="100"/>
      <c r="AL2559" s="100"/>
      <c r="AM2559" s="100"/>
      <c r="AN2559" s="100"/>
      <c r="AO2559" s="100"/>
      <c r="AP2559" s="100"/>
      <c r="AQ2559" s="100"/>
      <c r="AR2559" s="100"/>
      <c r="AS2559" s="100"/>
      <c r="AT2559" s="102"/>
      <c r="AX2559" s="100"/>
      <c r="AY2559" s="101"/>
      <c r="AZ2559" s="100"/>
      <c r="BA2559" s="101"/>
      <c r="BB2559" s="100"/>
      <c r="BC2559" s="100"/>
      <c r="BD2559" s="100"/>
      <c r="BE2559" s="100"/>
      <c r="BF2559" s="100"/>
      <c r="BG2559" s="100"/>
      <c r="BH2559" s="100"/>
      <c r="BI2559" s="100"/>
      <c r="BJ2559" s="100"/>
      <c r="BK2559" s="102"/>
    </row>
    <row r="2560" spans="1:63" x14ac:dyDescent="0.25">
      <c r="A2560" s="92"/>
      <c r="B2560" s="92"/>
      <c r="C2560" s="92"/>
      <c r="D2560" s="92"/>
      <c r="E2560" s="92"/>
      <c r="F2560" s="92"/>
      <c r="G2560" s="92"/>
      <c r="H2560" s="92"/>
      <c r="I2560" s="92"/>
      <c r="J2560" s="92"/>
      <c r="K2560" s="92"/>
      <c r="L2560" s="92"/>
      <c r="M2560" s="92"/>
      <c r="N2560" s="92"/>
      <c r="AG2560" s="100"/>
      <c r="AH2560" s="101"/>
      <c r="AI2560" s="100"/>
      <c r="AJ2560" s="101"/>
      <c r="AK2560" s="100"/>
      <c r="AL2560" s="100"/>
      <c r="AM2560" s="100"/>
      <c r="AN2560" s="100"/>
      <c r="AO2560" s="100"/>
      <c r="AP2560" s="100"/>
      <c r="AQ2560" s="100"/>
      <c r="AR2560" s="100"/>
      <c r="AS2560" s="100"/>
      <c r="AT2560" s="102"/>
      <c r="AX2560" s="100"/>
      <c r="AY2560" s="101"/>
      <c r="AZ2560" s="100"/>
      <c r="BA2560" s="101"/>
      <c r="BB2560" s="100"/>
      <c r="BC2560" s="100"/>
      <c r="BD2560" s="100"/>
      <c r="BE2560" s="100"/>
      <c r="BF2560" s="100"/>
      <c r="BG2560" s="100"/>
      <c r="BH2560" s="100"/>
      <c r="BI2560" s="100"/>
      <c r="BJ2560" s="100"/>
      <c r="BK2560" s="102"/>
    </row>
    <row r="2561" spans="1:63" x14ac:dyDescent="0.25">
      <c r="A2561" s="92"/>
      <c r="B2561" s="92"/>
      <c r="C2561" s="92"/>
      <c r="D2561" s="92"/>
      <c r="E2561" s="92"/>
      <c r="F2561" s="92"/>
      <c r="G2561" s="92"/>
      <c r="H2561" s="92"/>
      <c r="I2561" s="92"/>
      <c r="J2561" s="92"/>
      <c r="K2561" s="92"/>
      <c r="L2561" s="92"/>
      <c r="M2561" s="92"/>
      <c r="N2561" s="92"/>
      <c r="AG2561" s="100"/>
      <c r="AH2561" s="101"/>
      <c r="AI2561" s="100"/>
      <c r="AJ2561" s="101"/>
      <c r="AK2561" s="100"/>
      <c r="AL2561" s="100"/>
      <c r="AM2561" s="100"/>
      <c r="AN2561" s="100"/>
      <c r="AO2561" s="100"/>
      <c r="AP2561" s="100"/>
      <c r="AQ2561" s="100"/>
      <c r="AR2561" s="100"/>
      <c r="AS2561" s="100"/>
      <c r="AT2561" s="102"/>
      <c r="AX2561" s="100"/>
      <c r="AY2561" s="101"/>
      <c r="AZ2561" s="100"/>
      <c r="BA2561" s="101"/>
      <c r="BB2561" s="100"/>
      <c r="BC2561" s="100"/>
      <c r="BD2561" s="100"/>
      <c r="BE2561" s="100"/>
      <c r="BF2561" s="100"/>
      <c r="BG2561" s="100"/>
      <c r="BH2561" s="100"/>
      <c r="BI2561" s="100"/>
      <c r="BJ2561" s="100"/>
      <c r="BK2561" s="102"/>
    </row>
    <row r="2562" spans="1:63" x14ac:dyDescent="0.25">
      <c r="A2562" s="92"/>
      <c r="B2562" s="92"/>
      <c r="C2562" s="92"/>
      <c r="D2562" s="92"/>
      <c r="E2562" s="92"/>
      <c r="F2562" s="92"/>
      <c r="G2562" s="92"/>
      <c r="H2562" s="92"/>
      <c r="I2562" s="92"/>
      <c r="J2562" s="92"/>
      <c r="K2562" s="92"/>
      <c r="L2562" s="92"/>
      <c r="M2562" s="92"/>
      <c r="N2562" s="92"/>
      <c r="AG2562" s="100"/>
      <c r="AH2562" s="101"/>
      <c r="AI2562" s="100"/>
      <c r="AJ2562" s="101"/>
      <c r="AK2562" s="100"/>
      <c r="AL2562" s="100"/>
      <c r="AM2562" s="100"/>
      <c r="AN2562" s="100"/>
      <c r="AO2562" s="100"/>
      <c r="AP2562" s="100"/>
      <c r="AQ2562" s="100"/>
      <c r="AR2562" s="100"/>
      <c r="AS2562" s="100"/>
      <c r="AT2562" s="102"/>
      <c r="AX2562" s="100"/>
      <c r="AY2562" s="101"/>
      <c r="AZ2562" s="100"/>
      <c r="BA2562" s="101"/>
      <c r="BB2562" s="100"/>
      <c r="BC2562" s="100"/>
      <c r="BD2562" s="100"/>
      <c r="BE2562" s="100"/>
      <c r="BF2562" s="100"/>
      <c r="BG2562" s="100"/>
      <c r="BH2562" s="100"/>
      <c r="BI2562" s="100"/>
      <c r="BJ2562" s="100"/>
      <c r="BK2562" s="102"/>
    </row>
    <row r="2563" spans="1:63" x14ac:dyDescent="0.25">
      <c r="A2563" s="92"/>
      <c r="B2563" s="93"/>
      <c r="C2563" s="93"/>
      <c r="D2563" s="92"/>
      <c r="E2563" s="92"/>
      <c r="F2563" s="92"/>
      <c r="G2563" s="92"/>
      <c r="H2563" s="92"/>
      <c r="I2563" s="92"/>
      <c r="J2563" s="92"/>
      <c r="K2563" s="92"/>
      <c r="L2563" s="92"/>
      <c r="M2563" s="92"/>
      <c r="N2563" s="94"/>
      <c r="AG2563" s="100"/>
      <c r="AH2563" s="101"/>
      <c r="AI2563" s="101"/>
      <c r="AJ2563" s="100"/>
      <c r="AK2563" s="100"/>
      <c r="AL2563" s="100"/>
      <c r="AM2563" s="100"/>
      <c r="AN2563" s="100"/>
      <c r="AO2563" s="100"/>
      <c r="AP2563" s="100"/>
      <c r="AQ2563" s="100"/>
      <c r="AR2563" s="100"/>
      <c r="AS2563" s="100"/>
      <c r="AT2563" s="102"/>
      <c r="AX2563" s="100"/>
      <c r="AY2563" s="101"/>
      <c r="AZ2563" s="100"/>
      <c r="BA2563" s="101"/>
      <c r="BB2563" s="100"/>
      <c r="BC2563" s="100"/>
      <c r="BD2563" s="100"/>
      <c r="BE2563" s="100"/>
      <c r="BF2563" s="100"/>
      <c r="BG2563" s="100"/>
      <c r="BH2563" s="100"/>
      <c r="BI2563" s="100"/>
      <c r="BJ2563" s="100"/>
      <c r="BK2563" s="102"/>
    </row>
    <row r="2564" spans="1:63" x14ac:dyDescent="0.25">
      <c r="A2564" s="92"/>
      <c r="B2564" s="93"/>
      <c r="C2564" s="93"/>
      <c r="D2564" s="92"/>
      <c r="E2564" s="92"/>
      <c r="F2564" s="92"/>
      <c r="G2564" s="92"/>
      <c r="H2564" s="92"/>
      <c r="I2564" s="92"/>
      <c r="J2564" s="92"/>
      <c r="K2564" s="92"/>
      <c r="L2564" s="92"/>
      <c r="M2564" s="92"/>
      <c r="N2564" s="94"/>
      <c r="AG2564" s="100"/>
      <c r="AH2564" s="101"/>
      <c r="AI2564" s="100"/>
      <c r="AJ2564" s="101"/>
      <c r="AK2564" s="100"/>
      <c r="AL2564" s="100"/>
      <c r="AM2564" s="100"/>
      <c r="AN2564" s="100"/>
      <c r="AO2564" s="100"/>
      <c r="AP2564" s="100"/>
      <c r="AQ2564" s="100"/>
      <c r="AR2564" s="100"/>
      <c r="AS2564" s="100"/>
      <c r="AT2564" s="102"/>
      <c r="AX2564" s="100"/>
      <c r="AY2564" s="101"/>
      <c r="AZ2564" s="100"/>
      <c r="BA2564" s="101"/>
      <c r="BB2564" s="100"/>
      <c r="BC2564" s="100"/>
      <c r="BD2564" s="100"/>
      <c r="BE2564" s="100"/>
      <c r="BF2564" s="100"/>
      <c r="BG2564" s="100"/>
      <c r="BH2564" s="100"/>
      <c r="BI2564" s="100"/>
      <c r="BJ2564" s="100"/>
      <c r="BK2564" s="102"/>
    </row>
    <row r="2565" spans="1:63" x14ac:dyDescent="0.25">
      <c r="A2565" s="92"/>
      <c r="B2565" s="93"/>
      <c r="C2565" s="93"/>
      <c r="D2565" s="92"/>
      <c r="E2565" s="92"/>
      <c r="F2565" s="92"/>
      <c r="G2565" s="92"/>
      <c r="H2565" s="92"/>
      <c r="I2565" s="92"/>
      <c r="J2565" s="92"/>
      <c r="K2565" s="92"/>
      <c r="L2565" s="92"/>
      <c r="M2565" s="92"/>
      <c r="N2565" s="94"/>
      <c r="AG2565" s="100"/>
      <c r="AH2565" s="101"/>
      <c r="AI2565" s="100"/>
      <c r="AJ2565" s="101"/>
      <c r="AK2565" s="100"/>
      <c r="AL2565" s="100"/>
      <c r="AM2565" s="100"/>
      <c r="AN2565" s="100"/>
      <c r="AO2565" s="100"/>
      <c r="AP2565" s="100"/>
      <c r="AQ2565" s="100"/>
      <c r="AR2565" s="100"/>
      <c r="AS2565" s="100"/>
      <c r="AT2565" s="102"/>
      <c r="AX2565" s="100"/>
      <c r="AY2565" s="101"/>
      <c r="AZ2565" s="100"/>
      <c r="BA2565" s="101"/>
      <c r="BB2565" s="100"/>
      <c r="BC2565" s="100"/>
      <c r="BD2565" s="100"/>
      <c r="BE2565" s="100"/>
      <c r="BF2565" s="100"/>
      <c r="BG2565" s="100"/>
      <c r="BH2565" s="100"/>
      <c r="BI2565" s="100"/>
      <c r="BJ2565" s="100"/>
      <c r="BK2565" s="102"/>
    </row>
    <row r="2566" spans="1:63" x14ac:dyDescent="0.25">
      <c r="A2566" s="92"/>
      <c r="B2566" s="93"/>
      <c r="C2566" s="93"/>
      <c r="D2566" s="92"/>
      <c r="E2566" s="92"/>
      <c r="F2566" s="92"/>
      <c r="G2566" s="92"/>
      <c r="H2566" s="92"/>
      <c r="I2566" s="92"/>
      <c r="J2566" s="92"/>
      <c r="K2566" s="92"/>
      <c r="L2566" s="92"/>
      <c r="M2566" s="92"/>
      <c r="N2566" s="94"/>
      <c r="AG2566" s="100"/>
      <c r="AH2566" s="101"/>
      <c r="AI2566" s="100"/>
      <c r="AJ2566" s="101"/>
      <c r="AK2566" s="100"/>
      <c r="AL2566" s="100"/>
      <c r="AM2566" s="100"/>
      <c r="AN2566" s="100"/>
      <c r="AO2566" s="100"/>
      <c r="AP2566" s="100"/>
      <c r="AQ2566" s="100"/>
      <c r="AR2566" s="100"/>
      <c r="AS2566" s="100"/>
      <c r="AT2566" s="102"/>
      <c r="AX2566" s="100"/>
      <c r="AY2566" s="101"/>
      <c r="AZ2566" s="100"/>
      <c r="BA2566" s="101"/>
      <c r="BB2566" s="100"/>
      <c r="BC2566" s="100"/>
      <c r="BD2566" s="100"/>
      <c r="BE2566" s="100"/>
      <c r="BF2566" s="100"/>
      <c r="BG2566" s="100"/>
      <c r="BH2566" s="100"/>
      <c r="BI2566" s="100"/>
      <c r="BJ2566" s="100"/>
      <c r="BK2566" s="102"/>
    </row>
    <row r="2567" spans="1:63" x14ac:dyDescent="0.25">
      <c r="A2567" s="92"/>
      <c r="B2567" s="93"/>
      <c r="C2567" s="93"/>
      <c r="D2567" s="92"/>
      <c r="E2567" s="92"/>
      <c r="F2567" s="92"/>
      <c r="G2567" s="92"/>
      <c r="H2567" s="92"/>
      <c r="I2567" s="92"/>
      <c r="J2567" s="92"/>
      <c r="K2567" s="92"/>
      <c r="L2567" s="92"/>
      <c r="M2567" s="92"/>
      <c r="N2567" s="94"/>
      <c r="AG2567" s="100"/>
      <c r="AH2567" s="101"/>
      <c r="AI2567" s="100"/>
      <c r="AJ2567" s="101"/>
      <c r="AK2567" s="100"/>
      <c r="AL2567" s="100"/>
      <c r="AM2567" s="100"/>
      <c r="AN2567" s="100"/>
      <c r="AO2567" s="100"/>
      <c r="AP2567" s="100"/>
      <c r="AQ2567" s="100"/>
      <c r="AR2567" s="100"/>
      <c r="AS2567" s="100"/>
      <c r="AT2567" s="102"/>
      <c r="AX2567" s="100"/>
      <c r="AY2567" s="101"/>
      <c r="AZ2567" s="100"/>
      <c r="BA2567" s="101"/>
      <c r="BB2567" s="100"/>
      <c r="BC2567" s="100"/>
      <c r="BD2567" s="100"/>
      <c r="BE2567" s="100"/>
      <c r="BF2567" s="100"/>
      <c r="BG2567" s="100"/>
      <c r="BH2567" s="100"/>
      <c r="BI2567" s="100"/>
      <c r="BJ2567" s="100"/>
      <c r="BK2567" s="102"/>
    </row>
    <row r="2568" spans="1:63" x14ac:dyDescent="0.25">
      <c r="A2568" s="92"/>
      <c r="B2568" s="93"/>
      <c r="C2568" s="93"/>
      <c r="D2568" s="92"/>
      <c r="E2568" s="92"/>
      <c r="F2568" s="92"/>
      <c r="G2568" s="92"/>
      <c r="H2568" s="92"/>
      <c r="I2568" s="92"/>
      <c r="J2568" s="92"/>
      <c r="K2568" s="92"/>
      <c r="L2568" s="92"/>
      <c r="M2568" s="92"/>
      <c r="N2568" s="94"/>
      <c r="AG2568" s="100"/>
      <c r="AH2568" s="101"/>
      <c r="AI2568" s="100"/>
      <c r="AJ2568" s="101"/>
      <c r="AK2568" s="100"/>
      <c r="AL2568" s="100"/>
      <c r="AM2568" s="100"/>
      <c r="AN2568" s="100"/>
      <c r="AO2568" s="100"/>
      <c r="AP2568" s="100"/>
      <c r="AQ2568" s="100"/>
      <c r="AR2568" s="100"/>
      <c r="AS2568" s="100"/>
      <c r="AT2568" s="102"/>
      <c r="AX2568" s="100"/>
      <c r="AY2568" s="101"/>
      <c r="AZ2568" s="100"/>
      <c r="BA2568" s="101"/>
      <c r="BB2568" s="100"/>
      <c r="BC2568" s="100"/>
      <c r="BD2568" s="100"/>
      <c r="BE2568" s="100"/>
      <c r="BF2568" s="100"/>
      <c r="BG2568" s="100"/>
      <c r="BH2568" s="100"/>
      <c r="BI2568" s="100"/>
      <c r="BJ2568" s="100"/>
      <c r="BK2568" s="102"/>
    </row>
    <row r="2569" spans="1:63" x14ac:dyDescent="0.25">
      <c r="A2569" s="92"/>
      <c r="B2569" s="93"/>
      <c r="C2569" s="93"/>
      <c r="D2569" s="92"/>
      <c r="E2569" s="92"/>
      <c r="F2569" s="92"/>
      <c r="G2569" s="92"/>
      <c r="H2569" s="92"/>
      <c r="I2569" s="92"/>
      <c r="J2569" s="92"/>
      <c r="K2569" s="92"/>
      <c r="L2569" s="92"/>
      <c r="M2569" s="92"/>
      <c r="N2569" s="94"/>
      <c r="AG2569" s="100"/>
      <c r="AH2569" s="101"/>
      <c r="AI2569" s="100"/>
      <c r="AJ2569" s="101"/>
      <c r="AK2569" s="100"/>
      <c r="AL2569" s="100"/>
      <c r="AM2569" s="100"/>
      <c r="AN2569" s="100"/>
      <c r="AO2569" s="100"/>
      <c r="AP2569" s="100"/>
      <c r="AQ2569" s="100"/>
      <c r="AR2569" s="100"/>
      <c r="AS2569" s="100"/>
      <c r="AT2569" s="102"/>
      <c r="AX2569" s="100"/>
      <c r="AY2569" s="101"/>
      <c r="AZ2569" s="100"/>
      <c r="BA2569" s="101"/>
      <c r="BB2569" s="100"/>
      <c r="BC2569" s="100"/>
      <c r="BD2569" s="100"/>
      <c r="BE2569" s="100"/>
      <c r="BF2569" s="100"/>
      <c r="BG2569" s="100"/>
      <c r="BH2569" s="100"/>
      <c r="BI2569" s="100"/>
      <c r="BJ2569" s="100"/>
      <c r="BK2569" s="102"/>
    </row>
    <row r="2570" spans="1:63" x14ac:dyDescent="0.25">
      <c r="A2570" s="92"/>
      <c r="B2570" s="93"/>
      <c r="C2570" s="93"/>
      <c r="D2570" s="92"/>
      <c r="E2570" s="92"/>
      <c r="F2570" s="92"/>
      <c r="G2570" s="92"/>
      <c r="H2570" s="92"/>
      <c r="I2570" s="92"/>
      <c r="J2570" s="92"/>
      <c r="K2570" s="92"/>
      <c r="L2570" s="92"/>
      <c r="M2570" s="92"/>
      <c r="N2570" s="94"/>
      <c r="AG2570" s="100"/>
      <c r="AH2570" s="101"/>
      <c r="AI2570" s="100"/>
      <c r="AJ2570" s="101"/>
      <c r="AK2570" s="100"/>
      <c r="AL2570" s="100"/>
      <c r="AM2570" s="100"/>
      <c r="AN2570" s="100"/>
      <c r="AO2570" s="100"/>
      <c r="AP2570" s="100"/>
      <c r="AQ2570" s="100"/>
      <c r="AR2570" s="100"/>
      <c r="AS2570" s="100"/>
      <c r="AT2570" s="102"/>
      <c r="AX2570" s="100"/>
      <c r="AY2570" s="101"/>
      <c r="AZ2570" s="101"/>
      <c r="BA2570" s="100"/>
      <c r="BB2570" s="100"/>
      <c r="BC2570" s="100"/>
      <c r="BD2570" s="100"/>
      <c r="BE2570" s="100"/>
      <c r="BF2570" s="100"/>
      <c r="BG2570" s="100"/>
      <c r="BH2570" s="100"/>
      <c r="BI2570" s="100"/>
      <c r="BJ2570" s="100"/>
      <c r="BK2570" s="102"/>
    </row>
    <row r="2571" spans="1:63" x14ac:dyDescent="0.25">
      <c r="A2571" s="92"/>
      <c r="B2571" s="93"/>
      <c r="C2571" s="93"/>
      <c r="D2571" s="92"/>
      <c r="E2571" s="92"/>
      <c r="F2571" s="92"/>
      <c r="G2571" s="92"/>
      <c r="H2571" s="92"/>
      <c r="I2571" s="92"/>
      <c r="J2571" s="92"/>
      <c r="K2571" s="92"/>
      <c r="L2571" s="92"/>
      <c r="M2571" s="92"/>
      <c r="N2571" s="94"/>
      <c r="AG2571" s="100"/>
      <c r="AH2571" s="101"/>
      <c r="AI2571" s="101"/>
      <c r="AJ2571" s="101"/>
      <c r="AK2571" s="100"/>
      <c r="AL2571" s="100"/>
      <c r="AM2571" s="100"/>
      <c r="AN2571" s="100"/>
      <c r="AO2571" s="100"/>
      <c r="AP2571" s="100"/>
      <c r="AQ2571" s="100"/>
      <c r="AR2571" s="100"/>
      <c r="AS2571" s="100"/>
      <c r="AT2571" s="102"/>
      <c r="AX2571" s="100"/>
      <c r="AY2571" s="101"/>
      <c r="AZ2571" s="100"/>
      <c r="BA2571" s="101"/>
      <c r="BB2571" s="100"/>
      <c r="BC2571" s="100"/>
      <c r="BD2571" s="100"/>
      <c r="BE2571" s="100"/>
      <c r="BF2571" s="100"/>
      <c r="BG2571" s="100"/>
      <c r="BH2571" s="100"/>
      <c r="BI2571" s="100"/>
      <c r="BJ2571" s="100"/>
      <c r="BK2571" s="102"/>
    </row>
    <row r="2572" spans="1:63" x14ac:dyDescent="0.25">
      <c r="A2572" s="92"/>
      <c r="B2572" s="93"/>
      <c r="C2572" s="93"/>
      <c r="D2572" s="93"/>
      <c r="E2572" s="92"/>
      <c r="F2572" s="92"/>
      <c r="G2572" s="92"/>
      <c r="H2572" s="92"/>
      <c r="I2572" s="92"/>
      <c r="J2572" s="92"/>
      <c r="K2572" s="92"/>
      <c r="L2572" s="92"/>
      <c r="M2572" s="92"/>
      <c r="N2572" s="94"/>
      <c r="AG2572" s="100"/>
      <c r="AH2572" s="100"/>
      <c r="AI2572" s="100"/>
      <c r="AJ2572" s="101"/>
      <c r="AK2572" s="100"/>
      <c r="AL2572" s="100"/>
      <c r="AM2572" s="100"/>
      <c r="AN2572" s="100"/>
      <c r="AO2572" s="100"/>
      <c r="AP2572" s="100"/>
      <c r="AQ2572" s="100"/>
      <c r="AR2572" s="100"/>
      <c r="AS2572" s="100"/>
      <c r="AT2572" s="100"/>
      <c r="AX2572" s="100"/>
      <c r="AY2572" s="101"/>
      <c r="AZ2572" s="100"/>
      <c r="BA2572" s="101"/>
      <c r="BB2572" s="100"/>
      <c r="BC2572" s="100"/>
      <c r="BD2572" s="100"/>
      <c r="BE2572" s="100"/>
      <c r="BF2572" s="100"/>
      <c r="BG2572" s="100"/>
      <c r="BH2572" s="100"/>
      <c r="BI2572" s="100"/>
      <c r="BJ2572" s="100"/>
      <c r="BK2572" s="102"/>
    </row>
    <row r="2573" spans="1:63" x14ac:dyDescent="0.25">
      <c r="A2573" s="92"/>
      <c r="B2573" s="93"/>
      <c r="C2573" s="93"/>
      <c r="D2573" s="92"/>
      <c r="E2573" s="92"/>
      <c r="F2573" s="92"/>
      <c r="G2573" s="92"/>
      <c r="H2573" s="92"/>
      <c r="I2573" s="92"/>
      <c r="J2573" s="92"/>
      <c r="K2573" s="92"/>
      <c r="L2573" s="92"/>
      <c r="M2573" s="92"/>
      <c r="N2573" s="94"/>
      <c r="AG2573" s="100"/>
      <c r="AH2573" s="100"/>
      <c r="AI2573" s="100"/>
      <c r="AJ2573" s="101"/>
      <c r="AK2573" s="100"/>
      <c r="AL2573" s="100"/>
      <c r="AM2573" s="100"/>
      <c r="AN2573" s="100"/>
      <c r="AO2573" s="100"/>
      <c r="AP2573" s="100"/>
      <c r="AQ2573" s="100"/>
      <c r="AR2573" s="100"/>
      <c r="AS2573" s="100"/>
      <c r="AT2573" s="100"/>
      <c r="AX2573" s="100"/>
      <c r="AY2573" s="101"/>
      <c r="AZ2573" s="100"/>
      <c r="BA2573" s="100"/>
      <c r="BB2573" s="100"/>
      <c r="BC2573" s="100"/>
      <c r="BD2573" s="100"/>
      <c r="BE2573" s="100"/>
      <c r="BF2573" s="100"/>
      <c r="BG2573" s="100"/>
      <c r="BH2573" s="100"/>
      <c r="BI2573" s="100"/>
      <c r="BJ2573" s="100"/>
      <c r="BK2573" s="102"/>
    </row>
    <row r="2574" spans="1:63" x14ac:dyDescent="0.25">
      <c r="A2574" s="92"/>
      <c r="B2574" s="92"/>
      <c r="C2574" s="92"/>
      <c r="D2574" s="92"/>
      <c r="E2574" s="92"/>
      <c r="F2574" s="92"/>
      <c r="G2574" s="92"/>
      <c r="H2574" s="92"/>
      <c r="I2574" s="92"/>
      <c r="J2574" s="92"/>
      <c r="K2574" s="92"/>
      <c r="L2574" s="92"/>
      <c r="M2574" s="92"/>
      <c r="N2574" s="92"/>
      <c r="AG2574" s="100"/>
      <c r="AH2574" s="100"/>
      <c r="AI2574" s="100"/>
      <c r="AJ2574" s="101"/>
      <c r="AK2574" s="100"/>
      <c r="AL2574" s="100"/>
      <c r="AM2574" s="100"/>
      <c r="AN2574" s="100"/>
      <c r="AO2574" s="100"/>
      <c r="AP2574" s="100"/>
      <c r="AQ2574" s="100"/>
      <c r="AR2574" s="100"/>
      <c r="AS2574" s="100"/>
      <c r="AT2574" s="100"/>
      <c r="AX2574" s="100"/>
      <c r="AY2574" s="101"/>
      <c r="AZ2574" s="100"/>
      <c r="BA2574" s="101"/>
      <c r="BB2574" s="100"/>
      <c r="BC2574" s="100"/>
      <c r="BD2574" s="100"/>
      <c r="BE2574" s="100"/>
      <c r="BF2574" s="100"/>
      <c r="BG2574" s="100"/>
      <c r="BH2574" s="100"/>
      <c r="BI2574" s="100"/>
      <c r="BJ2574" s="100"/>
      <c r="BK2574" s="102"/>
    </row>
    <row r="2575" spans="1:63" x14ac:dyDescent="0.25">
      <c r="A2575" s="92"/>
      <c r="B2575" s="92"/>
      <c r="C2575" s="92"/>
      <c r="D2575" s="92"/>
      <c r="E2575" s="92"/>
      <c r="F2575" s="92"/>
      <c r="G2575" s="92"/>
      <c r="H2575" s="92"/>
      <c r="I2575" s="92"/>
      <c r="J2575" s="92"/>
      <c r="K2575" s="92"/>
      <c r="L2575" s="92"/>
      <c r="M2575" s="92"/>
      <c r="N2575" s="92"/>
      <c r="AG2575" s="100"/>
      <c r="AH2575" s="100"/>
      <c r="AI2575" s="100"/>
      <c r="AJ2575" s="101"/>
      <c r="AK2575" s="100"/>
      <c r="AL2575" s="100"/>
      <c r="AM2575" s="100"/>
      <c r="AN2575" s="100"/>
      <c r="AO2575" s="100"/>
      <c r="AP2575" s="100"/>
      <c r="AQ2575" s="100"/>
      <c r="AR2575" s="100"/>
      <c r="AS2575" s="100"/>
      <c r="AT2575" s="100"/>
      <c r="AX2575" s="100"/>
      <c r="AY2575" s="101"/>
      <c r="AZ2575" s="100"/>
      <c r="BA2575" s="101"/>
      <c r="BB2575" s="100"/>
      <c r="BC2575" s="100"/>
      <c r="BD2575" s="100"/>
      <c r="BE2575" s="100"/>
      <c r="BF2575" s="100"/>
      <c r="BG2575" s="100"/>
      <c r="BH2575" s="100"/>
      <c r="BI2575" s="100"/>
      <c r="BJ2575" s="100"/>
      <c r="BK2575" s="102"/>
    </row>
    <row r="2576" spans="1:63" x14ac:dyDescent="0.25">
      <c r="A2576" s="92"/>
      <c r="B2576" s="92"/>
      <c r="C2576" s="92"/>
      <c r="D2576" s="92"/>
      <c r="E2576" s="92"/>
      <c r="F2576" s="92"/>
      <c r="G2576" s="92"/>
      <c r="H2576" s="92"/>
      <c r="I2576" s="92"/>
      <c r="J2576" s="92"/>
      <c r="K2576" s="92"/>
      <c r="L2576" s="92"/>
      <c r="M2576" s="92"/>
      <c r="N2576" s="92"/>
      <c r="AG2576" s="100"/>
      <c r="AH2576" s="101"/>
      <c r="AI2576" s="100"/>
      <c r="AJ2576" s="101"/>
      <c r="AK2576" s="100"/>
      <c r="AL2576" s="100"/>
      <c r="AM2576" s="100"/>
      <c r="AN2576" s="100"/>
      <c r="AO2576" s="100"/>
      <c r="AP2576" s="100"/>
      <c r="AQ2576" s="100"/>
      <c r="AR2576" s="100"/>
      <c r="AS2576" s="100"/>
      <c r="AT2576" s="102"/>
      <c r="AX2576" s="100"/>
      <c r="AY2576" s="101"/>
      <c r="AZ2576" s="100"/>
      <c r="BA2576" s="100"/>
      <c r="BB2576" s="100"/>
      <c r="BC2576" s="100"/>
      <c r="BD2576" s="100"/>
      <c r="BE2576" s="100"/>
      <c r="BF2576" s="100"/>
      <c r="BG2576" s="100"/>
      <c r="BH2576" s="100"/>
      <c r="BI2576" s="100"/>
      <c r="BJ2576" s="100"/>
      <c r="BK2576" s="102"/>
    </row>
    <row r="2577" spans="1:63" x14ac:dyDescent="0.25">
      <c r="A2577" s="92"/>
      <c r="B2577" s="92"/>
      <c r="C2577" s="92"/>
      <c r="D2577" s="92"/>
      <c r="E2577" s="92"/>
      <c r="F2577" s="92"/>
      <c r="G2577" s="92"/>
      <c r="H2577" s="92"/>
      <c r="I2577" s="92"/>
      <c r="J2577" s="92"/>
      <c r="K2577" s="92"/>
      <c r="L2577" s="92"/>
      <c r="M2577" s="92"/>
      <c r="N2577" s="92"/>
      <c r="AG2577" s="100"/>
      <c r="AH2577" s="100"/>
      <c r="AI2577" s="100"/>
      <c r="AJ2577" s="101"/>
      <c r="AK2577" s="100"/>
      <c r="AL2577" s="100"/>
      <c r="AM2577" s="100"/>
      <c r="AN2577" s="100"/>
      <c r="AO2577" s="100"/>
      <c r="AP2577" s="100"/>
      <c r="AQ2577" s="100"/>
      <c r="AR2577" s="100"/>
      <c r="AS2577" s="100"/>
      <c r="AT2577" s="100"/>
      <c r="AX2577" s="100"/>
      <c r="AY2577" s="101"/>
      <c r="AZ2577" s="100"/>
      <c r="BA2577" s="101"/>
      <c r="BB2577" s="100"/>
      <c r="BC2577" s="100"/>
      <c r="BD2577" s="100"/>
      <c r="BE2577" s="100"/>
      <c r="BF2577" s="100"/>
      <c r="BG2577" s="100"/>
      <c r="BH2577" s="100"/>
      <c r="BI2577" s="100"/>
      <c r="BJ2577" s="100"/>
      <c r="BK2577" s="102"/>
    </row>
    <row r="2578" spans="1:63" x14ac:dyDescent="0.25">
      <c r="A2578" s="92"/>
      <c r="B2578" s="92"/>
      <c r="C2578" s="92"/>
      <c r="D2578" s="92"/>
      <c r="E2578" s="92"/>
      <c r="F2578" s="92"/>
      <c r="G2578" s="92"/>
      <c r="H2578" s="92"/>
      <c r="I2578" s="92"/>
      <c r="J2578" s="92"/>
      <c r="K2578" s="92"/>
      <c r="L2578" s="92"/>
      <c r="M2578" s="92"/>
      <c r="N2578" s="92"/>
      <c r="AG2578" s="100"/>
      <c r="AH2578" s="101"/>
      <c r="AI2578" s="100"/>
      <c r="AJ2578" s="101"/>
      <c r="AK2578" s="100"/>
      <c r="AL2578" s="100"/>
      <c r="AM2578" s="100"/>
      <c r="AN2578" s="100"/>
      <c r="AO2578" s="100"/>
      <c r="AP2578" s="100"/>
      <c r="AQ2578" s="100"/>
      <c r="AR2578" s="100"/>
      <c r="AS2578" s="100"/>
      <c r="AT2578" s="102"/>
      <c r="AX2578" s="100"/>
      <c r="AY2578" s="101"/>
      <c r="AZ2578" s="100"/>
      <c r="BA2578" s="101"/>
      <c r="BB2578" s="100"/>
      <c r="BC2578" s="100"/>
      <c r="BD2578" s="100"/>
      <c r="BE2578" s="100"/>
      <c r="BF2578" s="100"/>
      <c r="BG2578" s="100"/>
      <c r="BH2578" s="100"/>
      <c r="BI2578" s="100"/>
      <c r="BJ2578" s="100"/>
      <c r="BK2578" s="102"/>
    </row>
    <row r="2579" spans="1:63" x14ac:dyDescent="0.25">
      <c r="A2579" s="92"/>
      <c r="B2579" s="92"/>
      <c r="C2579" s="92"/>
      <c r="D2579" s="92"/>
      <c r="E2579" s="92"/>
      <c r="F2579" s="92"/>
      <c r="G2579" s="92"/>
      <c r="H2579" s="92"/>
      <c r="I2579" s="92"/>
      <c r="J2579" s="92"/>
      <c r="K2579" s="92"/>
      <c r="L2579" s="92"/>
      <c r="M2579" s="92"/>
      <c r="N2579" s="92"/>
      <c r="AG2579" s="100"/>
      <c r="AH2579" s="101"/>
      <c r="AI2579" s="100"/>
      <c r="AJ2579" s="101"/>
      <c r="AK2579" s="100"/>
      <c r="AL2579" s="100"/>
      <c r="AM2579" s="100"/>
      <c r="AN2579" s="100"/>
      <c r="AO2579" s="100"/>
      <c r="AP2579" s="100"/>
      <c r="AQ2579" s="100"/>
      <c r="AR2579" s="100"/>
      <c r="AS2579" s="100"/>
      <c r="AT2579" s="102"/>
      <c r="AX2579" s="100"/>
      <c r="AY2579" s="101"/>
      <c r="AZ2579" s="100"/>
      <c r="BA2579" s="101"/>
      <c r="BB2579" s="100"/>
      <c r="BC2579" s="100"/>
      <c r="BD2579" s="100"/>
      <c r="BE2579" s="100"/>
      <c r="BF2579" s="100"/>
      <c r="BG2579" s="100"/>
      <c r="BH2579" s="100"/>
      <c r="BI2579" s="100"/>
      <c r="BJ2579" s="100"/>
      <c r="BK2579" s="102"/>
    </row>
    <row r="2580" spans="1:63" x14ac:dyDescent="0.25">
      <c r="A2580" s="92"/>
      <c r="B2580" s="92"/>
      <c r="C2580" s="92"/>
      <c r="D2580" s="92"/>
      <c r="E2580" s="92"/>
      <c r="F2580" s="92"/>
      <c r="G2580" s="92"/>
      <c r="H2580" s="92"/>
      <c r="I2580" s="92"/>
      <c r="J2580" s="92"/>
      <c r="K2580" s="92"/>
      <c r="L2580" s="92"/>
      <c r="M2580" s="92"/>
      <c r="N2580" s="92"/>
      <c r="AG2580" s="100"/>
      <c r="AH2580" s="101"/>
      <c r="AI2580" s="100"/>
      <c r="AJ2580" s="101"/>
      <c r="AK2580" s="100"/>
      <c r="AL2580" s="100"/>
      <c r="AM2580" s="100"/>
      <c r="AN2580" s="100"/>
      <c r="AO2580" s="100"/>
      <c r="AP2580" s="100"/>
      <c r="AQ2580" s="100"/>
      <c r="AR2580" s="100"/>
      <c r="AS2580" s="100"/>
      <c r="AT2580" s="102"/>
      <c r="AX2580" s="100"/>
      <c r="AY2580" s="101"/>
      <c r="AZ2580" s="100"/>
      <c r="BA2580" s="101"/>
      <c r="BB2580" s="100"/>
      <c r="BC2580" s="100"/>
      <c r="BD2580" s="100"/>
      <c r="BE2580" s="100"/>
      <c r="BF2580" s="100"/>
      <c r="BG2580" s="100"/>
      <c r="BH2580" s="100"/>
      <c r="BI2580" s="100"/>
      <c r="BJ2580" s="100"/>
      <c r="BK2580" s="102"/>
    </row>
    <row r="2581" spans="1:63" x14ac:dyDescent="0.25">
      <c r="A2581" s="92"/>
      <c r="B2581" s="92"/>
      <c r="C2581" s="92"/>
      <c r="D2581" s="92"/>
      <c r="E2581" s="92"/>
      <c r="F2581" s="92"/>
      <c r="G2581" s="92"/>
      <c r="H2581" s="92"/>
      <c r="I2581" s="92"/>
      <c r="J2581" s="92"/>
      <c r="K2581" s="92"/>
      <c r="L2581" s="92"/>
      <c r="M2581" s="92"/>
      <c r="N2581" s="92"/>
      <c r="AG2581" s="100"/>
      <c r="AH2581" s="101"/>
      <c r="AI2581" s="100"/>
      <c r="AJ2581" s="101"/>
      <c r="AK2581" s="100"/>
      <c r="AL2581" s="100"/>
      <c r="AM2581" s="100"/>
      <c r="AN2581" s="100"/>
      <c r="AO2581" s="100"/>
      <c r="AP2581" s="100"/>
      <c r="AQ2581" s="100"/>
      <c r="AR2581" s="100"/>
      <c r="AS2581" s="100"/>
      <c r="AT2581" s="102"/>
      <c r="AX2581" s="100"/>
      <c r="AY2581" s="101"/>
      <c r="AZ2581" s="100"/>
      <c r="BA2581" s="101"/>
      <c r="BB2581" s="100"/>
      <c r="BC2581" s="100"/>
      <c r="BD2581" s="100"/>
      <c r="BE2581" s="100"/>
      <c r="BF2581" s="100"/>
      <c r="BG2581" s="100"/>
      <c r="BH2581" s="100"/>
      <c r="BI2581" s="100"/>
      <c r="BJ2581" s="100"/>
      <c r="BK2581" s="102"/>
    </row>
    <row r="2582" spans="1:63" x14ac:dyDescent="0.25">
      <c r="A2582" s="92"/>
      <c r="B2582" s="92"/>
      <c r="C2582" s="92"/>
      <c r="D2582" s="92"/>
      <c r="E2582" s="92"/>
      <c r="F2582" s="92"/>
      <c r="G2582" s="92"/>
      <c r="H2582" s="92"/>
      <c r="I2582" s="92"/>
      <c r="J2582" s="92"/>
      <c r="K2582" s="92"/>
      <c r="L2582" s="92"/>
      <c r="M2582" s="92"/>
      <c r="N2582" s="92"/>
      <c r="AG2582" s="100"/>
      <c r="AH2582" s="101"/>
      <c r="AI2582" s="100"/>
      <c r="AJ2582" s="101"/>
      <c r="AK2582" s="100"/>
      <c r="AL2582" s="100"/>
      <c r="AM2582" s="100"/>
      <c r="AN2582" s="100"/>
      <c r="AO2582" s="100"/>
      <c r="AP2582" s="100"/>
      <c r="AQ2582" s="100"/>
      <c r="AR2582" s="100"/>
      <c r="AS2582" s="100"/>
      <c r="AT2582" s="102"/>
      <c r="AX2582" s="100"/>
      <c r="AY2582" s="101"/>
      <c r="AZ2582" s="100"/>
      <c r="BA2582" s="101"/>
      <c r="BB2582" s="100"/>
      <c r="BC2582" s="100"/>
      <c r="BD2582" s="100"/>
      <c r="BE2582" s="100"/>
      <c r="BF2582" s="100"/>
      <c r="BG2582" s="100"/>
      <c r="BH2582" s="100"/>
      <c r="BI2582" s="100"/>
      <c r="BJ2582" s="100"/>
      <c r="BK2582" s="102"/>
    </row>
    <row r="2583" spans="1:63" x14ac:dyDescent="0.25">
      <c r="A2583" s="92"/>
      <c r="B2583" s="92"/>
      <c r="C2583" s="92"/>
      <c r="D2583" s="92"/>
      <c r="E2583" s="92"/>
      <c r="F2583" s="92"/>
      <c r="G2583" s="92"/>
      <c r="H2583" s="92"/>
      <c r="I2583" s="92"/>
      <c r="J2583" s="92"/>
      <c r="K2583" s="92"/>
      <c r="L2583" s="92"/>
      <c r="M2583" s="92"/>
      <c r="N2583" s="92"/>
      <c r="AG2583" s="100"/>
      <c r="AH2583" s="101"/>
      <c r="AI2583" s="100"/>
      <c r="AJ2583" s="101"/>
      <c r="AK2583" s="100"/>
      <c r="AL2583" s="100"/>
      <c r="AM2583" s="100"/>
      <c r="AN2583" s="100"/>
      <c r="AO2583" s="100"/>
      <c r="AP2583" s="100"/>
      <c r="AQ2583" s="100"/>
      <c r="AR2583" s="100"/>
      <c r="AS2583" s="100"/>
      <c r="AT2583" s="102"/>
      <c r="AX2583" s="100"/>
      <c r="AY2583" s="101"/>
      <c r="AZ2583" s="101"/>
      <c r="BA2583" s="100"/>
      <c r="BB2583" s="100"/>
      <c r="BC2583" s="100"/>
      <c r="BD2583" s="100"/>
      <c r="BE2583" s="100"/>
      <c r="BF2583" s="100"/>
      <c r="BG2583" s="100"/>
      <c r="BH2583" s="100"/>
      <c r="BI2583" s="100"/>
      <c r="BJ2583" s="100"/>
      <c r="BK2583" s="102"/>
    </row>
    <row r="2584" spans="1:63" x14ac:dyDescent="0.25">
      <c r="A2584" s="92"/>
      <c r="B2584" s="92"/>
      <c r="C2584" s="92"/>
      <c r="D2584" s="92"/>
      <c r="E2584" s="92"/>
      <c r="F2584" s="92"/>
      <c r="G2584" s="92"/>
      <c r="H2584" s="92"/>
      <c r="I2584" s="92"/>
      <c r="J2584" s="92"/>
      <c r="K2584" s="92"/>
      <c r="L2584" s="92"/>
      <c r="M2584" s="92"/>
      <c r="N2584" s="92"/>
      <c r="AG2584" s="100"/>
      <c r="AH2584" s="101"/>
      <c r="AI2584" s="100"/>
      <c r="AJ2584" s="101"/>
      <c r="AK2584" s="100"/>
      <c r="AL2584" s="100"/>
      <c r="AM2584" s="100"/>
      <c r="AN2584" s="100"/>
      <c r="AO2584" s="100"/>
      <c r="AP2584" s="100"/>
      <c r="AQ2584" s="100"/>
      <c r="AR2584" s="100"/>
      <c r="AS2584" s="100"/>
      <c r="AT2584" s="102"/>
      <c r="AX2584" s="100"/>
      <c r="AY2584" s="101"/>
      <c r="AZ2584" s="100"/>
      <c r="BA2584" s="101"/>
      <c r="BB2584" s="100"/>
      <c r="BC2584" s="100"/>
      <c r="BD2584" s="100"/>
      <c r="BE2584" s="100"/>
      <c r="BF2584" s="100"/>
      <c r="BG2584" s="100"/>
      <c r="BH2584" s="100"/>
      <c r="BI2584" s="100"/>
      <c r="BJ2584" s="100"/>
      <c r="BK2584" s="102"/>
    </row>
    <row r="2585" spans="1:63" x14ac:dyDescent="0.25">
      <c r="A2585" s="92"/>
      <c r="B2585" s="92"/>
      <c r="C2585" s="92"/>
      <c r="D2585" s="92"/>
      <c r="E2585" s="92"/>
      <c r="F2585" s="92"/>
      <c r="G2585" s="92"/>
      <c r="H2585" s="92"/>
      <c r="I2585" s="92"/>
      <c r="J2585" s="92"/>
      <c r="K2585" s="92"/>
      <c r="L2585" s="92"/>
      <c r="M2585" s="92"/>
      <c r="N2585" s="92"/>
      <c r="AG2585" s="100"/>
      <c r="AH2585" s="101"/>
      <c r="AI2585" s="100"/>
      <c r="AJ2585" s="101"/>
      <c r="AK2585" s="100"/>
      <c r="AL2585" s="100"/>
      <c r="AM2585" s="100"/>
      <c r="AN2585" s="100"/>
      <c r="AO2585" s="100"/>
      <c r="AP2585" s="100"/>
      <c r="AQ2585" s="100"/>
      <c r="AR2585" s="100"/>
      <c r="AS2585" s="100"/>
      <c r="AT2585" s="102"/>
      <c r="AX2585" s="100"/>
      <c r="AY2585" s="101"/>
      <c r="AZ2585" s="100"/>
      <c r="BA2585" s="101"/>
      <c r="BB2585" s="100"/>
      <c r="BC2585" s="100"/>
      <c r="BD2585" s="100"/>
      <c r="BE2585" s="100"/>
      <c r="BF2585" s="100"/>
      <c r="BG2585" s="100"/>
      <c r="BH2585" s="100"/>
      <c r="BI2585" s="100"/>
      <c r="BJ2585" s="100"/>
      <c r="BK2585" s="102"/>
    </row>
    <row r="2586" spans="1:63" x14ac:dyDescent="0.25">
      <c r="A2586" s="92"/>
      <c r="B2586" s="92"/>
      <c r="C2586" s="92"/>
      <c r="D2586" s="92"/>
      <c r="E2586" s="92"/>
      <c r="F2586" s="92"/>
      <c r="G2586" s="92"/>
      <c r="H2586" s="92"/>
      <c r="I2586" s="92"/>
      <c r="J2586" s="92"/>
      <c r="K2586" s="92"/>
      <c r="L2586" s="92"/>
      <c r="M2586" s="92"/>
      <c r="N2586" s="92"/>
      <c r="AG2586" s="100"/>
      <c r="AH2586" s="101"/>
      <c r="AI2586" s="100"/>
      <c r="AJ2586" s="101"/>
      <c r="AK2586" s="100"/>
      <c r="AL2586" s="100"/>
      <c r="AM2586" s="100"/>
      <c r="AN2586" s="100"/>
      <c r="AO2586" s="100"/>
      <c r="AP2586" s="100"/>
      <c r="AQ2586" s="100"/>
      <c r="AR2586" s="100"/>
      <c r="AS2586" s="100"/>
      <c r="AT2586" s="102"/>
      <c r="AX2586" s="100"/>
      <c r="AY2586" s="100"/>
      <c r="AZ2586" s="100"/>
      <c r="BA2586" s="101"/>
      <c r="BB2586" s="100"/>
      <c r="BC2586" s="100"/>
      <c r="BD2586" s="100"/>
      <c r="BE2586" s="100"/>
      <c r="BF2586" s="100"/>
      <c r="BG2586" s="100"/>
      <c r="BH2586" s="100"/>
      <c r="BI2586" s="100"/>
      <c r="BJ2586" s="100"/>
      <c r="BK2586" s="100"/>
    </row>
    <row r="2587" spans="1:63" x14ac:dyDescent="0.25">
      <c r="A2587" s="92"/>
      <c r="B2587" s="92"/>
      <c r="C2587" s="92"/>
      <c r="D2587" s="92"/>
      <c r="E2587" s="92"/>
      <c r="F2587" s="92"/>
      <c r="G2587" s="92"/>
      <c r="H2587" s="92"/>
      <c r="I2587" s="92"/>
      <c r="J2587" s="92"/>
      <c r="K2587" s="92"/>
      <c r="L2587" s="92"/>
      <c r="M2587" s="92"/>
      <c r="N2587" s="92"/>
      <c r="AG2587" s="100"/>
      <c r="AH2587" s="101"/>
      <c r="AI2587" s="100"/>
      <c r="AJ2587" s="101"/>
      <c r="AK2587" s="100"/>
      <c r="AL2587" s="100"/>
      <c r="AM2587" s="100"/>
      <c r="AN2587" s="100"/>
      <c r="AO2587" s="100"/>
      <c r="AP2587" s="100"/>
      <c r="AQ2587" s="100"/>
      <c r="AR2587" s="100"/>
      <c r="AS2587" s="100"/>
      <c r="AT2587" s="102"/>
      <c r="AX2587" s="100"/>
      <c r="AY2587" s="100"/>
      <c r="AZ2587" s="100"/>
      <c r="BA2587" s="101"/>
      <c r="BB2587" s="100"/>
      <c r="BC2587" s="100"/>
      <c r="BD2587" s="100"/>
      <c r="BE2587" s="100"/>
      <c r="BF2587" s="100"/>
      <c r="BG2587" s="100"/>
      <c r="BH2587" s="100"/>
      <c r="BI2587" s="100"/>
      <c r="BJ2587" s="100"/>
      <c r="BK2587" s="100"/>
    </row>
    <row r="2588" spans="1:63" x14ac:dyDescent="0.25">
      <c r="A2588" s="92"/>
      <c r="B2588" s="93"/>
      <c r="C2588" s="93"/>
      <c r="D2588" s="92"/>
      <c r="E2588" s="92"/>
      <c r="F2588" s="92"/>
      <c r="G2588" s="92"/>
      <c r="H2588" s="92"/>
      <c r="I2588" s="92"/>
      <c r="J2588" s="92"/>
      <c r="K2588" s="92"/>
      <c r="L2588" s="92"/>
      <c r="M2588" s="92"/>
      <c r="N2588" s="94"/>
      <c r="AG2588" s="100"/>
      <c r="AH2588" s="101"/>
      <c r="AI2588" s="100"/>
      <c r="AJ2588" s="101"/>
      <c r="AK2588" s="100"/>
      <c r="AL2588" s="100"/>
      <c r="AM2588" s="100"/>
      <c r="AN2588" s="100"/>
      <c r="AO2588" s="100"/>
      <c r="AP2588" s="100"/>
      <c r="AQ2588" s="100"/>
      <c r="AR2588" s="100"/>
      <c r="AS2588" s="100"/>
      <c r="AT2588" s="102"/>
      <c r="AX2588" s="100"/>
      <c r="AY2588" s="100"/>
      <c r="AZ2588" s="100"/>
      <c r="BA2588" s="101"/>
      <c r="BB2588" s="100"/>
      <c r="BC2588" s="100"/>
      <c r="BD2588" s="100"/>
      <c r="BE2588" s="100"/>
      <c r="BF2588" s="100"/>
      <c r="BG2588" s="100"/>
      <c r="BH2588" s="100"/>
      <c r="BI2588" s="100"/>
      <c r="BJ2588" s="100"/>
      <c r="BK2588" s="100"/>
    </row>
    <row r="2589" spans="1:63" x14ac:dyDescent="0.25">
      <c r="A2589" s="92"/>
      <c r="B2589" s="93"/>
      <c r="C2589" s="93"/>
      <c r="D2589" s="92"/>
      <c r="E2589" s="92"/>
      <c r="F2589" s="92"/>
      <c r="G2589" s="92"/>
      <c r="H2589" s="92"/>
      <c r="I2589" s="92"/>
      <c r="J2589" s="92"/>
      <c r="K2589" s="92"/>
      <c r="L2589" s="92"/>
      <c r="M2589" s="92"/>
      <c r="N2589" s="94"/>
      <c r="AG2589" s="100"/>
      <c r="AH2589" s="101"/>
      <c r="AI2589" s="100"/>
      <c r="AJ2589" s="101"/>
      <c r="AK2589" s="100"/>
      <c r="AL2589" s="100"/>
      <c r="AM2589" s="100"/>
      <c r="AN2589" s="100"/>
      <c r="AO2589" s="100"/>
      <c r="AP2589" s="100"/>
      <c r="AQ2589" s="100"/>
      <c r="AR2589" s="100"/>
      <c r="AS2589" s="100"/>
      <c r="AT2589" s="102"/>
      <c r="AX2589" s="100"/>
      <c r="AY2589" s="100"/>
      <c r="AZ2589" s="100"/>
      <c r="BA2589" s="101"/>
      <c r="BB2589" s="100"/>
      <c r="BC2589" s="100"/>
      <c r="BD2589" s="100"/>
      <c r="BE2589" s="100"/>
      <c r="BF2589" s="100"/>
      <c r="BG2589" s="100"/>
      <c r="BH2589" s="100"/>
      <c r="BI2589" s="100"/>
      <c r="BJ2589" s="100"/>
      <c r="BK2589" s="100"/>
    </row>
    <row r="2590" spans="1:63" x14ac:dyDescent="0.25">
      <c r="A2590" s="92"/>
      <c r="B2590" s="93"/>
      <c r="C2590" s="93"/>
      <c r="D2590" s="92"/>
      <c r="E2590" s="92"/>
      <c r="F2590" s="92"/>
      <c r="G2590" s="92"/>
      <c r="H2590" s="92"/>
      <c r="I2590" s="92"/>
      <c r="J2590" s="92"/>
      <c r="K2590" s="92"/>
      <c r="L2590" s="92"/>
      <c r="M2590" s="92"/>
      <c r="N2590" s="94"/>
      <c r="AG2590" s="100"/>
      <c r="AH2590" s="101"/>
      <c r="AI2590" s="100"/>
      <c r="AJ2590" s="101"/>
      <c r="AK2590" s="100"/>
      <c r="AL2590" s="100"/>
      <c r="AM2590" s="100"/>
      <c r="AN2590" s="100"/>
      <c r="AO2590" s="100"/>
      <c r="AP2590" s="100"/>
      <c r="AQ2590" s="100"/>
      <c r="AR2590" s="100"/>
      <c r="AS2590" s="100"/>
      <c r="AT2590" s="102"/>
      <c r="AX2590" s="100"/>
      <c r="AY2590" s="100"/>
      <c r="AZ2590" s="100"/>
      <c r="BA2590" s="101"/>
      <c r="BB2590" s="100"/>
      <c r="BC2590" s="100"/>
      <c r="BD2590" s="100"/>
      <c r="BE2590" s="100"/>
      <c r="BF2590" s="100"/>
      <c r="BG2590" s="100"/>
      <c r="BH2590" s="100"/>
      <c r="BI2590" s="100"/>
      <c r="BJ2590" s="100"/>
      <c r="BK2590" s="100"/>
    </row>
    <row r="2591" spans="1:63" x14ac:dyDescent="0.25">
      <c r="A2591" s="92"/>
      <c r="B2591" s="93"/>
      <c r="C2591" s="93"/>
      <c r="D2591" s="92"/>
      <c r="E2591" s="92"/>
      <c r="F2591" s="92"/>
      <c r="G2591" s="92"/>
      <c r="H2591" s="92"/>
      <c r="I2591" s="92"/>
      <c r="J2591" s="92"/>
      <c r="K2591" s="92"/>
      <c r="L2591" s="92"/>
      <c r="M2591" s="92"/>
      <c r="N2591" s="94"/>
      <c r="AG2591" s="100"/>
      <c r="AH2591" s="101"/>
      <c r="AI2591" s="100"/>
      <c r="AJ2591" s="101"/>
      <c r="AK2591" s="100"/>
      <c r="AL2591" s="100"/>
      <c r="AM2591" s="100"/>
      <c r="AN2591" s="100"/>
      <c r="AO2591" s="100"/>
      <c r="AP2591" s="100"/>
      <c r="AQ2591" s="100"/>
      <c r="AR2591" s="100"/>
      <c r="AS2591" s="100"/>
      <c r="AT2591" s="102"/>
      <c r="AX2591" s="100"/>
      <c r="AY2591" s="100"/>
      <c r="AZ2591" s="100"/>
      <c r="BA2591" s="101"/>
      <c r="BB2591" s="100"/>
      <c r="BC2591" s="100"/>
      <c r="BD2591" s="100"/>
      <c r="BE2591" s="100"/>
      <c r="BF2591" s="100"/>
      <c r="BG2591" s="100"/>
      <c r="BH2591" s="100"/>
      <c r="BI2591" s="100"/>
      <c r="BJ2591" s="100"/>
      <c r="BK2591" s="100"/>
    </row>
    <row r="2592" spans="1:63" x14ac:dyDescent="0.25">
      <c r="A2592" s="92"/>
      <c r="B2592" s="93"/>
      <c r="C2592" s="93"/>
      <c r="D2592" s="93"/>
      <c r="E2592" s="92"/>
      <c r="F2592" s="92"/>
      <c r="G2592" s="92"/>
      <c r="H2592" s="92"/>
      <c r="I2592" s="92"/>
      <c r="J2592" s="92"/>
      <c r="K2592" s="92"/>
      <c r="L2592" s="92"/>
      <c r="M2592" s="92"/>
      <c r="N2592" s="94"/>
      <c r="AG2592" s="100"/>
      <c r="AH2592" s="101"/>
      <c r="AI2592" s="100"/>
      <c r="AJ2592" s="101"/>
      <c r="AK2592" s="100"/>
      <c r="AL2592" s="100"/>
      <c r="AM2592" s="100"/>
      <c r="AN2592" s="100"/>
      <c r="AO2592" s="100"/>
      <c r="AP2592" s="100"/>
      <c r="AQ2592" s="100"/>
      <c r="AR2592" s="100"/>
      <c r="AS2592" s="100"/>
      <c r="AT2592" s="102"/>
      <c r="AX2592" s="100"/>
      <c r="AY2592" s="100"/>
      <c r="AZ2592" s="100"/>
      <c r="BA2592" s="101"/>
      <c r="BB2592" s="100"/>
      <c r="BC2592" s="100"/>
      <c r="BD2592" s="100"/>
      <c r="BE2592" s="100"/>
      <c r="BF2592" s="100"/>
      <c r="BG2592" s="100"/>
      <c r="BH2592" s="100"/>
      <c r="BI2592" s="100"/>
      <c r="BJ2592" s="100"/>
      <c r="BK2592" s="100"/>
    </row>
    <row r="2593" spans="1:63" x14ac:dyDescent="0.25">
      <c r="A2593" s="92"/>
      <c r="B2593" s="92"/>
      <c r="C2593" s="92"/>
      <c r="D2593" s="92"/>
      <c r="E2593" s="92"/>
      <c r="F2593" s="92"/>
      <c r="G2593" s="92"/>
      <c r="H2593" s="92"/>
      <c r="I2593" s="92"/>
      <c r="J2593" s="92"/>
      <c r="K2593" s="92"/>
      <c r="L2593" s="92"/>
      <c r="M2593" s="92"/>
      <c r="N2593" s="92"/>
      <c r="AG2593" s="100"/>
      <c r="AH2593" s="101"/>
      <c r="AI2593" s="101"/>
      <c r="AJ2593" s="101"/>
      <c r="AK2593" s="100"/>
      <c r="AL2593" s="100"/>
      <c r="AM2593" s="100"/>
      <c r="AN2593" s="100"/>
      <c r="AO2593" s="100"/>
      <c r="AP2593" s="100"/>
      <c r="AQ2593" s="100"/>
      <c r="AR2593" s="100"/>
      <c r="AS2593" s="100"/>
      <c r="AT2593" s="102"/>
      <c r="AX2593" s="100"/>
      <c r="AY2593" s="100"/>
      <c r="AZ2593" s="100"/>
      <c r="BA2593" s="101"/>
      <c r="BB2593" s="100"/>
      <c r="BC2593" s="100"/>
      <c r="BD2593" s="100"/>
      <c r="BE2593" s="100"/>
      <c r="BF2593" s="100"/>
      <c r="BG2593" s="100"/>
      <c r="BH2593" s="100"/>
      <c r="BI2593" s="100"/>
      <c r="BJ2593" s="100"/>
      <c r="BK2593" s="100"/>
    </row>
    <row r="2594" spans="1:63" x14ac:dyDescent="0.25">
      <c r="A2594" s="92"/>
      <c r="B2594" s="93"/>
      <c r="C2594" s="93"/>
      <c r="D2594" s="92"/>
      <c r="E2594" s="92"/>
      <c r="F2594" s="92"/>
      <c r="G2594" s="92"/>
      <c r="H2594" s="92"/>
      <c r="I2594" s="92"/>
      <c r="J2594" s="92"/>
      <c r="K2594" s="92"/>
      <c r="L2594" s="92"/>
      <c r="M2594" s="92"/>
      <c r="N2594" s="94"/>
      <c r="AG2594" s="100"/>
      <c r="AH2594" s="101"/>
      <c r="AI2594" s="101"/>
      <c r="AJ2594" s="101"/>
      <c r="AK2594" s="100"/>
      <c r="AL2594" s="100"/>
      <c r="AM2594" s="100"/>
      <c r="AN2594" s="100"/>
      <c r="AO2594" s="100"/>
      <c r="AP2594" s="100"/>
      <c r="AQ2594" s="100"/>
      <c r="AR2594" s="100"/>
      <c r="AS2594" s="100"/>
      <c r="AT2594" s="102"/>
      <c r="AX2594" s="100"/>
      <c r="AY2594" s="100"/>
      <c r="AZ2594" s="100"/>
      <c r="BA2594" s="101"/>
      <c r="BB2594" s="100"/>
      <c r="BC2594" s="100"/>
      <c r="BD2594" s="100"/>
      <c r="BE2594" s="100"/>
      <c r="BF2594" s="100"/>
      <c r="BG2594" s="100"/>
      <c r="BH2594" s="100"/>
      <c r="BI2594" s="100"/>
      <c r="BJ2594" s="100"/>
      <c r="BK2594" s="100"/>
    </row>
    <row r="2595" spans="1:63" x14ac:dyDescent="0.25">
      <c r="A2595" s="92"/>
      <c r="B2595" s="92"/>
      <c r="C2595" s="92"/>
      <c r="D2595" s="92"/>
      <c r="E2595" s="92"/>
      <c r="F2595" s="92"/>
      <c r="G2595" s="92"/>
      <c r="H2595" s="92"/>
      <c r="I2595" s="92"/>
      <c r="J2595" s="92"/>
      <c r="K2595" s="92"/>
      <c r="L2595" s="92"/>
      <c r="M2595" s="92"/>
      <c r="N2595" s="92"/>
      <c r="AG2595" s="100"/>
      <c r="AH2595" s="101"/>
      <c r="AI2595" s="101"/>
      <c r="AJ2595" s="101"/>
      <c r="AK2595" s="100"/>
      <c r="AL2595" s="100"/>
      <c r="AM2595" s="100"/>
      <c r="AN2595" s="100"/>
      <c r="AO2595" s="100"/>
      <c r="AP2595" s="100"/>
      <c r="AQ2595" s="100"/>
      <c r="AR2595" s="100"/>
      <c r="AS2595" s="100"/>
      <c r="AT2595" s="102"/>
      <c r="AX2595" s="100"/>
      <c r="AY2595" s="100"/>
      <c r="AZ2595" s="100"/>
      <c r="BA2595" s="101"/>
      <c r="BB2595" s="100"/>
      <c r="BC2595" s="100"/>
      <c r="BD2595" s="100"/>
      <c r="BE2595" s="100"/>
      <c r="BF2595" s="100"/>
      <c r="BG2595" s="100"/>
      <c r="BH2595" s="100"/>
      <c r="BI2595" s="100"/>
      <c r="BJ2595" s="100"/>
      <c r="BK2595" s="100"/>
    </row>
    <row r="2596" spans="1:63" x14ac:dyDescent="0.25">
      <c r="A2596" s="92"/>
      <c r="B2596" s="92"/>
      <c r="C2596" s="92"/>
      <c r="D2596" s="92"/>
      <c r="E2596" s="92"/>
      <c r="F2596" s="92"/>
      <c r="G2596" s="92"/>
      <c r="H2596" s="92"/>
      <c r="I2596" s="92"/>
      <c r="J2596" s="92"/>
      <c r="K2596" s="92"/>
      <c r="L2596" s="92"/>
      <c r="M2596" s="92"/>
      <c r="N2596" s="92"/>
      <c r="AG2596" s="100"/>
      <c r="AH2596" s="100"/>
      <c r="AI2596" s="100"/>
      <c r="AJ2596" s="101"/>
      <c r="AK2596" s="100"/>
      <c r="AL2596" s="100"/>
      <c r="AM2596" s="100"/>
      <c r="AN2596" s="100"/>
      <c r="AO2596" s="100"/>
      <c r="AP2596" s="100"/>
      <c r="AQ2596" s="100"/>
      <c r="AR2596" s="100"/>
      <c r="AS2596" s="100"/>
      <c r="AT2596" s="100"/>
      <c r="AX2596" s="100"/>
      <c r="AY2596" s="100"/>
      <c r="AZ2596" s="100"/>
      <c r="BA2596" s="101"/>
      <c r="BB2596" s="100"/>
      <c r="BC2596" s="100"/>
      <c r="BD2596" s="100"/>
      <c r="BE2596" s="100"/>
      <c r="BF2596" s="100"/>
      <c r="BG2596" s="100"/>
      <c r="BH2596" s="100"/>
      <c r="BI2596" s="100"/>
      <c r="BJ2596" s="100"/>
      <c r="BK2596" s="100"/>
    </row>
    <row r="2597" spans="1:63" x14ac:dyDescent="0.25">
      <c r="A2597" s="92"/>
      <c r="B2597" s="92"/>
      <c r="C2597" s="92"/>
      <c r="D2597" s="92"/>
      <c r="E2597" s="92"/>
      <c r="F2597" s="92"/>
      <c r="G2597" s="92"/>
      <c r="H2597" s="92"/>
      <c r="I2597" s="92"/>
      <c r="J2597" s="92"/>
      <c r="K2597" s="92"/>
      <c r="L2597" s="92"/>
      <c r="M2597" s="92"/>
      <c r="N2597" s="92"/>
      <c r="AG2597" s="100"/>
      <c r="AH2597" s="100"/>
      <c r="AI2597" s="100"/>
      <c r="AJ2597" s="101"/>
      <c r="AK2597" s="100"/>
      <c r="AL2597" s="100"/>
      <c r="AM2597" s="100"/>
      <c r="AN2597" s="100"/>
      <c r="AO2597" s="100"/>
      <c r="AP2597" s="100"/>
      <c r="AQ2597" s="100"/>
      <c r="AR2597" s="100"/>
      <c r="AS2597" s="100"/>
      <c r="AT2597" s="100"/>
      <c r="AX2597" s="100"/>
      <c r="AY2597" s="100"/>
      <c r="AZ2597" s="100"/>
      <c r="BA2597" s="101"/>
      <c r="BB2597" s="100"/>
      <c r="BC2597" s="100"/>
      <c r="BD2597" s="100"/>
      <c r="BE2597" s="100"/>
      <c r="BF2597" s="100"/>
      <c r="BG2597" s="100"/>
      <c r="BH2597" s="100"/>
      <c r="BI2597" s="100"/>
      <c r="BJ2597" s="100"/>
      <c r="BK2597" s="100"/>
    </row>
    <row r="2598" spans="1:63" x14ac:dyDescent="0.25">
      <c r="A2598" s="92"/>
      <c r="B2598" s="92"/>
      <c r="C2598" s="92"/>
      <c r="D2598" s="92"/>
      <c r="E2598" s="92"/>
      <c r="F2598" s="92"/>
      <c r="G2598" s="92"/>
      <c r="H2598" s="92"/>
      <c r="I2598" s="92"/>
      <c r="J2598" s="92"/>
      <c r="K2598" s="92"/>
      <c r="L2598" s="92"/>
      <c r="M2598" s="92"/>
      <c r="N2598" s="92"/>
      <c r="AG2598" s="100"/>
      <c r="AH2598" s="101"/>
      <c r="AI2598" s="101"/>
      <c r="AJ2598" s="101"/>
      <c r="AK2598" s="100"/>
      <c r="AL2598" s="100"/>
      <c r="AM2598" s="100"/>
      <c r="AN2598" s="100"/>
      <c r="AO2598" s="100"/>
      <c r="AP2598" s="100"/>
      <c r="AQ2598" s="100"/>
      <c r="AR2598" s="100"/>
      <c r="AS2598" s="100"/>
      <c r="AT2598" s="102"/>
      <c r="AX2598" s="100"/>
      <c r="AY2598" s="100"/>
      <c r="AZ2598" s="100"/>
      <c r="BA2598" s="101"/>
      <c r="BB2598" s="100"/>
      <c r="BC2598" s="100"/>
      <c r="BD2598" s="100"/>
      <c r="BE2598" s="100"/>
      <c r="BF2598" s="100"/>
      <c r="BG2598" s="100"/>
      <c r="BH2598" s="100"/>
      <c r="BI2598" s="100"/>
      <c r="BJ2598" s="100"/>
      <c r="BK2598" s="100"/>
    </row>
    <row r="2599" spans="1:63" x14ac:dyDescent="0.25">
      <c r="A2599" s="92"/>
      <c r="B2599" s="92"/>
      <c r="C2599" s="92"/>
      <c r="D2599" s="92"/>
      <c r="E2599" s="92"/>
      <c r="F2599" s="92"/>
      <c r="G2599" s="92"/>
      <c r="H2599" s="92"/>
      <c r="I2599" s="92"/>
      <c r="J2599" s="92"/>
      <c r="K2599" s="92"/>
      <c r="L2599" s="92"/>
      <c r="M2599" s="92"/>
      <c r="N2599" s="92"/>
      <c r="AG2599" s="100"/>
      <c r="AH2599" s="101"/>
      <c r="AI2599" s="101"/>
      <c r="AJ2599" s="101"/>
      <c r="AK2599" s="100"/>
      <c r="AL2599" s="100"/>
      <c r="AM2599" s="100"/>
      <c r="AN2599" s="100"/>
      <c r="AO2599" s="100"/>
      <c r="AP2599" s="100"/>
      <c r="AQ2599" s="100"/>
      <c r="AR2599" s="100"/>
      <c r="AS2599" s="100"/>
      <c r="AT2599" s="102"/>
      <c r="AX2599" s="100"/>
      <c r="AY2599" s="100"/>
      <c r="AZ2599" s="100"/>
      <c r="BA2599" s="101"/>
      <c r="BB2599" s="100"/>
      <c r="BC2599" s="100"/>
      <c r="BD2599" s="100"/>
      <c r="BE2599" s="100"/>
      <c r="BF2599" s="100"/>
      <c r="BG2599" s="100"/>
      <c r="BH2599" s="100"/>
      <c r="BI2599" s="100"/>
      <c r="BJ2599" s="100"/>
      <c r="BK2599" s="100"/>
    </row>
    <row r="2600" spans="1:63" x14ac:dyDescent="0.25">
      <c r="A2600" s="92"/>
      <c r="B2600" s="92"/>
      <c r="C2600" s="92"/>
      <c r="D2600" s="92"/>
      <c r="E2600" s="92"/>
      <c r="F2600" s="92"/>
      <c r="G2600" s="92"/>
      <c r="H2600" s="92"/>
      <c r="I2600" s="92"/>
      <c r="J2600" s="92"/>
      <c r="K2600" s="92"/>
      <c r="L2600" s="92"/>
      <c r="M2600" s="92"/>
      <c r="N2600" s="92"/>
      <c r="AG2600" s="100"/>
      <c r="AH2600" s="101"/>
      <c r="AI2600" s="101"/>
      <c r="AJ2600" s="101"/>
      <c r="AK2600" s="100"/>
      <c r="AL2600" s="100"/>
      <c r="AM2600" s="100"/>
      <c r="AN2600" s="100"/>
      <c r="AO2600" s="100"/>
      <c r="AP2600" s="100"/>
      <c r="AQ2600" s="100"/>
      <c r="AR2600" s="100"/>
      <c r="AS2600" s="100"/>
      <c r="AT2600" s="102"/>
      <c r="AX2600" s="100"/>
      <c r="AY2600" s="100"/>
      <c r="AZ2600" s="100"/>
      <c r="BA2600" s="101"/>
      <c r="BB2600" s="100"/>
      <c r="BC2600" s="100"/>
      <c r="BD2600" s="100"/>
      <c r="BE2600" s="100"/>
      <c r="BF2600" s="100"/>
      <c r="BG2600" s="100"/>
      <c r="BH2600" s="100"/>
      <c r="BI2600" s="100"/>
      <c r="BJ2600" s="100"/>
      <c r="BK2600" s="100"/>
    </row>
    <row r="2601" spans="1:63" x14ac:dyDescent="0.25">
      <c r="A2601" s="92"/>
      <c r="B2601" s="92"/>
      <c r="C2601" s="92"/>
      <c r="D2601" s="92"/>
      <c r="E2601" s="92"/>
      <c r="F2601" s="92"/>
      <c r="G2601" s="92"/>
      <c r="H2601" s="92"/>
      <c r="I2601" s="92"/>
      <c r="J2601" s="92"/>
      <c r="K2601" s="92"/>
      <c r="L2601" s="92"/>
      <c r="M2601" s="92"/>
      <c r="N2601" s="92"/>
      <c r="AG2601" s="100"/>
      <c r="AH2601" s="100"/>
      <c r="AI2601" s="100"/>
      <c r="AJ2601" s="101"/>
      <c r="AK2601" s="100"/>
      <c r="AL2601" s="100"/>
      <c r="AM2601" s="100"/>
      <c r="AN2601" s="100"/>
      <c r="AO2601" s="100"/>
      <c r="AP2601" s="100"/>
      <c r="AQ2601" s="100"/>
      <c r="AR2601" s="100"/>
      <c r="AS2601" s="100"/>
      <c r="AT2601" s="100"/>
      <c r="AX2601" s="100"/>
      <c r="AY2601" s="100"/>
      <c r="AZ2601" s="100"/>
      <c r="BA2601" s="101"/>
      <c r="BB2601" s="100"/>
      <c r="BC2601" s="100"/>
      <c r="BD2601" s="100"/>
      <c r="BE2601" s="100"/>
      <c r="BF2601" s="100"/>
      <c r="BG2601" s="100"/>
      <c r="BH2601" s="100"/>
      <c r="BI2601" s="100"/>
      <c r="BJ2601" s="100"/>
      <c r="BK2601" s="100"/>
    </row>
    <row r="2602" spans="1:63" x14ac:dyDescent="0.25">
      <c r="A2602" s="92"/>
      <c r="B2602" s="92"/>
      <c r="C2602" s="92"/>
      <c r="D2602" s="92"/>
      <c r="E2602" s="92"/>
      <c r="F2602" s="92"/>
      <c r="G2602" s="92"/>
      <c r="H2602" s="92"/>
      <c r="I2602" s="92"/>
      <c r="J2602" s="92"/>
      <c r="K2602" s="92"/>
      <c r="L2602" s="92"/>
      <c r="M2602" s="92"/>
      <c r="N2602" s="92"/>
      <c r="AG2602" s="100"/>
      <c r="AH2602" s="101"/>
      <c r="AI2602" s="101"/>
      <c r="AJ2602" s="101"/>
      <c r="AK2602" s="100"/>
      <c r="AL2602" s="100"/>
      <c r="AM2602" s="100"/>
      <c r="AN2602" s="100"/>
      <c r="AO2602" s="100"/>
      <c r="AP2602" s="100"/>
      <c r="AQ2602" s="100"/>
      <c r="AR2602" s="100"/>
      <c r="AS2602" s="100"/>
      <c r="AT2602" s="102"/>
      <c r="AX2602" s="100"/>
      <c r="AY2602" s="100"/>
      <c r="AZ2602" s="100"/>
      <c r="BA2602" s="101"/>
      <c r="BB2602" s="100"/>
      <c r="BC2602" s="100"/>
      <c r="BD2602" s="100"/>
      <c r="BE2602" s="100"/>
      <c r="BF2602" s="100"/>
      <c r="BG2602" s="100"/>
      <c r="BH2602" s="100"/>
      <c r="BI2602" s="100"/>
      <c r="BJ2602" s="100"/>
      <c r="BK2602" s="100"/>
    </row>
    <row r="2603" spans="1:63" x14ac:dyDescent="0.25">
      <c r="A2603" s="92"/>
      <c r="B2603" s="92"/>
      <c r="C2603" s="92"/>
      <c r="D2603" s="92"/>
      <c r="E2603" s="92"/>
      <c r="F2603" s="92"/>
      <c r="G2603" s="92"/>
      <c r="H2603" s="92"/>
      <c r="I2603" s="92"/>
      <c r="J2603" s="92"/>
      <c r="K2603" s="92"/>
      <c r="L2603" s="92"/>
      <c r="M2603" s="92"/>
      <c r="N2603" s="92"/>
      <c r="AG2603" s="100"/>
      <c r="AH2603" s="100"/>
      <c r="AI2603" s="100"/>
      <c r="AJ2603" s="101"/>
      <c r="AK2603" s="100"/>
      <c r="AL2603" s="100"/>
      <c r="AM2603" s="100"/>
      <c r="AN2603" s="100"/>
      <c r="AO2603" s="100"/>
      <c r="AP2603" s="100"/>
      <c r="AQ2603" s="100"/>
      <c r="AR2603" s="100"/>
      <c r="AS2603" s="100"/>
      <c r="AT2603" s="100"/>
      <c r="AX2603" s="100"/>
      <c r="AY2603" s="100"/>
      <c r="AZ2603" s="100"/>
      <c r="BA2603" s="101"/>
      <c r="BB2603" s="100"/>
      <c r="BC2603" s="100"/>
      <c r="BD2603" s="100"/>
      <c r="BE2603" s="100"/>
      <c r="BF2603" s="100"/>
      <c r="BG2603" s="100"/>
      <c r="BH2603" s="100"/>
      <c r="BI2603" s="100"/>
      <c r="BJ2603" s="100"/>
      <c r="BK2603" s="100"/>
    </row>
    <row r="2604" spans="1:63" x14ac:dyDescent="0.25">
      <c r="A2604" s="92"/>
      <c r="B2604" s="92"/>
      <c r="C2604" s="92"/>
      <c r="D2604" s="92"/>
      <c r="E2604" s="92"/>
      <c r="F2604" s="92"/>
      <c r="G2604" s="92"/>
      <c r="H2604" s="92"/>
      <c r="I2604" s="92"/>
      <c r="J2604" s="92"/>
      <c r="K2604" s="92"/>
      <c r="L2604" s="92"/>
      <c r="M2604" s="92"/>
      <c r="N2604" s="92"/>
      <c r="AG2604" s="100"/>
      <c r="AH2604" s="101"/>
      <c r="AI2604" s="101"/>
      <c r="AJ2604" s="101"/>
      <c r="AK2604" s="100"/>
      <c r="AL2604" s="100"/>
      <c r="AM2604" s="100"/>
      <c r="AN2604" s="100"/>
      <c r="AO2604" s="100"/>
      <c r="AP2604" s="100"/>
      <c r="AQ2604" s="100"/>
      <c r="AR2604" s="100"/>
      <c r="AS2604" s="100"/>
      <c r="AT2604" s="102"/>
      <c r="AX2604" s="100"/>
      <c r="AY2604" s="100"/>
      <c r="AZ2604" s="100"/>
      <c r="BA2604" s="101"/>
      <c r="BB2604" s="100"/>
      <c r="BC2604" s="100"/>
      <c r="BD2604" s="100"/>
      <c r="BE2604" s="100"/>
      <c r="BF2604" s="100"/>
      <c r="BG2604" s="100"/>
      <c r="BH2604" s="100"/>
      <c r="BI2604" s="100"/>
      <c r="BJ2604" s="100"/>
      <c r="BK2604" s="100"/>
    </row>
    <row r="2605" spans="1:63" x14ac:dyDescent="0.25">
      <c r="A2605" s="92"/>
      <c r="B2605" s="92"/>
      <c r="C2605" s="92"/>
      <c r="D2605" s="92"/>
      <c r="E2605" s="92"/>
      <c r="F2605" s="92"/>
      <c r="G2605" s="92"/>
      <c r="H2605" s="92"/>
      <c r="I2605" s="92"/>
      <c r="J2605" s="92"/>
      <c r="K2605" s="92"/>
      <c r="L2605" s="92"/>
      <c r="M2605" s="92"/>
      <c r="N2605" s="92"/>
      <c r="AG2605" s="100"/>
      <c r="AH2605" s="101"/>
      <c r="AI2605" s="101"/>
      <c r="AJ2605" s="101"/>
      <c r="AK2605" s="100"/>
      <c r="AL2605" s="100"/>
      <c r="AM2605" s="100"/>
      <c r="AN2605" s="100"/>
      <c r="AO2605" s="100"/>
      <c r="AP2605" s="100"/>
      <c r="AQ2605" s="100"/>
      <c r="AR2605" s="100"/>
      <c r="AS2605" s="100"/>
      <c r="AT2605" s="102"/>
      <c r="AX2605" s="100"/>
      <c r="AY2605" s="100"/>
      <c r="AZ2605" s="100"/>
      <c r="BA2605" s="101"/>
      <c r="BB2605" s="100"/>
      <c r="BC2605" s="100"/>
      <c r="BD2605" s="100"/>
      <c r="BE2605" s="100"/>
      <c r="BF2605" s="100"/>
      <c r="BG2605" s="103"/>
      <c r="BH2605" s="100"/>
      <c r="BI2605" s="100"/>
      <c r="BJ2605" s="100"/>
      <c r="BK2605" s="100"/>
    </row>
    <row r="2606" spans="1:63" x14ac:dyDescent="0.25">
      <c r="A2606" s="92"/>
      <c r="B2606" s="92"/>
      <c r="C2606" s="92"/>
      <c r="D2606" s="92"/>
      <c r="E2606" s="92"/>
      <c r="F2606" s="92"/>
      <c r="G2606" s="92"/>
      <c r="H2606" s="92"/>
      <c r="I2606" s="92"/>
      <c r="J2606" s="92"/>
      <c r="K2606" s="92"/>
      <c r="L2606" s="92"/>
      <c r="M2606" s="92"/>
      <c r="N2606" s="92"/>
      <c r="AG2606" s="100"/>
      <c r="AH2606" s="101"/>
      <c r="AI2606" s="101"/>
      <c r="AJ2606" s="101"/>
      <c r="AK2606" s="100"/>
      <c r="AL2606" s="100"/>
      <c r="AM2606" s="100"/>
      <c r="AN2606" s="100"/>
      <c r="AO2606" s="100"/>
      <c r="AP2606" s="100"/>
      <c r="AQ2606" s="100"/>
      <c r="AR2606" s="100"/>
      <c r="AS2606" s="100"/>
      <c r="AT2606" s="102"/>
      <c r="AX2606" s="100"/>
      <c r="AY2606" s="100"/>
      <c r="AZ2606" s="100"/>
      <c r="BA2606" s="101"/>
      <c r="BB2606" s="100"/>
      <c r="BC2606" s="100"/>
      <c r="BD2606" s="100"/>
      <c r="BE2606" s="100"/>
      <c r="BF2606" s="100"/>
      <c r="BG2606" s="100"/>
      <c r="BH2606" s="100"/>
      <c r="BI2606" s="100"/>
      <c r="BJ2606" s="100"/>
      <c r="BK2606" s="100"/>
    </row>
    <row r="2607" spans="1:63" x14ac:dyDescent="0.25">
      <c r="A2607" s="92"/>
      <c r="B2607" s="92"/>
      <c r="C2607" s="92"/>
      <c r="D2607" s="92"/>
      <c r="E2607" s="92"/>
      <c r="F2607" s="92"/>
      <c r="G2607" s="92"/>
      <c r="H2607" s="92"/>
      <c r="I2607" s="92"/>
      <c r="J2607" s="92"/>
      <c r="K2607" s="92"/>
      <c r="L2607" s="92"/>
      <c r="M2607" s="92"/>
      <c r="N2607" s="92"/>
      <c r="AG2607" s="100"/>
      <c r="AH2607" s="101"/>
      <c r="AI2607" s="101"/>
      <c r="AJ2607" s="101"/>
      <c r="AK2607" s="100"/>
      <c r="AL2607" s="100"/>
      <c r="AM2607" s="100"/>
      <c r="AN2607" s="100"/>
      <c r="AO2607" s="100"/>
      <c r="AP2607" s="100"/>
      <c r="AQ2607" s="100"/>
      <c r="AR2607" s="100"/>
      <c r="AS2607" s="100"/>
      <c r="AT2607" s="102"/>
      <c r="AX2607" s="100"/>
      <c r="AY2607" s="100"/>
      <c r="AZ2607" s="100"/>
      <c r="BA2607" s="101"/>
      <c r="BB2607" s="100"/>
      <c r="BC2607" s="100"/>
      <c r="BD2607" s="100"/>
      <c r="BE2607" s="100"/>
      <c r="BF2607" s="100"/>
      <c r="BG2607" s="100"/>
      <c r="BH2607" s="100"/>
      <c r="BI2607" s="100"/>
      <c r="BJ2607" s="100"/>
      <c r="BK2607" s="100"/>
    </row>
    <row r="2608" spans="1:63" x14ac:dyDescent="0.25">
      <c r="A2608" s="92"/>
      <c r="B2608" s="92"/>
      <c r="C2608" s="92"/>
      <c r="D2608" s="92"/>
      <c r="E2608" s="92"/>
      <c r="F2608" s="92"/>
      <c r="G2608" s="92"/>
      <c r="H2608" s="92"/>
      <c r="I2608" s="92"/>
      <c r="J2608" s="92"/>
      <c r="K2608" s="92"/>
      <c r="L2608" s="92"/>
      <c r="M2608" s="92"/>
      <c r="N2608" s="92"/>
      <c r="AG2608" s="100"/>
      <c r="AH2608" s="101"/>
      <c r="AI2608" s="101"/>
      <c r="AJ2608" s="101"/>
      <c r="AK2608" s="100"/>
      <c r="AL2608" s="100"/>
      <c r="AM2608" s="100"/>
      <c r="AN2608" s="100"/>
      <c r="AO2608" s="100"/>
      <c r="AP2608" s="100"/>
      <c r="AQ2608" s="100"/>
      <c r="AR2608" s="100"/>
      <c r="AS2608" s="100"/>
      <c r="AT2608" s="102"/>
      <c r="AX2608" s="100"/>
      <c r="AY2608" s="100"/>
      <c r="AZ2608" s="100"/>
      <c r="BA2608" s="101"/>
      <c r="BB2608" s="100"/>
      <c r="BC2608" s="100"/>
      <c r="BD2608" s="100"/>
      <c r="BE2608" s="100"/>
      <c r="BF2608" s="100"/>
      <c r="BG2608" s="100"/>
      <c r="BH2608" s="100"/>
      <c r="BI2608" s="100"/>
      <c r="BJ2608" s="100"/>
      <c r="BK2608" s="100"/>
    </row>
    <row r="2609" spans="1:63" x14ac:dyDescent="0.25">
      <c r="A2609" s="92"/>
      <c r="B2609" s="92"/>
      <c r="C2609" s="92"/>
      <c r="D2609" s="92"/>
      <c r="E2609" s="92"/>
      <c r="F2609" s="92"/>
      <c r="G2609" s="92"/>
      <c r="H2609" s="92"/>
      <c r="I2609" s="92"/>
      <c r="J2609" s="92"/>
      <c r="K2609" s="92"/>
      <c r="L2609" s="92"/>
      <c r="M2609" s="92"/>
      <c r="N2609" s="92"/>
      <c r="AG2609" s="100"/>
      <c r="AH2609" s="101"/>
      <c r="AI2609" s="101"/>
      <c r="AJ2609" s="101"/>
      <c r="AK2609" s="100"/>
      <c r="AL2609" s="100"/>
      <c r="AM2609" s="100"/>
      <c r="AN2609" s="100"/>
      <c r="AO2609" s="100"/>
      <c r="AP2609" s="100"/>
      <c r="AQ2609" s="100"/>
      <c r="AR2609" s="100"/>
      <c r="AS2609" s="100"/>
      <c r="AT2609" s="102"/>
      <c r="AX2609" s="100"/>
      <c r="AY2609" s="100"/>
      <c r="AZ2609" s="100"/>
      <c r="BA2609" s="101"/>
      <c r="BB2609" s="100"/>
      <c r="BC2609" s="100"/>
      <c r="BD2609" s="100"/>
      <c r="BE2609" s="100"/>
      <c r="BF2609" s="100"/>
      <c r="BG2609" s="100"/>
      <c r="BH2609" s="100"/>
      <c r="BI2609" s="100"/>
      <c r="BJ2609" s="100"/>
      <c r="BK2609" s="100"/>
    </row>
    <row r="2610" spans="1:63" x14ac:dyDescent="0.25">
      <c r="A2610" s="92"/>
      <c r="B2610" s="92"/>
      <c r="C2610" s="92"/>
      <c r="D2610" s="92"/>
      <c r="E2610" s="92"/>
      <c r="F2610" s="92"/>
      <c r="G2610" s="92"/>
      <c r="H2610" s="92"/>
      <c r="I2610" s="92"/>
      <c r="J2610" s="92"/>
      <c r="K2610" s="92"/>
      <c r="L2610" s="92"/>
      <c r="M2610" s="92"/>
      <c r="N2610" s="92"/>
      <c r="AG2610" s="100"/>
      <c r="AH2610" s="101"/>
      <c r="AI2610" s="101"/>
      <c r="AJ2610" s="101"/>
      <c r="AK2610" s="100"/>
      <c r="AL2610" s="100"/>
      <c r="AM2610" s="100"/>
      <c r="AN2610" s="100"/>
      <c r="AO2610" s="100"/>
      <c r="AP2610" s="100"/>
      <c r="AQ2610" s="100"/>
      <c r="AR2610" s="100"/>
      <c r="AS2610" s="100"/>
      <c r="AT2610" s="102"/>
      <c r="AX2610" s="100"/>
      <c r="AY2610" s="100"/>
      <c r="AZ2610" s="100"/>
      <c r="BA2610" s="101"/>
      <c r="BB2610" s="100"/>
      <c r="BC2610" s="100"/>
      <c r="BD2610" s="100"/>
      <c r="BE2610" s="100"/>
      <c r="BF2610" s="100"/>
      <c r="BG2610" s="100"/>
      <c r="BH2610" s="100"/>
      <c r="BI2610" s="100"/>
      <c r="BJ2610" s="100"/>
      <c r="BK2610" s="100"/>
    </row>
    <row r="2611" spans="1:63" x14ac:dyDescent="0.25">
      <c r="A2611" s="92"/>
      <c r="B2611" s="92"/>
      <c r="C2611" s="92"/>
      <c r="D2611" s="92"/>
      <c r="E2611" s="92"/>
      <c r="F2611" s="92"/>
      <c r="G2611" s="92"/>
      <c r="H2611" s="92"/>
      <c r="I2611" s="92"/>
      <c r="J2611" s="92"/>
      <c r="K2611" s="92"/>
      <c r="L2611" s="92"/>
      <c r="M2611" s="92"/>
      <c r="N2611" s="92"/>
      <c r="AG2611" s="100"/>
      <c r="AH2611" s="101"/>
      <c r="AI2611" s="101"/>
      <c r="AJ2611" s="101"/>
      <c r="AK2611" s="100"/>
      <c r="AL2611" s="100"/>
      <c r="AM2611" s="100"/>
      <c r="AN2611" s="100"/>
      <c r="AO2611" s="100"/>
      <c r="AP2611" s="100"/>
      <c r="AQ2611" s="100"/>
      <c r="AR2611" s="100"/>
      <c r="AS2611" s="100"/>
      <c r="AT2611" s="102"/>
      <c r="AX2611" s="100"/>
      <c r="AY2611" s="100"/>
      <c r="AZ2611" s="100"/>
      <c r="BA2611" s="101"/>
      <c r="BB2611" s="100"/>
      <c r="BC2611" s="100"/>
      <c r="BD2611" s="100"/>
      <c r="BE2611" s="100"/>
      <c r="BF2611" s="100"/>
      <c r="BG2611" s="100"/>
      <c r="BH2611" s="100"/>
      <c r="BI2611" s="100"/>
      <c r="BJ2611" s="100"/>
      <c r="BK2611" s="100"/>
    </row>
    <row r="2612" spans="1:63" x14ac:dyDescent="0.25">
      <c r="A2612" s="92"/>
      <c r="B2612" s="92"/>
      <c r="C2612" s="92"/>
      <c r="D2612" s="92"/>
      <c r="E2612" s="92"/>
      <c r="F2612" s="92"/>
      <c r="G2612" s="92"/>
      <c r="H2612" s="92"/>
      <c r="I2612" s="92"/>
      <c r="J2612" s="92"/>
      <c r="K2612" s="92"/>
      <c r="L2612" s="92"/>
      <c r="M2612" s="92"/>
      <c r="N2612" s="92"/>
      <c r="AG2612" s="100"/>
      <c r="AH2612" s="100"/>
      <c r="AI2612" s="100"/>
      <c r="AJ2612" s="101"/>
      <c r="AK2612" s="100"/>
      <c r="AL2612" s="100"/>
      <c r="AM2612" s="100"/>
      <c r="AN2612" s="100"/>
      <c r="AO2612" s="100"/>
      <c r="AP2612" s="100"/>
      <c r="AQ2612" s="100"/>
      <c r="AR2612" s="100"/>
      <c r="AS2612" s="100"/>
      <c r="AT2612" s="100"/>
      <c r="AX2612" s="100"/>
      <c r="AY2612" s="100"/>
      <c r="AZ2612" s="100"/>
      <c r="BA2612" s="101"/>
      <c r="BB2612" s="100"/>
      <c r="BC2612" s="100"/>
      <c r="BD2612" s="100"/>
      <c r="BE2612" s="100"/>
      <c r="BF2612" s="100"/>
      <c r="BG2612" s="100"/>
      <c r="BH2612" s="100"/>
      <c r="BI2612" s="100"/>
      <c r="BJ2612" s="100"/>
      <c r="BK2612" s="100"/>
    </row>
    <row r="2613" spans="1:63" x14ac:dyDescent="0.25">
      <c r="A2613" s="92"/>
      <c r="B2613" s="92"/>
      <c r="C2613" s="92"/>
      <c r="D2613" s="92"/>
      <c r="E2613" s="92"/>
      <c r="F2613" s="92"/>
      <c r="G2613" s="92"/>
      <c r="H2613" s="92"/>
      <c r="I2613" s="92"/>
      <c r="J2613" s="92"/>
      <c r="K2613" s="92"/>
      <c r="L2613" s="92"/>
      <c r="M2613" s="92"/>
      <c r="N2613" s="92"/>
      <c r="AG2613" s="100"/>
      <c r="AH2613" s="101"/>
      <c r="AI2613" s="101"/>
      <c r="AJ2613" s="101"/>
      <c r="AK2613" s="100"/>
      <c r="AL2613" s="100"/>
      <c r="AM2613" s="100"/>
      <c r="AN2613" s="100"/>
      <c r="AO2613" s="100"/>
      <c r="AP2613" s="100"/>
      <c r="AQ2613" s="100"/>
      <c r="AR2613" s="100"/>
      <c r="AS2613" s="100"/>
      <c r="AT2613" s="102"/>
      <c r="AX2613" s="100"/>
      <c r="AY2613" s="100"/>
      <c r="AZ2613" s="100"/>
      <c r="BA2613" s="101"/>
      <c r="BB2613" s="100"/>
      <c r="BC2613" s="100"/>
      <c r="BD2613" s="100"/>
      <c r="BE2613" s="100"/>
      <c r="BF2613" s="100"/>
      <c r="BG2613" s="100"/>
      <c r="BH2613" s="100"/>
      <c r="BI2613" s="100"/>
      <c r="BJ2613" s="100"/>
      <c r="BK2613" s="100"/>
    </row>
    <row r="2614" spans="1:63" x14ac:dyDescent="0.25">
      <c r="A2614" s="92"/>
      <c r="B2614" s="92"/>
      <c r="C2614" s="92"/>
      <c r="D2614" s="92"/>
      <c r="E2614" s="92"/>
      <c r="F2614" s="92"/>
      <c r="G2614" s="92"/>
      <c r="H2614" s="92"/>
      <c r="I2614" s="92"/>
      <c r="J2614" s="92"/>
      <c r="K2614" s="92"/>
      <c r="L2614" s="92"/>
      <c r="M2614" s="92"/>
      <c r="N2614" s="92"/>
      <c r="AG2614" s="100"/>
      <c r="AH2614" s="101"/>
      <c r="AI2614" s="101"/>
      <c r="AJ2614" s="101"/>
      <c r="AK2614" s="100"/>
      <c r="AL2614" s="100"/>
      <c r="AM2614" s="100"/>
      <c r="AN2614" s="100"/>
      <c r="AO2614" s="100"/>
      <c r="AP2614" s="100"/>
      <c r="AQ2614" s="100"/>
      <c r="AR2614" s="100"/>
      <c r="AS2614" s="100"/>
      <c r="AT2614" s="102"/>
      <c r="AX2614" s="100"/>
      <c r="AY2614" s="100"/>
      <c r="AZ2614" s="100"/>
      <c r="BA2614" s="101"/>
      <c r="BB2614" s="100"/>
      <c r="BC2614" s="100"/>
      <c r="BD2614" s="100"/>
      <c r="BE2614" s="100"/>
      <c r="BF2614" s="100"/>
      <c r="BG2614" s="100"/>
      <c r="BH2614" s="100"/>
      <c r="BI2614" s="100"/>
      <c r="BJ2614" s="100"/>
      <c r="BK2614" s="100"/>
    </row>
    <row r="2615" spans="1:63" x14ac:dyDescent="0.25">
      <c r="A2615" s="92"/>
      <c r="B2615" s="92"/>
      <c r="C2615" s="92"/>
      <c r="D2615" s="92"/>
      <c r="E2615" s="92"/>
      <c r="F2615" s="92"/>
      <c r="G2615" s="92"/>
      <c r="H2615" s="92"/>
      <c r="I2615" s="92"/>
      <c r="J2615" s="92"/>
      <c r="K2615" s="92"/>
      <c r="L2615" s="92"/>
      <c r="M2615" s="92"/>
      <c r="N2615" s="92"/>
      <c r="AG2615" s="100"/>
      <c r="AH2615" s="101"/>
      <c r="AI2615" s="101"/>
      <c r="AJ2615" s="101"/>
      <c r="AK2615" s="100"/>
      <c r="AL2615" s="100"/>
      <c r="AM2615" s="100"/>
      <c r="AN2615" s="100"/>
      <c r="AO2615" s="100"/>
      <c r="AP2615" s="100"/>
      <c r="AQ2615" s="100"/>
      <c r="AR2615" s="100"/>
      <c r="AS2615" s="100"/>
      <c r="AT2615" s="102"/>
      <c r="AX2615" s="100"/>
      <c r="AY2615" s="100"/>
      <c r="AZ2615" s="100"/>
      <c r="BA2615" s="101"/>
      <c r="BB2615" s="100"/>
      <c r="BC2615" s="100"/>
      <c r="BD2615" s="100"/>
      <c r="BE2615" s="100"/>
      <c r="BF2615" s="100"/>
      <c r="BG2615" s="100"/>
      <c r="BH2615" s="100"/>
      <c r="BI2615" s="100"/>
      <c r="BJ2615" s="100"/>
      <c r="BK2615" s="100"/>
    </row>
    <row r="2616" spans="1:63" x14ac:dyDescent="0.25">
      <c r="A2616" s="92"/>
      <c r="B2616" s="92"/>
      <c r="C2616" s="92"/>
      <c r="D2616" s="92"/>
      <c r="E2616" s="92"/>
      <c r="F2616" s="92"/>
      <c r="G2616" s="92"/>
      <c r="H2616" s="92"/>
      <c r="I2616" s="92"/>
      <c r="J2616" s="92"/>
      <c r="K2616" s="92"/>
      <c r="L2616" s="92"/>
      <c r="M2616" s="92"/>
      <c r="N2616" s="92"/>
      <c r="AG2616" s="100"/>
      <c r="AH2616" s="101"/>
      <c r="AI2616" s="101"/>
      <c r="AJ2616" s="101"/>
      <c r="AK2616" s="100"/>
      <c r="AL2616" s="100"/>
      <c r="AM2616" s="100"/>
      <c r="AN2616" s="100"/>
      <c r="AO2616" s="100"/>
      <c r="AP2616" s="100"/>
      <c r="AQ2616" s="100"/>
      <c r="AR2616" s="100"/>
      <c r="AS2616" s="100"/>
      <c r="AT2616" s="102"/>
      <c r="AX2616" s="100"/>
      <c r="AY2616" s="100"/>
      <c r="AZ2616" s="100"/>
      <c r="BA2616" s="101"/>
      <c r="BB2616" s="100"/>
      <c r="BC2616" s="100"/>
      <c r="BD2616" s="100"/>
      <c r="BE2616" s="100"/>
      <c r="BF2616" s="100"/>
      <c r="BG2616" s="100"/>
      <c r="BH2616" s="100"/>
      <c r="BI2616" s="100"/>
      <c r="BJ2616" s="100"/>
      <c r="BK2616" s="100"/>
    </row>
    <row r="2617" spans="1:63" x14ac:dyDescent="0.25">
      <c r="A2617" s="92"/>
      <c r="B2617" s="92"/>
      <c r="C2617" s="92"/>
      <c r="D2617" s="92"/>
      <c r="E2617" s="92"/>
      <c r="F2617" s="92"/>
      <c r="G2617" s="92"/>
      <c r="H2617" s="92"/>
      <c r="I2617" s="92"/>
      <c r="J2617" s="92"/>
      <c r="K2617" s="92"/>
      <c r="L2617" s="92"/>
      <c r="M2617" s="92"/>
      <c r="N2617" s="92"/>
      <c r="AG2617" s="100"/>
      <c r="AH2617" s="101"/>
      <c r="AI2617" s="101"/>
      <c r="AJ2617" s="101"/>
      <c r="AK2617" s="100"/>
      <c r="AL2617" s="100"/>
      <c r="AM2617" s="100"/>
      <c r="AN2617" s="100"/>
      <c r="AO2617" s="100"/>
      <c r="AP2617" s="100"/>
      <c r="AQ2617" s="100"/>
      <c r="AR2617" s="100"/>
      <c r="AS2617" s="100"/>
      <c r="AT2617" s="102"/>
      <c r="AX2617" s="100"/>
      <c r="AY2617" s="100"/>
      <c r="AZ2617" s="100"/>
      <c r="BA2617" s="101"/>
      <c r="BB2617" s="100"/>
      <c r="BC2617" s="100"/>
      <c r="BD2617" s="100"/>
      <c r="BE2617" s="100"/>
      <c r="BF2617" s="100"/>
      <c r="BG2617" s="100"/>
      <c r="BH2617" s="100"/>
      <c r="BI2617" s="100"/>
      <c r="BJ2617" s="100"/>
      <c r="BK2617" s="100"/>
    </row>
    <row r="2618" spans="1:63" x14ac:dyDescent="0.25">
      <c r="A2618" s="92"/>
      <c r="B2618" s="93"/>
      <c r="C2618" s="93"/>
      <c r="D2618" s="92"/>
      <c r="E2618" s="92"/>
      <c r="F2618" s="92"/>
      <c r="G2618" s="92"/>
      <c r="H2618" s="92"/>
      <c r="I2618" s="92"/>
      <c r="J2618" s="92"/>
      <c r="K2618" s="92"/>
      <c r="L2618" s="92"/>
      <c r="M2618" s="92"/>
      <c r="N2618" s="94"/>
      <c r="AG2618" s="100"/>
      <c r="AH2618" s="101"/>
      <c r="AI2618" s="101"/>
      <c r="AJ2618" s="101"/>
      <c r="AK2618" s="100"/>
      <c r="AL2618" s="100"/>
      <c r="AM2618" s="100"/>
      <c r="AN2618" s="100"/>
      <c r="AO2618" s="100"/>
      <c r="AP2618" s="100"/>
      <c r="AQ2618" s="100"/>
      <c r="AR2618" s="100"/>
      <c r="AS2618" s="100"/>
      <c r="AT2618" s="102"/>
      <c r="AX2618" s="100"/>
      <c r="AY2618" s="100"/>
      <c r="AZ2618" s="100"/>
      <c r="BA2618" s="101"/>
      <c r="BB2618" s="100"/>
      <c r="BC2618" s="100"/>
      <c r="BD2618" s="100"/>
      <c r="BE2618" s="100"/>
      <c r="BF2618" s="100"/>
      <c r="BG2618" s="100"/>
      <c r="BH2618" s="100"/>
      <c r="BI2618" s="100"/>
      <c r="BJ2618" s="100"/>
      <c r="BK2618" s="100"/>
    </row>
    <row r="2619" spans="1:63" x14ac:dyDescent="0.25">
      <c r="A2619" s="92"/>
      <c r="B2619" s="92"/>
      <c r="C2619" s="92"/>
      <c r="D2619" s="92"/>
      <c r="E2619" s="92"/>
      <c r="F2619" s="92"/>
      <c r="G2619" s="92"/>
      <c r="H2619" s="92"/>
      <c r="I2619" s="92"/>
      <c r="J2619" s="92"/>
      <c r="K2619" s="92"/>
      <c r="L2619" s="92"/>
      <c r="M2619" s="92"/>
      <c r="N2619" s="92"/>
      <c r="AG2619" s="100"/>
      <c r="AH2619" s="101"/>
      <c r="AI2619" s="101"/>
      <c r="AJ2619" s="101"/>
      <c r="AK2619" s="100"/>
      <c r="AL2619" s="100"/>
      <c r="AM2619" s="100"/>
      <c r="AN2619" s="100"/>
      <c r="AO2619" s="100"/>
      <c r="AP2619" s="100"/>
      <c r="AQ2619" s="100"/>
      <c r="AR2619" s="100"/>
      <c r="AS2619" s="100"/>
      <c r="AT2619" s="102"/>
      <c r="AX2619" s="100"/>
      <c r="AY2619" s="100"/>
      <c r="AZ2619" s="100"/>
      <c r="BA2619" s="101"/>
      <c r="BB2619" s="100"/>
      <c r="BC2619" s="100"/>
      <c r="BD2619" s="100"/>
      <c r="BE2619" s="100"/>
      <c r="BF2619" s="100"/>
      <c r="BG2619" s="100"/>
      <c r="BH2619" s="100"/>
      <c r="BI2619" s="100"/>
      <c r="BJ2619" s="100"/>
      <c r="BK2619" s="100"/>
    </row>
    <row r="2620" spans="1:63" x14ac:dyDescent="0.25">
      <c r="A2620" s="92"/>
      <c r="B2620" s="93"/>
      <c r="C2620" s="93"/>
      <c r="D2620" s="92"/>
      <c r="E2620" s="92"/>
      <c r="F2620" s="92"/>
      <c r="G2620" s="92"/>
      <c r="H2620" s="92"/>
      <c r="I2620" s="92"/>
      <c r="J2620" s="92"/>
      <c r="K2620" s="92"/>
      <c r="L2620" s="92"/>
      <c r="M2620" s="92"/>
      <c r="N2620" s="94"/>
      <c r="AG2620" s="100"/>
      <c r="AH2620" s="101"/>
      <c r="AI2620" s="101"/>
      <c r="AJ2620" s="101"/>
      <c r="AK2620" s="100"/>
      <c r="AL2620" s="100"/>
      <c r="AM2620" s="100"/>
      <c r="AN2620" s="100"/>
      <c r="AO2620" s="100"/>
      <c r="AP2620" s="100"/>
      <c r="AQ2620" s="100"/>
      <c r="AR2620" s="100"/>
      <c r="AS2620" s="100"/>
      <c r="AT2620" s="102"/>
      <c r="AX2620" s="100"/>
      <c r="AY2620" s="100"/>
      <c r="AZ2620" s="100"/>
      <c r="BA2620" s="101"/>
      <c r="BB2620" s="100"/>
      <c r="BC2620" s="100"/>
      <c r="BD2620" s="100"/>
      <c r="BE2620" s="100"/>
      <c r="BF2620" s="100"/>
      <c r="BG2620" s="100"/>
      <c r="BH2620" s="100"/>
      <c r="BI2620" s="100"/>
      <c r="BJ2620" s="100"/>
      <c r="BK2620" s="100"/>
    </row>
    <row r="2621" spans="1:63" x14ac:dyDescent="0.25">
      <c r="A2621" s="92"/>
      <c r="B2621" s="93"/>
      <c r="C2621" s="93"/>
      <c r="D2621" s="93"/>
      <c r="E2621" s="92"/>
      <c r="F2621" s="92"/>
      <c r="G2621" s="92"/>
      <c r="H2621" s="92"/>
      <c r="I2621" s="92"/>
      <c r="J2621" s="92"/>
      <c r="K2621" s="92"/>
      <c r="L2621" s="92"/>
      <c r="M2621" s="92"/>
      <c r="N2621" s="94"/>
      <c r="AG2621" s="100"/>
      <c r="AH2621" s="101"/>
      <c r="AI2621" s="101"/>
      <c r="AJ2621" s="101"/>
      <c r="AK2621" s="100"/>
      <c r="AL2621" s="100"/>
      <c r="AM2621" s="100"/>
      <c r="AN2621" s="100"/>
      <c r="AO2621" s="100"/>
      <c r="AP2621" s="100"/>
      <c r="AQ2621" s="100"/>
      <c r="AR2621" s="100"/>
      <c r="AS2621" s="100"/>
      <c r="AT2621" s="102"/>
      <c r="AX2621" s="100"/>
      <c r="AY2621" s="100"/>
      <c r="AZ2621" s="100"/>
      <c r="BA2621" s="101"/>
      <c r="BB2621" s="100"/>
      <c r="BC2621" s="100"/>
      <c r="BD2621" s="100"/>
      <c r="BE2621" s="100"/>
      <c r="BF2621" s="100"/>
      <c r="BG2621" s="100"/>
      <c r="BH2621" s="100"/>
      <c r="BI2621" s="100"/>
      <c r="BJ2621" s="100"/>
      <c r="BK2621" s="100"/>
    </row>
    <row r="2622" spans="1:63" x14ac:dyDescent="0.25">
      <c r="A2622" s="92"/>
      <c r="B2622" s="93"/>
      <c r="C2622" s="93"/>
      <c r="D2622" s="92"/>
      <c r="E2622" s="92"/>
      <c r="F2622" s="92"/>
      <c r="G2622" s="92"/>
      <c r="H2622" s="92"/>
      <c r="I2622" s="92"/>
      <c r="J2622" s="92"/>
      <c r="K2622" s="92"/>
      <c r="L2622" s="92"/>
      <c r="M2622" s="92"/>
      <c r="N2622" s="94"/>
      <c r="AG2622" s="100"/>
      <c r="AH2622" s="101"/>
      <c r="AI2622" s="101"/>
      <c r="AJ2622" s="101"/>
      <c r="AK2622" s="100"/>
      <c r="AL2622" s="100"/>
      <c r="AM2622" s="100"/>
      <c r="AN2622" s="100"/>
      <c r="AO2622" s="100"/>
      <c r="AP2622" s="100"/>
      <c r="AQ2622" s="100"/>
      <c r="AR2622" s="100"/>
      <c r="AS2622" s="100"/>
      <c r="AT2622" s="102"/>
      <c r="AX2622" s="100"/>
      <c r="AY2622" s="100"/>
      <c r="AZ2622" s="100"/>
      <c r="BA2622" s="101"/>
      <c r="BB2622" s="100"/>
      <c r="BC2622" s="100"/>
      <c r="BD2622" s="100"/>
      <c r="BE2622" s="100"/>
      <c r="BF2622" s="100"/>
      <c r="BG2622" s="100"/>
      <c r="BH2622" s="100"/>
      <c r="BI2622" s="100"/>
      <c r="BJ2622" s="100"/>
      <c r="BK2622" s="100"/>
    </row>
    <row r="2623" spans="1:63" x14ac:dyDescent="0.25">
      <c r="A2623" s="92"/>
      <c r="B2623" s="93"/>
      <c r="C2623" s="93"/>
      <c r="D2623" s="92"/>
      <c r="E2623" s="92"/>
      <c r="F2623" s="92"/>
      <c r="G2623" s="92"/>
      <c r="H2623" s="92"/>
      <c r="I2623" s="92"/>
      <c r="J2623" s="92"/>
      <c r="K2623" s="92"/>
      <c r="L2623" s="92"/>
      <c r="M2623" s="92"/>
      <c r="N2623" s="94"/>
      <c r="AG2623" s="100"/>
      <c r="AH2623" s="101"/>
      <c r="AI2623" s="101"/>
      <c r="AJ2623" s="101"/>
      <c r="AK2623" s="100"/>
      <c r="AL2623" s="100"/>
      <c r="AM2623" s="100"/>
      <c r="AN2623" s="100"/>
      <c r="AO2623" s="100"/>
      <c r="AP2623" s="100"/>
      <c r="AQ2623" s="100"/>
      <c r="AR2623" s="100"/>
      <c r="AS2623" s="100"/>
      <c r="AT2623" s="102"/>
      <c r="AX2623" s="100"/>
      <c r="AY2623" s="100"/>
      <c r="AZ2623" s="100"/>
      <c r="BA2623" s="101"/>
      <c r="BB2623" s="100"/>
      <c r="BC2623" s="100"/>
      <c r="BD2623" s="100"/>
      <c r="BE2623" s="100"/>
      <c r="BF2623" s="100"/>
      <c r="BG2623" s="100"/>
      <c r="BH2623" s="100"/>
      <c r="BI2623" s="100"/>
      <c r="BJ2623" s="100"/>
      <c r="BK2623" s="100"/>
    </row>
    <row r="2624" spans="1:63" x14ac:dyDescent="0.25">
      <c r="A2624" s="92"/>
      <c r="B2624" s="93"/>
      <c r="C2624" s="93"/>
      <c r="D2624" s="92"/>
      <c r="E2624" s="92"/>
      <c r="F2624" s="92"/>
      <c r="G2624" s="92"/>
      <c r="H2624" s="92"/>
      <c r="I2624" s="92"/>
      <c r="J2624" s="92"/>
      <c r="K2624" s="92"/>
      <c r="L2624" s="92"/>
      <c r="M2624" s="92"/>
      <c r="N2624" s="94"/>
      <c r="AG2624" s="100"/>
      <c r="AH2624" s="101"/>
      <c r="AI2624" s="101"/>
      <c r="AJ2624" s="101"/>
      <c r="AK2624" s="100"/>
      <c r="AL2624" s="100"/>
      <c r="AM2624" s="100"/>
      <c r="AN2624" s="100"/>
      <c r="AO2624" s="100"/>
      <c r="AP2624" s="100"/>
      <c r="AQ2624" s="100"/>
      <c r="AR2624" s="100"/>
      <c r="AS2624" s="100"/>
      <c r="AT2624" s="102"/>
      <c r="AX2624" s="100"/>
      <c r="AY2624" s="100"/>
      <c r="AZ2624" s="100"/>
      <c r="BA2624" s="101"/>
      <c r="BB2624" s="100"/>
      <c r="BC2624" s="100"/>
      <c r="BD2624" s="100"/>
      <c r="BE2624" s="100"/>
      <c r="BF2624" s="100"/>
      <c r="BG2624" s="100"/>
      <c r="BH2624" s="100"/>
      <c r="BI2624" s="100"/>
      <c r="BJ2624" s="100"/>
      <c r="BK2624" s="100"/>
    </row>
    <row r="2625" spans="1:63" x14ac:dyDescent="0.25">
      <c r="A2625" s="92"/>
      <c r="B2625" s="92"/>
      <c r="C2625" s="92"/>
      <c r="D2625" s="92"/>
      <c r="E2625" s="92"/>
      <c r="F2625" s="92"/>
      <c r="G2625" s="92"/>
      <c r="H2625" s="92"/>
      <c r="I2625" s="92"/>
      <c r="J2625" s="92"/>
      <c r="K2625" s="92"/>
      <c r="L2625" s="92"/>
      <c r="M2625" s="92"/>
      <c r="N2625" s="92"/>
      <c r="AG2625" s="100"/>
      <c r="AH2625" s="100"/>
      <c r="AI2625" s="100"/>
      <c r="AJ2625" s="101"/>
      <c r="AK2625" s="100"/>
      <c r="AL2625" s="100"/>
      <c r="AM2625" s="100"/>
      <c r="AN2625" s="100"/>
      <c r="AO2625" s="100"/>
      <c r="AP2625" s="100"/>
      <c r="AQ2625" s="100"/>
      <c r="AR2625" s="100"/>
      <c r="AS2625" s="100"/>
      <c r="AT2625" s="100"/>
      <c r="AX2625" s="100"/>
      <c r="AY2625" s="100"/>
      <c r="AZ2625" s="100"/>
      <c r="BA2625" s="101"/>
      <c r="BB2625" s="100"/>
      <c r="BC2625" s="100"/>
      <c r="BD2625" s="100"/>
      <c r="BE2625" s="100"/>
      <c r="BF2625" s="100"/>
      <c r="BG2625" s="100"/>
      <c r="BH2625" s="100"/>
      <c r="BI2625" s="100"/>
      <c r="BJ2625" s="100"/>
      <c r="BK2625" s="100"/>
    </row>
    <row r="2626" spans="1:63" x14ac:dyDescent="0.25">
      <c r="A2626" s="92"/>
      <c r="B2626" s="92"/>
      <c r="C2626" s="92"/>
      <c r="D2626" s="92"/>
      <c r="E2626" s="92"/>
      <c r="F2626" s="92"/>
      <c r="G2626" s="92"/>
      <c r="H2626" s="92"/>
      <c r="I2626" s="92"/>
      <c r="J2626" s="92"/>
      <c r="K2626" s="92"/>
      <c r="L2626" s="92"/>
      <c r="M2626" s="92"/>
      <c r="N2626" s="92"/>
      <c r="AG2626" s="100"/>
      <c r="AH2626" s="101"/>
      <c r="AI2626" s="101"/>
      <c r="AJ2626" s="101"/>
      <c r="AK2626" s="100"/>
      <c r="AL2626" s="100"/>
      <c r="AM2626" s="100"/>
      <c r="AN2626" s="100"/>
      <c r="AO2626" s="100"/>
      <c r="AP2626" s="100"/>
      <c r="AQ2626" s="100"/>
      <c r="AR2626" s="100"/>
      <c r="AS2626" s="100"/>
      <c r="AT2626" s="102"/>
      <c r="AX2626" s="100"/>
      <c r="AY2626" s="100"/>
      <c r="AZ2626" s="100"/>
      <c r="BA2626" s="101"/>
      <c r="BB2626" s="100"/>
      <c r="BC2626" s="100"/>
      <c r="BD2626" s="100"/>
      <c r="BE2626" s="100"/>
      <c r="BF2626" s="100"/>
      <c r="BG2626" s="100"/>
      <c r="BH2626" s="100"/>
      <c r="BI2626" s="100"/>
      <c r="BJ2626" s="100"/>
      <c r="BK2626" s="100"/>
    </row>
    <row r="2627" spans="1:63" x14ac:dyDescent="0.25">
      <c r="A2627" s="92"/>
      <c r="B2627" s="93"/>
      <c r="C2627" s="93"/>
      <c r="D2627" s="93"/>
      <c r="E2627" s="92"/>
      <c r="F2627" s="92"/>
      <c r="G2627" s="92"/>
      <c r="H2627" s="92"/>
      <c r="I2627" s="92"/>
      <c r="J2627" s="92"/>
      <c r="K2627" s="92"/>
      <c r="L2627" s="92"/>
      <c r="M2627" s="92"/>
      <c r="N2627" s="94"/>
      <c r="AG2627" s="100"/>
      <c r="AH2627" s="101"/>
      <c r="AI2627" s="101"/>
      <c r="AJ2627" s="101"/>
      <c r="AK2627" s="100"/>
      <c r="AL2627" s="100"/>
      <c r="AM2627" s="100"/>
      <c r="AN2627" s="100"/>
      <c r="AO2627" s="100"/>
      <c r="AP2627" s="100"/>
      <c r="AQ2627" s="100"/>
      <c r="AR2627" s="100"/>
      <c r="AS2627" s="100"/>
      <c r="AT2627" s="102"/>
      <c r="AX2627" s="100"/>
      <c r="AY2627" s="100"/>
      <c r="AZ2627" s="100"/>
      <c r="BA2627" s="101"/>
      <c r="BB2627" s="100"/>
      <c r="BC2627" s="100"/>
      <c r="BD2627" s="100"/>
      <c r="BE2627" s="100"/>
      <c r="BF2627" s="100"/>
      <c r="BG2627" s="100"/>
      <c r="BH2627" s="100"/>
      <c r="BI2627" s="100"/>
      <c r="BJ2627" s="100"/>
      <c r="BK2627" s="100"/>
    </row>
    <row r="2628" spans="1:63" x14ac:dyDescent="0.25">
      <c r="A2628" s="92"/>
      <c r="B2628" s="93"/>
      <c r="C2628" s="93"/>
      <c r="D2628" s="92"/>
      <c r="E2628" s="92"/>
      <c r="F2628" s="92"/>
      <c r="G2628" s="92"/>
      <c r="H2628" s="92"/>
      <c r="I2628" s="92"/>
      <c r="J2628" s="92"/>
      <c r="K2628" s="92"/>
      <c r="L2628" s="92"/>
      <c r="M2628" s="92"/>
      <c r="N2628" s="94"/>
      <c r="AG2628" s="100"/>
      <c r="AH2628" s="101"/>
      <c r="AI2628" s="101"/>
      <c r="AJ2628" s="101"/>
      <c r="AK2628" s="100"/>
      <c r="AL2628" s="100"/>
      <c r="AM2628" s="100"/>
      <c r="AN2628" s="100"/>
      <c r="AO2628" s="100"/>
      <c r="AP2628" s="100"/>
      <c r="AQ2628" s="100"/>
      <c r="AR2628" s="100"/>
      <c r="AS2628" s="100"/>
      <c r="AT2628" s="102"/>
      <c r="AX2628" s="100"/>
      <c r="AY2628" s="100"/>
      <c r="AZ2628" s="100"/>
      <c r="BA2628" s="101"/>
      <c r="BB2628" s="100"/>
      <c r="BC2628" s="100"/>
      <c r="BD2628" s="100"/>
      <c r="BE2628" s="100"/>
      <c r="BF2628" s="100"/>
      <c r="BG2628" s="100"/>
      <c r="BH2628" s="100"/>
      <c r="BI2628" s="100"/>
      <c r="BJ2628" s="100"/>
      <c r="BK2628" s="100"/>
    </row>
    <row r="2629" spans="1:63" x14ac:dyDescent="0.25">
      <c r="A2629" s="92"/>
      <c r="B2629" s="92"/>
      <c r="C2629" s="92"/>
      <c r="D2629" s="92"/>
      <c r="E2629" s="92"/>
      <c r="F2629" s="92"/>
      <c r="G2629" s="92"/>
      <c r="H2629" s="92"/>
      <c r="I2629" s="92"/>
      <c r="J2629" s="92"/>
      <c r="K2629" s="92"/>
      <c r="L2629" s="92"/>
      <c r="M2629" s="92"/>
      <c r="N2629" s="92"/>
      <c r="AG2629" s="100"/>
      <c r="AH2629" s="101"/>
      <c r="AI2629" s="101"/>
      <c r="AJ2629" s="101"/>
      <c r="AK2629" s="100"/>
      <c r="AL2629" s="100"/>
      <c r="AM2629" s="100"/>
      <c r="AN2629" s="100"/>
      <c r="AO2629" s="100"/>
      <c r="AP2629" s="100"/>
      <c r="AQ2629" s="100"/>
      <c r="AR2629" s="100"/>
      <c r="AS2629" s="100"/>
      <c r="AT2629" s="102"/>
      <c r="AX2629" s="100"/>
      <c r="AY2629" s="100"/>
      <c r="AZ2629" s="100"/>
      <c r="BA2629" s="101"/>
      <c r="BB2629" s="100"/>
      <c r="BC2629" s="100"/>
      <c r="BD2629" s="100"/>
      <c r="BE2629" s="100"/>
      <c r="BF2629" s="100"/>
      <c r="BG2629" s="100"/>
      <c r="BH2629" s="100"/>
      <c r="BI2629" s="100"/>
      <c r="BJ2629" s="100"/>
      <c r="BK2629" s="100"/>
    </row>
    <row r="2630" spans="1:63" x14ac:dyDescent="0.25">
      <c r="A2630" s="92"/>
      <c r="B2630" s="93"/>
      <c r="C2630" s="93"/>
      <c r="D2630" s="92"/>
      <c r="E2630" s="92"/>
      <c r="F2630" s="92"/>
      <c r="G2630" s="92"/>
      <c r="H2630" s="92"/>
      <c r="I2630" s="92"/>
      <c r="J2630" s="92"/>
      <c r="K2630" s="92"/>
      <c r="L2630" s="92"/>
      <c r="M2630" s="92"/>
      <c r="N2630" s="94"/>
      <c r="AG2630" s="100"/>
      <c r="AH2630" s="101"/>
      <c r="AI2630" s="101"/>
      <c r="AJ2630" s="101"/>
      <c r="AK2630" s="100"/>
      <c r="AL2630" s="100"/>
      <c r="AM2630" s="100"/>
      <c r="AN2630" s="100"/>
      <c r="AO2630" s="100"/>
      <c r="AP2630" s="100"/>
      <c r="AQ2630" s="100"/>
      <c r="AR2630" s="100"/>
      <c r="AS2630" s="100"/>
      <c r="AT2630" s="102"/>
      <c r="AX2630" s="100"/>
      <c r="AY2630" s="100"/>
      <c r="AZ2630" s="100"/>
      <c r="BA2630" s="101"/>
      <c r="BB2630" s="100"/>
      <c r="BC2630" s="100"/>
      <c r="BD2630" s="100"/>
      <c r="BE2630" s="100"/>
      <c r="BF2630" s="100"/>
      <c r="BG2630" s="100"/>
      <c r="BH2630" s="100"/>
      <c r="BI2630" s="100"/>
      <c r="BJ2630" s="100"/>
      <c r="BK2630" s="100"/>
    </row>
    <row r="2631" spans="1:63" x14ac:dyDescent="0.25">
      <c r="A2631" s="92"/>
      <c r="B2631" s="93"/>
      <c r="C2631" s="93"/>
      <c r="D2631" s="92"/>
      <c r="E2631" s="92"/>
      <c r="F2631" s="92"/>
      <c r="G2631" s="92"/>
      <c r="H2631" s="92"/>
      <c r="I2631" s="92"/>
      <c r="J2631" s="92"/>
      <c r="K2631" s="92"/>
      <c r="L2631" s="92"/>
      <c r="M2631" s="92"/>
      <c r="N2631" s="94"/>
      <c r="AG2631" s="100"/>
      <c r="AH2631" s="101"/>
      <c r="AI2631" s="101"/>
      <c r="AJ2631" s="101"/>
      <c r="AK2631" s="100"/>
      <c r="AL2631" s="100"/>
      <c r="AM2631" s="100"/>
      <c r="AN2631" s="100"/>
      <c r="AO2631" s="100"/>
      <c r="AP2631" s="100"/>
      <c r="AQ2631" s="100"/>
      <c r="AR2631" s="100"/>
      <c r="AS2631" s="100"/>
      <c r="AT2631" s="102"/>
      <c r="AX2631" s="100"/>
      <c r="AY2631" s="100"/>
      <c r="AZ2631" s="100"/>
      <c r="BA2631" s="101"/>
      <c r="BB2631" s="100"/>
      <c r="BC2631" s="100"/>
      <c r="BD2631" s="100"/>
      <c r="BE2631" s="100"/>
      <c r="BF2631" s="100"/>
      <c r="BG2631" s="100"/>
      <c r="BH2631" s="100"/>
      <c r="BI2631" s="100"/>
      <c r="BJ2631" s="100"/>
      <c r="BK2631" s="100"/>
    </row>
    <row r="2632" spans="1:63" x14ac:dyDescent="0.25">
      <c r="A2632" s="92"/>
      <c r="B2632" s="93"/>
      <c r="C2632" s="93"/>
      <c r="D2632" s="92"/>
      <c r="E2632" s="92"/>
      <c r="F2632" s="92"/>
      <c r="G2632" s="92"/>
      <c r="H2632" s="92"/>
      <c r="I2632" s="92"/>
      <c r="J2632" s="92"/>
      <c r="K2632" s="92"/>
      <c r="L2632" s="92"/>
      <c r="M2632" s="92"/>
      <c r="N2632" s="94"/>
      <c r="AG2632" s="100"/>
      <c r="AH2632" s="101"/>
      <c r="AI2632" s="101"/>
      <c r="AJ2632" s="101"/>
      <c r="AK2632" s="100"/>
      <c r="AL2632" s="100"/>
      <c r="AM2632" s="100"/>
      <c r="AN2632" s="100"/>
      <c r="AO2632" s="100"/>
      <c r="AP2632" s="100"/>
      <c r="AQ2632" s="100"/>
      <c r="AR2632" s="100"/>
      <c r="AS2632" s="100"/>
      <c r="AT2632" s="102"/>
      <c r="AX2632" s="100"/>
      <c r="AY2632" s="100"/>
      <c r="AZ2632" s="100"/>
      <c r="BA2632" s="101"/>
      <c r="BB2632" s="100"/>
      <c r="BC2632" s="100"/>
      <c r="BD2632" s="100"/>
      <c r="BE2632" s="100"/>
      <c r="BF2632" s="100"/>
      <c r="BG2632" s="100"/>
      <c r="BH2632" s="100"/>
      <c r="BI2632" s="100"/>
      <c r="BJ2632" s="100"/>
      <c r="BK2632" s="100"/>
    </row>
    <row r="2633" spans="1:63" x14ac:dyDescent="0.25">
      <c r="A2633" s="92"/>
      <c r="B2633" s="93"/>
      <c r="C2633" s="93"/>
      <c r="D2633" s="92"/>
      <c r="E2633" s="92"/>
      <c r="F2633" s="92"/>
      <c r="G2633" s="92"/>
      <c r="H2633" s="92"/>
      <c r="I2633" s="92"/>
      <c r="J2633" s="92"/>
      <c r="K2633" s="92"/>
      <c r="L2633" s="92"/>
      <c r="M2633" s="92"/>
      <c r="N2633" s="94"/>
      <c r="AG2633" s="100"/>
      <c r="AH2633" s="100"/>
      <c r="AI2633" s="100"/>
      <c r="AJ2633" s="101"/>
      <c r="AK2633" s="100"/>
      <c r="AL2633" s="100"/>
      <c r="AM2633" s="100"/>
      <c r="AN2633" s="100"/>
      <c r="AO2633" s="100"/>
      <c r="AP2633" s="100"/>
      <c r="AQ2633" s="100"/>
      <c r="AR2633" s="100"/>
      <c r="AS2633" s="100"/>
      <c r="AT2633" s="100"/>
      <c r="AX2633" s="100"/>
      <c r="AY2633" s="100"/>
      <c r="AZ2633" s="100"/>
      <c r="BA2633" s="101"/>
      <c r="BB2633" s="100"/>
      <c r="BC2633" s="100"/>
      <c r="BD2633" s="100"/>
      <c r="BE2633" s="100"/>
      <c r="BF2633" s="100"/>
      <c r="BG2633" s="100"/>
      <c r="BH2633" s="100"/>
      <c r="BI2633" s="100"/>
      <c r="BJ2633" s="100"/>
      <c r="BK2633" s="100"/>
    </row>
    <row r="2634" spans="1:63" x14ac:dyDescent="0.25">
      <c r="A2634" s="92"/>
      <c r="B2634" s="93"/>
      <c r="C2634" s="93"/>
      <c r="D2634" s="93"/>
      <c r="E2634" s="92"/>
      <c r="F2634" s="92"/>
      <c r="G2634" s="92"/>
      <c r="H2634" s="92"/>
      <c r="I2634" s="92"/>
      <c r="J2634" s="92"/>
      <c r="K2634" s="92"/>
      <c r="L2634" s="92"/>
      <c r="M2634" s="92"/>
      <c r="N2634" s="94"/>
      <c r="AG2634" s="100"/>
      <c r="AH2634" s="101"/>
      <c r="AI2634" s="101"/>
      <c r="AJ2634" s="101"/>
      <c r="AK2634" s="100"/>
      <c r="AL2634" s="100"/>
      <c r="AM2634" s="100"/>
      <c r="AN2634" s="100"/>
      <c r="AO2634" s="100"/>
      <c r="AP2634" s="100"/>
      <c r="AQ2634" s="100"/>
      <c r="AR2634" s="100"/>
      <c r="AS2634" s="100"/>
      <c r="AT2634" s="102"/>
      <c r="AX2634" s="100"/>
      <c r="AY2634" s="100"/>
      <c r="AZ2634" s="100"/>
      <c r="BA2634" s="101"/>
      <c r="BB2634" s="100"/>
      <c r="BC2634" s="100"/>
      <c r="BD2634" s="100"/>
      <c r="BE2634" s="100"/>
      <c r="BF2634" s="100"/>
      <c r="BG2634" s="100"/>
      <c r="BH2634" s="100"/>
      <c r="BI2634" s="100"/>
      <c r="BJ2634" s="100"/>
      <c r="BK2634" s="100"/>
    </row>
    <row r="2635" spans="1:63" x14ac:dyDescent="0.25">
      <c r="A2635" s="92"/>
      <c r="B2635" s="92"/>
      <c r="C2635" s="92"/>
      <c r="D2635" s="93"/>
      <c r="E2635" s="92"/>
      <c r="F2635" s="92"/>
      <c r="G2635" s="92"/>
      <c r="H2635" s="92"/>
      <c r="I2635" s="92"/>
      <c r="J2635" s="92"/>
      <c r="K2635" s="92"/>
      <c r="L2635" s="92"/>
      <c r="M2635" s="92"/>
      <c r="N2635" s="92"/>
      <c r="AG2635" s="100"/>
      <c r="AH2635" s="101"/>
      <c r="AI2635" s="101"/>
      <c r="AJ2635" s="101"/>
      <c r="AK2635" s="100"/>
      <c r="AL2635" s="100"/>
      <c r="AM2635" s="100"/>
      <c r="AN2635" s="100"/>
      <c r="AO2635" s="100"/>
      <c r="AP2635" s="100"/>
      <c r="AQ2635" s="100"/>
      <c r="AR2635" s="100"/>
      <c r="AS2635" s="100"/>
      <c r="AT2635" s="102"/>
      <c r="AX2635" s="100"/>
      <c r="AY2635" s="100"/>
      <c r="AZ2635" s="100"/>
      <c r="BA2635" s="101"/>
      <c r="BB2635" s="100"/>
      <c r="BC2635" s="100"/>
      <c r="BD2635" s="100"/>
      <c r="BE2635" s="100"/>
      <c r="BF2635" s="100"/>
      <c r="BG2635" s="100"/>
      <c r="BH2635" s="100"/>
      <c r="BI2635" s="100"/>
      <c r="BJ2635" s="100"/>
      <c r="BK2635" s="100"/>
    </row>
    <row r="2636" spans="1:63" x14ac:dyDescent="0.25">
      <c r="A2636" s="92"/>
      <c r="B2636" s="93"/>
      <c r="C2636" s="93"/>
      <c r="D2636" s="92"/>
      <c r="E2636" s="92"/>
      <c r="F2636" s="92"/>
      <c r="G2636" s="92"/>
      <c r="H2636" s="92"/>
      <c r="I2636" s="92"/>
      <c r="J2636" s="92"/>
      <c r="K2636" s="92"/>
      <c r="L2636" s="92"/>
      <c r="M2636" s="92"/>
      <c r="N2636" s="94"/>
      <c r="AG2636" s="100"/>
      <c r="AH2636" s="101"/>
      <c r="AI2636" s="101"/>
      <c r="AJ2636" s="101"/>
      <c r="AK2636" s="100"/>
      <c r="AL2636" s="100"/>
      <c r="AM2636" s="100"/>
      <c r="AN2636" s="100"/>
      <c r="AO2636" s="100"/>
      <c r="AP2636" s="100"/>
      <c r="AQ2636" s="100"/>
      <c r="AR2636" s="100"/>
      <c r="AS2636" s="100"/>
      <c r="AT2636" s="102"/>
      <c r="AX2636" s="100"/>
      <c r="AY2636" s="100"/>
      <c r="AZ2636" s="100"/>
      <c r="BA2636" s="101"/>
      <c r="BB2636" s="100"/>
      <c r="BC2636" s="100"/>
      <c r="BD2636" s="100"/>
      <c r="BE2636" s="100"/>
      <c r="BF2636" s="100"/>
      <c r="BG2636" s="100"/>
      <c r="BH2636" s="100"/>
      <c r="BI2636" s="100"/>
      <c r="BJ2636" s="100"/>
      <c r="BK2636" s="100"/>
    </row>
    <row r="2637" spans="1:63" x14ac:dyDescent="0.25">
      <c r="A2637" s="92"/>
      <c r="B2637" s="93"/>
      <c r="C2637" s="93"/>
      <c r="D2637" s="92"/>
      <c r="E2637" s="92"/>
      <c r="F2637" s="92"/>
      <c r="G2637" s="92"/>
      <c r="H2637" s="92"/>
      <c r="I2637" s="92"/>
      <c r="J2637" s="92"/>
      <c r="K2637" s="92"/>
      <c r="L2637" s="92"/>
      <c r="M2637" s="92"/>
      <c r="N2637" s="94"/>
      <c r="AG2637" s="100"/>
      <c r="AH2637" s="101"/>
      <c r="AI2637" s="101"/>
      <c r="AJ2637" s="101"/>
      <c r="AK2637" s="100"/>
      <c r="AL2637" s="100"/>
      <c r="AM2637" s="100"/>
      <c r="AN2637" s="100"/>
      <c r="AO2637" s="100"/>
      <c r="AP2637" s="100"/>
      <c r="AQ2637" s="100"/>
      <c r="AR2637" s="100"/>
      <c r="AS2637" s="100"/>
      <c r="AT2637" s="102"/>
      <c r="AX2637" s="100"/>
      <c r="AY2637" s="100"/>
      <c r="AZ2637" s="100"/>
      <c r="BA2637" s="101"/>
      <c r="BB2637" s="100"/>
      <c r="BC2637" s="100"/>
      <c r="BD2637" s="100"/>
      <c r="BE2637" s="100"/>
      <c r="BF2637" s="100"/>
      <c r="BG2637" s="100"/>
      <c r="BH2637" s="100"/>
      <c r="BI2637" s="100"/>
      <c r="BJ2637" s="100"/>
      <c r="BK2637" s="100"/>
    </row>
    <row r="2638" spans="1:63" x14ac:dyDescent="0.25">
      <c r="A2638" s="92"/>
      <c r="B2638" s="93"/>
      <c r="C2638" s="93"/>
      <c r="D2638" s="92"/>
      <c r="E2638" s="92"/>
      <c r="F2638" s="92"/>
      <c r="G2638" s="92"/>
      <c r="H2638" s="92"/>
      <c r="I2638" s="92"/>
      <c r="J2638" s="92"/>
      <c r="K2638" s="92"/>
      <c r="L2638" s="92"/>
      <c r="M2638" s="92"/>
      <c r="N2638" s="94"/>
      <c r="AG2638" s="100"/>
      <c r="AH2638" s="101"/>
      <c r="AI2638" s="101"/>
      <c r="AJ2638" s="101"/>
      <c r="AK2638" s="100"/>
      <c r="AL2638" s="100"/>
      <c r="AM2638" s="100"/>
      <c r="AN2638" s="100"/>
      <c r="AO2638" s="100"/>
      <c r="AP2638" s="100"/>
      <c r="AQ2638" s="100"/>
      <c r="AR2638" s="100"/>
      <c r="AS2638" s="100"/>
      <c r="AT2638" s="102"/>
      <c r="AX2638" s="100"/>
      <c r="AY2638" s="100"/>
      <c r="AZ2638" s="100"/>
      <c r="BA2638" s="101"/>
      <c r="BB2638" s="100"/>
      <c r="BC2638" s="100"/>
      <c r="BD2638" s="100"/>
      <c r="BE2638" s="100"/>
      <c r="BF2638" s="100"/>
      <c r="BG2638" s="100"/>
      <c r="BH2638" s="100"/>
      <c r="BI2638" s="100"/>
      <c r="BJ2638" s="100"/>
      <c r="BK2638" s="100"/>
    </row>
    <row r="2639" spans="1:63" x14ac:dyDescent="0.25">
      <c r="A2639" s="92"/>
      <c r="B2639" s="93"/>
      <c r="C2639" s="93"/>
      <c r="D2639" s="92"/>
      <c r="E2639" s="92"/>
      <c r="F2639" s="92"/>
      <c r="G2639" s="92"/>
      <c r="H2639" s="92"/>
      <c r="I2639" s="92"/>
      <c r="J2639" s="92"/>
      <c r="K2639" s="92"/>
      <c r="L2639" s="92"/>
      <c r="M2639" s="92"/>
      <c r="N2639" s="94"/>
      <c r="AG2639" s="100"/>
      <c r="AH2639" s="101"/>
      <c r="AI2639" s="101"/>
      <c r="AJ2639" s="101"/>
      <c r="AK2639" s="100"/>
      <c r="AL2639" s="100"/>
      <c r="AM2639" s="100"/>
      <c r="AN2639" s="100"/>
      <c r="AO2639" s="100"/>
      <c r="AP2639" s="100"/>
      <c r="AQ2639" s="100"/>
      <c r="AR2639" s="100"/>
      <c r="AS2639" s="100"/>
      <c r="AT2639" s="102"/>
      <c r="AX2639" s="100"/>
      <c r="AY2639" s="100"/>
      <c r="AZ2639" s="100"/>
      <c r="BA2639" s="101"/>
      <c r="BB2639" s="100"/>
      <c r="BC2639" s="100"/>
      <c r="BD2639" s="100"/>
      <c r="BE2639" s="100"/>
      <c r="BF2639" s="100"/>
      <c r="BG2639" s="100"/>
      <c r="BH2639" s="100"/>
      <c r="BI2639" s="100"/>
      <c r="BJ2639" s="100"/>
      <c r="BK2639" s="100"/>
    </row>
    <row r="2640" spans="1:63" x14ac:dyDescent="0.25">
      <c r="A2640" s="92"/>
      <c r="B2640" s="93"/>
      <c r="C2640" s="93"/>
      <c r="D2640" s="92"/>
      <c r="E2640" s="92"/>
      <c r="F2640" s="92"/>
      <c r="G2640" s="92"/>
      <c r="H2640" s="92"/>
      <c r="I2640" s="92"/>
      <c r="J2640" s="92"/>
      <c r="K2640" s="92"/>
      <c r="L2640" s="92"/>
      <c r="M2640" s="92"/>
      <c r="N2640" s="94"/>
      <c r="AG2640" s="100"/>
      <c r="AH2640" s="100"/>
      <c r="AI2640" s="100"/>
      <c r="AJ2640" s="101"/>
      <c r="AK2640" s="100"/>
      <c r="AL2640" s="100"/>
      <c r="AM2640" s="100"/>
      <c r="AN2640" s="100"/>
      <c r="AO2640" s="100"/>
      <c r="AP2640" s="100"/>
      <c r="AQ2640" s="100"/>
      <c r="AR2640" s="100"/>
      <c r="AS2640" s="100"/>
      <c r="AT2640" s="100"/>
      <c r="AX2640" s="100"/>
      <c r="AY2640" s="100"/>
      <c r="AZ2640" s="100"/>
      <c r="BA2640" s="101"/>
      <c r="BB2640" s="100"/>
      <c r="BC2640" s="100"/>
      <c r="BD2640" s="100"/>
      <c r="BE2640" s="100"/>
      <c r="BF2640" s="100"/>
      <c r="BG2640" s="100"/>
      <c r="BH2640" s="100"/>
      <c r="BI2640" s="100"/>
      <c r="BJ2640" s="100"/>
      <c r="BK2640" s="100"/>
    </row>
    <row r="2641" spans="1:63" x14ac:dyDescent="0.25">
      <c r="A2641" s="92"/>
      <c r="B2641" s="92"/>
      <c r="C2641" s="92"/>
      <c r="D2641" s="92"/>
      <c r="E2641" s="92"/>
      <c r="F2641" s="92"/>
      <c r="G2641" s="92"/>
      <c r="H2641" s="92"/>
      <c r="I2641" s="92"/>
      <c r="J2641" s="92"/>
      <c r="K2641" s="92"/>
      <c r="L2641" s="92"/>
      <c r="M2641" s="92"/>
      <c r="N2641" s="92"/>
      <c r="AG2641" s="100"/>
      <c r="AH2641" s="101"/>
      <c r="AI2641" s="101"/>
      <c r="AJ2641" s="101"/>
      <c r="AK2641" s="100"/>
      <c r="AL2641" s="100"/>
      <c r="AM2641" s="100"/>
      <c r="AN2641" s="100"/>
      <c r="AO2641" s="100"/>
      <c r="AP2641" s="100"/>
      <c r="AQ2641" s="100"/>
      <c r="AR2641" s="100"/>
      <c r="AS2641" s="100"/>
      <c r="AT2641" s="102"/>
      <c r="AX2641" s="100"/>
      <c r="AY2641" s="100"/>
      <c r="AZ2641" s="100"/>
      <c r="BA2641" s="101"/>
      <c r="BB2641" s="100"/>
      <c r="BC2641" s="100"/>
      <c r="BD2641" s="100"/>
      <c r="BE2641" s="100"/>
      <c r="BF2641" s="100"/>
      <c r="BG2641" s="100"/>
      <c r="BH2641" s="100"/>
      <c r="BI2641" s="100"/>
      <c r="BJ2641" s="100"/>
      <c r="BK2641" s="100"/>
    </row>
    <row r="2642" spans="1:63" x14ac:dyDescent="0.25">
      <c r="A2642" s="92"/>
      <c r="B2642" s="93"/>
      <c r="C2642" s="93"/>
      <c r="D2642" s="92"/>
      <c r="E2642" s="92"/>
      <c r="F2642" s="92"/>
      <c r="G2642" s="92"/>
      <c r="H2642" s="92"/>
      <c r="I2642" s="92"/>
      <c r="J2642" s="92"/>
      <c r="K2642" s="92"/>
      <c r="L2642" s="92"/>
      <c r="M2642" s="92"/>
      <c r="N2642" s="94"/>
      <c r="AG2642" s="100"/>
      <c r="AH2642" s="100"/>
      <c r="AI2642" s="100"/>
      <c r="AJ2642" s="101"/>
      <c r="AK2642" s="100"/>
      <c r="AL2642" s="100"/>
      <c r="AM2642" s="100"/>
      <c r="AN2642" s="100"/>
      <c r="AO2642" s="100"/>
      <c r="AP2642" s="100"/>
      <c r="AQ2642" s="100"/>
      <c r="AR2642" s="100"/>
      <c r="AS2642" s="100"/>
      <c r="AT2642" s="100"/>
      <c r="AX2642" s="100"/>
      <c r="AY2642" s="100"/>
      <c r="AZ2642" s="100"/>
      <c r="BA2642" s="101"/>
      <c r="BB2642" s="100"/>
      <c r="BC2642" s="100"/>
      <c r="BD2642" s="100"/>
      <c r="BE2642" s="100"/>
      <c r="BF2642" s="100"/>
      <c r="BG2642" s="100"/>
      <c r="BH2642" s="100"/>
      <c r="BI2642" s="100"/>
      <c r="BJ2642" s="100"/>
      <c r="BK2642" s="100"/>
    </row>
    <row r="2643" spans="1:63" x14ac:dyDescent="0.25">
      <c r="A2643" s="92"/>
      <c r="B2643" s="93"/>
      <c r="C2643" s="93"/>
      <c r="D2643" s="92"/>
      <c r="E2643" s="92"/>
      <c r="F2643" s="92"/>
      <c r="G2643" s="92"/>
      <c r="H2643" s="92"/>
      <c r="I2643" s="92"/>
      <c r="J2643" s="92"/>
      <c r="K2643" s="92"/>
      <c r="L2643" s="92"/>
      <c r="M2643" s="92"/>
      <c r="N2643" s="94"/>
      <c r="AG2643" s="100"/>
      <c r="AH2643" s="100"/>
      <c r="AI2643" s="100"/>
      <c r="AJ2643" s="101"/>
      <c r="AK2643" s="100"/>
      <c r="AL2643" s="100"/>
      <c r="AM2643" s="100"/>
      <c r="AN2643" s="100"/>
      <c r="AO2643" s="100"/>
      <c r="AP2643" s="100"/>
      <c r="AQ2643" s="100"/>
      <c r="AR2643" s="100"/>
      <c r="AS2643" s="100"/>
      <c r="AT2643" s="100"/>
      <c r="AX2643" s="100"/>
      <c r="AY2643" s="100"/>
      <c r="AZ2643" s="100"/>
      <c r="BA2643" s="101"/>
      <c r="BB2643" s="100"/>
      <c r="BC2643" s="100"/>
      <c r="BD2643" s="100"/>
      <c r="BE2643" s="100"/>
      <c r="BF2643" s="100"/>
      <c r="BG2643" s="100"/>
      <c r="BH2643" s="100"/>
      <c r="BI2643" s="100"/>
      <c r="BJ2643" s="100"/>
      <c r="BK2643" s="100"/>
    </row>
    <row r="2644" spans="1:63" x14ac:dyDescent="0.25">
      <c r="A2644" s="92"/>
      <c r="B2644" s="93"/>
      <c r="C2644" s="93"/>
      <c r="D2644" s="92"/>
      <c r="E2644" s="92"/>
      <c r="F2644" s="92"/>
      <c r="G2644" s="92"/>
      <c r="H2644" s="92"/>
      <c r="I2644" s="92"/>
      <c r="J2644" s="92"/>
      <c r="K2644" s="92"/>
      <c r="L2644" s="92"/>
      <c r="M2644" s="92"/>
      <c r="N2644" s="94"/>
      <c r="AG2644" s="100"/>
      <c r="AH2644" s="100"/>
      <c r="AI2644" s="100"/>
      <c r="AJ2644" s="101"/>
      <c r="AK2644" s="100"/>
      <c r="AL2644" s="100"/>
      <c r="AM2644" s="100"/>
      <c r="AN2644" s="100"/>
      <c r="AO2644" s="100"/>
      <c r="AP2644" s="100"/>
      <c r="AQ2644" s="100"/>
      <c r="AR2644" s="100"/>
      <c r="AS2644" s="100"/>
      <c r="AT2644" s="100"/>
      <c r="AX2644" s="100"/>
      <c r="AY2644" s="100"/>
      <c r="AZ2644" s="100"/>
      <c r="BA2644" s="101"/>
      <c r="BB2644" s="100"/>
      <c r="BC2644" s="100"/>
      <c r="BD2644" s="100"/>
      <c r="BE2644" s="100"/>
      <c r="BF2644" s="100"/>
      <c r="BG2644" s="100"/>
      <c r="BH2644" s="100"/>
      <c r="BI2644" s="100"/>
      <c r="BJ2644" s="100"/>
      <c r="BK2644" s="100"/>
    </row>
    <row r="2645" spans="1:63" x14ac:dyDescent="0.25">
      <c r="A2645" s="92"/>
      <c r="B2645" s="92"/>
      <c r="C2645" s="92"/>
      <c r="D2645" s="92"/>
      <c r="E2645" s="92"/>
      <c r="F2645" s="92"/>
      <c r="G2645" s="92"/>
      <c r="H2645" s="92"/>
      <c r="I2645" s="92"/>
      <c r="J2645" s="92"/>
      <c r="K2645" s="92"/>
      <c r="L2645" s="92"/>
      <c r="M2645" s="92"/>
      <c r="N2645" s="92"/>
      <c r="AG2645" s="100"/>
      <c r="AH2645" s="101"/>
      <c r="AI2645" s="101"/>
      <c r="AJ2645" s="101"/>
      <c r="AK2645" s="100"/>
      <c r="AL2645" s="100"/>
      <c r="AM2645" s="100"/>
      <c r="AN2645" s="100"/>
      <c r="AO2645" s="100"/>
      <c r="AP2645" s="100"/>
      <c r="AQ2645" s="100"/>
      <c r="AR2645" s="100"/>
      <c r="AS2645" s="100"/>
      <c r="AT2645" s="102"/>
      <c r="AX2645" s="100"/>
      <c r="AY2645" s="100"/>
      <c r="AZ2645" s="100"/>
      <c r="BA2645" s="101"/>
      <c r="BB2645" s="100"/>
      <c r="BC2645" s="100"/>
      <c r="BD2645" s="100"/>
      <c r="BE2645" s="100"/>
      <c r="BF2645" s="100"/>
      <c r="BG2645" s="100"/>
      <c r="BH2645" s="100"/>
      <c r="BI2645" s="100"/>
      <c r="BJ2645" s="100"/>
      <c r="BK2645" s="100"/>
    </row>
    <row r="2646" spans="1:63" x14ac:dyDescent="0.25">
      <c r="A2646" s="92"/>
      <c r="B2646" s="93"/>
      <c r="C2646" s="93"/>
      <c r="D2646" s="92"/>
      <c r="E2646" s="92"/>
      <c r="F2646" s="92"/>
      <c r="G2646" s="92"/>
      <c r="H2646" s="92"/>
      <c r="I2646" s="92"/>
      <c r="J2646" s="92"/>
      <c r="K2646" s="92"/>
      <c r="L2646" s="92"/>
      <c r="M2646" s="92"/>
      <c r="N2646" s="94"/>
      <c r="AG2646" s="100"/>
      <c r="AH2646" s="101"/>
      <c r="AI2646" s="101"/>
      <c r="AJ2646" s="101"/>
      <c r="AK2646" s="100"/>
      <c r="AL2646" s="100"/>
      <c r="AM2646" s="100"/>
      <c r="AN2646" s="100"/>
      <c r="AO2646" s="100"/>
      <c r="AP2646" s="100"/>
      <c r="AQ2646" s="100"/>
      <c r="AR2646" s="100"/>
      <c r="AS2646" s="100"/>
      <c r="AT2646" s="102"/>
      <c r="AX2646" s="100"/>
      <c r="AY2646" s="100"/>
      <c r="AZ2646" s="100"/>
      <c r="BA2646" s="101"/>
      <c r="BB2646" s="100"/>
      <c r="BC2646" s="100"/>
      <c r="BD2646" s="100"/>
      <c r="BE2646" s="100"/>
      <c r="BF2646" s="100"/>
      <c r="BG2646" s="100"/>
      <c r="BH2646" s="100"/>
      <c r="BI2646" s="100"/>
      <c r="BJ2646" s="100"/>
      <c r="BK2646" s="100"/>
    </row>
    <row r="2647" spans="1:63" x14ac:dyDescent="0.25">
      <c r="A2647" s="92"/>
      <c r="B2647" s="93"/>
      <c r="C2647" s="93"/>
      <c r="D2647" s="92"/>
      <c r="E2647" s="92"/>
      <c r="F2647" s="92"/>
      <c r="G2647" s="92"/>
      <c r="H2647" s="92"/>
      <c r="I2647" s="92"/>
      <c r="J2647" s="92"/>
      <c r="K2647" s="92"/>
      <c r="L2647" s="92"/>
      <c r="M2647" s="92"/>
      <c r="N2647" s="94"/>
      <c r="AG2647" s="100"/>
      <c r="AH2647" s="101"/>
      <c r="AI2647" s="101"/>
      <c r="AJ2647" s="101"/>
      <c r="AK2647" s="100"/>
      <c r="AL2647" s="100"/>
      <c r="AM2647" s="100"/>
      <c r="AN2647" s="100"/>
      <c r="AO2647" s="100"/>
      <c r="AP2647" s="100"/>
      <c r="AQ2647" s="100"/>
      <c r="AR2647" s="100"/>
      <c r="AS2647" s="100"/>
      <c r="AT2647" s="102"/>
      <c r="AX2647" s="100"/>
      <c r="AY2647" s="100"/>
      <c r="AZ2647" s="100"/>
      <c r="BA2647" s="101"/>
      <c r="BB2647" s="100"/>
      <c r="BC2647" s="100"/>
      <c r="BD2647" s="100"/>
      <c r="BE2647" s="100"/>
      <c r="BF2647" s="100"/>
      <c r="BG2647" s="100"/>
      <c r="BH2647" s="100"/>
      <c r="BI2647" s="100"/>
      <c r="BJ2647" s="100"/>
      <c r="BK2647" s="100"/>
    </row>
    <row r="2648" spans="1:63" x14ac:dyDescent="0.25">
      <c r="A2648" s="92"/>
      <c r="B2648" s="93"/>
      <c r="C2648" s="93"/>
      <c r="D2648" s="92"/>
      <c r="E2648" s="92"/>
      <c r="F2648" s="92"/>
      <c r="G2648" s="92"/>
      <c r="H2648" s="92"/>
      <c r="I2648" s="92"/>
      <c r="J2648" s="92"/>
      <c r="K2648" s="92"/>
      <c r="L2648" s="92"/>
      <c r="M2648" s="92"/>
      <c r="N2648" s="94"/>
      <c r="AG2648" s="100"/>
      <c r="AH2648" s="101"/>
      <c r="AI2648" s="101"/>
      <c r="AJ2648" s="101"/>
      <c r="AK2648" s="100"/>
      <c r="AL2648" s="100"/>
      <c r="AM2648" s="100"/>
      <c r="AN2648" s="100"/>
      <c r="AO2648" s="100"/>
      <c r="AP2648" s="100"/>
      <c r="AQ2648" s="100"/>
      <c r="AR2648" s="100"/>
      <c r="AS2648" s="100"/>
      <c r="AT2648" s="102"/>
      <c r="AX2648" s="100"/>
      <c r="AY2648" s="100"/>
      <c r="AZ2648" s="100"/>
      <c r="BA2648" s="101"/>
      <c r="BB2648" s="100"/>
      <c r="BC2648" s="100"/>
      <c r="BD2648" s="100"/>
      <c r="BE2648" s="100"/>
      <c r="BF2648" s="100"/>
      <c r="BG2648" s="100"/>
      <c r="BH2648" s="100"/>
      <c r="BI2648" s="100"/>
      <c r="BJ2648" s="100"/>
      <c r="BK2648" s="100"/>
    </row>
    <row r="2649" spans="1:63" x14ac:dyDescent="0.25">
      <c r="A2649" s="92"/>
      <c r="B2649" s="92"/>
      <c r="C2649" s="92"/>
      <c r="D2649" s="92"/>
      <c r="E2649" s="92"/>
      <c r="F2649" s="92"/>
      <c r="G2649" s="92"/>
      <c r="H2649" s="92"/>
      <c r="I2649" s="92"/>
      <c r="J2649" s="92"/>
      <c r="K2649" s="92"/>
      <c r="L2649" s="92"/>
      <c r="M2649" s="92"/>
      <c r="N2649" s="92"/>
      <c r="AG2649" s="100"/>
      <c r="AH2649" s="101"/>
      <c r="AI2649" s="101"/>
      <c r="AJ2649" s="101"/>
      <c r="AK2649" s="100"/>
      <c r="AL2649" s="100"/>
      <c r="AM2649" s="100"/>
      <c r="AN2649" s="100"/>
      <c r="AO2649" s="100"/>
      <c r="AP2649" s="100"/>
      <c r="AQ2649" s="100"/>
      <c r="AR2649" s="100"/>
      <c r="AS2649" s="100"/>
      <c r="AT2649" s="102"/>
      <c r="AX2649" s="100"/>
      <c r="AY2649" s="100"/>
      <c r="AZ2649" s="100"/>
      <c r="BA2649" s="101"/>
      <c r="BB2649" s="100"/>
      <c r="BC2649" s="100"/>
      <c r="BD2649" s="100"/>
      <c r="BE2649" s="100"/>
      <c r="BF2649" s="100"/>
      <c r="BG2649" s="100"/>
      <c r="BH2649" s="100"/>
      <c r="BI2649" s="100"/>
      <c r="BJ2649" s="100"/>
      <c r="BK2649" s="100"/>
    </row>
    <row r="2650" spans="1:63" x14ac:dyDescent="0.25">
      <c r="A2650" s="92"/>
      <c r="B2650" s="92"/>
      <c r="C2650" s="92"/>
      <c r="D2650" s="92"/>
      <c r="E2650" s="92"/>
      <c r="F2650" s="92"/>
      <c r="G2650" s="92"/>
      <c r="H2650" s="92"/>
      <c r="I2650" s="92"/>
      <c r="J2650" s="92"/>
      <c r="K2650" s="92"/>
      <c r="L2650" s="92"/>
      <c r="M2650" s="92"/>
      <c r="N2650" s="92"/>
      <c r="AG2650" s="100"/>
      <c r="AH2650" s="101"/>
      <c r="AI2650" s="101"/>
      <c r="AJ2650" s="101"/>
      <c r="AK2650" s="100"/>
      <c r="AL2650" s="100"/>
      <c r="AM2650" s="100"/>
      <c r="AN2650" s="100"/>
      <c r="AO2650" s="100"/>
      <c r="AP2650" s="100"/>
      <c r="AQ2650" s="100"/>
      <c r="AR2650" s="100"/>
      <c r="AS2650" s="100"/>
      <c r="AT2650" s="102"/>
      <c r="AX2650" s="100"/>
      <c r="AY2650" s="100"/>
      <c r="AZ2650" s="100"/>
      <c r="BA2650" s="101"/>
      <c r="BB2650" s="100"/>
      <c r="BC2650" s="100"/>
      <c r="BD2650" s="100"/>
      <c r="BE2650" s="100"/>
      <c r="BF2650" s="100"/>
      <c r="BG2650" s="100"/>
      <c r="BH2650" s="100"/>
      <c r="BI2650" s="100"/>
      <c r="BJ2650" s="100"/>
      <c r="BK2650" s="100"/>
    </row>
    <row r="2651" spans="1:63" x14ac:dyDescent="0.25">
      <c r="A2651" s="92"/>
      <c r="B2651" s="92"/>
      <c r="C2651" s="92"/>
      <c r="D2651" s="92"/>
      <c r="E2651" s="92"/>
      <c r="F2651" s="92"/>
      <c r="G2651" s="92"/>
      <c r="H2651" s="92"/>
      <c r="I2651" s="92"/>
      <c r="J2651" s="92"/>
      <c r="K2651" s="92"/>
      <c r="L2651" s="92"/>
      <c r="M2651" s="92"/>
      <c r="N2651" s="92"/>
      <c r="AG2651" s="100"/>
      <c r="AH2651" s="101"/>
      <c r="AI2651" s="101"/>
      <c r="AJ2651" s="101"/>
      <c r="AK2651" s="100"/>
      <c r="AL2651" s="100"/>
      <c r="AM2651" s="100"/>
      <c r="AN2651" s="100"/>
      <c r="AO2651" s="100"/>
      <c r="AP2651" s="100"/>
      <c r="AQ2651" s="100"/>
      <c r="AR2651" s="100"/>
      <c r="AS2651" s="100"/>
      <c r="AT2651" s="102"/>
      <c r="AX2651" s="100"/>
      <c r="AY2651" s="100"/>
      <c r="AZ2651" s="100"/>
      <c r="BA2651" s="101"/>
      <c r="BB2651" s="100"/>
      <c r="BC2651" s="100"/>
      <c r="BD2651" s="100"/>
      <c r="BE2651" s="100"/>
      <c r="BF2651" s="100"/>
      <c r="BG2651" s="100"/>
      <c r="BH2651" s="100"/>
      <c r="BI2651" s="100"/>
      <c r="BJ2651" s="100"/>
      <c r="BK2651" s="100"/>
    </row>
    <row r="2652" spans="1:63" x14ac:dyDescent="0.25">
      <c r="A2652" s="92"/>
      <c r="B2652" s="93"/>
      <c r="C2652" s="93"/>
      <c r="D2652" s="92"/>
      <c r="E2652" s="92"/>
      <c r="F2652" s="92"/>
      <c r="G2652" s="92"/>
      <c r="H2652" s="92"/>
      <c r="I2652" s="92"/>
      <c r="J2652" s="92"/>
      <c r="K2652" s="92"/>
      <c r="L2652" s="92"/>
      <c r="M2652" s="92"/>
      <c r="N2652" s="94"/>
      <c r="AG2652" s="100"/>
      <c r="AH2652" s="101"/>
      <c r="AI2652" s="101"/>
      <c r="AJ2652" s="101"/>
      <c r="AK2652" s="100"/>
      <c r="AL2652" s="100"/>
      <c r="AM2652" s="100"/>
      <c r="AN2652" s="100"/>
      <c r="AO2652" s="100"/>
      <c r="AP2652" s="100"/>
      <c r="AQ2652" s="100"/>
      <c r="AR2652" s="100"/>
      <c r="AS2652" s="100"/>
      <c r="AT2652" s="102"/>
      <c r="AX2652" s="100"/>
      <c r="AY2652" s="100"/>
      <c r="AZ2652" s="100"/>
      <c r="BA2652" s="101"/>
      <c r="BB2652" s="100"/>
      <c r="BC2652" s="100"/>
      <c r="BD2652" s="100"/>
      <c r="BE2652" s="100"/>
      <c r="BF2652" s="100"/>
      <c r="BG2652" s="100"/>
      <c r="BH2652" s="100"/>
      <c r="BI2652" s="100"/>
      <c r="BJ2652" s="100"/>
      <c r="BK2652" s="100"/>
    </row>
    <row r="2653" spans="1:63" x14ac:dyDescent="0.25">
      <c r="A2653" s="92"/>
      <c r="B2653" s="93"/>
      <c r="C2653" s="93"/>
      <c r="D2653" s="92"/>
      <c r="E2653" s="92"/>
      <c r="F2653" s="92"/>
      <c r="G2653" s="92"/>
      <c r="H2653" s="92"/>
      <c r="I2653" s="92"/>
      <c r="J2653" s="92"/>
      <c r="K2653" s="92"/>
      <c r="L2653" s="92"/>
      <c r="M2653" s="92"/>
      <c r="N2653" s="94"/>
      <c r="AG2653" s="100"/>
      <c r="AH2653" s="101"/>
      <c r="AI2653" s="101"/>
      <c r="AJ2653" s="101"/>
      <c r="AK2653" s="100"/>
      <c r="AL2653" s="100"/>
      <c r="AM2653" s="100"/>
      <c r="AN2653" s="100"/>
      <c r="AO2653" s="100"/>
      <c r="AP2653" s="100"/>
      <c r="AQ2653" s="100"/>
      <c r="AR2653" s="100"/>
      <c r="AS2653" s="100"/>
      <c r="AT2653" s="102"/>
      <c r="AX2653" s="100"/>
      <c r="AY2653" s="100"/>
      <c r="AZ2653" s="100"/>
      <c r="BA2653" s="101"/>
      <c r="BB2653" s="100"/>
      <c r="BC2653" s="100"/>
      <c r="BD2653" s="100"/>
      <c r="BE2653" s="100"/>
      <c r="BF2653" s="100"/>
      <c r="BG2653" s="100"/>
      <c r="BH2653" s="100"/>
      <c r="BI2653" s="100"/>
      <c r="BJ2653" s="100"/>
      <c r="BK2653" s="100"/>
    </row>
    <row r="2654" spans="1:63" x14ac:dyDescent="0.25">
      <c r="A2654" s="92"/>
      <c r="B2654" s="92"/>
      <c r="C2654" s="92"/>
      <c r="D2654" s="92"/>
      <c r="E2654" s="92"/>
      <c r="F2654" s="92"/>
      <c r="G2654" s="92"/>
      <c r="H2654" s="92"/>
      <c r="I2654" s="92"/>
      <c r="J2654" s="92"/>
      <c r="K2654" s="92"/>
      <c r="L2654" s="92"/>
      <c r="M2654" s="92"/>
      <c r="N2654" s="92"/>
      <c r="AG2654" s="100"/>
      <c r="AH2654" s="101"/>
      <c r="AI2654" s="101"/>
      <c r="AJ2654" s="101"/>
      <c r="AK2654" s="100"/>
      <c r="AL2654" s="100"/>
      <c r="AM2654" s="100"/>
      <c r="AN2654" s="100"/>
      <c r="AO2654" s="100"/>
      <c r="AP2654" s="100"/>
      <c r="AQ2654" s="100"/>
      <c r="AR2654" s="100"/>
      <c r="AS2654" s="100"/>
      <c r="AT2654" s="102"/>
      <c r="AX2654" s="100"/>
      <c r="AY2654" s="100"/>
      <c r="AZ2654" s="100"/>
      <c r="BA2654" s="101"/>
      <c r="BB2654" s="100"/>
      <c r="BC2654" s="100"/>
      <c r="BD2654" s="100"/>
      <c r="BE2654" s="100"/>
      <c r="BF2654" s="100"/>
      <c r="BG2654" s="100"/>
      <c r="BH2654" s="100"/>
      <c r="BI2654" s="100"/>
      <c r="BJ2654" s="100"/>
      <c r="BK2654" s="100"/>
    </row>
    <row r="2655" spans="1:63" x14ac:dyDescent="0.25">
      <c r="A2655" s="92"/>
      <c r="B2655" s="92"/>
      <c r="C2655" s="92"/>
      <c r="D2655" s="92"/>
      <c r="E2655" s="92"/>
      <c r="F2655" s="92"/>
      <c r="G2655" s="92"/>
      <c r="H2655" s="92"/>
      <c r="I2655" s="92"/>
      <c r="J2655" s="92"/>
      <c r="K2655" s="92"/>
      <c r="L2655" s="92"/>
      <c r="M2655" s="92"/>
      <c r="N2655" s="92"/>
      <c r="AG2655" s="100"/>
      <c r="AH2655" s="100"/>
      <c r="AI2655" s="100"/>
      <c r="AJ2655" s="101"/>
      <c r="AK2655" s="100"/>
      <c r="AL2655" s="100"/>
      <c r="AM2655" s="100"/>
      <c r="AN2655" s="100"/>
      <c r="AO2655" s="100"/>
      <c r="AP2655" s="100"/>
      <c r="AQ2655" s="100"/>
      <c r="AR2655" s="100"/>
      <c r="AS2655" s="100"/>
      <c r="AT2655" s="100"/>
      <c r="AX2655" s="100"/>
      <c r="AY2655" s="100"/>
      <c r="AZ2655" s="100"/>
      <c r="BA2655" s="101"/>
      <c r="BB2655" s="100"/>
      <c r="BC2655" s="100"/>
      <c r="BD2655" s="100"/>
      <c r="BE2655" s="100"/>
      <c r="BF2655" s="100"/>
      <c r="BG2655" s="100"/>
      <c r="BH2655" s="100"/>
      <c r="BI2655" s="100"/>
      <c r="BJ2655" s="100"/>
      <c r="BK2655" s="100"/>
    </row>
    <row r="2656" spans="1:63" x14ac:dyDescent="0.25">
      <c r="A2656" s="92"/>
      <c r="B2656" s="92"/>
      <c r="C2656" s="92"/>
      <c r="D2656" s="92"/>
      <c r="E2656" s="92"/>
      <c r="F2656" s="92"/>
      <c r="G2656" s="92"/>
      <c r="H2656" s="92"/>
      <c r="I2656" s="92"/>
      <c r="J2656" s="92"/>
      <c r="K2656" s="92"/>
      <c r="L2656" s="92"/>
      <c r="M2656" s="92"/>
      <c r="N2656" s="92"/>
      <c r="AG2656" s="100"/>
      <c r="AH2656" s="100"/>
      <c r="AI2656" s="100"/>
      <c r="AJ2656" s="101"/>
      <c r="AK2656" s="100"/>
      <c r="AL2656" s="100"/>
      <c r="AM2656" s="100"/>
      <c r="AN2656" s="100"/>
      <c r="AO2656" s="100"/>
      <c r="AP2656" s="100"/>
      <c r="AQ2656" s="100"/>
      <c r="AR2656" s="100"/>
      <c r="AS2656" s="100"/>
      <c r="AT2656" s="100"/>
      <c r="AX2656" s="100"/>
      <c r="AY2656" s="100"/>
      <c r="AZ2656" s="100"/>
      <c r="BA2656" s="101"/>
      <c r="BB2656" s="100"/>
      <c r="BC2656" s="100"/>
      <c r="BD2656" s="100"/>
      <c r="BE2656" s="100"/>
      <c r="BF2656" s="100"/>
      <c r="BG2656" s="100"/>
      <c r="BH2656" s="100"/>
      <c r="BI2656" s="100"/>
      <c r="BJ2656" s="100"/>
      <c r="BK2656" s="100"/>
    </row>
    <row r="2657" spans="1:63" x14ac:dyDescent="0.25">
      <c r="A2657" s="92"/>
      <c r="B2657" s="92"/>
      <c r="C2657" s="92"/>
      <c r="D2657" s="92"/>
      <c r="E2657" s="92"/>
      <c r="F2657" s="92"/>
      <c r="G2657" s="92"/>
      <c r="H2657" s="92"/>
      <c r="I2657" s="92"/>
      <c r="J2657" s="92"/>
      <c r="K2657" s="92"/>
      <c r="L2657" s="92"/>
      <c r="M2657" s="92"/>
      <c r="N2657" s="92"/>
      <c r="AG2657" s="100"/>
      <c r="AH2657" s="100"/>
      <c r="AI2657" s="100"/>
      <c r="AJ2657" s="101"/>
      <c r="AK2657" s="100"/>
      <c r="AL2657" s="100"/>
      <c r="AM2657" s="100"/>
      <c r="AN2657" s="100"/>
      <c r="AO2657" s="100"/>
      <c r="AP2657" s="100"/>
      <c r="AQ2657" s="100"/>
      <c r="AR2657" s="100"/>
      <c r="AS2657" s="100"/>
      <c r="AT2657" s="100"/>
      <c r="AX2657" s="100"/>
      <c r="AY2657" s="100"/>
      <c r="AZ2657" s="100"/>
      <c r="BA2657" s="101"/>
      <c r="BB2657" s="100"/>
      <c r="BC2657" s="100"/>
      <c r="BD2657" s="100"/>
      <c r="BE2657" s="100"/>
      <c r="BF2657" s="100"/>
      <c r="BG2657" s="100"/>
      <c r="BH2657" s="100"/>
      <c r="BI2657" s="100"/>
      <c r="BJ2657" s="100"/>
      <c r="BK2657" s="100"/>
    </row>
    <row r="2658" spans="1:63" x14ac:dyDescent="0.25">
      <c r="A2658" s="92"/>
      <c r="B2658" s="93"/>
      <c r="C2658" s="93"/>
      <c r="D2658" s="92"/>
      <c r="E2658" s="92"/>
      <c r="F2658" s="92"/>
      <c r="G2658" s="92"/>
      <c r="H2658" s="92"/>
      <c r="I2658" s="92"/>
      <c r="J2658" s="92"/>
      <c r="K2658" s="92"/>
      <c r="L2658" s="92"/>
      <c r="M2658" s="92"/>
      <c r="N2658" s="94"/>
      <c r="AG2658" s="100"/>
      <c r="AH2658" s="100"/>
      <c r="AI2658" s="100"/>
      <c r="AJ2658" s="101"/>
      <c r="AK2658" s="100"/>
      <c r="AL2658" s="100"/>
      <c r="AM2658" s="100"/>
      <c r="AN2658" s="100"/>
      <c r="AO2658" s="100"/>
      <c r="AP2658" s="103"/>
      <c r="AQ2658" s="100"/>
      <c r="AR2658" s="100"/>
      <c r="AS2658" s="100"/>
      <c r="AT2658" s="100"/>
      <c r="AX2658" s="100"/>
      <c r="AY2658" s="100"/>
      <c r="AZ2658" s="100"/>
      <c r="BA2658" s="101"/>
      <c r="BB2658" s="100"/>
      <c r="BC2658" s="100"/>
      <c r="BD2658" s="100"/>
      <c r="BE2658" s="100"/>
      <c r="BF2658" s="100"/>
      <c r="BG2658" s="100"/>
      <c r="BH2658" s="100"/>
      <c r="BI2658" s="100"/>
      <c r="BJ2658" s="100"/>
      <c r="BK2658" s="100"/>
    </row>
    <row r="2659" spans="1:63" x14ac:dyDescent="0.25">
      <c r="A2659" s="92"/>
      <c r="B2659" s="93"/>
      <c r="C2659" s="93"/>
      <c r="D2659" s="92"/>
      <c r="E2659" s="92"/>
      <c r="F2659" s="92"/>
      <c r="G2659" s="92"/>
      <c r="H2659" s="92"/>
      <c r="I2659" s="92"/>
      <c r="J2659" s="92"/>
      <c r="K2659" s="92"/>
      <c r="L2659" s="92"/>
      <c r="M2659" s="92"/>
      <c r="N2659" s="94"/>
      <c r="AG2659" s="100"/>
      <c r="AH2659" s="101"/>
      <c r="AI2659" s="101"/>
      <c r="AJ2659" s="101"/>
      <c r="AK2659" s="100"/>
      <c r="AL2659" s="100"/>
      <c r="AM2659" s="100"/>
      <c r="AN2659" s="100"/>
      <c r="AO2659" s="100"/>
      <c r="AP2659" s="100"/>
      <c r="AQ2659" s="100"/>
      <c r="AR2659" s="100"/>
      <c r="AS2659" s="100"/>
      <c r="AT2659" s="102"/>
      <c r="AX2659" s="100"/>
      <c r="AY2659" s="100"/>
      <c r="AZ2659" s="100"/>
      <c r="BA2659" s="101"/>
      <c r="BB2659" s="100"/>
      <c r="BC2659" s="100"/>
      <c r="BD2659" s="100"/>
      <c r="BE2659" s="100"/>
      <c r="BF2659" s="100"/>
      <c r="BG2659" s="100"/>
      <c r="BH2659" s="100"/>
      <c r="BI2659" s="100"/>
      <c r="BJ2659" s="100"/>
      <c r="BK2659" s="100"/>
    </row>
    <row r="2660" spans="1:63" x14ac:dyDescent="0.25">
      <c r="A2660" s="92"/>
      <c r="B2660" s="93"/>
      <c r="C2660" s="93"/>
      <c r="D2660" s="92"/>
      <c r="E2660" s="92"/>
      <c r="F2660" s="92"/>
      <c r="G2660" s="92"/>
      <c r="H2660" s="92"/>
      <c r="I2660" s="92"/>
      <c r="J2660" s="92"/>
      <c r="K2660" s="92"/>
      <c r="L2660" s="92"/>
      <c r="M2660" s="92"/>
      <c r="N2660" s="94"/>
      <c r="AG2660" s="100"/>
      <c r="AH2660" s="101"/>
      <c r="AI2660" s="101"/>
      <c r="AJ2660" s="101"/>
      <c r="AK2660" s="100"/>
      <c r="AL2660" s="100"/>
      <c r="AM2660" s="100"/>
      <c r="AN2660" s="100"/>
      <c r="AO2660" s="100"/>
      <c r="AP2660" s="100"/>
      <c r="AQ2660" s="100"/>
      <c r="AR2660" s="100"/>
      <c r="AS2660" s="100"/>
      <c r="AT2660" s="102"/>
      <c r="AX2660" s="100"/>
      <c r="AY2660" s="100"/>
      <c r="AZ2660" s="100"/>
      <c r="BA2660" s="101"/>
      <c r="BB2660" s="100"/>
      <c r="BC2660" s="100"/>
      <c r="BD2660" s="100"/>
      <c r="BE2660" s="100"/>
      <c r="BF2660" s="100"/>
      <c r="BG2660" s="100"/>
      <c r="BH2660" s="100"/>
      <c r="BI2660" s="100"/>
      <c r="BJ2660" s="100"/>
      <c r="BK2660" s="100"/>
    </row>
    <row r="2661" spans="1:63" x14ac:dyDescent="0.25">
      <c r="A2661" s="92"/>
      <c r="B2661" s="92"/>
      <c r="C2661" s="92"/>
      <c r="D2661" s="92"/>
      <c r="E2661" s="92"/>
      <c r="F2661" s="92"/>
      <c r="G2661" s="92"/>
      <c r="H2661" s="92"/>
      <c r="I2661" s="92"/>
      <c r="J2661" s="92"/>
      <c r="K2661" s="92"/>
      <c r="L2661" s="92"/>
      <c r="M2661" s="92"/>
      <c r="N2661" s="92"/>
      <c r="AG2661" s="100"/>
      <c r="AH2661" s="101"/>
      <c r="AI2661" s="101"/>
      <c r="AJ2661" s="101"/>
      <c r="AK2661" s="100"/>
      <c r="AL2661" s="100"/>
      <c r="AM2661" s="100"/>
      <c r="AN2661" s="100"/>
      <c r="AO2661" s="100"/>
      <c r="AP2661" s="100"/>
      <c r="AQ2661" s="100"/>
      <c r="AR2661" s="100"/>
      <c r="AS2661" s="100"/>
      <c r="AT2661" s="102"/>
      <c r="AX2661" s="100"/>
      <c r="AY2661" s="100"/>
      <c r="AZ2661" s="100"/>
      <c r="BA2661" s="101"/>
      <c r="BB2661" s="100"/>
      <c r="BC2661" s="100"/>
      <c r="BD2661" s="100"/>
      <c r="BE2661" s="100"/>
      <c r="BF2661" s="100"/>
      <c r="BG2661" s="100"/>
      <c r="BH2661" s="100"/>
      <c r="BI2661" s="100"/>
      <c r="BJ2661" s="100"/>
      <c r="BK2661" s="100"/>
    </row>
    <row r="2662" spans="1:63" x14ac:dyDescent="0.25">
      <c r="A2662" s="92"/>
      <c r="B2662" s="92"/>
      <c r="C2662" s="92"/>
      <c r="D2662" s="92"/>
      <c r="E2662" s="92"/>
      <c r="F2662" s="92"/>
      <c r="G2662" s="92"/>
      <c r="H2662" s="92"/>
      <c r="I2662" s="92"/>
      <c r="J2662" s="92"/>
      <c r="K2662" s="92"/>
      <c r="L2662" s="92"/>
      <c r="M2662" s="92"/>
      <c r="N2662" s="92"/>
      <c r="AG2662" s="100"/>
      <c r="AH2662" s="101"/>
      <c r="AI2662" s="101"/>
      <c r="AJ2662" s="101"/>
      <c r="AK2662" s="100"/>
      <c r="AL2662" s="100"/>
      <c r="AM2662" s="100"/>
      <c r="AN2662" s="100"/>
      <c r="AO2662" s="100"/>
      <c r="AP2662" s="100"/>
      <c r="AQ2662" s="100"/>
      <c r="AR2662" s="100"/>
      <c r="AS2662" s="100"/>
      <c r="AT2662" s="102"/>
      <c r="AX2662" s="100"/>
      <c r="AY2662" s="100"/>
      <c r="AZ2662" s="100"/>
      <c r="BA2662" s="101"/>
      <c r="BB2662" s="100"/>
      <c r="BC2662" s="100"/>
      <c r="BD2662" s="100"/>
      <c r="BE2662" s="100"/>
      <c r="BF2662" s="100"/>
      <c r="BG2662" s="100"/>
      <c r="BH2662" s="100"/>
      <c r="BI2662" s="100"/>
      <c r="BJ2662" s="100"/>
      <c r="BK2662" s="100"/>
    </row>
    <row r="2663" spans="1:63" x14ac:dyDescent="0.25">
      <c r="A2663" s="92"/>
      <c r="B2663" s="92"/>
      <c r="C2663" s="92"/>
      <c r="D2663" s="92"/>
      <c r="E2663" s="92"/>
      <c r="F2663" s="92"/>
      <c r="G2663" s="92"/>
      <c r="H2663" s="92"/>
      <c r="I2663" s="92"/>
      <c r="J2663" s="92"/>
      <c r="K2663" s="92"/>
      <c r="L2663" s="92"/>
      <c r="M2663" s="92"/>
      <c r="N2663" s="92"/>
      <c r="AG2663" s="100"/>
      <c r="AH2663" s="101"/>
      <c r="AI2663" s="101"/>
      <c r="AJ2663" s="101"/>
      <c r="AK2663" s="100"/>
      <c r="AL2663" s="100"/>
      <c r="AM2663" s="100"/>
      <c r="AN2663" s="100"/>
      <c r="AO2663" s="100"/>
      <c r="AP2663" s="100"/>
      <c r="AQ2663" s="100"/>
      <c r="AR2663" s="100"/>
      <c r="AS2663" s="100"/>
      <c r="AT2663" s="102"/>
      <c r="AX2663" s="100"/>
      <c r="AY2663" s="100"/>
      <c r="AZ2663" s="100"/>
      <c r="BA2663" s="101"/>
      <c r="BB2663" s="100"/>
      <c r="BC2663" s="100"/>
      <c r="BD2663" s="100"/>
      <c r="BE2663" s="100"/>
      <c r="BF2663" s="100"/>
      <c r="BG2663" s="100"/>
      <c r="BH2663" s="100"/>
      <c r="BI2663" s="100"/>
      <c r="BJ2663" s="100"/>
      <c r="BK2663" s="100"/>
    </row>
    <row r="2664" spans="1:63" x14ac:dyDescent="0.25">
      <c r="A2664" s="92"/>
      <c r="B2664" s="92"/>
      <c r="C2664" s="92"/>
      <c r="D2664" s="92"/>
      <c r="E2664" s="92"/>
      <c r="F2664" s="92"/>
      <c r="G2664" s="92"/>
      <c r="H2664" s="92"/>
      <c r="I2664" s="92"/>
      <c r="J2664" s="92"/>
      <c r="K2664" s="92"/>
      <c r="L2664" s="92"/>
      <c r="M2664" s="92"/>
      <c r="N2664" s="92"/>
      <c r="AG2664" s="100"/>
      <c r="AH2664" s="101"/>
      <c r="AI2664" s="101"/>
      <c r="AJ2664" s="101"/>
      <c r="AK2664" s="100"/>
      <c r="AL2664" s="100"/>
      <c r="AM2664" s="100"/>
      <c r="AN2664" s="100"/>
      <c r="AO2664" s="100"/>
      <c r="AP2664" s="100"/>
      <c r="AQ2664" s="100"/>
      <c r="AR2664" s="100"/>
      <c r="AS2664" s="100"/>
      <c r="AT2664" s="102"/>
      <c r="AX2664" s="100"/>
      <c r="AY2664" s="100"/>
      <c r="AZ2664" s="100"/>
      <c r="BA2664" s="101"/>
      <c r="BB2664" s="100"/>
      <c r="BC2664" s="100"/>
      <c r="BD2664" s="100"/>
      <c r="BE2664" s="100"/>
      <c r="BF2664" s="100"/>
      <c r="BG2664" s="100"/>
      <c r="BH2664" s="100"/>
      <c r="BI2664" s="100"/>
      <c r="BJ2664" s="100"/>
      <c r="BK2664" s="100"/>
    </row>
    <row r="2665" spans="1:63" x14ac:dyDescent="0.25">
      <c r="A2665" s="92"/>
      <c r="B2665" s="93"/>
      <c r="C2665" s="93"/>
      <c r="D2665" s="92"/>
      <c r="E2665" s="92"/>
      <c r="F2665" s="92"/>
      <c r="G2665" s="92"/>
      <c r="H2665" s="92"/>
      <c r="I2665" s="92"/>
      <c r="J2665" s="92"/>
      <c r="K2665" s="92"/>
      <c r="L2665" s="92"/>
      <c r="M2665" s="92"/>
      <c r="N2665" s="94"/>
      <c r="AG2665" s="100"/>
      <c r="AH2665" s="101"/>
      <c r="AI2665" s="101"/>
      <c r="AJ2665" s="101"/>
      <c r="AK2665" s="100"/>
      <c r="AL2665" s="100"/>
      <c r="AM2665" s="100"/>
      <c r="AN2665" s="100"/>
      <c r="AO2665" s="100"/>
      <c r="AP2665" s="100"/>
      <c r="AQ2665" s="100"/>
      <c r="AR2665" s="100"/>
      <c r="AS2665" s="100"/>
      <c r="AT2665" s="102"/>
      <c r="AX2665" s="100"/>
      <c r="AY2665" s="100"/>
      <c r="AZ2665" s="100"/>
      <c r="BA2665" s="101"/>
      <c r="BB2665" s="100"/>
      <c r="BC2665" s="100"/>
      <c r="BD2665" s="100"/>
      <c r="BE2665" s="100"/>
      <c r="BF2665" s="100"/>
      <c r="BG2665" s="100"/>
      <c r="BH2665" s="100"/>
      <c r="BI2665" s="100"/>
      <c r="BJ2665" s="100"/>
      <c r="BK2665" s="100"/>
    </row>
    <row r="2666" spans="1:63" x14ac:dyDescent="0.25">
      <c r="A2666" s="92"/>
      <c r="B2666" s="93"/>
      <c r="C2666" s="93"/>
      <c r="D2666" s="92"/>
      <c r="E2666" s="92"/>
      <c r="F2666" s="92"/>
      <c r="G2666" s="92"/>
      <c r="H2666" s="92"/>
      <c r="I2666" s="92"/>
      <c r="J2666" s="92"/>
      <c r="K2666" s="92"/>
      <c r="L2666" s="92"/>
      <c r="M2666" s="92"/>
      <c r="N2666" s="94"/>
      <c r="AG2666" s="100"/>
      <c r="AH2666" s="101"/>
      <c r="AI2666" s="101"/>
      <c r="AJ2666" s="101"/>
      <c r="AK2666" s="100"/>
      <c r="AL2666" s="100"/>
      <c r="AM2666" s="100"/>
      <c r="AN2666" s="100"/>
      <c r="AO2666" s="100"/>
      <c r="AP2666" s="100"/>
      <c r="AQ2666" s="100"/>
      <c r="AR2666" s="100"/>
      <c r="AS2666" s="100"/>
      <c r="AT2666" s="102"/>
      <c r="AX2666" s="100"/>
      <c r="AY2666" s="100"/>
      <c r="AZ2666" s="100"/>
      <c r="BA2666" s="101"/>
      <c r="BB2666" s="100"/>
      <c r="BC2666" s="100"/>
      <c r="BD2666" s="100"/>
      <c r="BE2666" s="100"/>
      <c r="BF2666" s="100"/>
      <c r="BG2666" s="100"/>
      <c r="BH2666" s="100"/>
      <c r="BI2666" s="100"/>
      <c r="BJ2666" s="100"/>
      <c r="BK2666" s="100"/>
    </row>
    <row r="2667" spans="1:63" x14ac:dyDescent="0.25">
      <c r="A2667" s="92"/>
      <c r="B2667" s="93"/>
      <c r="C2667" s="93"/>
      <c r="D2667" s="92"/>
      <c r="E2667" s="92"/>
      <c r="F2667" s="92"/>
      <c r="G2667" s="92"/>
      <c r="H2667" s="92"/>
      <c r="I2667" s="92"/>
      <c r="J2667" s="92"/>
      <c r="K2667" s="92"/>
      <c r="L2667" s="92"/>
      <c r="M2667" s="92"/>
      <c r="N2667" s="94"/>
      <c r="AG2667" s="100"/>
      <c r="AH2667" s="101"/>
      <c r="AI2667" s="101"/>
      <c r="AJ2667" s="101"/>
      <c r="AK2667" s="100"/>
      <c r="AL2667" s="100"/>
      <c r="AM2667" s="100"/>
      <c r="AN2667" s="100"/>
      <c r="AO2667" s="100"/>
      <c r="AP2667" s="100"/>
      <c r="AQ2667" s="100"/>
      <c r="AR2667" s="100"/>
      <c r="AS2667" s="100"/>
      <c r="AT2667" s="102"/>
      <c r="AX2667" s="100"/>
      <c r="AY2667" s="100"/>
      <c r="AZ2667" s="100"/>
      <c r="BA2667" s="101"/>
      <c r="BB2667" s="100"/>
      <c r="BC2667" s="100"/>
      <c r="BD2667" s="100"/>
      <c r="BE2667" s="100"/>
      <c r="BF2667" s="100"/>
      <c r="BG2667" s="100"/>
      <c r="BH2667" s="100"/>
      <c r="BI2667" s="100"/>
      <c r="BJ2667" s="100"/>
      <c r="BK2667" s="100"/>
    </row>
    <row r="2668" spans="1:63" x14ac:dyDescent="0.25">
      <c r="A2668" s="92"/>
      <c r="B2668" s="93"/>
      <c r="C2668" s="93"/>
      <c r="D2668" s="92"/>
      <c r="E2668" s="92"/>
      <c r="F2668" s="92"/>
      <c r="G2668" s="92"/>
      <c r="H2668" s="92"/>
      <c r="I2668" s="92"/>
      <c r="J2668" s="92"/>
      <c r="K2668" s="92"/>
      <c r="L2668" s="92"/>
      <c r="M2668" s="92"/>
      <c r="N2668" s="94"/>
      <c r="AG2668" s="100"/>
      <c r="AH2668" s="101"/>
      <c r="AI2668" s="101"/>
      <c r="AJ2668" s="101"/>
      <c r="AK2668" s="100"/>
      <c r="AL2668" s="100"/>
      <c r="AM2668" s="100"/>
      <c r="AN2668" s="100"/>
      <c r="AO2668" s="100"/>
      <c r="AP2668" s="100"/>
      <c r="AQ2668" s="100"/>
      <c r="AR2668" s="100"/>
      <c r="AS2668" s="100"/>
      <c r="AT2668" s="102"/>
      <c r="AX2668" s="100"/>
      <c r="AY2668" s="100"/>
      <c r="AZ2668" s="100"/>
      <c r="BA2668" s="101"/>
      <c r="BB2668" s="100"/>
      <c r="BC2668" s="100"/>
      <c r="BD2668" s="100"/>
      <c r="BE2668" s="100"/>
      <c r="BF2668" s="100"/>
      <c r="BG2668" s="100"/>
      <c r="BH2668" s="100"/>
      <c r="BI2668" s="100"/>
      <c r="BJ2668" s="100"/>
      <c r="BK2668" s="100"/>
    </row>
    <row r="2669" spans="1:63" x14ac:dyDescent="0.25">
      <c r="A2669" s="92"/>
      <c r="B2669" s="93"/>
      <c r="C2669" s="93"/>
      <c r="D2669" s="92"/>
      <c r="E2669" s="92"/>
      <c r="F2669" s="92"/>
      <c r="G2669" s="92"/>
      <c r="H2669" s="92"/>
      <c r="I2669" s="92"/>
      <c r="J2669" s="92"/>
      <c r="K2669" s="92"/>
      <c r="L2669" s="92"/>
      <c r="M2669" s="92"/>
      <c r="N2669" s="94"/>
      <c r="AG2669" s="100"/>
      <c r="AH2669" s="101"/>
      <c r="AI2669" s="101"/>
      <c r="AJ2669" s="101"/>
      <c r="AK2669" s="100"/>
      <c r="AL2669" s="100"/>
      <c r="AM2669" s="100"/>
      <c r="AN2669" s="100"/>
      <c r="AO2669" s="100"/>
      <c r="AP2669" s="100"/>
      <c r="AQ2669" s="100"/>
      <c r="AR2669" s="100"/>
      <c r="AS2669" s="100"/>
      <c r="AT2669" s="102"/>
      <c r="AX2669" s="100"/>
      <c r="AY2669" s="100"/>
      <c r="AZ2669" s="100"/>
      <c r="BA2669" s="101"/>
      <c r="BB2669" s="100"/>
      <c r="BC2669" s="100"/>
      <c r="BD2669" s="100"/>
      <c r="BE2669" s="100"/>
      <c r="BF2669" s="100"/>
      <c r="BG2669" s="100"/>
      <c r="BH2669" s="100"/>
      <c r="BI2669" s="100"/>
      <c r="BJ2669" s="100"/>
      <c r="BK2669" s="100"/>
    </row>
    <row r="2670" spans="1:63" x14ac:dyDescent="0.25">
      <c r="A2670" s="92"/>
      <c r="B2670" s="93"/>
      <c r="C2670" s="92"/>
      <c r="D2670" s="93"/>
      <c r="E2670" s="92"/>
      <c r="F2670" s="92"/>
      <c r="G2670" s="92"/>
      <c r="H2670" s="92"/>
      <c r="I2670" s="92"/>
      <c r="J2670" s="92"/>
      <c r="K2670" s="92"/>
      <c r="L2670" s="92"/>
      <c r="M2670" s="92"/>
      <c r="N2670" s="94"/>
      <c r="AG2670" s="100"/>
      <c r="AH2670" s="101"/>
      <c r="AI2670" s="101"/>
      <c r="AJ2670" s="101"/>
      <c r="AK2670" s="100"/>
      <c r="AL2670" s="100"/>
      <c r="AM2670" s="100"/>
      <c r="AN2670" s="100"/>
      <c r="AO2670" s="100"/>
      <c r="AP2670" s="100"/>
      <c r="AQ2670" s="100"/>
      <c r="AR2670" s="100"/>
      <c r="AS2670" s="100"/>
      <c r="AT2670" s="102"/>
      <c r="AX2670" s="100"/>
      <c r="AY2670" s="100"/>
      <c r="AZ2670" s="100"/>
      <c r="BA2670" s="101"/>
      <c r="BB2670" s="100"/>
      <c r="BC2670" s="100"/>
      <c r="BD2670" s="100"/>
      <c r="BE2670" s="100"/>
      <c r="BF2670" s="100"/>
      <c r="BG2670" s="100"/>
      <c r="BH2670" s="100"/>
      <c r="BI2670" s="100"/>
      <c r="BJ2670" s="100"/>
      <c r="BK2670" s="100"/>
    </row>
    <row r="2671" spans="1:63" x14ac:dyDescent="0.25">
      <c r="A2671" s="92"/>
      <c r="B2671" s="93"/>
      <c r="C2671" s="92"/>
      <c r="D2671" s="93"/>
      <c r="E2671" s="92"/>
      <c r="F2671" s="92"/>
      <c r="G2671" s="92"/>
      <c r="H2671" s="92"/>
      <c r="I2671" s="92"/>
      <c r="J2671" s="92"/>
      <c r="K2671" s="92"/>
      <c r="L2671" s="92"/>
      <c r="M2671" s="92"/>
      <c r="N2671" s="94"/>
      <c r="AG2671" s="100"/>
      <c r="AH2671" s="101"/>
      <c r="AI2671" s="101"/>
      <c r="AJ2671" s="101"/>
      <c r="AK2671" s="100"/>
      <c r="AL2671" s="100"/>
      <c r="AM2671" s="100"/>
      <c r="AN2671" s="100"/>
      <c r="AO2671" s="100"/>
      <c r="AP2671" s="100"/>
      <c r="AQ2671" s="100"/>
      <c r="AR2671" s="100"/>
      <c r="AS2671" s="100"/>
      <c r="AT2671" s="102"/>
      <c r="AX2671" s="100"/>
      <c r="AY2671" s="100"/>
      <c r="AZ2671" s="100"/>
      <c r="BA2671" s="101"/>
      <c r="BB2671" s="100"/>
      <c r="BC2671" s="100"/>
      <c r="BD2671" s="100"/>
      <c r="BE2671" s="100"/>
      <c r="BF2671" s="100"/>
      <c r="BG2671" s="100"/>
      <c r="BH2671" s="100"/>
      <c r="BI2671" s="100"/>
      <c r="BJ2671" s="100"/>
      <c r="BK2671" s="100"/>
    </row>
    <row r="2672" spans="1:63" x14ac:dyDescent="0.25">
      <c r="A2672" s="92"/>
      <c r="B2672" s="92"/>
      <c r="C2672" s="92"/>
      <c r="D2672" s="92"/>
      <c r="E2672" s="92"/>
      <c r="F2672" s="92"/>
      <c r="G2672" s="92"/>
      <c r="H2672" s="92"/>
      <c r="I2672" s="92"/>
      <c r="J2672" s="92"/>
      <c r="K2672" s="92"/>
      <c r="L2672" s="92"/>
      <c r="M2672" s="92"/>
      <c r="N2672" s="92"/>
      <c r="AG2672" s="100"/>
      <c r="AH2672" s="101"/>
      <c r="AI2672" s="101"/>
      <c r="AJ2672" s="101"/>
      <c r="AK2672" s="100"/>
      <c r="AL2672" s="100"/>
      <c r="AM2672" s="100"/>
      <c r="AN2672" s="100"/>
      <c r="AO2672" s="100"/>
      <c r="AP2672" s="100"/>
      <c r="AQ2672" s="100"/>
      <c r="AR2672" s="100"/>
      <c r="AS2672" s="100"/>
      <c r="AT2672" s="102"/>
      <c r="AX2672" s="100"/>
      <c r="AY2672" s="100"/>
      <c r="AZ2672" s="100"/>
      <c r="BA2672" s="101"/>
      <c r="BB2672" s="100"/>
      <c r="BC2672" s="100"/>
      <c r="BD2672" s="100"/>
      <c r="BE2672" s="100"/>
      <c r="BF2672" s="100"/>
      <c r="BG2672" s="100"/>
      <c r="BH2672" s="100"/>
      <c r="BI2672" s="100"/>
      <c r="BJ2672" s="100"/>
      <c r="BK2672" s="100"/>
    </row>
    <row r="2673" spans="1:63" x14ac:dyDescent="0.25">
      <c r="A2673" s="92"/>
      <c r="B2673" s="92"/>
      <c r="C2673" s="92"/>
      <c r="D2673" s="92"/>
      <c r="E2673" s="92"/>
      <c r="F2673" s="92"/>
      <c r="G2673" s="92"/>
      <c r="H2673" s="92"/>
      <c r="I2673" s="92"/>
      <c r="J2673" s="92"/>
      <c r="K2673" s="92"/>
      <c r="L2673" s="92"/>
      <c r="M2673" s="92"/>
      <c r="N2673" s="92"/>
      <c r="AG2673" s="100"/>
      <c r="AH2673" s="101"/>
      <c r="AI2673" s="101"/>
      <c r="AJ2673" s="101"/>
      <c r="AK2673" s="100"/>
      <c r="AL2673" s="100"/>
      <c r="AM2673" s="100"/>
      <c r="AN2673" s="100"/>
      <c r="AO2673" s="100"/>
      <c r="AP2673" s="100"/>
      <c r="AQ2673" s="100"/>
      <c r="AR2673" s="100"/>
      <c r="AS2673" s="100"/>
      <c r="AT2673" s="102"/>
      <c r="AX2673" s="100"/>
      <c r="AY2673" s="100"/>
      <c r="AZ2673" s="100"/>
      <c r="BA2673" s="101"/>
      <c r="BB2673" s="100"/>
      <c r="BC2673" s="100"/>
      <c r="BD2673" s="100"/>
      <c r="BE2673" s="100"/>
      <c r="BF2673" s="100"/>
      <c r="BG2673" s="100"/>
      <c r="BH2673" s="100"/>
      <c r="BI2673" s="100"/>
      <c r="BJ2673" s="100"/>
      <c r="BK2673" s="100"/>
    </row>
    <row r="2674" spans="1:63" x14ac:dyDescent="0.25">
      <c r="A2674" s="92"/>
      <c r="B2674" s="92"/>
      <c r="C2674" s="92"/>
      <c r="D2674" s="92"/>
      <c r="E2674" s="92"/>
      <c r="F2674" s="92"/>
      <c r="G2674" s="92"/>
      <c r="H2674" s="92"/>
      <c r="I2674" s="92"/>
      <c r="J2674" s="92"/>
      <c r="K2674" s="92"/>
      <c r="L2674" s="92"/>
      <c r="M2674" s="92"/>
      <c r="N2674" s="92"/>
      <c r="AG2674" s="100"/>
      <c r="AH2674" s="101"/>
      <c r="AI2674" s="101"/>
      <c r="AJ2674" s="101"/>
      <c r="AK2674" s="100"/>
      <c r="AL2674" s="100"/>
      <c r="AM2674" s="100"/>
      <c r="AN2674" s="100"/>
      <c r="AO2674" s="100"/>
      <c r="AP2674" s="100"/>
      <c r="AQ2674" s="100"/>
      <c r="AR2674" s="100"/>
      <c r="AS2674" s="100"/>
      <c r="AT2674" s="102"/>
      <c r="AX2674" s="100"/>
      <c r="AY2674" s="100"/>
      <c r="AZ2674" s="100"/>
      <c r="BA2674" s="101"/>
      <c r="BB2674" s="100"/>
      <c r="BC2674" s="100"/>
      <c r="BD2674" s="100"/>
      <c r="BE2674" s="100"/>
      <c r="BF2674" s="100"/>
      <c r="BG2674" s="100"/>
      <c r="BH2674" s="100"/>
      <c r="BI2674" s="100"/>
      <c r="BJ2674" s="100"/>
      <c r="BK2674" s="100"/>
    </row>
    <row r="2675" spans="1:63" x14ac:dyDescent="0.25">
      <c r="A2675" s="92"/>
      <c r="B2675" s="93"/>
      <c r="C2675" s="93"/>
      <c r="D2675" s="92"/>
      <c r="E2675" s="92"/>
      <c r="F2675" s="92"/>
      <c r="G2675" s="92"/>
      <c r="H2675" s="92"/>
      <c r="I2675" s="92"/>
      <c r="J2675" s="92"/>
      <c r="K2675" s="92"/>
      <c r="L2675" s="92"/>
      <c r="M2675" s="92"/>
      <c r="N2675" s="94"/>
      <c r="AG2675" s="100"/>
      <c r="AH2675" s="101"/>
      <c r="AI2675" s="100"/>
      <c r="AJ2675" s="101"/>
      <c r="AK2675" s="100"/>
      <c r="AL2675" s="100"/>
      <c r="AM2675" s="100"/>
      <c r="AN2675" s="100"/>
      <c r="AO2675" s="100"/>
      <c r="AP2675" s="100"/>
      <c r="AQ2675" s="100"/>
      <c r="AR2675" s="100"/>
      <c r="AS2675" s="100"/>
      <c r="AT2675" s="102"/>
      <c r="AX2675" s="100"/>
      <c r="AY2675" s="100"/>
      <c r="AZ2675" s="100"/>
      <c r="BA2675" s="101"/>
      <c r="BB2675" s="100"/>
      <c r="BC2675" s="100"/>
      <c r="BD2675" s="100"/>
      <c r="BE2675" s="100"/>
      <c r="BF2675" s="100"/>
      <c r="BG2675" s="100"/>
      <c r="BH2675" s="100"/>
      <c r="BI2675" s="100"/>
      <c r="BJ2675" s="100"/>
      <c r="BK2675" s="100"/>
    </row>
    <row r="2676" spans="1:63" x14ac:dyDescent="0.25">
      <c r="A2676" s="92"/>
      <c r="B2676" s="93"/>
      <c r="C2676" s="93"/>
      <c r="D2676" s="93"/>
      <c r="E2676" s="92"/>
      <c r="F2676" s="92"/>
      <c r="G2676" s="92"/>
      <c r="H2676" s="92"/>
      <c r="I2676" s="92"/>
      <c r="J2676" s="92"/>
      <c r="K2676" s="92"/>
      <c r="L2676" s="92"/>
      <c r="M2676" s="92"/>
      <c r="N2676" s="94"/>
      <c r="AG2676" s="100"/>
      <c r="AH2676" s="101"/>
      <c r="AI2676" s="100"/>
      <c r="AJ2676" s="101"/>
      <c r="AK2676" s="100"/>
      <c r="AL2676" s="100"/>
      <c r="AM2676" s="100"/>
      <c r="AN2676" s="100"/>
      <c r="AO2676" s="100"/>
      <c r="AP2676" s="100"/>
      <c r="AQ2676" s="100"/>
      <c r="AR2676" s="100"/>
      <c r="AS2676" s="100"/>
      <c r="AT2676" s="102"/>
      <c r="AX2676" s="100"/>
      <c r="AY2676" s="100"/>
      <c r="AZ2676" s="100"/>
      <c r="BA2676" s="101"/>
      <c r="BB2676" s="100"/>
      <c r="BC2676" s="100"/>
      <c r="BD2676" s="100"/>
      <c r="BE2676" s="100"/>
      <c r="BF2676" s="100"/>
      <c r="BG2676" s="100"/>
      <c r="BH2676" s="100"/>
      <c r="BI2676" s="100"/>
      <c r="BJ2676" s="100"/>
      <c r="BK2676" s="100"/>
    </row>
    <row r="2677" spans="1:63" x14ac:dyDescent="0.25">
      <c r="A2677" s="92"/>
      <c r="B2677" s="92"/>
      <c r="C2677" s="92"/>
      <c r="D2677" s="92"/>
      <c r="E2677" s="92"/>
      <c r="F2677" s="92"/>
      <c r="G2677" s="92"/>
      <c r="H2677" s="92"/>
      <c r="I2677" s="92"/>
      <c r="J2677" s="92"/>
      <c r="K2677" s="92"/>
      <c r="L2677" s="92"/>
      <c r="M2677" s="92"/>
      <c r="N2677" s="92"/>
      <c r="AG2677" s="100"/>
      <c r="AH2677" s="101"/>
      <c r="AI2677" s="101"/>
      <c r="AJ2677" s="101"/>
      <c r="AK2677" s="100"/>
      <c r="AL2677" s="100"/>
      <c r="AM2677" s="100"/>
      <c r="AN2677" s="100"/>
      <c r="AO2677" s="100"/>
      <c r="AP2677" s="100"/>
      <c r="AQ2677" s="100"/>
      <c r="AR2677" s="100"/>
      <c r="AS2677" s="100"/>
      <c r="AT2677" s="102"/>
      <c r="AX2677" s="100"/>
      <c r="AY2677" s="100"/>
      <c r="AZ2677" s="100"/>
      <c r="BA2677" s="101"/>
      <c r="BB2677" s="100"/>
      <c r="BC2677" s="100"/>
      <c r="BD2677" s="100"/>
      <c r="BE2677" s="100"/>
      <c r="BF2677" s="100"/>
      <c r="BG2677" s="100"/>
      <c r="BH2677" s="100"/>
      <c r="BI2677" s="100"/>
      <c r="BJ2677" s="100"/>
      <c r="BK2677" s="100"/>
    </row>
    <row r="2678" spans="1:63" x14ac:dyDescent="0.25">
      <c r="A2678" s="92"/>
      <c r="B2678" s="92"/>
      <c r="C2678" s="92"/>
      <c r="D2678" s="92"/>
      <c r="E2678" s="92"/>
      <c r="F2678" s="92"/>
      <c r="G2678" s="92"/>
      <c r="H2678" s="92"/>
      <c r="I2678" s="92"/>
      <c r="J2678" s="92"/>
      <c r="K2678" s="92"/>
      <c r="L2678" s="92"/>
      <c r="M2678" s="92"/>
      <c r="N2678" s="92"/>
      <c r="AG2678" s="100"/>
      <c r="AH2678" s="101"/>
      <c r="AI2678" s="101"/>
      <c r="AJ2678" s="101"/>
      <c r="AK2678" s="100"/>
      <c r="AL2678" s="100"/>
      <c r="AM2678" s="100"/>
      <c r="AN2678" s="100"/>
      <c r="AO2678" s="100"/>
      <c r="AP2678" s="100"/>
      <c r="AQ2678" s="100"/>
      <c r="AR2678" s="100"/>
      <c r="AS2678" s="100"/>
      <c r="AT2678" s="102"/>
      <c r="AX2678" s="100"/>
      <c r="AY2678" s="100"/>
      <c r="AZ2678" s="100"/>
      <c r="BA2678" s="101"/>
      <c r="BB2678" s="100"/>
      <c r="BC2678" s="100"/>
      <c r="BD2678" s="100"/>
      <c r="BE2678" s="100"/>
      <c r="BF2678" s="100"/>
      <c r="BG2678" s="100"/>
      <c r="BH2678" s="100"/>
      <c r="BI2678" s="100"/>
      <c r="BJ2678" s="100"/>
      <c r="BK2678" s="100"/>
    </row>
    <row r="2679" spans="1:63" x14ac:dyDescent="0.25">
      <c r="A2679" s="92"/>
      <c r="B2679" s="93"/>
      <c r="C2679" s="93"/>
      <c r="D2679" s="92"/>
      <c r="E2679" s="92"/>
      <c r="F2679" s="92"/>
      <c r="G2679" s="92"/>
      <c r="H2679" s="92"/>
      <c r="I2679" s="92"/>
      <c r="J2679" s="92"/>
      <c r="K2679" s="92"/>
      <c r="L2679" s="92"/>
      <c r="M2679" s="92"/>
      <c r="N2679" s="94"/>
      <c r="AG2679" s="100"/>
      <c r="AH2679" s="101"/>
      <c r="AI2679" s="101"/>
      <c r="AJ2679" s="101"/>
      <c r="AK2679" s="100"/>
      <c r="AL2679" s="100"/>
      <c r="AM2679" s="100"/>
      <c r="AN2679" s="100"/>
      <c r="AO2679" s="100"/>
      <c r="AP2679" s="100"/>
      <c r="AQ2679" s="100"/>
      <c r="AR2679" s="100"/>
      <c r="AS2679" s="100"/>
      <c r="AT2679" s="102"/>
      <c r="AX2679" s="100"/>
      <c r="AY2679" s="100"/>
      <c r="AZ2679" s="100"/>
      <c r="BA2679" s="101"/>
      <c r="BB2679" s="100"/>
      <c r="BC2679" s="100"/>
      <c r="BD2679" s="100"/>
      <c r="BE2679" s="100"/>
      <c r="BF2679" s="100"/>
      <c r="BG2679" s="100"/>
      <c r="BH2679" s="100"/>
      <c r="BI2679" s="100"/>
      <c r="BJ2679" s="100"/>
      <c r="BK2679" s="100"/>
    </row>
    <row r="2680" spans="1:63" x14ac:dyDescent="0.25">
      <c r="A2680" s="92"/>
      <c r="B2680" s="92"/>
      <c r="C2680" s="92"/>
      <c r="D2680" s="92"/>
      <c r="E2680" s="92"/>
      <c r="F2680" s="92"/>
      <c r="G2680" s="92"/>
      <c r="H2680" s="92"/>
      <c r="I2680" s="92"/>
      <c r="J2680" s="92"/>
      <c r="K2680" s="92"/>
      <c r="L2680" s="92"/>
      <c r="M2680" s="92"/>
      <c r="N2680" s="92"/>
      <c r="AG2680" s="100"/>
      <c r="AH2680" s="101"/>
      <c r="AI2680" s="101"/>
      <c r="AJ2680" s="101"/>
      <c r="AK2680" s="100"/>
      <c r="AL2680" s="100"/>
      <c r="AM2680" s="100"/>
      <c r="AN2680" s="100"/>
      <c r="AO2680" s="100"/>
      <c r="AP2680" s="100"/>
      <c r="AQ2680" s="100"/>
      <c r="AR2680" s="100"/>
      <c r="AS2680" s="100"/>
      <c r="AT2680" s="102"/>
      <c r="AX2680" s="100"/>
      <c r="AY2680" s="100"/>
      <c r="AZ2680" s="100"/>
      <c r="BA2680" s="101"/>
      <c r="BB2680" s="100"/>
      <c r="BC2680" s="100"/>
      <c r="BD2680" s="100"/>
      <c r="BE2680" s="100"/>
      <c r="BF2680" s="100"/>
      <c r="BG2680" s="100"/>
      <c r="BH2680" s="100"/>
      <c r="BI2680" s="100"/>
      <c r="BJ2680" s="100"/>
      <c r="BK2680" s="100"/>
    </row>
    <row r="2681" spans="1:63" x14ac:dyDescent="0.25">
      <c r="A2681" s="92"/>
      <c r="B2681" s="92"/>
      <c r="C2681" s="92"/>
      <c r="D2681" s="92"/>
      <c r="E2681" s="92"/>
      <c r="F2681" s="92"/>
      <c r="G2681" s="92"/>
      <c r="H2681" s="92"/>
      <c r="I2681" s="92"/>
      <c r="J2681" s="92"/>
      <c r="K2681" s="92"/>
      <c r="L2681" s="92"/>
      <c r="M2681" s="92"/>
      <c r="N2681" s="92"/>
      <c r="AG2681" s="100"/>
      <c r="AH2681" s="101"/>
      <c r="AI2681" s="101"/>
      <c r="AJ2681" s="101"/>
      <c r="AK2681" s="100"/>
      <c r="AL2681" s="100"/>
      <c r="AM2681" s="100"/>
      <c r="AN2681" s="100"/>
      <c r="AO2681" s="100"/>
      <c r="AP2681" s="100"/>
      <c r="AQ2681" s="100"/>
      <c r="AR2681" s="100"/>
      <c r="AS2681" s="100"/>
      <c r="AT2681" s="102"/>
      <c r="AX2681" s="100"/>
      <c r="AY2681" s="100"/>
      <c r="AZ2681" s="100"/>
      <c r="BA2681" s="101"/>
      <c r="BB2681" s="100"/>
      <c r="BC2681" s="100"/>
      <c r="BD2681" s="100"/>
      <c r="BE2681" s="100"/>
      <c r="BF2681" s="100"/>
      <c r="BG2681" s="100"/>
      <c r="BH2681" s="100"/>
      <c r="BI2681" s="100"/>
      <c r="BJ2681" s="100"/>
      <c r="BK2681" s="100"/>
    </row>
    <row r="2682" spans="1:63" x14ac:dyDescent="0.25">
      <c r="A2682" s="92"/>
      <c r="B2682" s="93"/>
      <c r="C2682" s="93"/>
      <c r="D2682" s="92"/>
      <c r="E2682" s="92"/>
      <c r="F2682" s="92"/>
      <c r="G2682" s="92"/>
      <c r="H2682" s="92"/>
      <c r="I2682" s="92"/>
      <c r="J2682" s="92"/>
      <c r="K2682" s="92"/>
      <c r="L2682" s="92"/>
      <c r="M2682" s="92"/>
      <c r="N2682" s="94"/>
      <c r="AG2682" s="100"/>
      <c r="AH2682" s="100"/>
      <c r="AI2682" s="100"/>
      <c r="AJ2682" s="101"/>
      <c r="AK2682" s="100"/>
      <c r="AL2682" s="100"/>
      <c r="AM2682" s="100"/>
      <c r="AN2682" s="100"/>
      <c r="AO2682" s="100"/>
      <c r="AP2682" s="100"/>
      <c r="AQ2682" s="100"/>
      <c r="AR2682" s="100"/>
      <c r="AS2682" s="100"/>
      <c r="AT2682" s="100"/>
      <c r="AX2682" s="100"/>
      <c r="AY2682" s="100"/>
      <c r="AZ2682" s="100"/>
      <c r="BA2682" s="101"/>
      <c r="BB2682" s="100"/>
      <c r="BC2682" s="100"/>
      <c r="BD2682" s="100"/>
      <c r="BE2682" s="100"/>
      <c r="BF2682" s="100"/>
      <c r="BG2682" s="100"/>
      <c r="BH2682" s="100"/>
      <c r="BI2682" s="100"/>
      <c r="BJ2682" s="100"/>
      <c r="BK2682" s="100"/>
    </row>
    <row r="2683" spans="1:63" x14ac:dyDescent="0.25">
      <c r="A2683" s="92"/>
      <c r="B2683" s="92"/>
      <c r="C2683" s="92"/>
      <c r="D2683" s="92"/>
      <c r="E2683" s="92"/>
      <c r="F2683" s="92"/>
      <c r="G2683" s="92"/>
      <c r="H2683" s="92"/>
      <c r="I2683" s="92"/>
      <c r="J2683" s="92"/>
      <c r="K2683" s="92"/>
      <c r="L2683" s="92"/>
      <c r="M2683" s="92"/>
      <c r="N2683" s="92"/>
      <c r="AG2683" s="100"/>
      <c r="AH2683" s="100"/>
      <c r="AI2683" s="100"/>
      <c r="AJ2683" s="101"/>
      <c r="AK2683" s="100"/>
      <c r="AL2683" s="100"/>
      <c r="AM2683" s="100"/>
      <c r="AN2683" s="100"/>
      <c r="AO2683" s="100"/>
      <c r="AP2683" s="100"/>
      <c r="AQ2683" s="100"/>
      <c r="AR2683" s="100"/>
      <c r="AS2683" s="100"/>
      <c r="AT2683" s="100"/>
      <c r="AX2683" s="100"/>
      <c r="AY2683" s="100"/>
      <c r="AZ2683" s="100"/>
      <c r="BA2683" s="101"/>
      <c r="BB2683" s="100"/>
      <c r="BC2683" s="100"/>
      <c r="BD2683" s="100"/>
      <c r="BE2683" s="100"/>
      <c r="BF2683" s="100"/>
      <c r="BG2683" s="100"/>
      <c r="BH2683" s="100"/>
      <c r="BI2683" s="100"/>
      <c r="BJ2683" s="100"/>
      <c r="BK2683" s="100"/>
    </row>
    <row r="2684" spans="1:63" x14ac:dyDescent="0.25">
      <c r="A2684" s="92"/>
      <c r="B2684" s="92"/>
      <c r="C2684" s="92"/>
      <c r="D2684" s="92"/>
      <c r="E2684" s="92"/>
      <c r="F2684" s="92"/>
      <c r="G2684" s="92"/>
      <c r="H2684" s="92"/>
      <c r="I2684" s="92"/>
      <c r="J2684" s="92"/>
      <c r="K2684" s="92"/>
      <c r="L2684" s="92"/>
      <c r="M2684" s="92"/>
      <c r="N2684" s="92"/>
      <c r="AG2684" s="100"/>
      <c r="AH2684" s="100"/>
      <c r="AI2684" s="100"/>
      <c r="AJ2684" s="101"/>
      <c r="AK2684" s="100"/>
      <c r="AL2684" s="100"/>
      <c r="AM2684" s="100"/>
      <c r="AN2684" s="100"/>
      <c r="AO2684" s="100"/>
      <c r="AP2684" s="100"/>
      <c r="AQ2684" s="100"/>
      <c r="AR2684" s="100"/>
      <c r="AS2684" s="100"/>
      <c r="AT2684" s="100"/>
      <c r="AX2684" s="100"/>
      <c r="AY2684" s="100"/>
      <c r="AZ2684" s="100"/>
      <c r="BA2684" s="101"/>
      <c r="BB2684" s="100"/>
      <c r="BC2684" s="100"/>
      <c r="BD2684" s="100"/>
      <c r="BE2684" s="100"/>
      <c r="BF2684" s="100"/>
      <c r="BG2684" s="100"/>
      <c r="BH2684" s="100"/>
      <c r="BI2684" s="100"/>
      <c r="BJ2684" s="100"/>
      <c r="BK2684" s="100"/>
    </row>
    <row r="2685" spans="1:63" x14ac:dyDescent="0.25">
      <c r="A2685" s="92"/>
      <c r="B2685" s="93"/>
      <c r="C2685" s="93"/>
      <c r="D2685" s="93"/>
      <c r="E2685" s="92"/>
      <c r="F2685" s="92"/>
      <c r="G2685" s="92"/>
      <c r="H2685" s="92"/>
      <c r="I2685" s="92"/>
      <c r="J2685" s="92"/>
      <c r="K2685" s="92"/>
      <c r="L2685" s="92"/>
      <c r="M2685" s="92"/>
      <c r="N2685" s="94"/>
      <c r="AG2685" s="100"/>
      <c r="AH2685" s="100"/>
      <c r="AI2685" s="100"/>
      <c r="AJ2685" s="101"/>
      <c r="AK2685" s="100"/>
      <c r="AL2685" s="100"/>
      <c r="AM2685" s="100"/>
      <c r="AN2685" s="100"/>
      <c r="AO2685" s="100"/>
      <c r="AP2685" s="100"/>
      <c r="AQ2685" s="100"/>
      <c r="AR2685" s="100"/>
      <c r="AS2685" s="100"/>
      <c r="AT2685" s="100"/>
      <c r="AX2685" s="100"/>
      <c r="AY2685" s="100"/>
      <c r="AZ2685" s="100"/>
      <c r="BA2685" s="101"/>
      <c r="BB2685" s="100"/>
      <c r="BC2685" s="100"/>
      <c r="BD2685" s="100"/>
      <c r="BE2685" s="100"/>
      <c r="BF2685" s="100"/>
      <c r="BG2685" s="100"/>
      <c r="BH2685" s="100"/>
      <c r="BI2685" s="100"/>
      <c r="BJ2685" s="100"/>
      <c r="BK2685" s="100"/>
    </row>
    <row r="2686" spans="1:63" x14ac:dyDescent="0.25">
      <c r="A2686" s="92"/>
      <c r="B2686" s="92"/>
      <c r="C2686" s="92"/>
      <c r="D2686" s="92"/>
      <c r="E2686" s="92"/>
      <c r="F2686" s="92"/>
      <c r="G2686" s="92"/>
      <c r="H2686" s="92"/>
      <c r="I2686" s="92"/>
      <c r="J2686" s="92"/>
      <c r="K2686" s="92"/>
      <c r="L2686" s="92"/>
      <c r="M2686" s="92"/>
      <c r="N2686" s="92"/>
      <c r="AG2686" s="100"/>
      <c r="AH2686" s="101"/>
      <c r="AI2686" s="101"/>
      <c r="AJ2686" s="101"/>
      <c r="AK2686" s="100"/>
      <c r="AL2686" s="100"/>
      <c r="AM2686" s="100"/>
      <c r="AN2686" s="100"/>
      <c r="AO2686" s="100"/>
      <c r="AP2686" s="100"/>
      <c r="AQ2686" s="100"/>
      <c r="AR2686" s="100"/>
      <c r="AS2686" s="100"/>
      <c r="AT2686" s="102"/>
      <c r="AX2686" s="100"/>
      <c r="AY2686" s="100"/>
      <c r="AZ2686" s="100"/>
      <c r="BA2686" s="101"/>
      <c r="BB2686" s="100"/>
      <c r="BC2686" s="100"/>
      <c r="BD2686" s="100"/>
      <c r="BE2686" s="100"/>
      <c r="BF2686" s="100"/>
      <c r="BG2686" s="100"/>
      <c r="BH2686" s="100"/>
      <c r="BI2686" s="100"/>
      <c r="BJ2686" s="100"/>
      <c r="BK2686" s="100"/>
    </row>
    <row r="2687" spans="1:63" x14ac:dyDescent="0.25">
      <c r="A2687" s="92"/>
      <c r="B2687" s="93"/>
      <c r="C2687" s="93"/>
      <c r="D2687" s="92"/>
      <c r="E2687" s="92"/>
      <c r="F2687" s="92"/>
      <c r="G2687" s="92"/>
      <c r="H2687" s="92"/>
      <c r="I2687" s="92"/>
      <c r="J2687" s="92"/>
      <c r="K2687" s="92"/>
      <c r="L2687" s="92"/>
      <c r="M2687" s="92"/>
      <c r="N2687" s="94"/>
      <c r="AG2687" s="100"/>
      <c r="AH2687" s="101"/>
      <c r="AI2687" s="101"/>
      <c r="AJ2687" s="101"/>
      <c r="AK2687" s="100"/>
      <c r="AL2687" s="100"/>
      <c r="AM2687" s="100"/>
      <c r="AN2687" s="100"/>
      <c r="AO2687" s="100"/>
      <c r="AP2687" s="100"/>
      <c r="AQ2687" s="100"/>
      <c r="AR2687" s="100"/>
      <c r="AS2687" s="100"/>
      <c r="AT2687" s="102"/>
      <c r="AX2687" s="100"/>
      <c r="AY2687" s="100"/>
      <c r="AZ2687" s="100"/>
      <c r="BA2687" s="101"/>
      <c r="BB2687" s="100"/>
      <c r="BC2687" s="100"/>
      <c r="BD2687" s="100"/>
      <c r="BE2687" s="100"/>
      <c r="BF2687" s="100"/>
      <c r="BG2687" s="100"/>
      <c r="BH2687" s="100"/>
      <c r="BI2687" s="100"/>
      <c r="BJ2687" s="100"/>
      <c r="BK2687" s="100"/>
    </row>
    <row r="2688" spans="1:63" x14ac:dyDescent="0.25">
      <c r="A2688" s="92"/>
      <c r="B2688" s="92"/>
      <c r="C2688" s="92"/>
      <c r="D2688" s="92"/>
      <c r="E2688" s="92"/>
      <c r="F2688" s="92"/>
      <c r="G2688" s="92"/>
      <c r="H2688" s="92"/>
      <c r="I2688" s="92"/>
      <c r="J2688" s="92"/>
      <c r="K2688" s="92"/>
      <c r="L2688" s="92"/>
      <c r="M2688" s="92"/>
      <c r="N2688" s="92"/>
      <c r="AG2688" s="100"/>
      <c r="AH2688" s="101"/>
      <c r="AI2688" s="101"/>
      <c r="AJ2688" s="101"/>
      <c r="AK2688" s="100"/>
      <c r="AL2688" s="100"/>
      <c r="AM2688" s="100"/>
      <c r="AN2688" s="100"/>
      <c r="AO2688" s="100"/>
      <c r="AP2688" s="100"/>
      <c r="AQ2688" s="100"/>
      <c r="AR2688" s="100"/>
      <c r="AS2688" s="100"/>
      <c r="AT2688" s="102"/>
      <c r="AX2688" s="100"/>
      <c r="AY2688" s="100"/>
      <c r="AZ2688" s="100"/>
      <c r="BA2688" s="101"/>
      <c r="BB2688" s="100"/>
      <c r="BC2688" s="100"/>
      <c r="BD2688" s="100"/>
      <c r="BE2688" s="100"/>
      <c r="BF2688" s="100"/>
      <c r="BG2688" s="100"/>
      <c r="BH2688" s="100"/>
      <c r="BI2688" s="100"/>
      <c r="BJ2688" s="100"/>
      <c r="BK2688" s="100"/>
    </row>
    <row r="2689" spans="1:63" x14ac:dyDescent="0.25">
      <c r="A2689" s="92"/>
      <c r="B2689" s="92"/>
      <c r="C2689" s="92"/>
      <c r="D2689" s="92"/>
      <c r="E2689" s="92"/>
      <c r="F2689" s="92"/>
      <c r="G2689" s="92"/>
      <c r="H2689" s="92"/>
      <c r="I2689" s="92"/>
      <c r="J2689" s="92"/>
      <c r="K2689" s="92"/>
      <c r="L2689" s="92"/>
      <c r="M2689" s="92"/>
      <c r="N2689" s="92"/>
      <c r="AG2689" s="100"/>
      <c r="AH2689" s="101"/>
      <c r="AI2689" s="101"/>
      <c r="AJ2689" s="101"/>
      <c r="AK2689" s="100"/>
      <c r="AL2689" s="100"/>
      <c r="AM2689" s="100"/>
      <c r="AN2689" s="100"/>
      <c r="AO2689" s="100"/>
      <c r="AP2689" s="100"/>
      <c r="AQ2689" s="100"/>
      <c r="AR2689" s="100"/>
      <c r="AS2689" s="100"/>
      <c r="AT2689" s="102"/>
      <c r="AX2689" s="100"/>
      <c r="AY2689" s="100"/>
      <c r="AZ2689" s="100"/>
      <c r="BA2689" s="101"/>
      <c r="BB2689" s="100"/>
      <c r="BC2689" s="100"/>
      <c r="BD2689" s="100"/>
      <c r="BE2689" s="100"/>
      <c r="BF2689" s="100"/>
      <c r="BG2689" s="100"/>
      <c r="BH2689" s="100"/>
      <c r="BI2689" s="100"/>
      <c r="BJ2689" s="100"/>
      <c r="BK2689" s="100"/>
    </row>
    <row r="2690" spans="1:63" x14ac:dyDescent="0.25">
      <c r="A2690" s="92"/>
      <c r="B2690" s="92"/>
      <c r="C2690" s="92"/>
      <c r="D2690" s="92"/>
      <c r="E2690" s="92"/>
      <c r="F2690" s="92"/>
      <c r="G2690" s="92"/>
      <c r="H2690" s="92"/>
      <c r="I2690" s="92"/>
      <c r="J2690" s="92"/>
      <c r="K2690" s="92"/>
      <c r="L2690" s="92"/>
      <c r="M2690" s="92"/>
      <c r="N2690" s="92"/>
      <c r="AG2690" s="100"/>
      <c r="AH2690" s="101"/>
      <c r="AI2690" s="101"/>
      <c r="AJ2690" s="101"/>
      <c r="AK2690" s="100"/>
      <c r="AL2690" s="100"/>
      <c r="AM2690" s="100"/>
      <c r="AN2690" s="100"/>
      <c r="AO2690" s="100"/>
      <c r="AP2690" s="100"/>
      <c r="AQ2690" s="100"/>
      <c r="AR2690" s="100"/>
      <c r="AS2690" s="100"/>
      <c r="AT2690" s="102"/>
      <c r="AX2690" s="100"/>
      <c r="AY2690" s="100"/>
      <c r="AZ2690" s="100"/>
      <c r="BA2690" s="101"/>
      <c r="BB2690" s="100"/>
      <c r="BC2690" s="100"/>
      <c r="BD2690" s="100"/>
      <c r="BE2690" s="100"/>
      <c r="BF2690" s="100"/>
      <c r="BG2690" s="100"/>
      <c r="BH2690" s="100"/>
      <c r="BI2690" s="100"/>
      <c r="BJ2690" s="100"/>
      <c r="BK2690" s="100"/>
    </row>
    <row r="2691" spans="1:63" x14ac:dyDescent="0.25">
      <c r="A2691" s="92"/>
      <c r="B2691" s="92"/>
      <c r="C2691" s="92"/>
      <c r="D2691" s="92"/>
      <c r="E2691" s="92"/>
      <c r="F2691" s="92"/>
      <c r="G2691" s="92"/>
      <c r="H2691" s="92"/>
      <c r="I2691" s="92"/>
      <c r="J2691" s="92"/>
      <c r="K2691" s="92"/>
      <c r="L2691" s="92"/>
      <c r="M2691" s="92"/>
      <c r="N2691" s="92"/>
      <c r="AG2691" s="100"/>
      <c r="AH2691" s="101"/>
      <c r="AI2691" s="101"/>
      <c r="AJ2691" s="101"/>
      <c r="AK2691" s="100"/>
      <c r="AL2691" s="100"/>
      <c r="AM2691" s="100"/>
      <c r="AN2691" s="100"/>
      <c r="AO2691" s="100"/>
      <c r="AP2691" s="100"/>
      <c r="AQ2691" s="100"/>
      <c r="AR2691" s="100"/>
      <c r="AS2691" s="100"/>
      <c r="AT2691" s="102"/>
      <c r="AX2691" s="100"/>
      <c r="AY2691" s="100"/>
      <c r="AZ2691" s="100"/>
      <c r="BA2691" s="101"/>
      <c r="BB2691" s="100"/>
      <c r="BC2691" s="100"/>
      <c r="BD2691" s="100"/>
      <c r="BE2691" s="100"/>
      <c r="BF2691" s="100"/>
      <c r="BG2691" s="100"/>
      <c r="BH2691" s="100"/>
      <c r="BI2691" s="100"/>
      <c r="BJ2691" s="100"/>
      <c r="BK2691" s="100"/>
    </row>
    <row r="2692" spans="1:63" x14ac:dyDescent="0.25">
      <c r="A2692" s="92"/>
      <c r="B2692" s="92"/>
      <c r="C2692" s="92"/>
      <c r="D2692" s="92"/>
      <c r="E2692" s="92"/>
      <c r="F2692" s="92"/>
      <c r="G2692" s="92"/>
      <c r="H2692" s="92"/>
      <c r="I2692" s="92"/>
      <c r="J2692" s="92"/>
      <c r="K2692" s="92"/>
      <c r="L2692" s="92"/>
      <c r="M2692" s="92"/>
      <c r="N2692" s="92"/>
      <c r="AG2692" s="100"/>
      <c r="AH2692" s="101"/>
      <c r="AI2692" s="101"/>
      <c r="AJ2692" s="101"/>
      <c r="AK2692" s="100"/>
      <c r="AL2692" s="100"/>
      <c r="AM2692" s="100"/>
      <c r="AN2692" s="100"/>
      <c r="AO2692" s="100"/>
      <c r="AP2692" s="100"/>
      <c r="AQ2692" s="100"/>
      <c r="AR2692" s="100"/>
      <c r="AS2692" s="100"/>
      <c r="AT2692" s="102"/>
      <c r="AX2692" s="100"/>
      <c r="AY2692" s="100"/>
      <c r="AZ2692" s="100"/>
      <c r="BA2692" s="101"/>
      <c r="BB2692" s="100"/>
      <c r="BC2692" s="100"/>
      <c r="BD2692" s="100"/>
      <c r="BE2692" s="100"/>
      <c r="BF2692" s="100"/>
      <c r="BG2692" s="100"/>
      <c r="BH2692" s="100"/>
      <c r="BI2692" s="100"/>
      <c r="BJ2692" s="100"/>
      <c r="BK2692" s="100"/>
    </row>
    <row r="2693" spans="1:63" x14ac:dyDescent="0.25">
      <c r="A2693" s="92"/>
      <c r="B2693" s="93"/>
      <c r="C2693" s="93"/>
      <c r="D2693" s="92"/>
      <c r="E2693" s="92"/>
      <c r="F2693" s="92"/>
      <c r="G2693" s="92"/>
      <c r="H2693" s="92"/>
      <c r="I2693" s="92"/>
      <c r="J2693" s="92"/>
      <c r="K2693" s="92"/>
      <c r="L2693" s="92"/>
      <c r="M2693" s="92"/>
      <c r="N2693" s="94"/>
      <c r="AG2693" s="100"/>
      <c r="AH2693" s="101"/>
      <c r="AI2693" s="101"/>
      <c r="AJ2693" s="101"/>
      <c r="AK2693" s="100"/>
      <c r="AL2693" s="100"/>
      <c r="AM2693" s="100"/>
      <c r="AN2693" s="100"/>
      <c r="AO2693" s="100"/>
      <c r="AP2693" s="100"/>
      <c r="AQ2693" s="100"/>
      <c r="AR2693" s="100"/>
      <c r="AS2693" s="100"/>
      <c r="AT2693" s="102"/>
      <c r="AX2693" s="100"/>
      <c r="AY2693" s="100"/>
      <c r="AZ2693" s="100"/>
      <c r="BA2693" s="101"/>
      <c r="BB2693" s="100"/>
      <c r="BC2693" s="100"/>
      <c r="BD2693" s="100"/>
      <c r="BE2693" s="100"/>
      <c r="BF2693" s="100"/>
      <c r="BG2693" s="100"/>
      <c r="BH2693" s="100"/>
      <c r="BI2693" s="100"/>
      <c r="BJ2693" s="100"/>
      <c r="BK2693" s="100"/>
    </row>
    <row r="2694" spans="1:63" x14ac:dyDescent="0.25">
      <c r="A2694" s="92"/>
      <c r="B2694" s="93"/>
      <c r="C2694" s="93"/>
      <c r="D2694" s="92"/>
      <c r="E2694" s="92"/>
      <c r="F2694" s="92"/>
      <c r="G2694" s="92"/>
      <c r="H2694" s="92"/>
      <c r="I2694" s="92"/>
      <c r="J2694" s="92"/>
      <c r="K2694" s="92"/>
      <c r="L2694" s="92"/>
      <c r="M2694" s="92"/>
      <c r="N2694" s="94"/>
      <c r="AG2694" s="100"/>
      <c r="AH2694" s="101"/>
      <c r="AI2694" s="101"/>
      <c r="AJ2694" s="101"/>
      <c r="AK2694" s="100"/>
      <c r="AL2694" s="100"/>
      <c r="AM2694" s="100"/>
      <c r="AN2694" s="100"/>
      <c r="AO2694" s="100"/>
      <c r="AP2694" s="100"/>
      <c r="AQ2694" s="100"/>
      <c r="AR2694" s="100"/>
      <c r="AS2694" s="100"/>
      <c r="AT2694" s="102"/>
      <c r="AX2694" s="100"/>
      <c r="AY2694" s="100"/>
      <c r="AZ2694" s="100"/>
      <c r="BA2694" s="101"/>
      <c r="BB2694" s="100"/>
      <c r="BC2694" s="100"/>
      <c r="BD2694" s="100"/>
      <c r="BE2694" s="100"/>
      <c r="BF2694" s="100"/>
      <c r="BG2694" s="100"/>
      <c r="BH2694" s="100"/>
      <c r="BI2694" s="100"/>
      <c r="BJ2694" s="100"/>
      <c r="BK2694" s="100"/>
    </row>
    <row r="2695" spans="1:63" x14ac:dyDescent="0.25">
      <c r="A2695" s="92"/>
      <c r="B2695" s="92"/>
      <c r="C2695" s="92"/>
      <c r="D2695" s="92"/>
      <c r="E2695" s="92"/>
      <c r="F2695" s="92"/>
      <c r="G2695" s="92"/>
      <c r="H2695" s="92"/>
      <c r="I2695" s="92"/>
      <c r="J2695" s="92"/>
      <c r="K2695" s="92"/>
      <c r="L2695" s="92"/>
      <c r="M2695" s="92"/>
      <c r="N2695" s="92"/>
      <c r="AG2695" s="100"/>
      <c r="AH2695" s="101"/>
      <c r="AI2695" s="101"/>
      <c r="AJ2695" s="101"/>
      <c r="AK2695" s="100"/>
      <c r="AL2695" s="100"/>
      <c r="AM2695" s="100"/>
      <c r="AN2695" s="100"/>
      <c r="AO2695" s="100"/>
      <c r="AP2695" s="100"/>
      <c r="AQ2695" s="100"/>
      <c r="AR2695" s="100"/>
      <c r="AS2695" s="100"/>
      <c r="AT2695" s="102"/>
      <c r="AX2695" s="100"/>
      <c r="AY2695" s="100"/>
      <c r="AZ2695" s="100"/>
      <c r="BA2695" s="101"/>
      <c r="BB2695" s="100"/>
      <c r="BC2695" s="100"/>
      <c r="BD2695" s="100"/>
      <c r="BE2695" s="100"/>
      <c r="BF2695" s="100"/>
      <c r="BG2695" s="100"/>
      <c r="BH2695" s="100"/>
      <c r="BI2695" s="100"/>
      <c r="BJ2695" s="100"/>
      <c r="BK2695" s="100"/>
    </row>
    <row r="2696" spans="1:63" x14ac:dyDescent="0.25">
      <c r="A2696" s="92"/>
      <c r="B2696" s="92"/>
      <c r="C2696" s="92"/>
      <c r="D2696" s="92"/>
      <c r="E2696" s="92"/>
      <c r="F2696" s="92"/>
      <c r="G2696" s="92"/>
      <c r="H2696" s="92"/>
      <c r="I2696" s="92"/>
      <c r="J2696" s="92"/>
      <c r="K2696" s="92"/>
      <c r="L2696" s="92"/>
      <c r="M2696" s="92"/>
      <c r="N2696" s="92"/>
      <c r="AG2696" s="100"/>
      <c r="AH2696" s="101"/>
      <c r="AI2696" s="101"/>
      <c r="AJ2696" s="101"/>
      <c r="AK2696" s="100"/>
      <c r="AL2696" s="100"/>
      <c r="AM2696" s="100"/>
      <c r="AN2696" s="100"/>
      <c r="AO2696" s="100"/>
      <c r="AP2696" s="100"/>
      <c r="AQ2696" s="100"/>
      <c r="AR2696" s="100"/>
      <c r="AS2696" s="100"/>
      <c r="AT2696" s="102"/>
      <c r="AX2696" s="100"/>
      <c r="AY2696" s="100"/>
      <c r="AZ2696" s="100"/>
      <c r="BA2696" s="101"/>
      <c r="BB2696" s="100"/>
      <c r="BC2696" s="100"/>
      <c r="BD2696" s="100"/>
      <c r="BE2696" s="100"/>
      <c r="BF2696" s="100"/>
      <c r="BG2696" s="100"/>
      <c r="BH2696" s="100"/>
      <c r="BI2696" s="100"/>
      <c r="BJ2696" s="100"/>
      <c r="BK2696" s="100"/>
    </row>
    <row r="2697" spans="1:63" x14ac:dyDescent="0.25">
      <c r="A2697" s="92"/>
      <c r="B2697" s="93"/>
      <c r="C2697" s="93"/>
      <c r="D2697" s="93"/>
      <c r="E2697" s="92"/>
      <c r="F2697" s="92"/>
      <c r="G2697" s="92"/>
      <c r="H2697" s="92"/>
      <c r="I2697" s="92"/>
      <c r="J2697" s="92"/>
      <c r="K2697" s="92"/>
      <c r="L2697" s="92"/>
      <c r="M2697" s="92"/>
      <c r="N2697" s="94"/>
      <c r="AG2697" s="100"/>
      <c r="AH2697" s="100"/>
      <c r="AI2697" s="100"/>
      <c r="AJ2697" s="101"/>
      <c r="AK2697" s="100"/>
      <c r="AL2697" s="100"/>
      <c r="AM2697" s="100"/>
      <c r="AN2697" s="100"/>
      <c r="AO2697" s="100"/>
      <c r="AP2697" s="100"/>
      <c r="AQ2697" s="100"/>
      <c r="AR2697" s="100"/>
      <c r="AS2697" s="100"/>
      <c r="AT2697" s="100"/>
      <c r="AX2697" s="100"/>
      <c r="AY2697" s="100"/>
      <c r="AZ2697" s="100"/>
      <c r="BA2697" s="101"/>
      <c r="BB2697" s="100"/>
      <c r="BC2697" s="100"/>
      <c r="BD2697" s="100"/>
      <c r="BE2697" s="100"/>
      <c r="BF2697" s="100"/>
      <c r="BG2697" s="100"/>
      <c r="BH2697" s="100"/>
      <c r="BI2697" s="100"/>
      <c r="BJ2697" s="100"/>
      <c r="BK2697" s="100"/>
    </row>
    <row r="2698" spans="1:63" x14ac:dyDescent="0.25">
      <c r="A2698" s="92"/>
      <c r="B2698" s="92"/>
      <c r="C2698" s="92"/>
      <c r="D2698" s="92"/>
      <c r="E2698" s="92"/>
      <c r="F2698" s="92"/>
      <c r="G2698" s="92"/>
      <c r="H2698" s="92"/>
      <c r="I2698" s="92"/>
      <c r="J2698" s="92"/>
      <c r="K2698" s="92"/>
      <c r="L2698" s="92"/>
      <c r="M2698" s="92"/>
      <c r="N2698" s="92"/>
      <c r="AG2698" s="100"/>
      <c r="AH2698" s="101"/>
      <c r="AI2698" s="101"/>
      <c r="AJ2698" s="101"/>
      <c r="AK2698" s="100"/>
      <c r="AL2698" s="100"/>
      <c r="AM2698" s="100"/>
      <c r="AN2698" s="100"/>
      <c r="AO2698" s="100"/>
      <c r="AP2698" s="100"/>
      <c r="AQ2698" s="100"/>
      <c r="AR2698" s="100"/>
      <c r="AS2698" s="100"/>
      <c r="AT2698" s="102"/>
      <c r="AX2698" s="100"/>
      <c r="AY2698" s="100"/>
      <c r="AZ2698" s="100"/>
      <c r="BA2698" s="101"/>
      <c r="BB2698" s="100"/>
      <c r="BC2698" s="100"/>
      <c r="BD2698" s="100"/>
      <c r="BE2698" s="100"/>
      <c r="BF2698" s="100"/>
      <c r="BG2698" s="100"/>
      <c r="BH2698" s="100"/>
      <c r="BI2698" s="100"/>
      <c r="BJ2698" s="100"/>
      <c r="BK2698" s="100"/>
    </row>
    <row r="2699" spans="1:63" x14ac:dyDescent="0.25">
      <c r="A2699" s="92"/>
      <c r="B2699" s="92"/>
      <c r="C2699" s="92"/>
      <c r="D2699" s="92"/>
      <c r="E2699" s="92"/>
      <c r="F2699" s="92"/>
      <c r="G2699" s="92"/>
      <c r="H2699" s="92"/>
      <c r="I2699" s="92"/>
      <c r="J2699" s="92"/>
      <c r="K2699" s="92"/>
      <c r="L2699" s="92"/>
      <c r="M2699" s="92"/>
      <c r="N2699" s="92"/>
      <c r="AG2699" s="100"/>
      <c r="AH2699" s="101"/>
      <c r="AI2699" s="101"/>
      <c r="AJ2699" s="101"/>
      <c r="AK2699" s="100"/>
      <c r="AL2699" s="100"/>
      <c r="AM2699" s="100"/>
      <c r="AN2699" s="100"/>
      <c r="AO2699" s="100"/>
      <c r="AP2699" s="100"/>
      <c r="AQ2699" s="100"/>
      <c r="AR2699" s="100"/>
      <c r="AS2699" s="100"/>
      <c r="AT2699" s="102"/>
      <c r="AX2699" s="100"/>
      <c r="AY2699" s="100"/>
      <c r="AZ2699" s="100"/>
      <c r="BA2699" s="101"/>
      <c r="BB2699" s="100"/>
      <c r="BC2699" s="100"/>
      <c r="BD2699" s="100"/>
      <c r="BE2699" s="100"/>
      <c r="BF2699" s="100"/>
      <c r="BG2699" s="100"/>
      <c r="BH2699" s="100"/>
      <c r="BI2699" s="100"/>
      <c r="BJ2699" s="100"/>
      <c r="BK2699" s="100"/>
    </row>
    <row r="2700" spans="1:63" x14ac:dyDescent="0.25">
      <c r="A2700" s="92"/>
      <c r="B2700" s="92"/>
      <c r="C2700" s="92"/>
      <c r="D2700" s="92"/>
      <c r="E2700" s="92"/>
      <c r="F2700" s="92"/>
      <c r="G2700" s="92"/>
      <c r="H2700" s="92"/>
      <c r="I2700" s="92"/>
      <c r="J2700" s="92"/>
      <c r="K2700" s="92"/>
      <c r="L2700" s="92"/>
      <c r="M2700" s="92"/>
      <c r="N2700" s="92"/>
      <c r="AG2700" s="100"/>
      <c r="AH2700" s="100"/>
      <c r="AI2700" s="100"/>
      <c r="AJ2700" s="101"/>
      <c r="AK2700" s="100"/>
      <c r="AL2700" s="100"/>
      <c r="AM2700" s="100"/>
      <c r="AN2700" s="100"/>
      <c r="AO2700" s="100"/>
      <c r="AP2700" s="100"/>
      <c r="AQ2700" s="100"/>
      <c r="AR2700" s="100"/>
      <c r="AS2700" s="100"/>
      <c r="AT2700" s="100"/>
      <c r="AX2700" s="100"/>
      <c r="AY2700" s="100"/>
      <c r="AZ2700" s="100"/>
      <c r="BA2700" s="101"/>
      <c r="BB2700" s="100"/>
      <c r="BC2700" s="100"/>
      <c r="BD2700" s="100"/>
      <c r="BE2700" s="100"/>
      <c r="BF2700" s="100"/>
      <c r="BG2700" s="100"/>
      <c r="BH2700" s="100"/>
      <c r="BI2700" s="100"/>
      <c r="BJ2700" s="100"/>
      <c r="BK2700" s="100"/>
    </row>
    <row r="2701" spans="1:63" x14ac:dyDescent="0.25">
      <c r="A2701" s="92"/>
      <c r="B2701" s="92"/>
      <c r="C2701" s="92"/>
      <c r="D2701" s="92"/>
      <c r="E2701" s="92"/>
      <c r="F2701" s="92"/>
      <c r="G2701" s="92"/>
      <c r="H2701" s="92"/>
      <c r="I2701" s="92"/>
      <c r="J2701" s="92"/>
      <c r="K2701" s="92"/>
      <c r="L2701" s="92"/>
      <c r="M2701" s="92"/>
      <c r="N2701" s="92"/>
      <c r="AG2701" s="100"/>
      <c r="AH2701" s="101"/>
      <c r="AI2701" s="101"/>
      <c r="AJ2701" s="101"/>
      <c r="AK2701" s="100"/>
      <c r="AL2701" s="100"/>
      <c r="AM2701" s="100"/>
      <c r="AN2701" s="100"/>
      <c r="AO2701" s="100"/>
      <c r="AP2701" s="100"/>
      <c r="AQ2701" s="100"/>
      <c r="AR2701" s="100"/>
      <c r="AS2701" s="100"/>
      <c r="AT2701" s="102"/>
      <c r="AX2701" s="100"/>
      <c r="AY2701" s="100"/>
      <c r="AZ2701" s="100"/>
      <c r="BA2701" s="101"/>
      <c r="BB2701" s="100"/>
      <c r="BC2701" s="100"/>
      <c r="BD2701" s="100"/>
      <c r="BE2701" s="100"/>
      <c r="BF2701" s="100"/>
      <c r="BG2701" s="100"/>
      <c r="BH2701" s="100"/>
      <c r="BI2701" s="100"/>
      <c r="BJ2701" s="100"/>
      <c r="BK2701" s="100"/>
    </row>
    <row r="2702" spans="1:63" x14ac:dyDescent="0.25">
      <c r="A2702" s="92"/>
      <c r="B2702" s="92"/>
      <c r="C2702" s="92"/>
      <c r="D2702" s="92"/>
      <c r="E2702" s="92"/>
      <c r="F2702" s="92"/>
      <c r="G2702" s="92"/>
      <c r="H2702" s="92"/>
      <c r="I2702" s="92"/>
      <c r="J2702" s="92"/>
      <c r="K2702" s="92"/>
      <c r="L2702" s="92"/>
      <c r="M2702" s="92"/>
      <c r="N2702" s="92"/>
      <c r="AG2702" s="100"/>
      <c r="AH2702" s="100"/>
      <c r="AI2702" s="100"/>
      <c r="AJ2702" s="101"/>
      <c r="AK2702" s="100"/>
      <c r="AL2702" s="100"/>
      <c r="AM2702" s="100"/>
      <c r="AN2702" s="100"/>
      <c r="AO2702" s="100"/>
      <c r="AP2702" s="100"/>
      <c r="AQ2702" s="100"/>
      <c r="AR2702" s="100"/>
      <c r="AS2702" s="100"/>
      <c r="AT2702" s="100"/>
      <c r="AX2702" s="100"/>
      <c r="AY2702" s="100"/>
      <c r="AZ2702" s="100"/>
      <c r="BA2702" s="101"/>
      <c r="BB2702" s="100"/>
      <c r="BC2702" s="100"/>
      <c r="BD2702" s="100"/>
      <c r="BE2702" s="100"/>
      <c r="BF2702" s="100"/>
      <c r="BG2702" s="100"/>
      <c r="BH2702" s="100"/>
      <c r="BI2702" s="100"/>
      <c r="BJ2702" s="100"/>
      <c r="BK2702" s="100"/>
    </row>
    <row r="2703" spans="1:63" x14ac:dyDescent="0.25">
      <c r="A2703" s="92"/>
      <c r="B2703" s="93"/>
      <c r="C2703" s="93"/>
      <c r="D2703" s="93"/>
      <c r="E2703" s="92"/>
      <c r="F2703" s="92"/>
      <c r="G2703" s="92"/>
      <c r="H2703" s="92"/>
      <c r="I2703" s="92"/>
      <c r="J2703" s="92"/>
      <c r="K2703" s="92"/>
      <c r="L2703" s="92"/>
      <c r="M2703" s="92"/>
      <c r="N2703" s="94"/>
      <c r="AG2703" s="100"/>
      <c r="AH2703" s="101"/>
      <c r="AI2703" s="101"/>
      <c r="AJ2703" s="101"/>
      <c r="AK2703" s="100"/>
      <c r="AL2703" s="100"/>
      <c r="AM2703" s="100"/>
      <c r="AN2703" s="100"/>
      <c r="AO2703" s="100"/>
      <c r="AP2703" s="100"/>
      <c r="AQ2703" s="100"/>
      <c r="AR2703" s="100"/>
      <c r="AS2703" s="100"/>
      <c r="AT2703" s="102"/>
      <c r="AX2703" s="100"/>
      <c r="AY2703" s="100"/>
      <c r="AZ2703" s="100"/>
      <c r="BA2703" s="101"/>
      <c r="BB2703" s="100"/>
      <c r="BC2703" s="100"/>
      <c r="BD2703" s="100"/>
      <c r="BE2703" s="100"/>
      <c r="BF2703" s="100"/>
      <c r="BG2703" s="100"/>
      <c r="BH2703" s="100"/>
      <c r="BI2703" s="100"/>
      <c r="BJ2703" s="100"/>
      <c r="BK2703" s="100"/>
    </row>
    <row r="2704" spans="1:63" x14ac:dyDescent="0.25">
      <c r="A2704" s="92"/>
      <c r="B2704" s="92"/>
      <c r="C2704" s="92"/>
      <c r="D2704" s="93"/>
      <c r="E2704" s="92"/>
      <c r="F2704" s="92"/>
      <c r="G2704" s="92"/>
      <c r="H2704" s="92"/>
      <c r="I2704" s="92"/>
      <c r="J2704" s="92"/>
      <c r="K2704" s="92"/>
      <c r="L2704" s="92"/>
      <c r="M2704" s="92"/>
      <c r="N2704" s="92"/>
      <c r="AG2704" s="100"/>
      <c r="AH2704" s="101"/>
      <c r="AI2704" s="101"/>
      <c r="AJ2704" s="101"/>
      <c r="AK2704" s="100"/>
      <c r="AL2704" s="100"/>
      <c r="AM2704" s="100"/>
      <c r="AN2704" s="100"/>
      <c r="AO2704" s="100"/>
      <c r="AP2704" s="100"/>
      <c r="AQ2704" s="100"/>
      <c r="AR2704" s="100"/>
      <c r="AS2704" s="100"/>
      <c r="AT2704" s="102"/>
      <c r="AX2704" s="100"/>
      <c r="AY2704" s="100"/>
      <c r="AZ2704" s="100"/>
      <c r="BA2704" s="101"/>
      <c r="BB2704" s="100"/>
      <c r="BC2704" s="100"/>
      <c r="BD2704" s="100"/>
      <c r="BE2704" s="100"/>
      <c r="BF2704" s="100"/>
      <c r="BG2704" s="100"/>
      <c r="BH2704" s="100"/>
      <c r="BI2704" s="100"/>
      <c r="BJ2704" s="100"/>
      <c r="BK2704" s="100"/>
    </row>
    <row r="2705" spans="1:63" x14ac:dyDescent="0.25">
      <c r="A2705" s="92"/>
      <c r="B2705" s="93"/>
      <c r="C2705" s="93"/>
      <c r="D2705" s="93"/>
      <c r="E2705" s="92"/>
      <c r="F2705" s="92"/>
      <c r="G2705" s="92"/>
      <c r="H2705" s="92"/>
      <c r="I2705" s="92"/>
      <c r="J2705" s="92"/>
      <c r="K2705" s="92"/>
      <c r="L2705" s="92"/>
      <c r="M2705" s="92"/>
      <c r="N2705" s="94"/>
      <c r="AG2705" s="100"/>
      <c r="AH2705" s="101"/>
      <c r="AI2705" s="101"/>
      <c r="AJ2705" s="101"/>
      <c r="AK2705" s="100"/>
      <c r="AL2705" s="100"/>
      <c r="AM2705" s="100"/>
      <c r="AN2705" s="100"/>
      <c r="AO2705" s="100"/>
      <c r="AP2705" s="100"/>
      <c r="AQ2705" s="100"/>
      <c r="AR2705" s="100"/>
      <c r="AS2705" s="100"/>
      <c r="AT2705" s="102"/>
      <c r="AX2705" s="100"/>
      <c r="AY2705" s="100"/>
      <c r="AZ2705" s="100"/>
      <c r="BA2705" s="101"/>
      <c r="BB2705" s="100"/>
      <c r="BC2705" s="100"/>
      <c r="BD2705" s="100"/>
      <c r="BE2705" s="100"/>
      <c r="BF2705" s="100"/>
      <c r="BG2705" s="100"/>
      <c r="BH2705" s="100"/>
      <c r="BI2705" s="100"/>
      <c r="BJ2705" s="100"/>
      <c r="BK2705" s="100"/>
    </row>
    <row r="2706" spans="1:63" x14ac:dyDescent="0.25">
      <c r="A2706" s="92"/>
      <c r="B2706" s="93"/>
      <c r="C2706" s="93"/>
      <c r="D2706" s="92"/>
      <c r="E2706" s="92"/>
      <c r="F2706" s="92"/>
      <c r="G2706" s="92"/>
      <c r="H2706" s="92"/>
      <c r="I2706" s="92"/>
      <c r="J2706" s="92"/>
      <c r="K2706" s="92"/>
      <c r="L2706" s="92"/>
      <c r="M2706" s="92"/>
      <c r="N2706" s="94"/>
      <c r="AG2706" s="100"/>
      <c r="AH2706" s="101"/>
      <c r="AI2706" s="101"/>
      <c r="AJ2706" s="101"/>
      <c r="AK2706" s="100"/>
      <c r="AL2706" s="100"/>
      <c r="AM2706" s="100"/>
      <c r="AN2706" s="100"/>
      <c r="AO2706" s="100"/>
      <c r="AP2706" s="100"/>
      <c r="AQ2706" s="100"/>
      <c r="AR2706" s="100"/>
      <c r="AS2706" s="100"/>
      <c r="AT2706" s="102"/>
      <c r="AX2706" s="100"/>
      <c r="AY2706" s="100"/>
      <c r="AZ2706" s="100"/>
      <c r="BA2706" s="101"/>
      <c r="BB2706" s="100"/>
      <c r="BC2706" s="100"/>
      <c r="BD2706" s="100"/>
      <c r="BE2706" s="100"/>
      <c r="BF2706" s="100"/>
      <c r="BG2706" s="100"/>
      <c r="BH2706" s="100"/>
      <c r="BI2706" s="100"/>
      <c r="BJ2706" s="100"/>
      <c r="BK2706" s="100"/>
    </row>
    <row r="2707" spans="1:63" x14ac:dyDescent="0.25">
      <c r="A2707" s="92"/>
      <c r="B2707" s="92"/>
      <c r="C2707" s="92"/>
      <c r="D2707" s="92"/>
      <c r="E2707" s="92"/>
      <c r="F2707" s="92"/>
      <c r="G2707" s="92"/>
      <c r="H2707" s="92"/>
      <c r="I2707" s="92"/>
      <c r="J2707" s="92"/>
      <c r="K2707" s="92"/>
      <c r="L2707" s="92"/>
      <c r="M2707" s="92"/>
      <c r="N2707" s="92"/>
      <c r="AG2707" s="100"/>
      <c r="AH2707" s="101"/>
      <c r="AI2707" s="101"/>
      <c r="AJ2707" s="101"/>
      <c r="AK2707" s="100"/>
      <c r="AL2707" s="100"/>
      <c r="AM2707" s="100"/>
      <c r="AN2707" s="100"/>
      <c r="AO2707" s="100"/>
      <c r="AP2707" s="100"/>
      <c r="AQ2707" s="100"/>
      <c r="AR2707" s="100"/>
      <c r="AS2707" s="100"/>
      <c r="AT2707" s="102"/>
      <c r="AX2707" s="100"/>
      <c r="AY2707" s="100"/>
      <c r="AZ2707" s="100"/>
      <c r="BA2707" s="101"/>
      <c r="BB2707" s="100"/>
      <c r="BC2707" s="100"/>
      <c r="BD2707" s="100"/>
      <c r="BE2707" s="100"/>
      <c r="BF2707" s="100"/>
      <c r="BG2707" s="100"/>
      <c r="BH2707" s="100"/>
      <c r="BI2707" s="100"/>
      <c r="BJ2707" s="100"/>
      <c r="BK2707" s="100"/>
    </row>
    <row r="2708" spans="1:63" x14ac:dyDescent="0.25">
      <c r="A2708" s="92"/>
      <c r="B2708" s="93"/>
      <c r="C2708" s="93"/>
      <c r="D2708" s="93"/>
      <c r="E2708" s="92"/>
      <c r="F2708" s="92"/>
      <c r="G2708" s="92"/>
      <c r="H2708" s="92"/>
      <c r="I2708" s="92"/>
      <c r="J2708" s="92"/>
      <c r="K2708" s="92"/>
      <c r="L2708" s="92"/>
      <c r="M2708" s="92"/>
      <c r="N2708" s="94"/>
      <c r="AG2708" s="100"/>
      <c r="AH2708" s="100"/>
      <c r="AI2708" s="100"/>
      <c r="AJ2708" s="101"/>
      <c r="AK2708" s="100"/>
      <c r="AL2708" s="100"/>
      <c r="AM2708" s="100"/>
      <c r="AN2708" s="100"/>
      <c r="AO2708" s="100"/>
      <c r="AP2708" s="100"/>
      <c r="AQ2708" s="100"/>
      <c r="AR2708" s="100"/>
      <c r="AS2708" s="100"/>
      <c r="AT2708" s="100"/>
      <c r="AX2708" s="100"/>
      <c r="AY2708" s="100"/>
      <c r="AZ2708" s="100"/>
      <c r="BA2708" s="101"/>
      <c r="BB2708" s="100"/>
      <c r="BC2708" s="100"/>
      <c r="BD2708" s="100"/>
      <c r="BE2708" s="100"/>
      <c r="BF2708" s="100"/>
      <c r="BG2708" s="100"/>
      <c r="BH2708" s="100"/>
      <c r="BI2708" s="100"/>
      <c r="BJ2708" s="100"/>
      <c r="BK2708" s="100"/>
    </row>
    <row r="2709" spans="1:63" x14ac:dyDescent="0.25">
      <c r="A2709" s="92"/>
      <c r="B2709" s="93"/>
      <c r="C2709" s="93"/>
      <c r="D2709" s="93"/>
      <c r="E2709" s="92"/>
      <c r="F2709" s="92"/>
      <c r="G2709" s="92"/>
      <c r="H2709" s="92"/>
      <c r="I2709" s="92"/>
      <c r="J2709" s="92"/>
      <c r="K2709" s="92"/>
      <c r="L2709" s="92"/>
      <c r="M2709" s="92"/>
      <c r="N2709" s="94"/>
      <c r="AG2709" s="100"/>
      <c r="AH2709" s="101"/>
      <c r="AI2709" s="101"/>
      <c r="AJ2709" s="101"/>
      <c r="AK2709" s="100"/>
      <c r="AL2709" s="100"/>
      <c r="AM2709" s="100"/>
      <c r="AN2709" s="100"/>
      <c r="AO2709" s="100"/>
      <c r="AP2709" s="100"/>
      <c r="AQ2709" s="100"/>
      <c r="AR2709" s="100"/>
      <c r="AS2709" s="100"/>
      <c r="AT2709" s="102"/>
      <c r="AX2709" s="100"/>
      <c r="AY2709" s="100"/>
      <c r="AZ2709" s="100"/>
      <c r="BA2709" s="101"/>
      <c r="BB2709" s="100"/>
      <c r="BC2709" s="100"/>
      <c r="BD2709" s="100"/>
      <c r="BE2709" s="100"/>
      <c r="BF2709" s="100"/>
      <c r="BG2709" s="100"/>
      <c r="BH2709" s="100"/>
      <c r="BI2709" s="100"/>
      <c r="BJ2709" s="100"/>
      <c r="BK2709" s="100"/>
    </row>
    <row r="2710" spans="1:63" x14ac:dyDescent="0.25">
      <c r="A2710" s="92"/>
      <c r="B2710" s="92"/>
      <c r="C2710" s="92"/>
      <c r="D2710" s="92"/>
      <c r="E2710" s="92"/>
      <c r="F2710" s="92"/>
      <c r="G2710" s="92"/>
      <c r="H2710" s="92"/>
      <c r="I2710" s="92"/>
      <c r="J2710" s="92"/>
      <c r="K2710" s="92"/>
      <c r="L2710" s="92"/>
      <c r="M2710" s="92"/>
      <c r="N2710" s="92"/>
      <c r="AG2710" s="100"/>
      <c r="AH2710" s="101"/>
      <c r="AI2710" s="101"/>
      <c r="AJ2710" s="101"/>
      <c r="AK2710" s="100"/>
      <c r="AL2710" s="100"/>
      <c r="AM2710" s="100"/>
      <c r="AN2710" s="100"/>
      <c r="AO2710" s="100"/>
      <c r="AP2710" s="100"/>
      <c r="AQ2710" s="100"/>
      <c r="AR2710" s="100"/>
      <c r="AS2710" s="100"/>
      <c r="AT2710" s="102"/>
      <c r="AX2710" s="100"/>
      <c r="AY2710" s="100"/>
      <c r="AZ2710" s="100"/>
      <c r="BA2710" s="101"/>
      <c r="BB2710" s="100"/>
      <c r="BC2710" s="100"/>
      <c r="BD2710" s="100"/>
      <c r="BE2710" s="100"/>
      <c r="BF2710" s="100"/>
      <c r="BG2710" s="100"/>
      <c r="BH2710" s="100"/>
      <c r="BI2710" s="100"/>
      <c r="BJ2710" s="100"/>
      <c r="BK2710" s="100"/>
    </row>
    <row r="2711" spans="1:63" x14ac:dyDescent="0.25">
      <c r="A2711" s="92"/>
      <c r="B2711" s="93"/>
      <c r="C2711" s="93"/>
      <c r="D2711" s="92"/>
      <c r="E2711" s="92"/>
      <c r="F2711" s="92"/>
      <c r="G2711" s="92"/>
      <c r="H2711" s="92"/>
      <c r="I2711" s="92"/>
      <c r="J2711" s="92"/>
      <c r="K2711" s="92"/>
      <c r="L2711" s="92"/>
      <c r="M2711" s="92"/>
      <c r="N2711" s="94"/>
      <c r="AG2711" s="100"/>
      <c r="AH2711" s="101"/>
      <c r="AI2711" s="101"/>
      <c r="AJ2711" s="101"/>
      <c r="AK2711" s="100"/>
      <c r="AL2711" s="100"/>
      <c r="AM2711" s="100"/>
      <c r="AN2711" s="100"/>
      <c r="AO2711" s="100"/>
      <c r="AP2711" s="100"/>
      <c r="AQ2711" s="100"/>
      <c r="AR2711" s="100"/>
      <c r="AS2711" s="100"/>
      <c r="AT2711" s="102"/>
      <c r="AX2711" s="100"/>
      <c r="AY2711" s="100"/>
      <c r="AZ2711" s="100"/>
      <c r="BA2711" s="101"/>
      <c r="BB2711" s="100"/>
      <c r="BC2711" s="100"/>
      <c r="BD2711" s="100"/>
      <c r="BE2711" s="100"/>
      <c r="BF2711" s="100"/>
      <c r="BG2711" s="100"/>
      <c r="BH2711" s="100"/>
      <c r="BI2711" s="100"/>
      <c r="BJ2711" s="100"/>
      <c r="BK2711" s="100"/>
    </row>
    <row r="2712" spans="1:63" x14ac:dyDescent="0.25">
      <c r="A2712" s="92"/>
      <c r="B2712" s="93"/>
      <c r="C2712" s="93"/>
      <c r="D2712" s="92"/>
      <c r="E2712" s="92"/>
      <c r="F2712" s="92"/>
      <c r="G2712" s="92"/>
      <c r="H2712" s="92"/>
      <c r="I2712" s="92"/>
      <c r="J2712" s="92"/>
      <c r="K2712" s="92"/>
      <c r="L2712" s="92"/>
      <c r="M2712" s="92"/>
      <c r="N2712" s="94"/>
      <c r="AG2712" s="100"/>
      <c r="AH2712" s="101"/>
      <c r="AI2712" s="101"/>
      <c r="AJ2712" s="101"/>
      <c r="AK2712" s="100"/>
      <c r="AL2712" s="100"/>
      <c r="AM2712" s="100"/>
      <c r="AN2712" s="100"/>
      <c r="AO2712" s="100"/>
      <c r="AP2712" s="100"/>
      <c r="AQ2712" s="100"/>
      <c r="AR2712" s="100"/>
      <c r="AS2712" s="100"/>
      <c r="AT2712" s="102"/>
      <c r="AX2712" s="100"/>
      <c r="AY2712" s="100"/>
      <c r="AZ2712" s="100"/>
      <c r="BA2712" s="101"/>
      <c r="BB2712" s="100"/>
      <c r="BC2712" s="100"/>
      <c r="BD2712" s="100"/>
      <c r="BE2712" s="100"/>
      <c r="BF2712" s="100"/>
      <c r="BG2712" s="100"/>
      <c r="BH2712" s="100"/>
      <c r="BI2712" s="100"/>
      <c r="BJ2712" s="100"/>
      <c r="BK2712" s="100"/>
    </row>
    <row r="2713" spans="1:63" x14ac:dyDescent="0.25">
      <c r="A2713" s="92"/>
      <c r="B2713" s="93"/>
      <c r="C2713" s="93"/>
      <c r="D2713" s="92"/>
      <c r="E2713" s="92"/>
      <c r="F2713" s="92"/>
      <c r="G2713" s="92"/>
      <c r="H2713" s="92"/>
      <c r="I2713" s="92"/>
      <c r="J2713" s="92"/>
      <c r="K2713" s="92"/>
      <c r="L2713" s="92"/>
      <c r="M2713" s="92"/>
      <c r="N2713" s="94"/>
      <c r="AG2713" s="100"/>
      <c r="AH2713" s="101"/>
      <c r="AI2713" s="101"/>
      <c r="AJ2713" s="101"/>
      <c r="AK2713" s="100"/>
      <c r="AL2713" s="100"/>
      <c r="AM2713" s="100"/>
      <c r="AN2713" s="100"/>
      <c r="AO2713" s="100"/>
      <c r="AP2713" s="100"/>
      <c r="AQ2713" s="100"/>
      <c r="AR2713" s="100"/>
      <c r="AS2713" s="100"/>
      <c r="AT2713" s="102"/>
      <c r="AX2713" s="100"/>
      <c r="AY2713" s="100"/>
      <c r="AZ2713" s="100"/>
      <c r="BA2713" s="101"/>
      <c r="BB2713" s="100"/>
      <c r="BC2713" s="100"/>
      <c r="BD2713" s="100"/>
      <c r="BE2713" s="100"/>
      <c r="BF2713" s="100"/>
      <c r="BG2713" s="100"/>
      <c r="BH2713" s="100"/>
      <c r="BI2713" s="100"/>
      <c r="BJ2713" s="100"/>
      <c r="BK2713" s="100"/>
    </row>
    <row r="2714" spans="1:63" x14ac:dyDescent="0.25">
      <c r="A2714" s="92"/>
      <c r="B2714" s="92"/>
      <c r="C2714" s="92"/>
      <c r="D2714" s="92"/>
      <c r="E2714" s="92"/>
      <c r="F2714" s="92"/>
      <c r="G2714" s="92"/>
      <c r="H2714" s="92"/>
      <c r="I2714" s="92"/>
      <c r="J2714" s="92"/>
      <c r="K2714" s="92"/>
      <c r="L2714" s="92"/>
      <c r="M2714" s="92"/>
      <c r="N2714" s="92"/>
      <c r="AG2714" s="100"/>
      <c r="AH2714" s="101"/>
      <c r="AI2714" s="101"/>
      <c r="AJ2714" s="101"/>
      <c r="AK2714" s="100"/>
      <c r="AL2714" s="100"/>
      <c r="AM2714" s="100"/>
      <c r="AN2714" s="100"/>
      <c r="AO2714" s="100"/>
      <c r="AP2714" s="100"/>
      <c r="AQ2714" s="100"/>
      <c r="AR2714" s="100"/>
      <c r="AS2714" s="100"/>
      <c r="AT2714" s="102"/>
      <c r="AX2714" s="100"/>
      <c r="AY2714" s="100"/>
      <c r="AZ2714" s="100"/>
      <c r="BA2714" s="101"/>
      <c r="BB2714" s="100"/>
      <c r="BC2714" s="100"/>
      <c r="BD2714" s="100"/>
      <c r="BE2714" s="100"/>
      <c r="BF2714" s="100"/>
      <c r="BG2714" s="100"/>
      <c r="BH2714" s="100"/>
      <c r="BI2714" s="100"/>
      <c r="BJ2714" s="100"/>
      <c r="BK2714" s="100"/>
    </row>
    <row r="2715" spans="1:63" x14ac:dyDescent="0.25">
      <c r="A2715" s="92"/>
      <c r="B2715" s="93"/>
      <c r="C2715" s="93"/>
      <c r="D2715" s="92"/>
      <c r="E2715" s="92"/>
      <c r="F2715" s="92"/>
      <c r="G2715" s="92"/>
      <c r="H2715" s="92"/>
      <c r="I2715" s="92"/>
      <c r="J2715" s="92"/>
      <c r="K2715" s="92"/>
      <c r="L2715" s="92"/>
      <c r="M2715" s="92"/>
      <c r="N2715" s="94"/>
      <c r="AG2715" s="100"/>
      <c r="AH2715" s="101"/>
      <c r="AI2715" s="101"/>
      <c r="AJ2715" s="101"/>
      <c r="AK2715" s="100"/>
      <c r="AL2715" s="100"/>
      <c r="AM2715" s="100"/>
      <c r="AN2715" s="100"/>
      <c r="AO2715" s="100"/>
      <c r="AP2715" s="100"/>
      <c r="AQ2715" s="100"/>
      <c r="AR2715" s="100"/>
      <c r="AS2715" s="100"/>
      <c r="AT2715" s="102"/>
      <c r="AX2715" s="100"/>
      <c r="AY2715" s="100"/>
      <c r="AZ2715" s="100"/>
      <c r="BA2715" s="101"/>
      <c r="BB2715" s="100"/>
      <c r="BC2715" s="100"/>
      <c r="BD2715" s="100"/>
      <c r="BE2715" s="100"/>
      <c r="BF2715" s="100"/>
      <c r="BG2715" s="100"/>
      <c r="BH2715" s="100"/>
      <c r="BI2715" s="100"/>
      <c r="BJ2715" s="100"/>
      <c r="BK2715" s="100"/>
    </row>
    <row r="2716" spans="1:63" x14ac:dyDescent="0.25">
      <c r="A2716" s="92"/>
      <c r="B2716" s="93"/>
      <c r="C2716" s="93"/>
      <c r="D2716" s="92"/>
      <c r="E2716" s="92"/>
      <c r="F2716" s="92"/>
      <c r="G2716" s="92"/>
      <c r="H2716" s="92"/>
      <c r="I2716" s="92"/>
      <c r="J2716" s="92"/>
      <c r="K2716" s="92"/>
      <c r="L2716" s="92"/>
      <c r="M2716" s="92"/>
      <c r="N2716" s="94"/>
      <c r="AG2716" s="100"/>
      <c r="AH2716" s="101"/>
      <c r="AI2716" s="101"/>
      <c r="AJ2716" s="101"/>
      <c r="AK2716" s="100"/>
      <c r="AL2716" s="100"/>
      <c r="AM2716" s="100"/>
      <c r="AN2716" s="100"/>
      <c r="AO2716" s="100"/>
      <c r="AP2716" s="100"/>
      <c r="AQ2716" s="100"/>
      <c r="AR2716" s="100"/>
      <c r="AS2716" s="100"/>
      <c r="AT2716" s="102"/>
      <c r="AX2716" s="100"/>
      <c r="AY2716" s="100"/>
      <c r="AZ2716" s="100"/>
      <c r="BA2716" s="101"/>
      <c r="BB2716" s="100"/>
      <c r="BC2716" s="100"/>
      <c r="BD2716" s="100"/>
      <c r="BE2716" s="100"/>
      <c r="BF2716" s="100"/>
      <c r="BG2716" s="100"/>
      <c r="BH2716" s="100"/>
      <c r="BI2716" s="100"/>
      <c r="BJ2716" s="100"/>
      <c r="BK2716" s="100"/>
    </row>
    <row r="2717" spans="1:63" x14ac:dyDescent="0.25">
      <c r="A2717" s="92"/>
      <c r="B2717" s="93"/>
      <c r="C2717" s="93"/>
      <c r="D2717" s="93"/>
      <c r="E2717" s="92"/>
      <c r="F2717" s="92"/>
      <c r="G2717" s="92"/>
      <c r="H2717" s="92"/>
      <c r="I2717" s="92"/>
      <c r="J2717" s="92"/>
      <c r="K2717" s="92"/>
      <c r="L2717" s="92"/>
      <c r="M2717" s="92"/>
      <c r="N2717" s="94"/>
      <c r="AG2717" s="100"/>
      <c r="AH2717" s="101"/>
      <c r="AI2717" s="101"/>
      <c r="AJ2717" s="101"/>
      <c r="AK2717" s="100"/>
      <c r="AL2717" s="100"/>
      <c r="AM2717" s="100"/>
      <c r="AN2717" s="100"/>
      <c r="AO2717" s="100"/>
      <c r="AP2717" s="100"/>
      <c r="AQ2717" s="100"/>
      <c r="AR2717" s="100"/>
      <c r="AS2717" s="100"/>
      <c r="AT2717" s="102"/>
      <c r="AX2717" s="100"/>
      <c r="AY2717" s="100"/>
      <c r="AZ2717" s="100"/>
      <c r="BA2717" s="101"/>
      <c r="BB2717" s="100"/>
      <c r="BC2717" s="100"/>
      <c r="BD2717" s="100"/>
      <c r="BE2717" s="100"/>
      <c r="BF2717" s="100"/>
      <c r="BG2717" s="100"/>
      <c r="BH2717" s="100"/>
      <c r="BI2717" s="100"/>
      <c r="BJ2717" s="100"/>
      <c r="BK2717" s="100"/>
    </row>
    <row r="2718" spans="1:63" x14ac:dyDescent="0.25">
      <c r="A2718" s="92"/>
      <c r="B2718" s="92"/>
      <c r="C2718" s="92"/>
      <c r="D2718" s="93"/>
      <c r="E2718" s="92"/>
      <c r="F2718" s="92"/>
      <c r="G2718" s="92"/>
      <c r="H2718" s="92"/>
      <c r="I2718" s="92"/>
      <c r="J2718" s="92"/>
      <c r="K2718" s="92"/>
      <c r="L2718" s="92"/>
      <c r="M2718" s="92"/>
      <c r="N2718" s="92"/>
      <c r="AG2718" s="100"/>
      <c r="AH2718" s="101"/>
      <c r="AI2718" s="101"/>
      <c r="AJ2718" s="101"/>
      <c r="AK2718" s="100"/>
      <c r="AL2718" s="100"/>
      <c r="AM2718" s="100"/>
      <c r="AN2718" s="100"/>
      <c r="AO2718" s="100"/>
      <c r="AP2718" s="100"/>
      <c r="AQ2718" s="100"/>
      <c r="AR2718" s="100"/>
      <c r="AS2718" s="100"/>
      <c r="AT2718" s="102"/>
      <c r="AX2718" s="100"/>
      <c r="AY2718" s="100"/>
      <c r="AZ2718" s="100"/>
      <c r="BA2718" s="101"/>
      <c r="BB2718" s="100"/>
      <c r="BC2718" s="100"/>
      <c r="BD2718" s="100"/>
      <c r="BE2718" s="100"/>
      <c r="BF2718" s="100"/>
      <c r="BG2718" s="100"/>
      <c r="BH2718" s="100"/>
      <c r="BI2718" s="100"/>
      <c r="BJ2718" s="100"/>
      <c r="BK2718" s="100"/>
    </row>
    <row r="2719" spans="1:63" x14ac:dyDescent="0.25">
      <c r="A2719" s="92"/>
      <c r="B2719" s="92"/>
      <c r="C2719" s="92"/>
      <c r="D2719" s="92"/>
      <c r="E2719" s="92"/>
      <c r="F2719" s="92"/>
      <c r="G2719" s="92"/>
      <c r="H2719" s="92"/>
      <c r="I2719" s="92"/>
      <c r="J2719" s="92"/>
      <c r="K2719" s="92"/>
      <c r="L2719" s="92"/>
      <c r="M2719" s="92"/>
      <c r="N2719" s="92"/>
      <c r="AG2719" s="100"/>
      <c r="AH2719" s="101"/>
      <c r="AI2719" s="101"/>
      <c r="AJ2719" s="101"/>
      <c r="AK2719" s="100"/>
      <c r="AL2719" s="100"/>
      <c r="AM2719" s="100"/>
      <c r="AN2719" s="100"/>
      <c r="AO2719" s="100"/>
      <c r="AP2719" s="100"/>
      <c r="AQ2719" s="100"/>
      <c r="AR2719" s="100"/>
      <c r="AS2719" s="100"/>
      <c r="AT2719" s="102"/>
      <c r="AX2719" s="100"/>
      <c r="AY2719" s="100"/>
      <c r="AZ2719" s="100"/>
      <c r="BA2719" s="101"/>
      <c r="BB2719" s="100"/>
      <c r="BC2719" s="100"/>
      <c r="BD2719" s="100"/>
      <c r="BE2719" s="100"/>
      <c r="BF2719" s="100"/>
      <c r="BG2719" s="100"/>
      <c r="BH2719" s="100"/>
      <c r="BI2719" s="100"/>
      <c r="BJ2719" s="100"/>
      <c r="BK2719" s="100"/>
    </row>
    <row r="2720" spans="1:63" x14ac:dyDescent="0.25">
      <c r="A2720" s="92"/>
      <c r="B2720" s="92"/>
      <c r="C2720" s="92"/>
      <c r="D2720" s="92"/>
      <c r="E2720" s="92"/>
      <c r="F2720" s="92"/>
      <c r="G2720" s="92"/>
      <c r="H2720" s="92"/>
      <c r="I2720" s="92"/>
      <c r="J2720" s="92"/>
      <c r="K2720" s="92"/>
      <c r="L2720" s="92"/>
      <c r="M2720" s="92"/>
      <c r="N2720" s="92"/>
      <c r="AG2720" s="100"/>
      <c r="AH2720" s="101"/>
      <c r="AI2720" s="101"/>
      <c r="AJ2720" s="101"/>
      <c r="AK2720" s="100"/>
      <c r="AL2720" s="100"/>
      <c r="AM2720" s="100"/>
      <c r="AN2720" s="100"/>
      <c r="AO2720" s="100"/>
      <c r="AP2720" s="100"/>
      <c r="AQ2720" s="100"/>
      <c r="AR2720" s="100"/>
      <c r="AS2720" s="100"/>
      <c r="AT2720" s="102"/>
      <c r="AX2720" s="100"/>
      <c r="AY2720" s="100"/>
      <c r="AZ2720" s="100"/>
      <c r="BA2720" s="101"/>
      <c r="BB2720" s="100"/>
      <c r="BC2720" s="100"/>
      <c r="BD2720" s="100"/>
      <c r="BE2720" s="100"/>
      <c r="BF2720" s="100"/>
      <c r="BG2720" s="100"/>
      <c r="BH2720" s="100"/>
      <c r="BI2720" s="100"/>
      <c r="BJ2720" s="100"/>
      <c r="BK2720" s="100"/>
    </row>
    <row r="2721" spans="1:63" x14ac:dyDescent="0.25">
      <c r="A2721" s="92"/>
      <c r="B2721" s="92"/>
      <c r="C2721" s="92"/>
      <c r="D2721" s="92"/>
      <c r="E2721" s="92"/>
      <c r="F2721" s="92"/>
      <c r="G2721" s="92"/>
      <c r="H2721" s="92"/>
      <c r="I2721" s="92"/>
      <c r="J2721" s="92"/>
      <c r="K2721" s="92"/>
      <c r="L2721" s="92"/>
      <c r="M2721" s="92"/>
      <c r="N2721" s="92"/>
      <c r="AG2721" s="100"/>
      <c r="AH2721" s="101"/>
      <c r="AI2721" s="101"/>
      <c r="AJ2721" s="101"/>
      <c r="AK2721" s="100"/>
      <c r="AL2721" s="100"/>
      <c r="AM2721" s="100"/>
      <c r="AN2721" s="100"/>
      <c r="AO2721" s="100"/>
      <c r="AP2721" s="100"/>
      <c r="AQ2721" s="100"/>
      <c r="AR2721" s="100"/>
      <c r="AS2721" s="100"/>
      <c r="AT2721" s="102"/>
      <c r="AX2721" s="100"/>
      <c r="AY2721" s="100"/>
      <c r="AZ2721" s="100"/>
      <c r="BA2721" s="101"/>
      <c r="BB2721" s="100"/>
      <c r="BC2721" s="100"/>
      <c r="BD2721" s="100"/>
      <c r="BE2721" s="100"/>
      <c r="BF2721" s="100"/>
      <c r="BG2721" s="100"/>
      <c r="BH2721" s="100"/>
      <c r="BI2721" s="100"/>
      <c r="BJ2721" s="100"/>
      <c r="BK2721" s="100"/>
    </row>
    <row r="2722" spans="1:63" x14ac:dyDescent="0.25">
      <c r="A2722" s="92"/>
      <c r="B2722" s="93"/>
      <c r="C2722" s="93"/>
      <c r="D2722" s="92"/>
      <c r="E2722" s="92"/>
      <c r="F2722" s="92"/>
      <c r="G2722" s="92"/>
      <c r="H2722" s="92"/>
      <c r="I2722" s="92"/>
      <c r="J2722" s="92"/>
      <c r="K2722" s="92"/>
      <c r="L2722" s="92"/>
      <c r="M2722" s="92"/>
      <c r="N2722" s="94"/>
      <c r="AG2722" s="100"/>
      <c r="AH2722" s="101"/>
      <c r="AI2722" s="101"/>
      <c r="AJ2722" s="101"/>
      <c r="AK2722" s="100"/>
      <c r="AL2722" s="100"/>
      <c r="AM2722" s="100"/>
      <c r="AN2722" s="100"/>
      <c r="AO2722" s="100"/>
      <c r="AP2722" s="100"/>
      <c r="AQ2722" s="100"/>
      <c r="AR2722" s="100"/>
      <c r="AS2722" s="100"/>
      <c r="AT2722" s="102"/>
      <c r="AX2722" s="100"/>
      <c r="AY2722" s="100"/>
      <c r="AZ2722" s="100"/>
      <c r="BA2722" s="101"/>
      <c r="BB2722" s="100"/>
      <c r="BC2722" s="100"/>
      <c r="BD2722" s="100"/>
      <c r="BE2722" s="100"/>
      <c r="BF2722" s="100"/>
      <c r="BG2722" s="100"/>
      <c r="BH2722" s="100"/>
      <c r="BI2722" s="100"/>
      <c r="BJ2722" s="100"/>
      <c r="BK2722" s="100"/>
    </row>
    <row r="2723" spans="1:63" x14ac:dyDescent="0.25">
      <c r="A2723" s="92"/>
      <c r="B2723" s="93"/>
      <c r="C2723" s="93"/>
      <c r="D2723" s="92"/>
      <c r="E2723" s="92"/>
      <c r="F2723" s="92"/>
      <c r="G2723" s="92"/>
      <c r="H2723" s="92"/>
      <c r="I2723" s="92"/>
      <c r="J2723" s="92"/>
      <c r="K2723" s="92"/>
      <c r="L2723" s="92"/>
      <c r="M2723" s="92"/>
      <c r="N2723" s="94"/>
      <c r="AG2723" s="100"/>
      <c r="AH2723" s="101"/>
      <c r="AI2723" s="101"/>
      <c r="AJ2723" s="101"/>
      <c r="AK2723" s="100"/>
      <c r="AL2723" s="100"/>
      <c r="AM2723" s="100"/>
      <c r="AN2723" s="100"/>
      <c r="AO2723" s="100"/>
      <c r="AP2723" s="100"/>
      <c r="AQ2723" s="100"/>
      <c r="AR2723" s="100"/>
      <c r="AS2723" s="100"/>
      <c r="AT2723" s="102"/>
      <c r="AX2723" s="100"/>
      <c r="AY2723" s="100"/>
      <c r="AZ2723" s="100"/>
      <c r="BA2723" s="101"/>
      <c r="BB2723" s="100"/>
      <c r="BC2723" s="100"/>
      <c r="BD2723" s="100"/>
      <c r="BE2723" s="100"/>
      <c r="BF2723" s="100"/>
      <c r="BG2723" s="100"/>
      <c r="BH2723" s="100"/>
      <c r="BI2723" s="100"/>
      <c r="BJ2723" s="100"/>
      <c r="BK2723" s="100"/>
    </row>
    <row r="2724" spans="1:63" x14ac:dyDescent="0.25">
      <c r="A2724" s="92"/>
      <c r="B2724" s="92"/>
      <c r="C2724" s="92"/>
      <c r="D2724" s="92"/>
      <c r="E2724" s="92"/>
      <c r="F2724" s="92"/>
      <c r="G2724" s="92"/>
      <c r="H2724" s="92"/>
      <c r="I2724" s="92"/>
      <c r="J2724" s="92"/>
      <c r="K2724" s="92"/>
      <c r="L2724" s="92"/>
      <c r="M2724" s="92"/>
      <c r="N2724" s="92"/>
      <c r="AG2724" s="100"/>
      <c r="AH2724" s="101"/>
      <c r="AI2724" s="101"/>
      <c r="AJ2724" s="101"/>
      <c r="AK2724" s="100"/>
      <c r="AL2724" s="100"/>
      <c r="AM2724" s="100"/>
      <c r="AN2724" s="100"/>
      <c r="AO2724" s="100"/>
      <c r="AP2724" s="100"/>
      <c r="AQ2724" s="100"/>
      <c r="AR2724" s="100"/>
      <c r="AS2724" s="100"/>
      <c r="AT2724" s="102"/>
      <c r="AX2724" s="100"/>
      <c r="AY2724" s="100"/>
      <c r="AZ2724" s="100"/>
      <c r="BA2724" s="101"/>
      <c r="BB2724" s="100"/>
      <c r="BC2724" s="100"/>
      <c r="BD2724" s="100"/>
      <c r="BE2724" s="100"/>
      <c r="BF2724" s="100"/>
      <c r="BG2724" s="100"/>
      <c r="BH2724" s="100"/>
      <c r="BI2724" s="100"/>
      <c r="BJ2724" s="100"/>
      <c r="BK2724" s="100"/>
    </row>
    <row r="2725" spans="1:63" x14ac:dyDescent="0.25">
      <c r="A2725" s="92"/>
      <c r="B2725" s="93"/>
      <c r="C2725" s="93"/>
      <c r="D2725" s="92"/>
      <c r="E2725" s="92"/>
      <c r="F2725" s="92"/>
      <c r="G2725" s="92"/>
      <c r="H2725" s="92"/>
      <c r="I2725" s="92"/>
      <c r="J2725" s="92"/>
      <c r="K2725" s="92"/>
      <c r="L2725" s="92"/>
      <c r="M2725" s="92"/>
      <c r="N2725" s="94"/>
      <c r="AG2725" s="100"/>
      <c r="AH2725" s="100"/>
      <c r="AI2725" s="100"/>
      <c r="AJ2725" s="101"/>
      <c r="AK2725" s="100"/>
      <c r="AL2725" s="100"/>
      <c r="AM2725" s="100"/>
      <c r="AN2725" s="100"/>
      <c r="AO2725" s="100"/>
      <c r="AP2725" s="100"/>
      <c r="AQ2725" s="100"/>
      <c r="AR2725" s="100"/>
      <c r="AS2725" s="100"/>
      <c r="AT2725" s="100"/>
      <c r="AX2725" s="100"/>
      <c r="AY2725" s="100"/>
      <c r="AZ2725" s="100"/>
      <c r="BA2725" s="101"/>
      <c r="BB2725" s="100"/>
      <c r="BC2725" s="100"/>
      <c r="BD2725" s="100"/>
      <c r="BE2725" s="100"/>
      <c r="BF2725" s="100"/>
      <c r="BG2725" s="100"/>
      <c r="BH2725" s="100"/>
      <c r="BI2725" s="100"/>
      <c r="BJ2725" s="100"/>
      <c r="BK2725" s="100"/>
    </row>
    <row r="2726" spans="1:63" x14ac:dyDescent="0.25">
      <c r="A2726" s="92"/>
      <c r="B2726" s="92"/>
      <c r="C2726" s="92"/>
      <c r="D2726" s="92"/>
      <c r="E2726" s="92"/>
      <c r="F2726" s="92"/>
      <c r="G2726" s="92"/>
      <c r="H2726" s="92"/>
      <c r="I2726" s="92"/>
      <c r="J2726" s="92"/>
      <c r="K2726" s="92"/>
      <c r="L2726" s="92"/>
      <c r="M2726" s="92"/>
      <c r="N2726" s="92"/>
      <c r="AG2726" s="100"/>
      <c r="AH2726" s="100"/>
      <c r="AI2726" s="100"/>
      <c r="AJ2726" s="101"/>
      <c r="AK2726" s="100"/>
      <c r="AL2726" s="100"/>
      <c r="AM2726" s="100"/>
      <c r="AN2726" s="100"/>
      <c r="AO2726" s="100"/>
      <c r="AP2726" s="100"/>
      <c r="AQ2726" s="100"/>
      <c r="AR2726" s="100"/>
      <c r="AS2726" s="100"/>
      <c r="AT2726" s="100"/>
      <c r="AX2726" s="100"/>
      <c r="AY2726" s="100"/>
      <c r="AZ2726" s="100"/>
      <c r="BA2726" s="101"/>
      <c r="BB2726" s="100"/>
      <c r="BC2726" s="100"/>
      <c r="BD2726" s="100"/>
      <c r="BE2726" s="100"/>
      <c r="BF2726" s="100"/>
      <c r="BG2726" s="100"/>
      <c r="BH2726" s="100"/>
      <c r="BI2726" s="100"/>
      <c r="BJ2726" s="100"/>
      <c r="BK2726" s="100"/>
    </row>
    <row r="2727" spans="1:63" x14ac:dyDescent="0.25">
      <c r="A2727" s="92"/>
      <c r="B2727" s="93"/>
      <c r="C2727" s="93"/>
      <c r="D2727" s="92"/>
      <c r="E2727" s="92"/>
      <c r="F2727" s="92"/>
      <c r="G2727" s="92"/>
      <c r="H2727" s="92"/>
      <c r="I2727" s="92"/>
      <c r="J2727" s="92"/>
      <c r="K2727" s="92"/>
      <c r="L2727" s="92"/>
      <c r="M2727" s="92"/>
      <c r="N2727" s="94"/>
      <c r="AG2727" s="100"/>
      <c r="AH2727" s="100"/>
      <c r="AI2727" s="100"/>
      <c r="AJ2727" s="101"/>
      <c r="AK2727" s="100"/>
      <c r="AL2727" s="100"/>
      <c r="AM2727" s="100"/>
      <c r="AN2727" s="100"/>
      <c r="AO2727" s="100"/>
      <c r="AP2727" s="100"/>
      <c r="AQ2727" s="100"/>
      <c r="AR2727" s="100"/>
      <c r="AS2727" s="100"/>
      <c r="AT2727" s="100"/>
      <c r="AX2727" s="100"/>
      <c r="AY2727" s="100"/>
      <c r="AZ2727" s="100"/>
      <c r="BA2727" s="101"/>
      <c r="BB2727" s="100"/>
      <c r="BC2727" s="100"/>
      <c r="BD2727" s="100"/>
      <c r="BE2727" s="100"/>
      <c r="BF2727" s="100"/>
      <c r="BG2727" s="100"/>
      <c r="BH2727" s="100"/>
      <c r="BI2727" s="100"/>
      <c r="BJ2727" s="100"/>
      <c r="BK2727" s="100"/>
    </row>
    <row r="2728" spans="1:63" x14ac:dyDescent="0.25">
      <c r="A2728" s="92"/>
      <c r="B2728" s="93"/>
      <c r="C2728" s="93"/>
      <c r="D2728" s="92"/>
      <c r="E2728" s="92"/>
      <c r="F2728" s="92"/>
      <c r="G2728" s="92"/>
      <c r="H2728" s="92"/>
      <c r="I2728" s="92"/>
      <c r="J2728" s="92"/>
      <c r="K2728" s="92"/>
      <c r="L2728" s="92"/>
      <c r="M2728" s="92"/>
      <c r="N2728" s="94"/>
      <c r="AG2728" s="100"/>
      <c r="AH2728" s="100"/>
      <c r="AI2728" s="100"/>
      <c r="AJ2728" s="101"/>
      <c r="AK2728" s="100"/>
      <c r="AL2728" s="100"/>
      <c r="AM2728" s="100"/>
      <c r="AN2728" s="100"/>
      <c r="AO2728" s="100"/>
      <c r="AP2728" s="100"/>
      <c r="AQ2728" s="100"/>
      <c r="AR2728" s="100"/>
      <c r="AS2728" s="100"/>
      <c r="AT2728" s="100"/>
      <c r="AX2728" s="100"/>
      <c r="AY2728" s="100"/>
      <c r="AZ2728" s="100"/>
      <c r="BA2728" s="101"/>
      <c r="BB2728" s="100"/>
      <c r="BC2728" s="100"/>
      <c r="BD2728" s="100"/>
      <c r="BE2728" s="100"/>
      <c r="BF2728" s="100"/>
      <c r="BG2728" s="100"/>
      <c r="BH2728" s="100"/>
      <c r="BI2728" s="100"/>
      <c r="BJ2728" s="100"/>
      <c r="BK2728" s="100"/>
    </row>
    <row r="2729" spans="1:63" x14ac:dyDescent="0.25">
      <c r="A2729" s="92"/>
      <c r="B2729" s="93"/>
      <c r="C2729" s="93"/>
      <c r="D2729" s="92"/>
      <c r="E2729" s="92"/>
      <c r="F2729" s="92"/>
      <c r="G2729" s="92"/>
      <c r="H2729" s="92"/>
      <c r="I2729" s="92"/>
      <c r="J2729" s="92"/>
      <c r="K2729" s="92"/>
      <c r="L2729" s="92"/>
      <c r="M2729" s="92"/>
      <c r="N2729" s="94"/>
      <c r="AG2729" s="100"/>
      <c r="AH2729" s="101"/>
      <c r="AI2729" s="101"/>
      <c r="AJ2729" s="101"/>
      <c r="AK2729" s="100"/>
      <c r="AL2729" s="100"/>
      <c r="AM2729" s="100"/>
      <c r="AN2729" s="100"/>
      <c r="AO2729" s="100"/>
      <c r="AP2729" s="100"/>
      <c r="AQ2729" s="100"/>
      <c r="AR2729" s="100"/>
      <c r="AS2729" s="100"/>
      <c r="AT2729" s="102"/>
      <c r="AX2729" s="100"/>
      <c r="AY2729" s="100"/>
      <c r="AZ2729" s="100"/>
      <c r="BA2729" s="101"/>
      <c r="BB2729" s="100"/>
      <c r="BC2729" s="100"/>
      <c r="BD2729" s="100"/>
      <c r="BE2729" s="100"/>
      <c r="BF2729" s="100"/>
      <c r="BG2729" s="100"/>
      <c r="BH2729" s="100"/>
      <c r="BI2729" s="100"/>
      <c r="BJ2729" s="100"/>
      <c r="BK2729" s="100"/>
    </row>
    <row r="2730" spans="1:63" x14ac:dyDescent="0.25">
      <c r="A2730" s="92"/>
      <c r="B2730" s="93"/>
      <c r="C2730" s="93"/>
      <c r="D2730" s="93"/>
      <c r="E2730" s="92"/>
      <c r="F2730" s="92"/>
      <c r="G2730" s="92"/>
      <c r="H2730" s="92"/>
      <c r="I2730" s="92"/>
      <c r="J2730" s="92"/>
      <c r="K2730" s="92"/>
      <c r="L2730" s="92"/>
      <c r="M2730" s="92"/>
      <c r="N2730" s="94"/>
      <c r="AG2730" s="100"/>
      <c r="AH2730" s="101"/>
      <c r="AI2730" s="101"/>
      <c r="AJ2730" s="101"/>
      <c r="AK2730" s="100"/>
      <c r="AL2730" s="100"/>
      <c r="AM2730" s="100"/>
      <c r="AN2730" s="100"/>
      <c r="AO2730" s="100"/>
      <c r="AP2730" s="100"/>
      <c r="AQ2730" s="100"/>
      <c r="AR2730" s="100"/>
      <c r="AS2730" s="100"/>
      <c r="AT2730" s="102"/>
      <c r="AX2730" s="100"/>
      <c r="AY2730" s="100"/>
      <c r="AZ2730" s="100"/>
      <c r="BA2730" s="101"/>
      <c r="BB2730" s="100"/>
      <c r="BC2730" s="100"/>
      <c r="BD2730" s="100"/>
      <c r="BE2730" s="100"/>
      <c r="BF2730" s="100"/>
      <c r="BG2730" s="100"/>
      <c r="BH2730" s="100"/>
      <c r="BI2730" s="100"/>
      <c r="BJ2730" s="100"/>
      <c r="BK2730" s="100"/>
    </row>
    <row r="2731" spans="1:63" x14ac:dyDescent="0.25">
      <c r="A2731" s="92"/>
      <c r="B2731" s="93"/>
      <c r="C2731" s="93"/>
      <c r="D2731" s="93"/>
      <c r="E2731" s="92"/>
      <c r="F2731" s="92"/>
      <c r="G2731" s="92"/>
      <c r="H2731" s="92"/>
      <c r="I2731" s="92"/>
      <c r="J2731" s="92"/>
      <c r="K2731" s="92"/>
      <c r="L2731" s="92"/>
      <c r="M2731" s="92"/>
      <c r="N2731" s="94"/>
      <c r="AG2731" s="100"/>
      <c r="AH2731" s="101"/>
      <c r="AI2731" s="101"/>
      <c r="AJ2731" s="101"/>
      <c r="AK2731" s="100"/>
      <c r="AL2731" s="100"/>
      <c r="AM2731" s="100"/>
      <c r="AN2731" s="100"/>
      <c r="AO2731" s="100"/>
      <c r="AP2731" s="100"/>
      <c r="AQ2731" s="100"/>
      <c r="AR2731" s="100"/>
      <c r="AS2731" s="100"/>
      <c r="AT2731" s="102"/>
      <c r="AX2731" s="100"/>
      <c r="AY2731" s="100"/>
      <c r="AZ2731" s="100"/>
      <c r="BA2731" s="101"/>
      <c r="BB2731" s="100"/>
      <c r="BC2731" s="100"/>
      <c r="BD2731" s="100"/>
      <c r="BE2731" s="100"/>
      <c r="BF2731" s="100"/>
      <c r="BG2731" s="100"/>
      <c r="BH2731" s="100"/>
      <c r="BI2731" s="100"/>
      <c r="BJ2731" s="100"/>
      <c r="BK2731" s="100"/>
    </row>
    <row r="2732" spans="1:63" x14ac:dyDescent="0.25">
      <c r="A2732" s="92"/>
      <c r="B2732" s="93"/>
      <c r="C2732" s="93"/>
      <c r="D2732" s="92"/>
      <c r="E2732" s="92"/>
      <c r="F2732" s="92"/>
      <c r="G2732" s="92"/>
      <c r="H2732" s="92"/>
      <c r="I2732" s="92"/>
      <c r="J2732" s="92"/>
      <c r="K2732" s="92"/>
      <c r="L2732" s="92"/>
      <c r="M2732" s="92"/>
      <c r="N2732" s="94"/>
      <c r="AG2732" s="100"/>
      <c r="AH2732" s="101"/>
      <c r="AI2732" s="101"/>
      <c r="AJ2732" s="101"/>
      <c r="AK2732" s="100"/>
      <c r="AL2732" s="100"/>
      <c r="AM2732" s="100"/>
      <c r="AN2732" s="100"/>
      <c r="AO2732" s="100"/>
      <c r="AP2732" s="100"/>
      <c r="AQ2732" s="100"/>
      <c r="AR2732" s="100"/>
      <c r="AS2732" s="100"/>
      <c r="AT2732" s="102"/>
      <c r="AX2732" s="100"/>
      <c r="AY2732" s="100"/>
      <c r="AZ2732" s="100"/>
      <c r="BA2732" s="101"/>
      <c r="BB2732" s="100"/>
      <c r="BC2732" s="100"/>
      <c r="BD2732" s="100"/>
      <c r="BE2732" s="100"/>
      <c r="BF2732" s="100"/>
      <c r="BG2732" s="100"/>
      <c r="BH2732" s="100"/>
      <c r="BI2732" s="100"/>
      <c r="BJ2732" s="100"/>
      <c r="BK2732" s="100"/>
    </row>
    <row r="2733" spans="1:63" x14ac:dyDescent="0.25">
      <c r="A2733" s="92"/>
      <c r="B2733" s="93"/>
      <c r="C2733" s="93"/>
      <c r="D2733" s="92"/>
      <c r="E2733" s="92"/>
      <c r="F2733" s="92"/>
      <c r="G2733" s="92"/>
      <c r="H2733" s="92"/>
      <c r="I2733" s="92"/>
      <c r="J2733" s="92"/>
      <c r="K2733" s="92"/>
      <c r="L2733" s="92"/>
      <c r="M2733" s="92"/>
      <c r="N2733" s="94"/>
      <c r="AG2733" s="100"/>
      <c r="AH2733" s="101"/>
      <c r="AI2733" s="101"/>
      <c r="AJ2733" s="101"/>
      <c r="AK2733" s="100"/>
      <c r="AL2733" s="100"/>
      <c r="AM2733" s="100"/>
      <c r="AN2733" s="100"/>
      <c r="AO2733" s="100"/>
      <c r="AP2733" s="100"/>
      <c r="AQ2733" s="100"/>
      <c r="AR2733" s="100"/>
      <c r="AS2733" s="100"/>
      <c r="AT2733" s="102"/>
      <c r="AX2733" s="100"/>
      <c r="AY2733" s="100"/>
      <c r="AZ2733" s="100"/>
      <c r="BA2733" s="101"/>
      <c r="BB2733" s="100"/>
      <c r="BC2733" s="100"/>
      <c r="BD2733" s="100"/>
      <c r="BE2733" s="100"/>
      <c r="BF2733" s="100"/>
      <c r="BG2733" s="100"/>
      <c r="BH2733" s="100"/>
      <c r="BI2733" s="100"/>
      <c r="BJ2733" s="100"/>
      <c r="BK2733" s="100"/>
    </row>
    <row r="2734" spans="1:63" x14ac:dyDescent="0.25">
      <c r="A2734" s="92"/>
      <c r="B2734" s="92"/>
      <c r="C2734" s="92"/>
      <c r="D2734" s="92"/>
      <c r="E2734" s="92"/>
      <c r="F2734" s="92"/>
      <c r="G2734" s="92"/>
      <c r="H2734" s="92"/>
      <c r="I2734" s="92"/>
      <c r="J2734" s="92"/>
      <c r="K2734" s="92"/>
      <c r="L2734" s="92"/>
      <c r="M2734" s="92"/>
      <c r="N2734" s="92"/>
      <c r="AG2734" s="100"/>
      <c r="AH2734" s="101"/>
      <c r="AI2734" s="101"/>
      <c r="AJ2734" s="101"/>
      <c r="AK2734" s="100"/>
      <c r="AL2734" s="100"/>
      <c r="AM2734" s="100"/>
      <c r="AN2734" s="100"/>
      <c r="AO2734" s="100"/>
      <c r="AP2734" s="100"/>
      <c r="AQ2734" s="100"/>
      <c r="AR2734" s="100"/>
      <c r="AS2734" s="100"/>
      <c r="AT2734" s="102"/>
      <c r="AX2734" s="100"/>
      <c r="AY2734" s="100"/>
      <c r="AZ2734" s="100"/>
      <c r="BA2734" s="101"/>
      <c r="BB2734" s="100"/>
      <c r="BC2734" s="100"/>
      <c r="BD2734" s="100"/>
      <c r="BE2734" s="100"/>
      <c r="BF2734" s="100"/>
      <c r="BG2734" s="100"/>
      <c r="BH2734" s="100"/>
      <c r="BI2734" s="100"/>
      <c r="BJ2734" s="100"/>
      <c r="BK2734" s="100"/>
    </row>
    <row r="2735" spans="1:63" x14ac:dyDescent="0.25">
      <c r="A2735" s="92"/>
      <c r="B2735" s="93"/>
      <c r="C2735" s="93"/>
      <c r="D2735" s="92"/>
      <c r="E2735" s="92"/>
      <c r="F2735" s="92"/>
      <c r="G2735" s="92"/>
      <c r="H2735" s="92"/>
      <c r="I2735" s="92"/>
      <c r="J2735" s="92"/>
      <c r="K2735" s="92"/>
      <c r="L2735" s="92"/>
      <c r="M2735" s="92"/>
      <c r="N2735" s="94"/>
      <c r="AG2735" s="100"/>
      <c r="AH2735" s="101"/>
      <c r="AI2735" s="101"/>
      <c r="AJ2735" s="101"/>
      <c r="AK2735" s="100"/>
      <c r="AL2735" s="100"/>
      <c r="AM2735" s="100"/>
      <c r="AN2735" s="100"/>
      <c r="AO2735" s="100"/>
      <c r="AP2735" s="100"/>
      <c r="AQ2735" s="100"/>
      <c r="AR2735" s="100"/>
      <c r="AS2735" s="100"/>
      <c r="AT2735" s="102"/>
      <c r="AX2735" s="100"/>
      <c r="AY2735" s="100"/>
      <c r="AZ2735" s="100"/>
      <c r="BA2735" s="101"/>
      <c r="BB2735" s="100"/>
      <c r="BC2735" s="100"/>
      <c r="BD2735" s="100"/>
      <c r="BE2735" s="100"/>
      <c r="BF2735" s="100"/>
      <c r="BG2735" s="100"/>
      <c r="BH2735" s="100"/>
      <c r="BI2735" s="100"/>
      <c r="BJ2735" s="100"/>
      <c r="BK2735" s="100"/>
    </row>
    <row r="2736" spans="1:63" x14ac:dyDescent="0.25">
      <c r="A2736" s="92"/>
      <c r="B2736" s="93"/>
      <c r="C2736" s="93"/>
      <c r="D2736" s="92"/>
      <c r="E2736" s="92"/>
      <c r="F2736" s="92"/>
      <c r="G2736" s="92"/>
      <c r="H2736" s="92"/>
      <c r="I2736" s="92"/>
      <c r="J2736" s="92"/>
      <c r="K2736" s="92"/>
      <c r="L2736" s="92"/>
      <c r="M2736" s="92"/>
      <c r="N2736" s="94"/>
      <c r="AG2736" s="100"/>
      <c r="AH2736" s="100"/>
      <c r="AI2736" s="100"/>
      <c r="AJ2736" s="101"/>
      <c r="AK2736" s="100"/>
      <c r="AL2736" s="100"/>
      <c r="AM2736" s="100"/>
      <c r="AN2736" s="100"/>
      <c r="AO2736" s="100"/>
      <c r="AP2736" s="100"/>
      <c r="AQ2736" s="100"/>
      <c r="AR2736" s="100"/>
      <c r="AS2736" s="100"/>
      <c r="AT2736" s="100"/>
      <c r="AX2736" s="100"/>
      <c r="AY2736" s="100"/>
      <c r="AZ2736" s="100"/>
      <c r="BA2736" s="101"/>
      <c r="BB2736" s="100"/>
      <c r="BC2736" s="100"/>
      <c r="BD2736" s="100"/>
      <c r="BE2736" s="100"/>
      <c r="BF2736" s="100"/>
      <c r="BG2736" s="100"/>
      <c r="BH2736" s="100"/>
      <c r="BI2736" s="100"/>
      <c r="BJ2736" s="100"/>
      <c r="BK2736" s="100"/>
    </row>
    <row r="2737" spans="1:63" x14ac:dyDescent="0.25">
      <c r="A2737" s="92"/>
      <c r="B2737" s="93"/>
      <c r="C2737" s="93"/>
      <c r="D2737" s="92"/>
      <c r="E2737" s="92"/>
      <c r="F2737" s="92"/>
      <c r="G2737" s="92"/>
      <c r="H2737" s="92"/>
      <c r="I2737" s="92"/>
      <c r="J2737" s="92"/>
      <c r="K2737" s="92"/>
      <c r="L2737" s="92"/>
      <c r="M2737" s="92"/>
      <c r="N2737" s="94"/>
      <c r="AG2737" s="100"/>
      <c r="AH2737" s="101"/>
      <c r="AI2737" s="101"/>
      <c r="AJ2737" s="101"/>
      <c r="AK2737" s="100"/>
      <c r="AL2737" s="100"/>
      <c r="AM2737" s="100"/>
      <c r="AN2737" s="100"/>
      <c r="AO2737" s="100"/>
      <c r="AP2737" s="100"/>
      <c r="AQ2737" s="100"/>
      <c r="AR2737" s="100"/>
      <c r="AS2737" s="100"/>
      <c r="AT2737" s="102"/>
      <c r="AX2737" s="100"/>
      <c r="AY2737" s="100"/>
      <c r="AZ2737" s="100"/>
      <c r="BA2737" s="101"/>
      <c r="BB2737" s="100"/>
      <c r="BC2737" s="100"/>
      <c r="BD2737" s="100"/>
      <c r="BE2737" s="100"/>
      <c r="BF2737" s="100"/>
      <c r="BG2737" s="100"/>
      <c r="BH2737" s="100"/>
      <c r="BI2737" s="100"/>
      <c r="BJ2737" s="100"/>
      <c r="BK2737" s="100"/>
    </row>
    <row r="2738" spans="1:63" x14ac:dyDescent="0.25">
      <c r="A2738" s="92"/>
      <c r="B2738" s="93"/>
      <c r="C2738" s="93"/>
      <c r="D2738" s="92"/>
      <c r="E2738" s="92"/>
      <c r="F2738" s="92"/>
      <c r="G2738" s="92"/>
      <c r="H2738" s="92"/>
      <c r="I2738" s="92"/>
      <c r="J2738" s="92"/>
      <c r="K2738" s="92"/>
      <c r="L2738" s="92"/>
      <c r="M2738" s="92"/>
      <c r="N2738" s="94"/>
      <c r="AG2738" s="100"/>
      <c r="AH2738" s="101"/>
      <c r="AI2738" s="101"/>
      <c r="AJ2738" s="101"/>
      <c r="AK2738" s="100"/>
      <c r="AL2738" s="100"/>
      <c r="AM2738" s="100"/>
      <c r="AN2738" s="100"/>
      <c r="AO2738" s="100"/>
      <c r="AP2738" s="100"/>
      <c r="AQ2738" s="100"/>
      <c r="AR2738" s="100"/>
      <c r="AS2738" s="100"/>
      <c r="AT2738" s="102"/>
      <c r="AX2738" s="100"/>
      <c r="AY2738" s="100"/>
      <c r="AZ2738" s="100"/>
      <c r="BA2738" s="101"/>
      <c r="BB2738" s="100"/>
      <c r="BC2738" s="100"/>
      <c r="BD2738" s="100"/>
      <c r="BE2738" s="100"/>
      <c r="BF2738" s="100"/>
      <c r="BG2738" s="100"/>
      <c r="BH2738" s="100"/>
      <c r="BI2738" s="100"/>
      <c r="BJ2738" s="100"/>
      <c r="BK2738" s="100"/>
    </row>
    <row r="2739" spans="1:63" x14ac:dyDescent="0.25">
      <c r="A2739" s="92"/>
      <c r="B2739" s="93"/>
      <c r="C2739" s="93"/>
      <c r="D2739" s="92"/>
      <c r="E2739" s="92"/>
      <c r="F2739" s="92"/>
      <c r="G2739" s="92"/>
      <c r="H2739" s="92"/>
      <c r="I2739" s="92"/>
      <c r="J2739" s="92"/>
      <c r="K2739" s="92"/>
      <c r="L2739" s="92"/>
      <c r="M2739" s="92"/>
      <c r="N2739" s="94"/>
      <c r="AG2739" s="100"/>
      <c r="AH2739" s="101"/>
      <c r="AI2739" s="101"/>
      <c r="AJ2739" s="101"/>
      <c r="AK2739" s="100"/>
      <c r="AL2739" s="100"/>
      <c r="AM2739" s="100"/>
      <c r="AN2739" s="100"/>
      <c r="AO2739" s="100"/>
      <c r="AP2739" s="100"/>
      <c r="AQ2739" s="100"/>
      <c r="AR2739" s="100"/>
      <c r="AS2739" s="100"/>
      <c r="AT2739" s="102"/>
      <c r="AX2739" s="100"/>
      <c r="AY2739" s="100"/>
      <c r="AZ2739" s="100"/>
      <c r="BA2739" s="101"/>
      <c r="BB2739" s="100"/>
      <c r="BC2739" s="100"/>
      <c r="BD2739" s="100"/>
      <c r="BE2739" s="100"/>
      <c r="BF2739" s="100"/>
      <c r="BG2739" s="100"/>
      <c r="BH2739" s="100"/>
      <c r="BI2739" s="100"/>
      <c r="BJ2739" s="100"/>
      <c r="BK2739" s="100"/>
    </row>
    <row r="2740" spans="1:63" x14ac:dyDescent="0.25">
      <c r="A2740" s="92"/>
      <c r="B2740" s="93"/>
      <c r="C2740" s="93"/>
      <c r="D2740" s="92"/>
      <c r="E2740" s="92"/>
      <c r="F2740" s="92"/>
      <c r="G2740" s="92"/>
      <c r="H2740" s="92"/>
      <c r="I2740" s="92"/>
      <c r="J2740" s="92"/>
      <c r="K2740" s="92"/>
      <c r="L2740" s="92"/>
      <c r="M2740" s="92"/>
      <c r="N2740" s="94"/>
      <c r="AG2740" s="100"/>
      <c r="AH2740" s="101"/>
      <c r="AI2740" s="101"/>
      <c r="AJ2740" s="101"/>
      <c r="AK2740" s="100"/>
      <c r="AL2740" s="100"/>
      <c r="AM2740" s="100"/>
      <c r="AN2740" s="100"/>
      <c r="AO2740" s="100"/>
      <c r="AP2740" s="100"/>
      <c r="AQ2740" s="100"/>
      <c r="AR2740" s="100"/>
      <c r="AS2740" s="100"/>
      <c r="AT2740" s="102"/>
      <c r="AX2740" s="100"/>
      <c r="AY2740" s="100"/>
      <c r="AZ2740" s="100"/>
      <c r="BA2740" s="101"/>
      <c r="BB2740" s="100"/>
      <c r="BC2740" s="100"/>
      <c r="BD2740" s="100"/>
      <c r="BE2740" s="100"/>
      <c r="BF2740" s="100"/>
      <c r="BG2740" s="100"/>
      <c r="BH2740" s="100"/>
      <c r="BI2740" s="100"/>
      <c r="BJ2740" s="100"/>
      <c r="BK2740" s="100"/>
    </row>
    <row r="2741" spans="1:63" x14ac:dyDescent="0.25">
      <c r="A2741" s="92"/>
      <c r="B2741" s="93"/>
      <c r="C2741" s="93"/>
      <c r="D2741" s="92"/>
      <c r="E2741" s="92"/>
      <c r="F2741" s="92"/>
      <c r="G2741" s="92"/>
      <c r="H2741" s="92"/>
      <c r="I2741" s="92"/>
      <c r="J2741" s="92"/>
      <c r="K2741" s="92"/>
      <c r="L2741" s="92"/>
      <c r="M2741" s="92"/>
      <c r="N2741" s="94"/>
      <c r="AG2741" s="100"/>
      <c r="AH2741" s="101"/>
      <c r="AI2741" s="101"/>
      <c r="AJ2741" s="101"/>
      <c r="AK2741" s="100"/>
      <c r="AL2741" s="100"/>
      <c r="AM2741" s="100"/>
      <c r="AN2741" s="100"/>
      <c r="AO2741" s="100"/>
      <c r="AP2741" s="100"/>
      <c r="AQ2741" s="100"/>
      <c r="AR2741" s="100"/>
      <c r="AS2741" s="100"/>
      <c r="AT2741" s="102"/>
      <c r="AX2741" s="100"/>
      <c r="AY2741" s="100"/>
      <c r="AZ2741" s="100"/>
      <c r="BA2741" s="101"/>
      <c r="BB2741" s="100"/>
      <c r="BC2741" s="100"/>
      <c r="BD2741" s="100"/>
      <c r="BE2741" s="100"/>
      <c r="BF2741" s="100"/>
      <c r="BG2741" s="100"/>
      <c r="BH2741" s="100"/>
      <c r="BI2741" s="100"/>
      <c r="BJ2741" s="100"/>
      <c r="BK2741" s="100"/>
    </row>
    <row r="2742" spans="1:63" x14ac:dyDescent="0.25">
      <c r="A2742" s="92"/>
      <c r="B2742" s="92"/>
      <c r="C2742" s="92"/>
      <c r="D2742" s="92"/>
      <c r="E2742" s="92"/>
      <c r="F2742" s="92"/>
      <c r="G2742" s="92"/>
      <c r="H2742" s="92"/>
      <c r="I2742" s="92"/>
      <c r="J2742" s="92"/>
      <c r="K2742" s="92"/>
      <c r="L2742" s="92"/>
      <c r="M2742" s="92"/>
      <c r="N2742" s="92"/>
      <c r="AG2742" s="100"/>
      <c r="AH2742" s="101"/>
      <c r="AI2742" s="101"/>
      <c r="AJ2742" s="101"/>
      <c r="AK2742" s="100"/>
      <c r="AL2742" s="100"/>
      <c r="AM2742" s="100"/>
      <c r="AN2742" s="100"/>
      <c r="AO2742" s="100"/>
      <c r="AP2742" s="100"/>
      <c r="AQ2742" s="100"/>
      <c r="AR2742" s="100"/>
      <c r="AS2742" s="100"/>
      <c r="AT2742" s="102"/>
      <c r="AX2742" s="100"/>
      <c r="AY2742" s="100"/>
      <c r="AZ2742" s="100"/>
      <c r="BA2742" s="101"/>
      <c r="BB2742" s="100"/>
      <c r="BC2742" s="100"/>
      <c r="BD2742" s="100"/>
      <c r="BE2742" s="100"/>
      <c r="BF2742" s="100"/>
      <c r="BG2742" s="100"/>
      <c r="BH2742" s="100"/>
      <c r="BI2742" s="100"/>
      <c r="BJ2742" s="100"/>
      <c r="BK2742" s="100"/>
    </row>
    <row r="2743" spans="1:63" x14ac:dyDescent="0.25">
      <c r="A2743" s="92"/>
      <c r="B2743" s="92"/>
      <c r="C2743" s="92"/>
      <c r="D2743" s="92"/>
      <c r="E2743" s="92"/>
      <c r="F2743" s="92"/>
      <c r="G2743" s="92"/>
      <c r="H2743" s="92"/>
      <c r="I2743" s="92"/>
      <c r="J2743" s="92"/>
      <c r="K2743" s="92"/>
      <c r="L2743" s="92"/>
      <c r="M2743" s="92"/>
      <c r="N2743" s="92"/>
      <c r="AG2743" s="100"/>
      <c r="AH2743" s="101"/>
      <c r="AI2743" s="101"/>
      <c r="AJ2743" s="101"/>
      <c r="AK2743" s="100"/>
      <c r="AL2743" s="100"/>
      <c r="AM2743" s="100"/>
      <c r="AN2743" s="100"/>
      <c r="AO2743" s="100"/>
      <c r="AP2743" s="100"/>
      <c r="AQ2743" s="100"/>
      <c r="AR2743" s="100"/>
      <c r="AS2743" s="100"/>
      <c r="AT2743" s="102"/>
      <c r="AX2743" s="100"/>
      <c r="AY2743" s="100"/>
      <c r="AZ2743" s="100"/>
      <c r="BA2743" s="101"/>
      <c r="BB2743" s="100"/>
      <c r="BC2743" s="100"/>
      <c r="BD2743" s="100"/>
      <c r="BE2743" s="100"/>
      <c r="BF2743" s="100"/>
      <c r="BG2743" s="100"/>
      <c r="BH2743" s="100"/>
      <c r="BI2743" s="100"/>
      <c r="BJ2743" s="100"/>
      <c r="BK2743" s="100"/>
    </row>
    <row r="2744" spans="1:63" x14ac:dyDescent="0.25">
      <c r="A2744" s="92"/>
      <c r="B2744" s="92"/>
      <c r="C2744" s="92"/>
      <c r="D2744" s="92"/>
      <c r="E2744" s="92"/>
      <c r="F2744" s="92"/>
      <c r="G2744" s="92"/>
      <c r="H2744" s="92"/>
      <c r="I2744" s="92"/>
      <c r="J2744" s="92"/>
      <c r="K2744" s="92"/>
      <c r="L2744" s="92"/>
      <c r="M2744" s="92"/>
      <c r="N2744" s="92"/>
      <c r="AG2744" s="100"/>
      <c r="AH2744" s="100"/>
      <c r="AI2744" s="100"/>
      <c r="AJ2744" s="101"/>
      <c r="AK2744" s="100"/>
      <c r="AL2744" s="100"/>
      <c r="AM2744" s="100"/>
      <c r="AN2744" s="100"/>
      <c r="AO2744" s="100"/>
      <c r="AP2744" s="100"/>
      <c r="AQ2744" s="100"/>
      <c r="AR2744" s="100"/>
      <c r="AS2744" s="100"/>
      <c r="AT2744" s="100"/>
      <c r="AX2744" s="100"/>
      <c r="AY2744" s="100"/>
      <c r="AZ2744" s="100"/>
      <c r="BA2744" s="101"/>
      <c r="BB2744" s="100"/>
      <c r="BC2744" s="100"/>
      <c r="BD2744" s="100"/>
      <c r="BE2744" s="100"/>
      <c r="BF2744" s="100"/>
      <c r="BG2744" s="100"/>
      <c r="BH2744" s="100"/>
      <c r="BI2744" s="100"/>
      <c r="BJ2744" s="100"/>
      <c r="BK2744" s="100"/>
    </row>
    <row r="2745" spans="1:63" x14ac:dyDescent="0.25">
      <c r="A2745" s="92"/>
      <c r="B2745" s="93"/>
      <c r="C2745" s="93"/>
      <c r="D2745" s="92"/>
      <c r="E2745" s="92"/>
      <c r="F2745" s="92"/>
      <c r="G2745" s="92"/>
      <c r="H2745" s="92"/>
      <c r="I2745" s="92"/>
      <c r="J2745" s="92"/>
      <c r="K2745" s="92"/>
      <c r="L2745" s="92"/>
      <c r="M2745" s="92"/>
      <c r="N2745" s="94"/>
      <c r="AG2745" s="100"/>
      <c r="AH2745" s="101"/>
      <c r="AI2745" s="101"/>
      <c r="AJ2745" s="101"/>
      <c r="AK2745" s="100"/>
      <c r="AL2745" s="100"/>
      <c r="AM2745" s="100"/>
      <c r="AN2745" s="100"/>
      <c r="AO2745" s="100"/>
      <c r="AP2745" s="100"/>
      <c r="AQ2745" s="100"/>
      <c r="AR2745" s="100"/>
      <c r="AS2745" s="100"/>
      <c r="AT2745" s="102"/>
      <c r="AX2745" s="100"/>
      <c r="AY2745" s="100"/>
      <c r="AZ2745" s="100"/>
      <c r="BA2745" s="101"/>
      <c r="BB2745" s="100"/>
      <c r="BC2745" s="100"/>
      <c r="BD2745" s="100"/>
      <c r="BE2745" s="100"/>
      <c r="BF2745" s="100"/>
      <c r="BG2745" s="100"/>
      <c r="BH2745" s="100"/>
      <c r="BI2745" s="100"/>
      <c r="BJ2745" s="100"/>
      <c r="BK2745" s="100"/>
    </row>
    <row r="2746" spans="1:63" x14ac:dyDescent="0.25">
      <c r="A2746" s="92"/>
      <c r="B2746" s="92"/>
      <c r="C2746" s="92"/>
      <c r="D2746" s="92"/>
      <c r="E2746" s="92"/>
      <c r="F2746" s="92"/>
      <c r="G2746" s="92"/>
      <c r="H2746" s="92"/>
      <c r="I2746" s="92"/>
      <c r="J2746" s="92"/>
      <c r="K2746" s="92"/>
      <c r="L2746" s="92"/>
      <c r="M2746" s="92"/>
      <c r="N2746" s="92"/>
      <c r="AG2746" s="100"/>
      <c r="AH2746" s="101"/>
      <c r="AI2746" s="101"/>
      <c r="AJ2746" s="101"/>
      <c r="AK2746" s="100"/>
      <c r="AL2746" s="100"/>
      <c r="AM2746" s="100"/>
      <c r="AN2746" s="100"/>
      <c r="AO2746" s="100"/>
      <c r="AP2746" s="100"/>
      <c r="AQ2746" s="100"/>
      <c r="AR2746" s="100"/>
      <c r="AS2746" s="100"/>
      <c r="AT2746" s="102"/>
      <c r="AX2746" s="100"/>
      <c r="AY2746" s="100"/>
      <c r="AZ2746" s="100"/>
      <c r="BA2746" s="101"/>
      <c r="BB2746" s="100"/>
      <c r="BC2746" s="100"/>
      <c r="BD2746" s="100"/>
      <c r="BE2746" s="100"/>
      <c r="BF2746" s="100"/>
      <c r="BG2746" s="100"/>
      <c r="BH2746" s="100"/>
      <c r="BI2746" s="100"/>
      <c r="BJ2746" s="100"/>
      <c r="BK2746" s="100"/>
    </row>
    <row r="2747" spans="1:63" x14ac:dyDescent="0.25">
      <c r="A2747" s="92"/>
      <c r="B2747" s="92"/>
      <c r="C2747" s="92"/>
      <c r="D2747" s="92"/>
      <c r="E2747" s="92"/>
      <c r="F2747" s="92"/>
      <c r="G2747" s="92"/>
      <c r="H2747" s="92"/>
      <c r="I2747" s="92"/>
      <c r="J2747" s="92"/>
      <c r="K2747" s="92"/>
      <c r="L2747" s="92"/>
      <c r="M2747" s="92"/>
      <c r="N2747" s="92"/>
      <c r="AG2747" s="100"/>
      <c r="AH2747" s="101"/>
      <c r="AI2747" s="101"/>
      <c r="AJ2747" s="101"/>
      <c r="AK2747" s="100"/>
      <c r="AL2747" s="100"/>
      <c r="AM2747" s="100"/>
      <c r="AN2747" s="100"/>
      <c r="AO2747" s="100"/>
      <c r="AP2747" s="100"/>
      <c r="AQ2747" s="100"/>
      <c r="AR2747" s="100"/>
      <c r="AS2747" s="100"/>
      <c r="AT2747" s="102"/>
      <c r="AX2747" s="100"/>
      <c r="AY2747" s="100"/>
      <c r="AZ2747" s="100"/>
      <c r="BA2747" s="101"/>
      <c r="BB2747" s="100"/>
      <c r="BC2747" s="100"/>
      <c r="BD2747" s="100"/>
      <c r="BE2747" s="100"/>
      <c r="BF2747" s="100"/>
      <c r="BG2747" s="100"/>
      <c r="BH2747" s="100"/>
      <c r="BI2747" s="100"/>
      <c r="BJ2747" s="100"/>
      <c r="BK2747" s="100"/>
    </row>
    <row r="2748" spans="1:63" x14ac:dyDescent="0.25">
      <c r="A2748" s="92"/>
      <c r="B2748" s="92"/>
      <c r="C2748" s="92"/>
      <c r="D2748" s="92"/>
      <c r="E2748" s="92"/>
      <c r="F2748" s="92"/>
      <c r="G2748" s="92"/>
      <c r="H2748" s="92"/>
      <c r="I2748" s="92"/>
      <c r="J2748" s="92"/>
      <c r="K2748" s="92"/>
      <c r="L2748" s="92"/>
      <c r="M2748" s="92"/>
      <c r="N2748" s="92"/>
      <c r="AG2748" s="100"/>
      <c r="AH2748" s="101"/>
      <c r="AI2748" s="101"/>
      <c r="AJ2748" s="101"/>
      <c r="AK2748" s="100"/>
      <c r="AL2748" s="100"/>
      <c r="AM2748" s="100"/>
      <c r="AN2748" s="100"/>
      <c r="AO2748" s="100"/>
      <c r="AP2748" s="100"/>
      <c r="AQ2748" s="100"/>
      <c r="AR2748" s="100"/>
      <c r="AS2748" s="100"/>
      <c r="AT2748" s="102"/>
      <c r="AX2748" s="100"/>
      <c r="AY2748" s="100"/>
      <c r="AZ2748" s="100"/>
      <c r="BA2748" s="101"/>
      <c r="BB2748" s="100"/>
      <c r="BC2748" s="100"/>
      <c r="BD2748" s="100"/>
      <c r="BE2748" s="100"/>
      <c r="BF2748" s="100"/>
      <c r="BG2748" s="100"/>
      <c r="BH2748" s="100"/>
      <c r="BI2748" s="100"/>
      <c r="BJ2748" s="100"/>
      <c r="BK2748" s="100"/>
    </row>
    <row r="2749" spans="1:63" x14ac:dyDescent="0.25">
      <c r="A2749" s="92"/>
      <c r="B2749" s="92"/>
      <c r="C2749" s="92"/>
      <c r="D2749" s="92"/>
      <c r="E2749" s="92"/>
      <c r="F2749" s="92"/>
      <c r="G2749" s="92"/>
      <c r="H2749" s="92"/>
      <c r="I2749" s="92"/>
      <c r="J2749" s="92"/>
      <c r="K2749" s="92"/>
      <c r="L2749" s="92"/>
      <c r="M2749" s="92"/>
      <c r="N2749" s="92"/>
      <c r="AG2749" s="100"/>
      <c r="AH2749" s="101"/>
      <c r="AI2749" s="101"/>
      <c r="AJ2749" s="101"/>
      <c r="AK2749" s="100"/>
      <c r="AL2749" s="100"/>
      <c r="AM2749" s="100"/>
      <c r="AN2749" s="100"/>
      <c r="AO2749" s="100"/>
      <c r="AP2749" s="100"/>
      <c r="AQ2749" s="100"/>
      <c r="AR2749" s="100"/>
      <c r="AS2749" s="100"/>
      <c r="AT2749" s="102"/>
      <c r="AX2749" s="100"/>
      <c r="AY2749" s="100"/>
      <c r="AZ2749" s="100"/>
      <c r="BA2749" s="101"/>
      <c r="BB2749" s="100"/>
      <c r="BC2749" s="100"/>
      <c r="BD2749" s="100"/>
      <c r="BE2749" s="100"/>
      <c r="BF2749" s="100"/>
      <c r="BG2749" s="100"/>
      <c r="BH2749" s="100"/>
      <c r="BI2749" s="100"/>
      <c r="BJ2749" s="100"/>
      <c r="BK2749" s="100"/>
    </row>
    <row r="2750" spans="1:63" x14ac:dyDescent="0.25">
      <c r="A2750" s="92"/>
      <c r="B2750" s="92"/>
      <c r="C2750" s="92"/>
      <c r="D2750" s="92"/>
      <c r="E2750" s="92"/>
      <c r="F2750" s="92"/>
      <c r="G2750" s="92"/>
      <c r="H2750" s="92"/>
      <c r="I2750" s="92"/>
      <c r="J2750" s="92"/>
      <c r="K2750" s="92"/>
      <c r="L2750" s="92"/>
      <c r="M2750" s="92"/>
      <c r="N2750" s="92"/>
      <c r="AG2750" s="100"/>
      <c r="AH2750" s="101"/>
      <c r="AI2750" s="101"/>
      <c r="AJ2750" s="101"/>
      <c r="AK2750" s="100"/>
      <c r="AL2750" s="100"/>
      <c r="AM2750" s="100"/>
      <c r="AN2750" s="100"/>
      <c r="AO2750" s="100"/>
      <c r="AP2750" s="100"/>
      <c r="AQ2750" s="100"/>
      <c r="AR2750" s="100"/>
      <c r="AS2750" s="100"/>
      <c r="AT2750" s="102"/>
      <c r="AX2750" s="100"/>
      <c r="AY2750" s="100"/>
      <c r="AZ2750" s="100"/>
      <c r="BA2750" s="101"/>
      <c r="BB2750" s="100"/>
      <c r="BC2750" s="100"/>
      <c r="BD2750" s="100"/>
      <c r="BE2750" s="100"/>
      <c r="BF2750" s="100"/>
      <c r="BG2750" s="100"/>
      <c r="BH2750" s="100"/>
      <c r="BI2750" s="100"/>
      <c r="BJ2750" s="100"/>
      <c r="BK2750" s="100"/>
    </row>
    <row r="2751" spans="1:63" x14ac:dyDescent="0.25">
      <c r="A2751" s="92"/>
      <c r="B2751" s="92"/>
      <c r="C2751" s="92"/>
      <c r="D2751" s="92"/>
      <c r="E2751" s="92"/>
      <c r="F2751" s="92"/>
      <c r="G2751" s="92"/>
      <c r="H2751" s="92"/>
      <c r="I2751" s="92"/>
      <c r="J2751" s="92"/>
      <c r="K2751" s="92"/>
      <c r="L2751" s="92"/>
      <c r="M2751" s="92"/>
      <c r="N2751" s="92"/>
      <c r="AG2751" s="100"/>
      <c r="AH2751" s="101"/>
      <c r="AI2751" s="101"/>
      <c r="AJ2751" s="101"/>
      <c r="AK2751" s="100"/>
      <c r="AL2751" s="100"/>
      <c r="AM2751" s="100"/>
      <c r="AN2751" s="100"/>
      <c r="AO2751" s="100"/>
      <c r="AP2751" s="100"/>
      <c r="AQ2751" s="100"/>
      <c r="AR2751" s="100"/>
      <c r="AS2751" s="100"/>
      <c r="AT2751" s="102"/>
      <c r="AX2751" s="100"/>
      <c r="AY2751" s="100"/>
      <c r="AZ2751" s="100"/>
      <c r="BA2751" s="101"/>
      <c r="BB2751" s="100"/>
      <c r="BC2751" s="100"/>
      <c r="BD2751" s="100"/>
      <c r="BE2751" s="100"/>
      <c r="BF2751" s="100"/>
      <c r="BG2751" s="100"/>
      <c r="BH2751" s="100"/>
      <c r="BI2751" s="100"/>
      <c r="BJ2751" s="100"/>
      <c r="BK2751" s="100"/>
    </row>
    <row r="2752" spans="1:63" x14ac:dyDescent="0.25">
      <c r="A2752" s="92"/>
      <c r="B2752" s="92"/>
      <c r="C2752" s="92"/>
      <c r="D2752" s="92"/>
      <c r="E2752" s="92"/>
      <c r="F2752" s="92"/>
      <c r="G2752" s="92"/>
      <c r="H2752" s="92"/>
      <c r="I2752" s="92"/>
      <c r="J2752" s="92"/>
      <c r="K2752" s="92"/>
      <c r="L2752" s="92"/>
      <c r="M2752" s="92"/>
      <c r="N2752" s="92"/>
      <c r="AG2752" s="100"/>
      <c r="AH2752" s="101"/>
      <c r="AI2752" s="101"/>
      <c r="AJ2752" s="101"/>
      <c r="AK2752" s="100"/>
      <c r="AL2752" s="100"/>
      <c r="AM2752" s="100"/>
      <c r="AN2752" s="100"/>
      <c r="AO2752" s="100"/>
      <c r="AP2752" s="100"/>
      <c r="AQ2752" s="100"/>
      <c r="AR2752" s="100"/>
      <c r="AS2752" s="100"/>
      <c r="AT2752" s="102"/>
      <c r="AX2752" s="100"/>
      <c r="AY2752" s="100"/>
      <c r="AZ2752" s="100"/>
      <c r="BA2752" s="101"/>
      <c r="BB2752" s="100"/>
      <c r="BC2752" s="100"/>
      <c r="BD2752" s="100"/>
      <c r="BE2752" s="100"/>
      <c r="BF2752" s="100"/>
      <c r="BG2752" s="100"/>
      <c r="BH2752" s="100"/>
      <c r="BI2752" s="100"/>
      <c r="BJ2752" s="100"/>
      <c r="BK2752" s="100"/>
    </row>
    <row r="2753" spans="1:63" x14ac:dyDescent="0.25">
      <c r="A2753" s="92"/>
      <c r="B2753" s="92"/>
      <c r="C2753" s="92"/>
      <c r="D2753" s="92"/>
      <c r="E2753" s="92"/>
      <c r="F2753" s="92"/>
      <c r="G2753" s="92"/>
      <c r="H2753" s="92"/>
      <c r="I2753" s="92"/>
      <c r="J2753" s="92"/>
      <c r="K2753" s="92"/>
      <c r="L2753" s="92"/>
      <c r="M2753" s="92"/>
      <c r="N2753" s="92"/>
      <c r="AG2753" s="100"/>
      <c r="AH2753" s="101"/>
      <c r="AI2753" s="101"/>
      <c r="AJ2753" s="101"/>
      <c r="AK2753" s="100"/>
      <c r="AL2753" s="100"/>
      <c r="AM2753" s="100"/>
      <c r="AN2753" s="100"/>
      <c r="AO2753" s="100"/>
      <c r="AP2753" s="100"/>
      <c r="AQ2753" s="100"/>
      <c r="AR2753" s="100"/>
      <c r="AS2753" s="100"/>
      <c r="AT2753" s="102"/>
      <c r="AX2753" s="100"/>
      <c r="AY2753" s="100"/>
      <c r="AZ2753" s="100"/>
      <c r="BA2753" s="101"/>
      <c r="BB2753" s="100"/>
      <c r="BC2753" s="100"/>
      <c r="BD2753" s="100"/>
      <c r="BE2753" s="100"/>
      <c r="BF2753" s="100"/>
      <c r="BG2753" s="100"/>
      <c r="BH2753" s="100"/>
      <c r="BI2753" s="100"/>
      <c r="BJ2753" s="100"/>
      <c r="BK2753" s="100"/>
    </row>
    <row r="2754" spans="1:63" x14ac:dyDescent="0.25">
      <c r="A2754" s="92"/>
      <c r="B2754" s="92"/>
      <c r="C2754" s="92"/>
      <c r="D2754" s="92"/>
      <c r="E2754" s="92"/>
      <c r="F2754" s="92"/>
      <c r="G2754" s="92"/>
      <c r="H2754" s="92"/>
      <c r="I2754" s="92"/>
      <c r="J2754" s="92"/>
      <c r="K2754" s="92"/>
      <c r="L2754" s="92"/>
      <c r="M2754" s="92"/>
      <c r="N2754" s="92"/>
      <c r="AG2754" s="100"/>
      <c r="AH2754" s="101"/>
      <c r="AI2754" s="101"/>
      <c r="AJ2754" s="101"/>
      <c r="AK2754" s="100"/>
      <c r="AL2754" s="100"/>
      <c r="AM2754" s="100"/>
      <c r="AN2754" s="100"/>
      <c r="AO2754" s="100"/>
      <c r="AP2754" s="100"/>
      <c r="AQ2754" s="100"/>
      <c r="AR2754" s="100"/>
      <c r="AS2754" s="100"/>
      <c r="AT2754" s="102"/>
      <c r="AX2754" s="100"/>
      <c r="AY2754" s="100"/>
      <c r="AZ2754" s="100"/>
      <c r="BA2754" s="101"/>
      <c r="BB2754" s="100"/>
      <c r="BC2754" s="100"/>
      <c r="BD2754" s="100"/>
      <c r="BE2754" s="100"/>
      <c r="BF2754" s="100"/>
      <c r="BG2754" s="100"/>
      <c r="BH2754" s="100"/>
      <c r="BI2754" s="100"/>
      <c r="BJ2754" s="100"/>
      <c r="BK2754" s="100"/>
    </row>
    <row r="2755" spans="1:63" x14ac:dyDescent="0.25">
      <c r="A2755" s="92"/>
      <c r="B2755" s="92"/>
      <c r="C2755" s="92"/>
      <c r="D2755" s="92"/>
      <c r="E2755" s="92"/>
      <c r="F2755" s="92"/>
      <c r="G2755" s="92"/>
      <c r="H2755" s="92"/>
      <c r="I2755" s="92"/>
      <c r="J2755" s="92"/>
      <c r="K2755" s="92"/>
      <c r="L2755" s="92"/>
      <c r="M2755" s="92"/>
      <c r="N2755" s="92"/>
      <c r="AG2755" s="100"/>
      <c r="AH2755" s="101"/>
      <c r="AI2755" s="101"/>
      <c r="AJ2755" s="101"/>
      <c r="AK2755" s="100"/>
      <c r="AL2755" s="100"/>
      <c r="AM2755" s="100"/>
      <c r="AN2755" s="100"/>
      <c r="AO2755" s="100"/>
      <c r="AP2755" s="100"/>
      <c r="AQ2755" s="100"/>
      <c r="AR2755" s="100"/>
      <c r="AS2755" s="100"/>
      <c r="AT2755" s="102"/>
      <c r="AX2755" s="100"/>
      <c r="AY2755" s="100"/>
      <c r="AZ2755" s="100"/>
      <c r="BA2755" s="101"/>
      <c r="BB2755" s="100"/>
      <c r="BC2755" s="100"/>
      <c r="BD2755" s="100"/>
      <c r="BE2755" s="100"/>
      <c r="BF2755" s="100"/>
      <c r="BG2755" s="100"/>
      <c r="BH2755" s="100"/>
      <c r="BI2755" s="100"/>
      <c r="BJ2755" s="100"/>
      <c r="BK2755" s="100"/>
    </row>
    <row r="2756" spans="1:63" x14ac:dyDescent="0.25">
      <c r="A2756" s="92"/>
      <c r="B2756" s="92"/>
      <c r="C2756" s="92"/>
      <c r="D2756" s="92"/>
      <c r="E2756" s="92"/>
      <c r="F2756" s="92"/>
      <c r="G2756" s="92"/>
      <c r="H2756" s="92"/>
      <c r="I2756" s="92"/>
      <c r="J2756" s="92"/>
      <c r="K2756" s="92"/>
      <c r="L2756" s="92"/>
      <c r="M2756" s="92"/>
      <c r="N2756" s="92"/>
      <c r="AG2756" s="100"/>
      <c r="AH2756" s="101"/>
      <c r="AI2756" s="101"/>
      <c r="AJ2756" s="101"/>
      <c r="AK2756" s="100"/>
      <c r="AL2756" s="100"/>
      <c r="AM2756" s="100"/>
      <c r="AN2756" s="100"/>
      <c r="AO2756" s="100"/>
      <c r="AP2756" s="100"/>
      <c r="AQ2756" s="100"/>
      <c r="AR2756" s="100"/>
      <c r="AS2756" s="100"/>
      <c r="AT2756" s="102"/>
      <c r="AX2756" s="100"/>
      <c r="AY2756" s="100"/>
      <c r="AZ2756" s="100"/>
      <c r="BA2756" s="101"/>
      <c r="BB2756" s="100"/>
      <c r="BC2756" s="100"/>
      <c r="BD2756" s="100"/>
      <c r="BE2756" s="100"/>
      <c r="BF2756" s="100"/>
      <c r="BG2756" s="100"/>
      <c r="BH2756" s="100"/>
      <c r="BI2756" s="100"/>
      <c r="BJ2756" s="100"/>
      <c r="BK2756" s="100"/>
    </row>
    <row r="2757" spans="1:63" x14ac:dyDescent="0.25">
      <c r="A2757" s="92"/>
      <c r="B2757" s="92"/>
      <c r="C2757" s="92"/>
      <c r="D2757" s="92"/>
      <c r="E2757" s="92"/>
      <c r="F2757" s="92"/>
      <c r="G2757" s="92"/>
      <c r="H2757" s="92"/>
      <c r="I2757" s="92"/>
      <c r="J2757" s="92"/>
      <c r="K2757" s="92"/>
      <c r="L2757" s="92"/>
      <c r="M2757" s="92"/>
      <c r="N2757" s="92"/>
      <c r="AG2757" s="100"/>
      <c r="AH2757" s="101"/>
      <c r="AI2757" s="101"/>
      <c r="AJ2757" s="101"/>
      <c r="AK2757" s="100"/>
      <c r="AL2757" s="100"/>
      <c r="AM2757" s="100"/>
      <c r="AN2757" s="100"/>
      <c r="AO2757" s="100"/>
      <c r="AP2757" s="100"/>
      <c r="AQ2757" s="100"/>
      <c r="AR2757" s="100"/>
      <c r="AS2757" s="100"/>
      <c r="AT2757" s="102"/>
      <c r="AX2757" s="100"/>
      <c r="AY2757" s="100"/>
      <c r="AZ2757" s="100"/>
      <c r="BA2757" s="101"/>
      <c r="BB2757" s="100"/>
      <c r="BC2757" s="100"/>
      <c r="BD2757" s="100"/>
      <c r="BE2757" s="100"/>
      <c r="BF2757" s="100"/>
      <c r="BG2757" s="100"/>
      <c r="BH2757" s="100"/>
      <c r="BI2757" s="100"/>
      <c r="BJ2757" s="100"/>
      <c r="BK2757" s="100"/>
    </row>
    <row r="2758" spans="1:63" x14ac:dyDescent="0.25">
      <c r="A2758" s="92"/>
      <c r="B2758" s="92"/>
      <c r="C2758" s="92"/>
      <c r="D2758" s="92"/>
      <c r="E2758" s="92"/>
      <c r="F2758" s="92"/>
      <c r="G2758" s="92"/>
      <c r="H2758" s="92"/>
      <c r="I2758" s="92"/>
      <c r="J2758" s="92"/>
      <c r="K2758" s="92"/>
      <c r="L2758" s="92"/>
      <c r="M2758" s="92"/>
      <c r="N2758" s="92"/>
      <c r="AG2758" s="100"/>
      <c r="AH2758" s="101"/>
      <c r="AI2758" s="101"/>
      <c r="AJ2758" s="101"/>
      <c r="AK2758" s="100"/>
      <c r="AL2758" s="100"/>
      <c r="AM2758" s="100"/>
      <c r="AN2758" s="100"/>
      <c r="AO2758" s="100"/>
      <c r="AP2758" s="100"/>
      <c r="AQ2758" s="100"/>
      <c r="AR2758" s="100"/>
      <c r="AS2758" s="100"/>
      <c r="AT2758" s="102"/>
      <c r="AX2758" s="100"/>
      <c r="AY2758" s="100"/>
      <c r="AZ2758" s="100"/>
      <c r="BA2758" s="101"/>
      <c r="BB2758" s="100"/>
      <c r="BC2758" s="100"/>
      <c r="BD2758" s="100"/>
      <c r="BE2758" s="100"/>
      <c r="BF2758" s="100"/>
      <c r="BG2758" s="100"/>
      <c r="BH2758" s="100"/>
      <c r="BI2758" s="100"/>
      <c r="BJ2758" s="100"/>
      <c r="BK2758" s="100"/>
    </row>
    <row r="2759" spans="1:63" x14ac:dyDescent="0.25">
      <c r="A2759" s="92"/>
      <c r="B2759" s="92"/>
      <c r="C2759" s="92"/>
      <c r="D2759" s="92"/>
      <c r="E2759" s="92"/>
      <c r="F2759" s="92"/>
      <c r="G2759" s="92"/>
      <c r="H2759" s="92"/>
      <c r="I2759" s="92"/>
      <c r="J2759" s="92"/>
      <c r="K2759" s="92"/>
      <c r="L2759" s="92"/>
      <c r="M2759" s="92"/>
      <c r="N2759" s="92"/>
      <c r="AG2759" s="100"/>
      <c r="AH2759" s="101"/>
      <c r="AI2759" s="101"/>
      <c r="AJ2759" s="101"/>
      <c r="AK2759" s="100"/>
      <c r="AL2759" s="100"/>
      <c r="AM2759" s="100"/>
      <c r="AN2759" s="100"/>
      <c r="AO2759" s="100"/>
      <c r="AP2759" s="100"/>
      <c r="AQ2759" s="100"/>
      <c r="AR2759" s="100"/>
      <c r="AS2759" s="100"/>
      <c r="AT2759" s="102"/>
      <c r="AX2759" s="100"/>
      <c r="AY2759" s="100"/>
      <c r="AZ2759" s="100"/>
      <c r="BA2759" s="101"/>
      <c r="BB2759" s="100"/>
      <c r="BC2759" s="100"/>
      <c r="BD2759" s="100"/>
      <c r="BE2759" s="100"/>
      <c r="BF2759" s="100"/>
      <c r="BG2759" s="100"/>
      <c r="BH2759" s="100"/>
      <c r="BI2759" s="100"/>
      <c r="BJ2759" s="100"/>
      <c r="BK2759" s="100"/>
    </row>
    <row r="2760" spans="1:63" x14ac:dyDescent="0.25">
      <c r="A2760" s="92"/>
      <c r="B2760" s="92"/>
      <c r="C2760" s="92"/>
      <c r="D2760" s="92"/>
      <c r="E2760" s="92"/>
      <c r="F2760" s="92"/>
      <c r="G2760" s="92"/>
      <c r="H2760" s="92"/>
      <c r="I2760" s="92"/>
      <c r="J2760" s="92"/>
      <c r="K2760" s="92"/>
      <c r="L2760" s="92"/>
      <c r="M2760" s="92"/>
      <c r="N2760" s="92"/>
      <c r="AG2760" s="100"/>
      <c r="AH2760" s="101"/>
      <c r="AI2760" s="101"/>
      <c r="AJ2760" s="101"/>
      <c r="AK2760" s="100"/>
      <c r="AL2760" s="100"/>
      <c r="AM2760" s="100"/>
      <c r="AN2760" s="100"/>
      <c r="AO2760" s="100"/>
      <c r="AP2760" s="100"/>
      <c r="AQ2760" s="100"/>
      <c r="AR2760" s="100"/>
      <c r="AS2760" s="100"/>
      <c r="AT2760" s="102"/>
      <c r="AX2760" s="100"/>
      <c r="AY2760" s="100"/>
      <c r="AZ2760" s="100"/>
      <c r="BA2760" s="101"/>
      <c r="BB2760" s="100"/>
      <c r="BC2760" s="100"/>
      <c r="BD2760" s="100"/>
      <c r="BE2760" s="100"/>
      <c r="BF2760" s="100"/>
      <c r="BG2760" s="100"/>
      <c r="BH2760" s="100"/>
      <c r="BI2760" s="100"/>
      <c r="BJ2760" s="100"/>
      <c r="BK2760" s="100"/>
    </row>
    <row r="2761" spans="1:63" x14ac:dyDescent="0.25">
      <c r="A2761" s="92"/>
      <c r="B2761" s="92"/>
      <c r="C2761" s="92"/>
      <c r="D2761" s="92"/>
      <c r="E2761" s="92"/>
      <c r="F2761" s="92"/>
      <c r="G2761" s="92"/>
      <c r="H2761" s="92"/>
      <c r="I2761" s="92"/>
      <c r="J2761" s="92"/>
      <c r="K2761" s="92"/>
      <c r="L2761" s="92"/>
      <c r="M2761" s="92"/>
      <c r="N2761" s="92"/>
      <c r="AG2761" s="100"/>
      <c r="AH2761" s="100"/>
      <c r="AI2761" s="100"/>
      <c r="AJ2761" s="101"/>
      <c r="AK2761" s="100"/>
      <c r="AL2761" s="100"/>
      <c r="AM2761" s="100"/>
      <c r="AN2761" s="100"/>
      <c r="AO2761" s="100"/>
      <c r="AP2761" s="100"/>
      <c r="AQ2761" s="100"/>
      <c r="AR2761" s="100"/>
      <c r="AS2761" s="100"/>
      <c r="AT2761" s="100"/>
      <c r="AX2761" s="100"/>
      <c r="AY2761" s="100"/>
      <c r="AZ2761" s="100"/>
      <c r="BA2761" s="101"/>
      <c r="BB2761" s="100"/>
      <c r="BC2761" s="100"/>
      <c r="BD2761" s="100"/>
      <c r="BE2761" s="100"/>
      <c r="BF2761" s="100"/>
      <c r="BG2761" s="100"/>
      <c r="BH2761" s="100"/>
      <c r="BI2761" s="100"/>
      <c r="BJ2761" s="100"/>
      <c r="BK2761" s="100"/>
    </row>
    <row r="2762" spans="1:63" x14ac:dyDescent="0.25">
      <c r="A2762" s="92"/>
      <c r="B2762" s="92"/>
      <c r="C2762" s="92"/>
      <c r="D2762" s="92"/>
      <c r="E2762" s="92"/>
      <c r="F2762" s="92"/>
      <c r="G2762" s="92"/>
      <c r="H2762" s="92"/>
      <c r="I2762" s="92"/>
      <c r="J2762" s="92"/>
      <c r="K2762" s="92"/>
      <c r="L2762" s="92"/>
      <c r="M2762" s="92"/>
      <c r="N2762" s="92"/>
      <c r="AG2762" s="100"/>
      <c r="AH2762" s="100"/>
      <c r="AI2762" s="100"/>
      <c r="AJ2762" s="101"/>
      <c r="AK2762" s="100"/>
      <c r="AL2762" s="100"/>
      <c r="AM2762" s="100"/>
      <c r="AN2762" s="100"/>
      <c r="AO2762" s="100"/>
      <c r="AP2762" s="100"/>
      <c r="AQ2762" s="100"/>
      <c r="AR2762" s="100"/>
      <c r="AS2762" s="100"/>
      <c r="AT2762" s="100"/>
      <c r="AY2762" s="117"/>
      <c r="AZ2762" s="117"/>
      <c r="BK2762" s="39"/>
    </row>
    <row r="2763" spans="1:63" x14ac:dyDescent="0.25">
      <c r="A2763" s="92"/>
      <c r="B2763" s="92"/>
      <c r="C2763" s="92"/>
      <c r="D2763" s="92"/>
      <c r="E2763" s="92"/>
      <c r="F2763" s="92"/>
      <c r="G2763" s="92"/>
      <c r="H2763" s="92"/>
      <c r="I2763" s="92"/>
      <c r="J2763" s="92"/>
      <c r="K2763" s="92"/>
      <c r="L2763" s="92"/>
      <c r="M2763" s="92"/>
      <c r="N2763" s="92"/>
      <c r="AG2763" s="100"/>
      <c r="AH2763" s="100"/>
      <c r="AI2763" s="100"/>
      <c r="AJ2763" s="101"/>
      <c r="AK2763" s="100"/>
      <c r="AL2763" s="100"/>
      <c r="AM2763" s="100"/>
      <c r="AN2763" s="100"/>
      <c r="AO2763" s="100"/>
      <c r="AP2763" s="100"/>
      <c r="AQ2763" s="100"/>
      <c r="AR2763" s="100"/>
      <c r="AS2763" s="100"/>
      <c r="AT2763" s="100"/>
      <c r="AZ2763" s="117"/>
      <c r="BK2763" s="39"/>
    </row>
    <row r="2764" spans="1:63" x14ac:dyDescent="0.25">
      <c r="A2764" s="92"/>
      <c r="B2764" s="93"/>
      <c r="C2764" s="93"/>
      <c r="D2764" s="92"/>
      <c r="E2764" s="92"/>
      <c r="F2764" s="92"/>
      <c r="G2764" s="92"/>
      <c r="H2764" s="92"/>
      <c r="I2764" s="92"/>
      <c r="J2764" s="92"/>
      <c r="K2764" s="92"/>
      <c r="L2764" s="92"/>
      <c r="M2764" s="92"/>
      <c r="N2764" s="94"/>
      <c r="AG2764" s="100"/>
      <c r="AH2764" s="101"/>
      <c r="AI2764" s="101"/>
      <c r="AJ2764" s="101"/>
      <c r="AK2764" s="100"/>
      <c r="AL2764" s="100"/>
      <c r="AM2764" s="100"/>
      <c r="AN2764" s="100"/>
      <c r="AO2764" s="100"/>
      <c r="AP2764" s="100"/>
      <c r="AQ2764" s="100"/>
      <c r="AR2764" s="100"/>
      <c r="AS2764" s="100"/>
      <c r="AT2764" s="102"/>
    </row>
    <row r="2765" spans="1:63" x14ac:dyDescent="0.25">
      <c r="A2765" s="92"/>
      <c r="B2765" s="93"/>
      <c r="C2765" s="93"/>
      <c r="D2765" s="93"/>
      <c r="E2765" s="92"/>
      <c r="F2765" s="92"/>
      <c r="G2765" s="92"/>
      <c r="H2765" s="92"/>
      <c r="I2765" s="92"/>
      <c r="J2765" s="92"/>
      <c r="K2765" s="92"/>
      <c r="L2765" s="92"/>
      <c r="M2765" s="92"/>
      <c r="N2765" s="94"/>
      <c r="AG2765" s="100"/>
      <c r="AH2765" s="101"/>
      <c r="AI2765" s="101"/>
      <c r="AJ2765" s="101"/>
      <c r="AK2765" s="100"/>
      <c r="AL2765" s="100"/>
      <c r="AM2765" s="100"/>
      <c r="AN2765" s="100"/>
      <c r="AO2765" s="100"/>
      <c r="AP2765" s="100"/>
      <c r="AQ2765" s="100"/>
      <c r="AR2765" s="100"/>
      <c r="AS2765" s="100"/>
      <c r="AT2765" s="102"/>
    </row>
    <row r="2766" spans="1:63" x14ac:dyDescent="0.25">
      <c r="A2766" s="92"/>
      <c r="B2766" s="92"/>
      <c r="C2766" s="92"/>
      <c r="D2766" s="93"/>
      <c r="E2766" s="92"/>
      <c r="F2766" s="92"/>
      <c r="G2766" s="92"/>
      <c r="H2766" s="92"/>
      <c r="I2766" s="92"/>
      <c r="J2766" s="92"/>
      <c r="K2766" s="92"/>
      <c r="L2766" s="92"/>
      <c r="M2766" s="92"/>
      <c r="N2766" s="92"/>
      <c r="AG2766" s="100"/>
      <c r="AH2766" s="101"/>
      <c r="AI2766" s="101"/>
      <c r="AJ2766" s="101"/>
      <c r="AK2766" s="100"/>
      <c r="AL2766" s="100"/>
      <c r="AM2766" s="100"/>
      <c r="AN2766" s="100"/>
      <c r="AO2766" s="100"/>
      <c r="AP2766" s="100"/>
      <c r="AQ2766" s="100"/>
      <c r="AR2766" s="100"/>
      <c r="AS2766" s="100"/>
      <c r="AT2766" s="102"/>
    </row>
    <row r="2767" spans="1:63" x14ac:dyDescent="0.25">
      <c r="A2767" s="92"/>
      <c r="B2767" s="92"/>
      <c r="C2767" s="92"/>
      <c r="D2767" s="93"/>
      <c r="E2767" s="92"/>
      <c r="F2767" s="92"/>
      <c r="G2767" s="92"/>
      <c r="H2767" s="92"/>
      <c r="I2767" s="92"/>
      <c r="J2767" s="92"/>
      <c r="K2767" s="92"/>
      <c r="L2767" s="92"/>
      <c r="M2767" s="92"/>
      <c r="N2767" s="92"/>
      <c r="AG2767" s="100"/>
      <c r="AH2767" s="101"/>
      <c r="AI2767" s="100"/>
      <c r="AJ2767" s="101"/>
      <c r="AK2767" s="100"/>
      <c r="AL2767" s="100"/>
      <c r="AM2767" s="100"/>
      <c r="AN2767" s="100"/>
      <c r="AO2767" s="100"/>
      <c r="AP2767" s="100"/>
      <c r="AQ2767" s="100"/>
      <c r="AR2767" s="100"/>
      <c r="AS2767" s="100"/>
      <c r="AT2767" s="102"/>
    </row>
    <row r="2768" spans="1:63" x14ac:dyDescent="0.25">
      <c r="A2768" s="92"/>
      <c r="B2768" s="93"/>
      <c r="C2768" s="93"/>
      <c r="D2768" s="92"/>
      <c r="E2768" s="92"/>
      <c r="F2768" s="92"/>
      <c r="G2768" s="92"/>
      <c r="H2768" s="92"/>
      <c r="I2768" s="92"/>
      <c r="J2768" s="92"/>
      <c r="K2768" s="92"/>
      <c r="L2768" s="92"/>
      <c r="M2768" s="92"/>
      <c r="N2768" s="94"/>
      <c r="AG2768" s="100"/>
      <c r="AH2768" s="101"/>
      <c r="AI2768" s="100"/>
      <c r="AJ2768" s="101"/>
      <c r="AK2768" s="100"/>
      <c r="AL2768" s="100"/>
      <c r="AM2768" s="100"/>
      <c r="AN2768" s="100"/>
      <c r="AO2768" s="100"/>
      <c r="AP2768" s="100"/>
      <c r="AQ2768" s="100"/>
      <c r="AR2768" s="100"/>
      <c r="AS2768" s="100"/>
      <c r="AT2768" s="102"/>
    </row>
    <row r="2769" spans="1:63" x14ac:dyDescent="0.25">
      <c r="A2769" s="92"/>
      <c r="B2769" s="93"/>
      <c r="C2769" s="93"/>
      <c r="D2769" s="92"/>
      <c r="E2769" s="92"/>
      <c r="F2769" s="92"/>
      <c r="G2769" s="92"/>
      <c r="H2769" s="92"/>
      <c r="I2769" s="92"/>
      <c r="J2769" s="92"/>
      <c r="K2769" s="92"/>
      <c r="L2769" s="92"/>
      <c r="M2769" s="92"/>
      <c r="N2769" s="94"/>
      <c r="AG2769" s="100"/>
      <c r="AH2769" s="101"/>
      <c r="AI2769" s="101"/>
      <c r="AJ2769" s="101"/>
      <c r="AK2769" s="100"/>
      <c r="AL2769" s="100"/>
      <c r="AM2769" s="100"/>
      <c r="AN2769" s="100"/>
      <c r="AO2769" s="100"/>
      <c r="AP2769" s="100"/>
      <c r="AQ2769" s="100"/>
      <c r="AR2769" s="100"/>
      <c r="AS2769" s="100"/>
      <c r="AT2769" s="102"/>
    </row>
    <row r="2770" spans="1:63" x14ac:dyDescent="0.25">
      <c r="A2770" s="92"/>
      <c r="B2770" s="93"/>
      <c r="C2770" s="93"/>
      <c r="D2770" s="92"/>
      <c r="E2770" s="92"/>
      <c r="F2770" s="92"/>
      <c r="G2770" s="92"/>
      <c r="H2770" s="92"/>
      <c r="I2770" s="92"/>
      <c r="J2770" s="92"/>
      <c r="K2770" s="92"/>
      <c r="L2770" s="92"/>
      <c r="M2770" s="92"/>
      <c r="N2770" s="94"/>
      <c r="AG2770" s="100"/>
      <c r="AH2770" s="101"/>
      <c r="AI2770" s="101"/>
      <c r="AJ2770" s="101"/>
      <c r="AK2770" s="100"/>
      <c r="AL2770" s="100"/>
      <c r="AM2770" s="100"/>
      <c r="AN2770" s="100"/>
      <c r="AO2770" s="100"/>
      <c r="AP2770" s="100"/>
      <c r="AQ2770" s="100"/>
      <c r="AR2770" s="100"/>
      <c r="AS2770" s="100"/>
      <c r="AT2770" s="102"/>
    </row>
    <row r="2771" spans="1:63" x14ac:dyDescent="0.25">
      <c r="A2771" s="92"/>
      <c r="B2771" s="92"/>
      <c r="C2771" s="92"/>
      <c r="D2771" s="92"/>
      <c r="E2771" s="92"/>
      <c r="F2771" s="92"/>
      <c r="G2771" s="92"/>
      <c r="H2771" s="92"/>
      <c r="I2771" s="92"/>
      <c r="J2771" s="92"/>
      <c r="K2771" s="92"/>
      <c r="L2771" s="92"/>
      <c r="M2771" s="92"/>
      <c r="N2771" s="92"/>
      <c r="AG2771" s="100"/>
      <c r="AH2771" s="101"/>
      <c r="AI2771" s="101"/>
      <c r="AJ2771" s="101"/>
      <c r="AK2771" s="100"/>
      <c r="AL2771" s="100"/>
      <c r="AM2771" s="100"/>
      <c r="AN2771" s="100"/>
      <c r="AO2771" s="100"/>
      <c r="AP2771" s="100"/>
      <c r="AQ2771" s="100"/>
      <c r="AR2771" s="100"/>
      <c r="AS2771" s="100"/>
      <c r="AT2771" s="102"/>
    </row>
    <row r="2772" spans="1:63" x14ac:dyDescent="0.25">
      <c r="A2772" s="92"/>
      <c r="B2772" s="92"/>
      <c r="C2772" s="92"/>
      <c r="D2772" s="92"/>
      <c r="E2772" s="92"/>
      <c r="F2772" s="92"/>
      <c r="G2772" s="92"/>
      <c r="H2772" s="92"/>
      <c r="I2772" s="92"/>
      <c r="J2772" s="92"/>
      <c r="K2772" s="92"/>
      <c r="L2772" s="92"/>
      <c r="M2772" s="92"/>
      <c r="N2772" s="92"/>
      <c r="AG2772" s="100"/>
      <c r="AH2772" s="101"/>
      <c r="AI2772" s="101"/>
      <c r="AJ2772" s="101"/>
      <c r="AK2772" s="100"/>
      <c r="AL2772" s="100"/>
      <c r="AM2772" s="100"/>
      <c r="AN2772" s="100"/>
      <c r="AO2772" s="100"/>
      <c r="AP2772" s="100"/>
      <c r="AQ2772" s="100"/>
      <c r="AR2772" s="100"/>
      <c r="AS2772" s="100"/>
      <c r="AT2772" s="102"/>
      <c r="AZ2772" s="117"/>
      <c r="BK2772" s="39"/>
    </row>
    <row r="2773" spans="1:63" x14ac:dyDescent="0.25">
      <c r="A2773" s="92"/>
      <c r="B2773" s="92"/>
      <c r="C2773" s="92"/>
      <c r="D2773" s="92"/>
      <c r="E2773" s="92"/>
      <c r="F2773" s="92"/>
      <c r="G2773" s="92"/>
      <c r="H2773" s="92"/>
      <c r="I2773" s="92"/>
      <c r="J2773" s="92"/>
      <c r="K2773" s="92"/>
      <c r="L2773" s="92"/>
      <c r="M2773" s="92"/>
      <c r="N2773" s="92"/>
      <c r="AG2773" s="100"/>
      <c r="AH2773" s="101"/>
      <c r="AI2773" s="101"/>
      <c r="AJ2773" s="101"/>
      <c r="AK2773" s="100"/>
      <c r="AL2773" s="100"/>
      <c r="AM2773" s="100"/>
      <c r="AN2773" s="100"/>
      <c r="AO2773" s="100"/>
      <c r="AP2773" s="100"/>
      <c r="AQ2773" s="100"/>
      <c r="AR2773" s="100"/>
      <c r="AS2773" s="100"/>
      <c r="AT2773" s="102"/>
      <c r="AZ2773" s="117"/>
      <c r="BK2773" s="39"/>
    </row>
    <row r="2774" spans="1:63" x14ac:dyDescent="0.25">
      <c r="A2774" s="92"/>
      <c r="B2774" s="92"/>
      <c r="C2774" s="92"/>
      <c r="D2774" s="92"/>
      <c r="E2774" s="92"/>
      <c r="F2774" s="92"/>
      <c r="G2774" s="92"/>
      <c r="H2774" s="92"/>
      <c r="I2774" s="92"/>
      <c r="J2774" s="92"/>
      <c r="K2774" s="92"/>
      <c r="L2774" s="92"/>
      <c r="M2774" s="92"/>
      <c r="N2774" s="92"/>
      <c r="AG2774" s="100"/>
      <c r="AH2774" s="101"/>
      <c r="AI2774" s="101"/>
      <c r="AJ2774" s="101"/>
      <c r="AK2774" s="100"/>
      <c r="AL2774" s="100"/>
      <c r="AM2774" s="100"/>
      <c r="AN2774" s="100"/>
      <c r="AO2774" s="100"/>
      <c r="AP2774" s="100"/>
      <c r="AQ2774" s="100"/>
      <c r="AR2774" s="100"/>
      <c r="AS2774" s="100"/>
      <c r="AT2774" s="102"/>
      <c r="AZ2774" s="117"/>
      <c r="BA2774" s="117"/>
      <c r="BK2774" s="39"/>
    </row>
    <row r="2775" spans="1:63" x14ac:dyDescent="0.25">
      <c r="A2775" s="92"/>
      <c r="B2775" s="92"/>
      <c r="C2775" s="92"/>
      <c r="D2775" s="92"/>
      <c r="E2775" s="92"/>
      <c r="F2775" s="92"/>
      <c r="G2775" s="92"/>
      <c r="H2775" s="92"/>
      <c r="I2775" s="92"/>
      <c r="J2775" s="92"/>
      <c r="K2775" s="92"/>
      <c r="L2775" s="92"/>
      <c r="M2775" s="92"/>
      <c r="N2775" s="92"/>
      <c r="AG2775" s="100"/>
      <c r="AH2775" s="101"/>
      <c r="AI2775" s="101"/>
      <c r="AJ2775" s="101"/>
      <c r="AK2775" s="100"/>
      <c r="AL2775" s="100"/>
      <c r="AM2775" s="100"/>
      <c r="AN2775" s="100"/>
      <c r="AO2775" s="100"/>
      <c r="AP2775" s="100"/>
      <c r="AQ2775" s="100"/>
      <c r="AR2775" s="100"/>
      <c r="AS2775" s="100"/>
      <c r="AT2775" s="102"/>
      <c r="BA2775" s="117"/>
    </row>
    <row r="2776" spans="1:63" x14ac:dyDescent="0.25">
      <c r="A2776" s="92"/>
      <c r="B2776" s="92"/>
      <c r="C2776" s="92"/>
      <c r="D2776" s="92"/>
      <c r="E2776" s="92"/>
      <c r="F2776" s="92"/>
      <c r="G2776" s="92"/>
      <c r="H2776" s="92"/>
      <c r="I2776" s="92"/>
      <c r="J2776" s="92"/>
      <c r="K2776" s="92"/>
      <c r="L2776" s="92"/>
      <c r="M2776" s="92"/>
      <c r="N2776" s="92"/>
      <c r="AG2776" s="100"/>
      <c r="AH2776" s="101"/>
      <c r="AI2776" s="101"/>
      <c r="AJ2776" s="101"/>
      <c r="AK2776" s="100"/>
      <c r="AL2776" s="100"/>
      <c r="AM2776" s="100"/>
      <c r="AN2776" s="100"/>
      <c r="AO2776" s="100"/>
      <c r="AP2776" s="100"/>
      <c r="AQ2776" s="100"/>
      <c r="AR2776" s="100"/>
      <c r="AS2776" s="100"/>
      <c r="AT2776" s="102"/>
      <c r="BA2776" s="117"/>
    </row>
    <row r="2777" spans="1:63" x14ac:dyDescent="0.25">
      <c r="A2777" s="92"/>
      <c r="B2777" s="92"/>
      <c r="C2777" s="92"/>
      <c r="D2777" s="92"/>
      <c r="E2777" s="92"/>
      <c r="F2777" s="92"/>
      <c r="G2777" s="92"/>
      <c r="H2777" s="92"/>
      <c r="I2777" s="92"/>
      <c r="J2777" s="92"/>
      <c r="K2777" s="92"/>
      <c r="L2777" s="92"/>
      <c r="M2777" s="92"/>
      <c r="N2777" s="92"/>
      <c r="AG2777" s="100"/>
      <c r="AH2777" s="100"/>
      <c r="AI2777" s="100"/>
      <c r="AJ2777" s="101"/>
      <c r="AK2777" s="100"/>
      <c r="AL2777" s="100"/>
      <c r="AM2777" s="100"/>
      <c r="AN2777" s="100"/>
      <c r="AO2777" s="100"/>
      <c r="AP2777" s="100"/>
      <c r="AQ2777" s="100"/>
      <c r="AR2777" s="100"/>
      <c r="AS2777" s="100"/>
      <c r="AT2777" s="100"/>
      <c r="BA2777" s="117"/>
    </row>
    <row r="2778" spans="1:63" x14ac:dyDescent="0.25">
      <c r="A2778" s="92"/>
      <c r="B2778" s="92"/>
      <c r="C2778" s="92"/>
      <c r="D2778" s="92"/>
      <c r="E2778" s="92"/>
      <c r="F2778" s="92"/>
      <c r="G2778" s="92"/>
      <c r="H2778" s="92"/>
      <c r="I2778" s="92"/>
      <c r="J2778" s="92"/>
      <c r="K2778" s="92"/>
      <c r="L2778" s="92"/>
      <c r="M2778" s="92"/>
      <c r="N2778" s="92"/>
      <c r="AG2778" s="100"/>
      <c r="AH2778" s="101"/>
      <c r="AI2778" s="101"/>
      <c r="AJ2778" s="101"/>
      <c r="AK2778" s="100"/>
      <c r="AL2778" s="100"/>
      <c r="AM2778" s="100"/>
      <c r="AN2778" s="100"/>
      <c r="AO2778" s="100"/>
      <c r="AP2778" s="100"/>
      <c r="AQ2778" s="100"/>
      <c r="AR2778" s="100"/>
      <c r="AS2778" s="100"/>
      <c r="AT2778" s="102"/>
      <c r="BA2778" s="117"/>
    </row>
    <row r="2779" spans="1:63" x14ac:dyDescent="0.25">
      <c r="A2779" s="92"/>
      <c r="B2779" s="93"/>
      <c r="C2779" s="93"/>
      <c r="D2779" s="92"/>
      <c r="E2779" s="92"/>
      <c r="F2779" s="92"/>
      <c r="G2779" s="92"/>
      <c r="H2779" s="92"/>
      <c r="I2779" s="92"/>
      <c r="J2779" s="92"/>
      <c r="K2779" s="92"/>
      <c r="L2779" s="92"/>
      <c r="M2779" s="92"/>
      <c r="N2779" s="94"/>
      <c r="AG2779" s="100"/>
      <c r="AH2779" s="101"/>
      <c r="AI2779" s="101"/>
      <c r="AJ2779" s="101"/>
      <c r="AK2779" s="100"/>
      <c r="AL2779" s="100"/>
      <c r="AM2779" s="100"/>
      <c r="AN2779" s="100"/>
      <c r="AO2779" s="100"/>
      <c r="AP2779" s="100"/>
      <c r="AQ2779" s="100"/>
      <c r="AR2779" s="100"/>
      <c r="AS2779" s="100"/>
      <c r="AT2779" s="102"/>
      <c r="AZ2779" s="117"/>
      <c r="BK2779" s="39"/>
    </row>
    <row r="2780" spans="1:63" x14ac:dyDescent="0.25">
      <c r="A2780" s="92"/>
      <c r="B2780" s="93"/>
      <c r="C2780" s="93"/>
      <c r="D2780" s="92"/>
      <c r="E2780" s="92"/>
      <c r="F2780" s="92"/>
      <c r="G2780" s="92"/>
      <c r="H2780" s="92"/>
      <c r="I2780" s="92"/>
      <c r="J2780" s="92"/>
      <c r="K2780" s="92"/>
      <c r="L2780" s="92"/>
      <c r="M2780" s="92"/>
      <c r="N2780" s="94"/>
      <c r="AG2780" s="100"/>
      <c r="AH2780" s="101"/>
      <c r="AI2780" s="101"/>
      <c r="AJ2780" s="101"/>
      <c r="AK2780" s="100"/>
      <c r="AL2780" s="100"/>
      <c r="AM2780" s="100"/>
      <c r="AN2780" s="100"/>
      <c r="AO2780" s="100"/>
      <c r="AP2780" s="100"/>
      <c r="AQ2780" s="100"/>
      <c r="AR2780" s="100"/>
      <c r="AS2780" s="100"/>
      <c r="AT2780" s="102"/>
    </row>
    <row r="2781" spans="1:63" x14ac:dyDescent="0.25">
      <c r="A2781" s="92"/>
      <c r="B2781" s="93"/>
      <c r="C2781" s="93"/>
      <c r="D2781" s="93"/>
      <c r="E2781" s="92"/>
      <c r="F2781" s="92"/>
      <c r="G2781" s="92"/>
      <c r="H2781" s="92"/>
      <c r="I2781" s="92"/>
      <c r="J2781" s="92"/>
      <c r="K2781" s="92"/>
      <c r="L2781" s="92"/>
      <c r="M2781" s="92"/>
      <c r="N2781" s="94"/>
      <c r="AG2781" s="100"/>
      <c r="AH2781" s="101"/>
      <c r="AI2781" s="101"/>
      <c r="AJ2781" s="101"/>
      <c r="AK2781" s="100"/>
      <c r="AL2781" s="100"/>
      <c r="AM2781" s="100"/>
      <c r="AN2781" s="100"/>
      <c r="AO2781" s="100"/>
      <c r="AP2781" s="100"/>
      <c r="AQ2781" s="100"/>
      <c r="AR2781" s="100"/>
      <c r="AS2781" s="100"/>
      <c r="AT2781" s="102"/>
    </row>
    <row r="2782" spans="1:63" x14ac:dyDescent="0.25">
      <c r="A2782" s="92"/>
      <c r="B2782" s="92"/>
      <c r="C2782" s="92"/>
      <c r="D2782" s="93"/>
      <c r="E2782" s="92"/>
      <c r="F2782" s="92"/>
      <c r="G2782" s="92"/>
      <c r="H2782" s="92"/>
      <c r="I2782" s="92"/>
      <c r="J2782" s="92"/>
      <c r="K2782" s="92"/>
      <c r="L2782" s="92"/>
      <c r="M2782" s="92"/>
      <c r="N2782" s="92"/>
      <c r="AG2782" s="100"/>
      <c r="AH2782" s="101"/>
      <c r="AI2782" s="101"/>
      <c r="AJ2782" s="101"/>
      <c r="AK2782" s="100"/>
      <c r="AL2782" s="100"/>
      <c r="AM2782" s="100"/>
      <c r="AN2782" s="100"/>
      <c r="AO2782" s="100"/>
      <c r="AP2782" s="100"/>
      <c r="AQ2782" s="100"/>
      <c r="AR2782" s="100"/>
      <c r="AS2782" s="100"/>
      <c r="AT2782" s="102"/>
    </row>
    <row r="2783" spans="1:63" x14ac:dyDescent="0.25">
      <c r="A2783" s="92"/>
      <c r="B2783" s="92"/>
      <c r="C2783" s="92"/>
      <c r="D2783" s="93"/>
      <c r="E2783" s="92"/>
      <c r="F2783" s="92"/>
      <c r="G2783" s="92"/>
      <c r="H2783" s="92"/>
      <c r="I2783" s="92"/>
      <c r="J2783" s="92"/>
      <c r="K2783" s="92"/>
      <c r="L2783" s="92"/>
      <c r="M2783" s="92"/>
      <c r="N2783" s="92"/>
      <c r="AG2783" s="100"/>
      <c r="AH2783" s="101"/>
      <c r="AI2783" s="101"/>
      <c r="AJ2783" s="101"/>
      <c r="AK2783" s="100"/>
      <c r="AL2783" s="100"/>
      <c r="AM2783" s="100"/>
      <c r="AN2783" s="100"/>
      <c r="AO2783" s="100"/>
      <c r="AP2783" s="100"/>
      <c r="AQ2783" s="100"/>
      <c r="AR2783" s="100"/>
      <c r="AS2783" s="100"/>
      <c r="AT2783" s="102"/>
    </row>
    <row r="2784" spans="1:63" x14ac:dyDescent="0.25">
      <c r="A2784" s="92"/>
      <c r="B2784" s="92"/>
      <c r="C2784" s="92"/>
      <c r="D2784" s="93"/>
      <c r="E2784" s="92"/>
      <c r="F2784" s="92"/>
      <c r="G2784" s="92"/>
      <c r="H2784" s="92"/>
      <c r="I2784" s="92"/>
      <c r="J2784" s="92"/>
      <c r="K2784" s="92"/>
      <c r="L2784" s="92"/>
      <c r="M2784" s="92"/>
      <c r="N2784" s="92"/>
      <c r="AG2784" s="100"/>
      <c r="AH2784" s="101"/>
      <c r="AI2784" s="101"/>
      <c r="AJ2784" s="101"/>
      <c r="AK2784" s="100"/>
      <c r="AL2784" s="100"/>
      <c r="AM2784" s="100"/>
      <c r="AN2784" s="100"/>
      <c r="AO2784" s="100"/>
      <c r="AP2784" s="100"/>
      <c r="AQ2784" s="100"/>
      <c r="AR2784" s="100"/>
      <c r="AS2784" s="100"/>
      <c r="AT2784" s="102"/>
      <c r="AZ2784" s="117"/>
      <c r="BA2784" s="117"/>
      <c r="BK2784" s="39"/>
    </row>
    <row r="2785" spans="1:63" x14ac:dyDescent="0.25">
      <c r="A2785" s="92"/>
      <c r="B2785" s="92"/>
      <c r="C2785" s="92"/>
      <c r="D2785" s="93"/>
      <c r="E2785" s="92"/>
      <c r="F2785" s="92"/>
      <c r="G2785" s="92"/>
      <c r="H2785" s="92"/>
      <c r="I2785" s="92"/>
      <c r="J2785" s="92"/>
      <c r="K2785" s="92"/>
      <c r="L2785" s="92"/>
      <c r="M2785" s="92"/>
      <c r="N2785" s="92"/>
      <c r="AG2785" s="100"/>
      <c r="AH2785" s="100"/>
      <c r="AI2785" s="100"/>
      <c r="AJ2785" s="101"/>
      <c r="AK2785" s="100"/>
      <c r="AL2785" s="100"/>
      <c r="AM2785" s="100"/>
      <c r="AN2785" s="100"/>
      <c r="AO2785" s="100"/>
      <c r="AP2785" s="100"/>
      <c r="AQ2785" s="100"/>
      <c r="AR2785" s="100"/>
      <c r="AS2785" s="100"/>
      <c r="AT2785" s="100"/>
      <c r="BA2785" s="117"/>
    </row>
    <row r="2786" spans="1:63" x14ac:dyDescent="0.25">
      <c r="A2786" s="92"/>
      <c r="B2786" s="92"/>
      <c r="C2786" s="92"/>
      <c r="D2786" s="93"/>
      <c r="E2786" s="92"/>
      <c r="F2786" s="92"/>
      <c r="G2786" s="92"/>
      <c r="H2786" s="92"/>
      <c r="I2786" s="92"/>
      <c r="J2786" s="92"/>
      <c r="K2786" s="92"/>
      <c r="L2786" s="92"/>
      <c r="M2786" s="92"/>
      <c r="N2786" s="92"/>
      <c r="AG2786" s="100"/>
      <c r="AH2786" s="100"/>
      <c r="AI2786" s="100"/>
      <c r="AJ2786" s="101"/>
      <c r="AK2786" s="100"/>
      <c r="AL2786" s="100"/>
      <c r="AM2786" s="100"/>
      <c r="AN2786" s="100"/>
      <c r="AO2786" s="100"/>
      <c r="AP2786" s="100"/>
      <c r="AQ2786" s="100"/>
      <c r="AR2786" s="100"/>
      <c r="AS2786" s="100"/>
      <c r="AT2786" s="100"/>
      <c r="BA2786" s="117"/>
    </row>
    <row r="2787" spans="1:63" x14ac:dyDescent="0.25">
      <c r="A2787" s="92"/>
      <c r="B2787" s="93"/>
      <c r="C2787" s="93"/>
      <c r="D2787" s="92"/>
      <c r="E2787" s="92"/>
      <c r="F2787" s="92"/>
      <c r="G2787" s="92"/>
      <c r="H2787" s="92"/>
      <c r="I2787" s="92"/>
      <c r="J2787" s="92"/>
      <c r="K2787" s="92"/>
      <c r="L2787" s="92"/>
      <c r="M2787" s="92"/>
      <c r="N2787" s="94"/>
      <c r="AG2787" s="100"/>
      <c r="AH2787" s="101"/>
      <c r="AI2787" s="101"/>
      <c r="AJ2787" s="101"/>
      <c r="AK2787" s="100"/>
      <c r="AL2787" s="100"/>
      <c r="AM2787" s="100"/>
      <c r="AN2787" s="100"/>
      <c r="AO2787" s="100"/>
      <c r="AP2787" s="100"/>
      <c r="AQ2787" s="100"/>
      <c r="AR2787" s="100"/>
      <c r="AS2787" s="100"/>
      <c r="AT2787" s="102"/>
    </row>
    <row r="2788" spans="1:63" x14ac:dyDescent="0.25">
      <c r="A2788" s="92"/>
      <c r="B2788" s="92"/>
      <c r="C2788" s="92"/>
      <c r="D2788" s="92"/>
      <c r="E2788" s="92"/>
      <c r="F2788" s="92"/>
      <c r="G2788" s="92"/>
      <c r="H2788" s="92"/>
      <c r="I2788" s="92"/>
      <c r="J2788" s="92"/>
      <c r="K2788" s="92"/>
      <c r="L2788" s="92"/>
      <c r="M2788" s="92"/>
      <c r="N2788" s="92"/>
      <c r="AG2788" s="100"/>
      <c r="AH2788" s="101"/>
      <c r="AI2788" s="101"/>
      <c r="AJ2788" s="101"/>
      <c r="AK2788" s="100"/>
      <c r="AL2788" s="100"/>
      <c r="AM2788" s="100"/>
      <c r="AN2788" s="100"/>
      <c r="AO2788" s="100"/>
      <c r="AP2788" s="100"/>
      <c r="AQ2788" s="100"/>
      <c r="AR2788" s="100"/>
      <c r="AS2788" s="100"/>
      <c r="AT2788" s="102"/>
    </row>
    <row r="2789" spans="1:63" x14ac:dyDescent="0.25">
      <c r="A2789" s="92"/>
      <c r="B2789" s="92"/>
      <c r="C2789" s="92"/>
      <c r="D2789" s="92"/>
      <c r="E2789" s="92"/>
      <c r="F2789" s="92"/>
      <c r="G2789" s="92"/>
      <c r="H2789" s="92"/>
      <c r="I2789" s="92"/>
      <c r="J2789" s="92"/>
      <c r="K2789" s="92"/>
      <c r="L2789" s="92"/>
      <c r="M2789" s="92"/>
      <c r="N2789" s="92"/>
      <c r="AG2789" s="100"/>
      <c r="AH2789" s="101"/>
      <c r="AI2789" s="101"/>
      <c r="AJ2789" s="101"/>
      <c r="AK2789" s="100"/>
      <c r="AL2789" s="100"/>
      <c r="AM2789" s="100"/>
      <c r="AN2789" s="100"/>
      <c r="AO2789" s="100"/>
      <c r="AP2789" s="100"/>
      <c r="AQ2789" s="100"/>
      <c r="AR2789" s="100"/>
      <c r="AS2789" s="100"/>
      <c r="AT2789" s="102"/>
    </row>
    <row r="2790" spans="1:63" x14ac:dyDescent="0.25">
      <c r="A2790" s="92"/>
      <c r="B2790" s="92"/>
      <c r="C2790" s="92"/>
      <c r="D2790" s="92"/>
      <c r="E2790" s="92"/>
      <c r="F2790" s="92"/>
      <c r="G2790" s="92"/>
      <c r="H2790" s="92"/>
      <c r="I2790" s="92"/>
      <c r="J2790" s="92"/>
      <c r="K2790" s="92"/>
      <c r="L2790" s="92"/>
      <c r="M2790" s="92"/>
      <c r="N2790" s="92"/>
      <c r="AG2790" s="100"/>
      <c r="AH2790" s="101"/>
      <c r="AI2790" s="101"/>
      <c r="AJ2790" s="101"/>
      <c r="AK2790" s="100"/>
      <c r="AL2790" s="100"/>
      <c r="AM2790" s="100"/>
      <c r="AN2790" s="100"/>
      <c r="AO2790" s="100"/>
      <c r="AP2790" s="100"/>
      <c r="AQ2790" s="100"/>
      <c r="AR2790" s="100"/>
      <c r="AS2790" s="100"/>
      <c r="AT2790" s="102"/>
    </row>
    <row r="2791" spans="1:63" x14ac:dyDescent="0.25">
      <c r="A2791" s="92"/>
      <c r="B2791" s="92"/>
      <c r="C2791" s="92"/>
      <c r="D2791" s="92"/>
      <c r="E2791" s="92"/>
      <c r="F2791" s="92"/>
      <c r="G2791" s="92"/>
      <c r="H2791" s="92"/>
      <c r="I2791" s="92"/>
      <c r="J2791" s="92"/>
      <c r="K2791" s="92"/>
      <c r="L2791" s="92"/>
      <c r="M2791" s="92"/>
      <c r="N2791" s="92"/>
      <c r="AG2791" s="100"/>
      <c r="AH2791" s="101"/>
      <c r="AI2791" s="101"/>
      <c r="AJ2791" s="101"/>
      <c r="AK2791" s="100"/>
      <c r="AL2791" s="100"/>
      <c r="AM2791" s="100"/>
      <c r="AN2791" s="100"/>
      <c r="AO2791" s="100"/>
      <c r="AP2791" s="100"/>
      <c r="AQ2791" s="100"/>
      <c r="AR2791" s="100"/>
      <c r="AS2791" s="100"/>
      <c r="AT2791" s="102"/>
    </row>
    <row r="2792" spans="1:63" x14ac:dyDescent="0.25">
      <c r="A2792" s="92"/>
      <c r="B2792" s="93"/>
      <c r="C2792" s="93"/>
      <c r="D2792" s="93"/>
      <c r="E2792" s="92"/>
      <c r="F2792" s="92"/>
      <c r="G2792" s="92"/>
      <c r="H2792" s="92"/>
      <c r="I2792" s="92"/>
      <c r="J2792" s="92"/>
      <c r="K2792" s="92"/>
      <c r="L2792" s="92"/>
      <c r="M2792" s="92"/>
      <c r="N2792" s="94"/>
      <c r="AG2792" s="100"/>
      <c r="AH2792" s="101"/>
      <c r="AI2792" s="101"/>
      <c r="AJ2792" s="101"/>
      <c r="AK2792" s="100"/>
      <c r="AL2792" s="100"/>
      <c r="AM2792" s="100"/>
      <c r="AN2792" s="100"/>
      <c r="AO2792" s="100"/>
      <c r="AP2792" s="100"/>
      <c r="AQ2792" s="100"/>
      <c r="AR2792" s="100"/>
      <c r="AS2792" s="100"/>
      <c r="AT2792" s="102"/>
    </row>
    <row r="2793" spans="1:63" x14ac:dyDescent="0.25">
      <c r="A2793" s="92"/>
      <c r="B2793" s="92"/>
      <c r="C2793" s="92"/>
      <c r="D2793" s="93"/>
      <c r="E2793" s="92"/>
      <c r="F2793" s="92"/>
      <c r="G2793" s="92"/>
      <c r="H2793" s="92"/>
      <c r="I2793" s="92"/>
      <c r="J2793" s="92"/>
      <c r="K2793" s="92"/>
      <c r="L2793" s="92"/>
      <c r="M2793" s="92"/>
      <c r="N2793" s="92"/>
      <c r="AG2793" s="100"/>
      <c r="AH2793" s="101"/>
      <c r="AI2793" s="101"/>
      <c r="AJ2793" s="101"/>
      <c r="AK2793" s="100"/>
      <c r="AL2793" s="100"/>
      <c r="AM2793" s="100"/>
      <c r="AN2793" s="100"/>
      <c r="AO2793" s="100"/>
      <c r="AP2793" s="100"/>
      <c r="AQ2793" s="100"/>
      <c r="AR2793" s="100"/>
      <c r="AS2793" s="100"/>
      <c r="AT2793" s="102"/>
      <c r="AZ2793" s="117"/>
      <c r="BK2793" s="39"/>
    </row>
    <row r="2794" spans="1:63" x14ac:dyDescent="0.25">
      <c r="A2794" s="92"/>
      <c r="B2794" s="92"/>
      <c r="C2794" s="92"/>
      <c r="D2794" s="93"/>
      <c r="E2794" s="92"/>
      <c r="F2794" s="92"/>
      <c r="G2794" s="92"/>
      <c r="H2794" s="92"/>
      <c r="I2794" s="92"/>
      <c r="J2794" s="92"/>
      <c r="K2794" s="92"/>
      <c r="L2794" s="92"/>
      <c r="M2794" s="92"/>
      <c r="N2794" s="92"/>
      <c r="AG2794" s="100"/>
      <c r="AH2794" s="101"/>
      <c r="AI2794" s="101"/>
      <c r="AJ2794" s="101"/>
      <c r="AK2794" s="100"/>
      <c r="AL2794" s="100"/>
      <c r="AM2794" s="100"/>
      <c r="AN2794" s="100"/>
      <c r="AO2794" s="100"/>
      <c r="AP2794" s="100"/>
      <c r="AQ2794" s="100"/>
      <c r="AR2794" s="100"/>
      <c r="AS2794" s="100"/>
      <c r="AT2794" s="102"/>
      <c r="AZ2794" s="117"/>
      <c r="BK2794" s="39"/>
    </row>
    <row r="2795" spans="1:63" x14ac:dyDescent="0.25">
      <c r="A2795" s="92"/>
      <c r="B2795" s="92"/>
      <c r="C2795" s="92"/>
      <c r="D2795" s="92"/>
      <c r="E2795" s="92"/>
      <c r="F2795" s="92"/>
      <c r="G2795" s="92"/>
      <c r="H2795" s="92"/>
      <c r="I2795" s="92"/>
      <c r="J2795" s="92"/>
      <c r="K2795" s="92"/>
      <c r="L2795" s="92"/>
      <c r="M2795" s="92"/>
      <c r="N2795" s="92"/>
      <c r="AG2795" s="100"/>
      <c r="AH2795" s="101"/>
      <c r="AI2795" s="101"/>
      <c r="AJ2795" s="101"/>
      <c r="AK2795" s="100"/>
      <c r="AL2795" s="100"/>
      <c r="AM2795" s="100"/>
      <c r="AN2795" s="100"/>
      <c r="AO2795" s="100"/>
      <c r="AP2795" s="100"/>
      <c r="AQ2795" s="100"/>
      <c r="AR2795" s="100"/>
      <c r="AS2795" s="100"/>
      <c r="AT2795" s="102"/>
    </row>
    <row r="2796" spans="1:63" x14ac:dyDescent="0.25">
      <c r="A2796" s="92"/>
      <c r="B2796" s="92"/>
      <c r="C2796" s="92"/>
      <c r="D2796" s="92"/>
      <c r="E2796" s="92"/>
      <c r="F2796" s="92"/>
      <c r="G2796" s="92"/>
      <c r="H2796" s="92"/>
      <c r="I2796" s="92"/>
      <c r="J2796" s="92"/>
      <c r="K2796" s="92"/>
      <c r="L2796" s="92"/>
      <c r="M2796" s="92"/>
      <c r="N2796" s="92"/>
      <c r="AG2796" s="100"/>
      <c r="AH2796" s="101"/>
      <c r="AI2796" s="101"/>
      <c r="AJ2796" s="101"/>
      <c r="AK2796" s="100"/>
      <c r="AL2796" s="100"/>
      <c r="AM2796" s="100"/>
      <c r="AN2796" s="100"/>
      <c r="AO2796" s="100"/>
      <c r="AP2796" s="100"/>
      <c r="AQ2796" s="100"/>
      <c r="AR2796" s="100"/>
      <c r="AS2796" s="100"/>
      <c r="AT2796" s="102"/>
    </row>
    <row r="2797" spans="1:63" x14ac:dyDescent="0.25">
      <c r="A2797" s="92"/>
      <c r="B2797" s="92"/>
      <c r="C2797" s="92"/>
      <c r="D2797" s="92"/>
      <c r="E2797" s="92"/>
      <c r="F2797" s="92"/>
      <c r="G2797" s="92"/>
      <c r="H2797" s="92"/>
      <c r="I2797" s="92"/>
      <c r="J2797" s="92"/>
      <c r="K2797" s="92"/>
      <c r="L2797" s="92"/>
      <c r="M2797" s="92"/>
      <c r="N2797" s="92"/>
      <c r="AG2797" s="100"/>
      <c r="AH2797" s="101"/>
      <c r="AI2797" s="101"/>
      <c r="AJ2797" s="101"/>
      <c r="AK2797" s="100"/>
      <c r="AL2797" s="100"/>
      <c r="AM2797" s="100"/>
      <c r="AN2797" s="100"/>
      <c r="AO2797" s="100"/>
      <c r="AP2797" s="100"/>
      <c r="AQ2797" s="100"/>
      <c r="AR2797" s="100"/>
      <c r="AS2797" s="100"/>
      <c r="AT2797" s="102"/>
    </row>
    <row r="2798" spans="1:63" x14ac:dyDescent="0.25">
      <c r="A2798" s="92"/>
      <c r="B2798" s="92"/>
      <c r="C2798" s="92"/>
      <c r="D2798" s="92"/>
      <c r="E2798" s="92"/>
      <c r="F2798" s="92"/>
      <c r="G2798" s="92"/>
      <c r="H2798" s="92"/>
      <c r="I2798" s="92"/>
      <c r="J2798" s="92"/>
      <c r="K2798" s="92"/>
      <c r="L2798" s="92"/>
      <c r="M2798" s="92"/>
      <c r="N2798" s="92"/>
      <c r="AG2798" s="100"/>
      <c r="AH2798" s="101"/>
      <c r="AI2798" s="101"/>
      <c r="AJ2798" s="101"/>
      <c r="AK2798" s="100"/>
      <c r="AL2798" s="100"/>
      <c r="AM2798" s="100"/>
      <c r="AN2798" s="100"/>
      <c r="AO2798" s="100"/>
      <c r="AP2798" s="100"/>
      <c r="AQ2798" s="100"/>
      <c r="AR2798" s="100"/>
      <c r="AS2798" s="100"/>
      <c r="AT2798" s="102"/>
    </row>
    <row r="2799" spans="1:63" x14ac:dyDescent="0.25">
      <c r="A2799" s="92"/>
      <c r="B2799" s="92"/>
      <c r="C2799" s="92"/>
      <c r="D2799" s="92"/>
      <c r="E2799" s="92"/>
      <c r="F2799" s="92"/>
      <c r="G2799" s="92"/>
      <c r="H2799" s="92"/>
      <c r="I2799" s="92"/>
      <c r="J2799" s="92"/>
      <c r="K2799" s="92"/>
      <c r="L2799" s="92"/>
      <c r="M2799" s="92"/>
      <c r="N2799" s="92"/>
      <c r="AG2799" s="100"/>
      <c r="AH2799" s="101"/>
      <c r="AI2799" s="101"/>
      <c r="AJ2799" s="101"/>
      <c r="AK2799" s="100"/>
      <c r="AL2799" s="100"/>
      <c r="AM2799" s="100"/>
      <c r="AN2799" s="100"/>
      <c r="AO2799" s="100"/>
      <c r="AP2799" s="100"/>
      <c r="AQ2799" s="100"/>
      <c r="AR2799" s="100"/>
      <c r="AS2799" s="100"/>
      <c r="AT2799" s="102"/>
    </row>
    <row r="2800" spans="1:63" x14ac:dyDescent="0.25">
      <c r="A2800" s="92"/>
      <c r="B2800" s="92"/>
      <c r="C2800" s="92"/>
      <c r="D2800" s="92"/>
      <c r="E2800" s="92"/>
      <c r="F2800" s="92"/>
      <c r="G2800" s="92"/>
      <c r="H2800" s="92"/>
      <c r="I2800" s="92"/>
      <c r="J2800" s="92"/>
      <c r="K2800" s="92"/>
      <c r="L2800" s="92"/>
      <c r="M2800" s="92"/>
      <c r="N2800" s="92"/>
      <c r="AG2800" s="100"/>
      <c r="AH2800" s="101"/>
      <c r="AI2800" s="101"/>
      <c r="AJ2800" s="101"/>
      <c r="AK2800" s="100"/>
      <c r="AL2800" s="100"/>
      <c r="AM2800" s="100"/>
      <c r="AN2800" s="100"/>
      <c r="AO2800" s="100"/>
      <c r="AP2800" s="100"/>
      <c r="AQ2800" s="100"/>
      <c r="AR2800" s="100"/>
      <c r="AS2800" s="100"/>
      <c r="AT2800" s="102"/>
    </row>
    <row r="2801" spans="1:63" x14ac:dyDescent="0.25">
      <c r="A2801" s="92"/>
      <c r="B2801" s="93"/>
      <c r="C2801" s="93"/>
      <c r="D2801" s="92"/>
      <c r="E2801" s="92"/>
      <c r="F2801" s="92"/>
      <c r="G2801" s="92"/>
      <c r="H2801" s="92"/>
      <c r="I2801" s="92"/>
      <c r="J2801" s="92"/>
      <c r="K2801" s="92"/>
      <c r="L2801" s="92"/>
      <c r="M2801" s="92"/>
      <c r="N2801" s="94"/>
      <c r="AG2801" s="100"/>
      <c r="AH2801" s="101"/>
      <c r="AI2801" s="101"/>
      <c r="AJ2801" s="101"/>
      <c r="AK2801" s="100"/>
      <c r="AL2801" s="100"/>
      <c r="AM2801" s="100"/>
      <c r="AN2801" s="100"/>
      <c r="AO2801" s="100"/>
      <c r="AP2801" s="100"/>
      <c r="AQ2801" s="100"/>
      <c r="AR2801" s="100"/>
      <c r="AS2801" s="100"/>
      <c r="AT2801" s="102"/>
    </row>
    <row r="2802" spans="1:63" x14ac:dyDescent="0.25">
      <c r="A2802" s="92"/>
      <c r="B2802" s="92"/>
      <c r="C2802" s="92"/>
      <c r="D2802" s="92"/>
      <c r="E2802" s="92"/>
      <c r="F2802" s="92"/>
      <c r="G2802" s="92"/>
      <c r="H2802" s="92"/>
      <c r="I2802" s="92"/>
      <c r="J2802" s="92"/>
      <c r="K2802" s="92"/>
      <c r="L2802" s="92"/>
      <c r="M2802" s="92"/>
      <c r="N2802" s="92"/>
      <c r="AG2802" s="100"/>
      <c r="AH2802" s="101"/>
      <c r="AI2802" s="101"/>
      <c r="AJ2802" s="101"/>
      <c r="AK2802" s="100"/>
      <c r="AL2802" s="100"/>
      <c r="AM2802" s="100"/>
      <c r="AN2802" s="100"/>
      <c r="AO2802" s="100"/>
      <c r="AP2802" s="100"/>
      <c r="AQ2802" s="100"/>
      <c r="AR2802" s="100"/>
      <c r="AS2802" s="100"/>
      <c r="AT2802" s="102"/>
    </row>
    <row r="2803" spans="1:63" x14ac:dyDescent="0.25">
      <c r="A2803" s="92"/>
      <c r="B2803" s="92"/>
      <c r="C2803" s="92"/>
      <c r="D2803" s="92"/>
      <c r="E2803" s="92"/>
      <c r="F2803" s="92"/>
      <c r="G2803" s="92"/>
      <c r="H2803" s="92"/>
      <c r="I2803" s="92"/>
      <c r="J2803" s="92"/>
      <c r="K2803" s="92"/>
      <c r="L2803" s="92"/>
      <c r="M2803" s="92"/>
      <c r="N2803" s="92"/>
      <c r="AG2803" s="100"/>
      <c r="AH2803" s="101"/>
      <c r="AI2803" s="101"/>
      <c r="AJ2803" s="101"/>
      <c r="AK2803" s="100"/>
      <c r="AL2803" s="100"/>
      <c r="AM2803" s="100"/>
      <c r="AN2803" s="100"/>
      <c r="AO2803" s="100"/>
      <c r="AP2803" s="100"/>
      <c r="AQ2803" s="100"/>
      <c r="AR2803" s="100"/>
      <c r="AS2803" s="100"/>
      <c r="AT2803" s="102"/>
    </row>
    <row r="2804" spans="1:63" x14ac:dyDescent="0.25">
      <c r="A2804" s="92"/>
      <c r="B2804" s="92"/>
      <c r="C2804" s="92"/>
      <c r="D2804" s="92"/>
      <c r="E2804" s="92"/>
      <c r="F2804" s="92"/>
      <c r="G2804" s="92"/>
      <c r="H2804" s="92"/>
      <c r="I2804" s="92"/>
      <c r="J2804" s="92"/>
      <c r="K2804" s="92"/>
      <c r="L2804" s="92"/>
      <c r="M2804" s="92"/>
      <c r="N2804" s="92"/>
      <c r="AG2804" s="100"/>
      <c r="AH2804" s="101"/>
      <c r="AI2804" s="101"/>
      <c r="AJ2804" s="101"/>
      <c r="AK2804" s="100"/>
      <c r="AL2804" s="100"/>
      <c r="AM2804" s="100"/>
      <c r="AN2804" s="100"/>
      <c r="AO2804" s="100"/>
      <c r="AP2804" s="100"/>
      <c r="AQ2804" s="100"/>
      <c r="AR2804" s="100"/>
      <c r="AS2804" s="100"/>
      <c r="AT2804" s="102"/>
    </row>
    <row r="2805" spans="1:63" x14ac:dyDescent="0.25">
      <c r="A2805" s="92"/>
      <c r="B2805" s="92"/>
      <c r="C2805" s="92"/>
      <c r="D2805" s="92"/>
      <c r="E2805" s="92"/>
      <c r="F2805" s="92"/>
      <c r="G2805" s="92"/>
      <c r="H2805" s="92"/>
      <c r="I2805" s="92"/>
      <c r="J2805" s="92"/>
      <c r="K2805" s="92"/>
      <c r="L2805" s="92"/>
      <c r="M2805" s="92"/>
      <c r="N2805" s="92"/>
      <c r="AG2805" s="100"/>
      <c r="AH2805" s="100"/>
      <c r="AI2805" s="100"/>
      <c r="AJ2805" s="101"/>
      <c r="AK2805" s="100"/>
      <c r="AL2805" s="100"/>
      <c r="AM2805" s="100"/>
      <c r="AN2805" s="100"/>
      <c r="AO2805" s="100"/>
      <c r="AP2805" s="100"/>
      <c r="AQ2805" s="100"/>
      <c r="AR2805" s="100"/>
      <c r="AS2805" s="100"/>
      <c r="AT2805" s="100"/>
    </row>
    <row r="2806" spans="1:63" x14ac:dyDescent="0.25">
      <c r="A2806" s="92"/>
      <c r="B2806" s="92"/>
      <c r="C2806" s="92"/>
      <c r="D2806" s="92"/>
      <c r="E2806" s="92"/>
      <c r="F2806" s="92"/>
      <c r="G2806" s="92"/>
      <c r="H2806" s="92"/>
      <c r="I2806" s="92"/>
      <c r="J2806" s="92"/>
      <c r="K2806" s="92"/>
      <c r="L2806" s="92"/>
      <c r="M2806" s="92"/>
      <c r="N2806" s="92"/>
      <c r="AG2806" s="100"/>
      <c r="AH2806" s="100"/>
      <c r="AI2806" s="100"/>
      <c r="AJ2806" s="101"/>
      <c r="AK2806" s="100"/>
      <c r="AL2806" s="100"/>
      <c r="AM2806" s="100"/>
      <c r="AN2806" s="100"/>
      <c r="AO2806" s="100"/>
      <c r="AP2806" s="100"/>
      <c r="AQ2806" s="100"/>
      <c r="AR2806" s="100"/>
      <c r="AS2806" s="100"/>
      <c r="AT2806" s="100"/>
      <c r="AZ2806" s="117"/>
      <c r="BK2806" s="39"/>
    </row>
    <row r="2807" spans="1:63" x14ac:dyDescent="0.25">
      <c r="A2807" s="92"/>
      <c r="B2807" s="92"/>
      <c r="C2807" s="92"/>
      <c r="D2807" s="92"/>
      <c r="E2807" s="92"/>
      <c r="F2807" s="92"/>
      <c r="G2807" s="92"/>
      <c r="H2807" s="92"/>
      <c r="I2807" s="92"/>
      <c r="J2807" s="92"/>
      <c r="K2807" s="92"/>
      <c r="L2807" s="92"/>
      <c r="M2807" s="92"/>
      <c r="N2807" s="92"/>
      <c r="AG2807" s="100"/>
      <c r="AH2807" s="100"/>
      <c r="AI2807" s="100"/>
      <c r="AJ2807" s="101"/>
      <c r="AK2807" s="100"/>
      <c r="AL2807" s="100"/>
      <c r="AM2807" s="100"/>
      <c r="AN2807" s="100"/>
      <c r="AO2807" s="100"/>
      <c r="AP2807" s="100"/>
      <c r="AQ2807" s="100"/>
      <c r="AR2807" s="100"/>
      <c r="AS2807" s="100"/>
      <c r="AT2807" s="100"/>
    </row>
    <row r="2808" spans="1:63" x14ac:dyDescent="0.25">
      <c r="A2808" s="92"/>
      <c r="B2808" s="92"/>
      <c r="C2808" s="92"/>
      <c r="D2808" s="92"/>
      <c r="E2808" s="92"/>
      <c r="F2808" s="92"/>
      <c r="G2808" s="92"/>
      <c r="H2808" s="92"/>
      <c r="I2808" s="92"/>
      <c r="J2808" s="92"/>
      <c r="K2808" s="92"/>
      <c r="L2808" s="92"/>
      <c r="M2808" s="92"/>
      <c r="N2808" s="92"/>
      <c r="AG2808" s="100"/>
      <c r="AH2808" s="101"/>
      <c r="AI2808" s="101"/>
      <c r="AJ2808" s="101"/>
      <c r="AK2808" s="100"/>
      <c r="AL2808" s="100"/>
      <c r="AM2808" s="100"/>
      <c r="AN2808" s="100"/>
      <c r="AO2808" s="100"/>
      <c r="AP2808" s="100"/>
      <c r="AQ2808" s="100"/>
      <c r="AR2808" s="100"/>
      <c r="AS2808" s="100"/>
      <c r="AT2808" s="102"/>
      <c r="AZ2808" s="117"/>
      <c r="BK2808" s="39"/>
    </row>
    <row r="2809" spans="1:63" x14ac:dyDescent="0.25">
      <c r="A2809" s="92"/>
      <c r="B2809" s="92"/>
      <c r="C2809" s="92"/>
      <c r="D2809" s="92"/>
      <c r="E2809" s="92"/>
      <c r="F2809" s="92"/>
      <c r="G2809" s="92"/>
      <c r="H2809" s="92"/>
      <c r="I2809" s="92"/>
      <c r="J2809" s="92"/>
      <c r="K2809" s="92"/>
      <c r="L2809" s="92"/>
      <c r="M2809" s="92"/>
      <c r="N2809" s="92"/>
      <c r="AG2809" s="100"/>
      <c r="AH2809" s="101"/>
      <c r="AI2809" s="101"/>
      <c r="AJ2809" s="101"/>
      <c r="AK2809" s="100"/>
      <c r="AL2809" s="100"/>
      <c r="AM2809" s="100"/>
      <c r="AN2809" s="100"/>
      <c r="AO2809" s="100"/>
      <c r="AP2809" s="100"/>
      <c r="AQ2809" s="100"/>
      <c r="AR2809" s="100"/>
      <c r="AS2809" s="100"/>
      <c r="AT2809" s="102"/>
      <c r="AZ2809" s="117"/>
      <c r="BK2809" s="39"/>
    </row>
    <row r="2810" spans="1:63" x14ac:dyDescent="0.25">
      <c r="A2810" s="92"/>
      <c r="B2810" s="92"/>
      <c r="C2810" s="92"/>
      <c r="D2810" s="92"/>
      <c r="E2810" s="92"/>
      <c r="F2810" s="92"/>
      <c r="G2810" s="92"/>
      <c r="H2810" s="92"/>
      <c r="I2810" s="92"/>
      <c r="J2810" s="92"/>
      <c r="K2810" s="92"/>
      <c r="L2810" s="92"/>
      <c r="M2810" s="92"/>
      <c r="N2810" s="92"/>
      <c r="AG2810" s="100"/>
      <c r="AH2810" s="101"/>
      <c r="AI2810" s="101"/>
      <c r="AJ2810" s="101"/>
      <c r="AK2810" s="100"/>
      <c r="AL2810" s="100"/>
      <c r="AM2810" s="100"/>
      <c r="AN2810" s="100"/>
      <c r="AO2810" s="100"/>
      <c r="AP2810" s="100"/>
      <c r="AQ2810" s="100"/>
      <c r="AR2810" s="100"/>
      <c r="AS2810" s="100"/>
      <c r="AT2810" s="102"/>
      <c r="AZ2810" s="117"/>
      <c r="BK2810" s="39"/>
    </row>
    <row r="2811" spans="1:63" x14ac:dyDescent="0.25">
      <c r="A2811" s="92"/>
      <c r="B2811" s="92"/>
      <c r="C2811" s="92"/>
      <c r="D2811" s="92"/>
      <c r="E2811" s="92"/>
      <c r="F2811" s="92"/>
      <c r="G2811" s="92"/>
      <c r="H2811" s="92"/>
      <c r="I2811" s="92"/>
      <c r="J2811" s="92"/>
      <c r="K2811" s="92"/>
      <c r="L2811" s="92"/>
      <c r="M2811" s="92"/>
      <c r="N2811" s="92"/>
      <c r="AG2811" s="100"/>
      <c r="AH2811" s="101"/>
      <c r="AI2811" s="101"/>
      <c r="AJ2811" s="101"/>
      <c r="AK2811" s="100"/>
      <c r="AL2811" s="100"/>
      <c r="AM2811" s="100"/>
      <c r="AN2811" s="100"/>
      <c r="AO2811" s="100"/>
      <c r="AP2811" s="100"/>
      <c r="AQ2811" s="100"/>
      <c r="AR2811" s="100"/>
      <c r="AS2811" s="100"/>
      <c r="AT2811" s="102"/>
      <c r="AZ2811" s="117"/>
      <c r="BK2811" s="39"/>
    </row>
    <row r="2812" spans="1:63" x14ac:dyDescent="0.25">
      <c r="A2812" s="92"/>
      <c r="B2812" s="92"/>
      <c r="C2812" s="92"/>
      <c r="D2812" s="92"/>
      <c r="E2812" s="92"/>
      <c r="F2812" s="92"/>
      <c r="G2812" s="92"/>
      <c r="H2812" s="92"/>
      <c r="I2812" s="92"/>
      <c r="J2812" s="92"/>
      <c r="K2812" s="92"/>
      <c r="L2812" s="92"/>
      <c r="M2812" s="92"/>
      <c r="N2812" s="92"/>
      <c r="AG2812" s="100"/>
      <c r="AH2812" s="101"/>
      <c r="AI2812" s="101"/>
      <c r="AJ2812" s="101"/>
      <c r="AK2812" s="100"/>
      <c r="AL2812" s="100"/>
      <c r="AM2812" s="100"/>
      <c r="AN2812" s="100"/>
      <c r="AO2812" s="100"/>
      <c r="AP2812" s="100"/>
      <c r="AQ2812" s="100"/>
      <c r="AR2812" s="100"/>
      <c r="AS2812" s="100"/>
      <c r="AT2812" s="102"/>
      <c r="AZ2812" s="117"/>
      <c r="BA2812" s="117"/>
      <c r="BK2812" s="39"/>
    </row>
    <row r="2813" spans="1:63" x14ac:dyDescent="0.25">
      <c r="A2813" s="92"/>
      <c r="B2813" s="93"/>
      <c r="C2813" s="93"/>
      <c r="D2813" s="92"/>
      <c r="E2813" s="92"/>
      <c r="F2813" s="92"/>
      <c r="G2813" s="92"/>
      <c r="H2813" s="92"/>
      <c r="I2813" s="92"/>
      <c r="J2813" s="92"/>
      <c r="K2813" s="92"/>
      <c r="L2813" s="92"/>
      <c r="M2813" s="92"/>
      <c r="N2813" s="94"/>
      <c r="AG2813" s="100"/>
      <c r="AH2813" s="101"/>
      <c r="AI2813" s="101"/>
      <c r="AJ2813" s="101"/>
      <c r="AK2813" s="100"/>
      <c r="AL2813" s="100"/>
      <c r="AM2813" s="100"/>
      <c r="AN2813" s="100"/>
      <c r="AO2813" s="100"/>
      <c r="AP2813" s="100"/>
      <c r="AQ2813" s="100"/>
      <c r="AR2813" s="100"/>
      <c r="AS2813" s="100"/>
      <c r="AT2813" s="102"/>
    </row>
    <row r="2814" spans="1:63" x14ac:dyDescent="0.25">
      <c r="A2814" s="92"/>
      <c r="B2814" s="92"/>
      <c r="C2814" s="92"/>
      <c r="D2814" s="92"/>
      <c r="E2814" s="92"/>
      <c r="F2814" s="92"/>
      <c r="G2814" s="92"/>
      <c r="H2814" s="92"/>
      <c r="I2814" s="92"/>
      <c r="J2814" s="92"/>
      <c r="K2814" s="92"/>
      <c r="L2814" s="92"/>
      <c r="M2814" s="92"/>
      <c r="N2814" s="92"/>
      <c r="AG2814" s="100"/>
      <c r="AH2814" s="101"/>
      <c r="AI2814" s="101"/>
      <c r="AJ2814" s="101"/>
      <c r="AK2814" s="100"/>
      <c r="AL2814" s="100"/>
      <c r="AM2814" s="100"/>
      <c r="AN2814" s="100"/>
      <c r="AO2814" s="100"/>
      <c r="AP2814" s="100"/>
      <c r="AQ2814" s="100"/>
      <c r="AR2814" s="100"/>
      <c r="AS2814" s="100"/>
      <c r="AT2814" s="102"/>
    </row>
    <row r="2815" spans="1:63" x14ac:dyDescent="0.25">
      <c r="A2815" s="92"/>
      <c r="B2815" s="93"/>
      <c r="C2815" s="93"/>
      <c r="D2815" s="92"/>
      <c r="E2815" s="92"/>
      <c r="F2815" s="92"/>
      <c r="G2815" s="92"/>
      <c r="H2815" s="92"/>
      <c r="I2815" s="92"/>
      <c r="J2815" s="92"/>
      <c r="K2815" s="92"/>
      <c r="L2815" s="92"/>
      <c r="M2815" s="92"/>
      <c r="N2815" s="94"/>
      <c r="AG2815" s="100"/>
      <c r="AH2815" s="100"/>
      <c r="AI2815" s="100"/>
      <c r="AJ2815" s="101"/>
      <c r="AK2815" s="100"/>
      <c r="AL2815" s="100"/>
      <c r="AM2815" s="100"/>
      <c r="AN2815" s="100"/>
      <c r="AO2815" s="100"/>
      <c r="AP2815" s="100"/>
      <c r="AQ2815" s="100"/>
      <c r="AR2815" s="100"/>
      <c r="AS2815" s="100"/>
      <c r="AT2815" s="100"/>
    </row>
    <row r="2816" spans="1:63" x14ac:dyDescent="0.25">
      <c r="A2816" s="92"/>
      <c r="B2816" s="93"/>
      <c r="C2816" s="93"/>
      <c r="D2816" s="92"/>
      <c r="E2816" s="92"/>
      <c r="F2816" s="92"/>
      <c r="G2816" s="92"/>
      <c r="H2816" s="92"/>
      <c r="I2816" s="92"/>
      <c r="J2816" s="92"/>
      <c r="K2816" s="92"/>
      <c r="L2816" s="92"/>
      <c r="M2816" s="92"/>
      <c r="N2816" s="94"/>
      <c r="AG2816" s="100"/>
      <c r="AH2816" s="100"/>
      <c r="AI2816" s="100"/>
      <c r="AJ2816" s="101"/>
      <c r="AK2816" s="100"/>
      <c r="AL2816" s="100"/>
      <c r="AM2816" s="100"/>
      <c r="AN2816" s="100"/>
      <c r="AO2816" s="100"/>
      <c r="AP2816" s="100"/>
      <c r="AQ2816" s="100"/>
      <c r="AR2816" s="100"/>
      <c r="AS2816" s="100"/>
      <c r="AT2816" s="100"/>
    </row>
    <row r="2817" spans="1:63" x14ac:dyDescent="0.25">
      <c r="A2817" s="92"/>
      <c r="B2817" s="93"/>
      <c r="C2817" s="93"/>
      <c r="D2817" s="92"/>
      <c r="E2817" s="92"/>
      <c r="F2817" s="92"/>
      <c r="G2817" s="92"/>
      <c r="H2817" s="92"/>
      <c r="I2817" s="92"/>
      <c r="J2817" s="92"/>
      <c r="K2817" s="92"/>
      <c r="L2817" s="92"/>
      <c r="M2817" s="92"/>
      <c r="N2817" s="94"/>
      <c r="AG2817" s="100"/>
      <c r="AH2817" s="100"/>
      <c r="AI2817" s="100"/>
      <c r="AJ2817" s="101"/>
      <c r="AK2817" s="100"/>
      <c r="AL2817" s="100"/>
      <c r="AM2817" s="100"/>
      <c r="AN2817" s="100"/>
      <c r="AO2817" s="100"/>
      <c r="AP2817" s="100"/>
      <c r="AQ2817" s="100"/>
      <c r="AR2817" s="100"/>
      <c r="AS2817" s="100"/>
      <c r="AT2817" s="100"/>
    </row>
    <row r="2818" spans="1:63" x14ac:dyDescent="0.25">
      <c r="A2818" s="92"/>
      <c r="B2818" s="93"/>
      <c r="C2818" s="93"/>
      <c r="D2818" s="92"/>
      <c r="E2818" s="92"/>
      <c r="F2818" s="92"/>
      <c r="G2818" s="92"/>
      <c r="H2818" s="92"/>
      <c r="I2818" s="92"/>
      <c r="J2818" s="92"/>
      <c r="K2818" s="92"/>
      <c r="L2818" s="92"/>
      <c r="M2818" s="92"/>
      <c r="N2818" s="94"/>
      <c r="AG2818" s="100"/>
      <c r="AH2818" s="100"/>
      <c r="AI2818" s="100"/>
      <c r="AJ2818" s="101"/>
      <c r="AK2818" s="100"/>
      <c r="AL2818" s="100"/>
      <c r="AM2818" s="100"/>
      <c r="AN2818" s="100"/>
      <c r="AO2818" s="100"/>
      <c r="AP2818" s="100"/>
      <c r="AQ2818" s="100"/>
      <c r="AR2818" s="100"/>
      <c r="AS2818" s="100"/>
      <c r="AT2818" s="100"/>
    </row>
    <row r="2819" spans="1:63" x14ac:dyDescent="0.25">
      <c r="A2819" s="92"/>
      <c r="B2819" s="93"/>
      <c r="C2819" s="93"/>
      <c r="D2819" s="93"/>
      <c r="E2819" s="92"/>
      <c r="F2819" s="92"/>
      <c r="G2819" s="92"/>
      <c r="H2819" s="92"/>
      <c r="I2819" s="92"/>
      <c r="J2819" s="92"/>
      <c r="K2819" s="92"/>
      <c r="L2819" s="92"/>
      <c r="M2819" s="92"/>
      <c r="N2819" s="94"/>
      <c r="AG2819" s="100"/>
      <c r="AH2819" s="101"/>
      <c r="AI2819" s="101"/>
      <c r="AJ2819" s="101"/>
      <c r="AK2819" s="100"/>
      <c r="AL2819" s="100"/>
      <c r="AM2819" s="100"/>
      <c r="AN2819" s="100"/>
      <c r="AO2819" s="100"/>
      <c r="AP2819" s="100"/>
      <c r="AQ2819" s="100"/>
      <c r="AR2819" s="100"/>
      <c r="AS2819" s="100"/>
      <c r="AT2819" s="102"/>
    </row>
    <row r="2820" spans="1:63" x14ac:dyDescent="0.25">
      <c r="A2820" s="92"/>
      <c r="B2820" s="92"/>
      <c r="C2820" s="92"/>
      <c r="D2820" s="92"/>
      <c r="E2820" s="92"/>
      <c r="F2820" s="92"/>
      <c r="G2820" s="92"/>
      <c r="H2820" s="92"/>
      <c r="I2820" s="92"/>
      <c r="J2820" s="92"/>
      <c r="K2820" s="92"/>
      <c r="L2820" s="92"/>
      <c r="M2820" s="92"/>
      <c r="N2820" s="92"/>
      <c r="AG2820" s="100"/>
      <c r="AH2820" s="101"/>
      <c r="AI2820" s="101"/>
      <c r="AJ2820" s="101"/>
      <c r="AK2820" s="100"/>
      <c r="AL2820" s="100"/>
      <c r="AM2820" s="100"/>
      <c r="AN2820" s="100"/>
      <c r="AO2820" s="100"/>
      <c r="AP2820" s="100"/>
      <c r="AQ2820" s="100"/>
      <c r="AR2820" s="100"/>
      <c r="AS2820" s="100"/>
      <c r="AT2820" s="102"/>
    </row>
    <row r="2821" spans="1:63" x14ac:dyDescent="0.25">
      <c r="A2821" s="92"/>
      <c r="B2821" s="92"/>
      <c r="C2821" s="92"/>
      <c r="D2821" s="92"/>
      <c r="E2821" s="92"/>
      <c r="F2821" s="92"/>
      <c r="G2821" s="92"/>
      <c r="H2821" s="92"/>
      <c r="I2821" s="92"/>
      <c r="J2821" s="92"/>
      <c r="K2821" s="92"/>
      <c r="L2821" s="92"/>
      <c r="M2821" s="92"/>
      <c r="N2821" s="92"/>
      <c r="AG2821" s="100"/>
      <c r="AH2821" s="101"/>
      <c r="AI2821" s="101"/>
      <c r="AJ2821" s="101"/>
      <c r="AK2821" s="100"/>
      <c r="AL2821" s="100"/>
      <c r="AM2821" s="100"/>
      <c r="AN2821" s="100"/>
      <c r="AO2821" s="100"/>
      <c r="AP2821" s="100"/>
      <c r="AQ2821" s="100"/>
      <c r="AR2821" s="100"/>
      <c r="AS2821" s="100"/>
      <c r="AT2821" s="102"/>
      <c r="AZ2821" s="117"/>
      <c r="BK2821" s="39"/>
    </row>
    <row r="2822" spans="1:63" x14ac:dyDescent="0.25">
      <c r="A2822" s="92"/>
      <c r="B2822" s="92"/>
      <c r="C2822" s="92"/>
      <c r="D2822" s="92"/>
      <c r="E2822" s="92"/>
      <c r="F2822" s="92"/>
      <c r="G2822" s="92"/>
      <c r="H2822" s="92"/>
      <c r="I2822" s="92"/>
      <c r="J2822" s="92"/>
      <c r="K2822" s="92"/>
      <c r="L2822" s="92"/>
      <c r="M2822" s="92"/>
      <c r="N2822" s="92"/>
      <c r="AG2822" s="100"/>
      <c r="AH2822" s="101"/>
      <c r="AI2822" s="101"/>
      <c r="AJ2822" s="101"/>
      <c r="AK2822" s="100"/>
      <c r="AL2822" s="100"/>
      <c r="AM2822" s="100"/>
      <c r="AN2822" s="100"/>
      <c r="AO2822" s="100"/>
      <c r="AP2822" s="100"/>
      <c r="AQ2822" s="100"/>
      <c r="AR2822" s="100"/>
      <c r="AS2822" s="100"/>
      <c r="AT2822" s="102"/>
    </row>
    <row r="2823" spans="1:63" x14ac:dyDescent="0.25">
      <c r="A2823" s="92"/>
      <c r="B2823" s="92"/>
      <c r="C2823" s="92"/>
      <c r="D2823" s="92"/>
      <c r="E2823" s="92"/>
      <c r="F2823" s="92"/>
      <c r="G2823" s="92"/>
      <c r="H2823" s="92"/>
      <c r="I2823" s="92"/>
      <c r="J2823" s="92"/>
      <c r="K2823" s="92"/>
      <c r="L2823" s="92"/>
      <c r="M2823" s="92"/>
      <c r="N2823" s="92"/>
      <c r="AG2823" s="100"/>
      <c r="AH2823" s="101"/>
      <c r="AI2823" s="101"/>
      <c r="AJ2823" s="101"/>
      <c r="AK2823" s="100"/>
      <c r="AL2823" s="100"/>
      <c r="AM2823" s="100"/>
      <c r="AN2823" s="100"/>
      <c r="AO2823" s="100"/>
      <c r="AP2823" s="100"/>
      <c r="AQ2823" s="100"/>
      <c r="AR2823" s="100"/>
      <c r="AS2823" s="100"/>
      <c r="AT2823" s="102"/>
    </row>
    <row r="2824" spans="1:63" x14ac:dyDescent="0.25">
      <c r="A2824" s="92"/>
      <c r="B2824" s="92"/>
      <c r="C2824" s="92"/>
      <c r="D2824" s="92"/>
      <c r="E2824" s="92"/>
      <c r="F2824" s="92"/>
      <c r="G2824" s="92"/>
      <c r="H2824" s="92"/>
      <c r="I2824" s="92"/>
      <c r="J2824" s="92"/>
      <c r="K2824" s="92"/>
      <c r="L2824" s="92"/>
      <c r="M2824" s="92"/>
      <c r="N2824" s="92"/>
      <c r="AG2824" s="100"/>
      <c r="AH2824" s="101"/>
      <c r="AI2824" s="101"/>
      <c r="AJ2824" s="101"/>
      <c r="AK2824" s="100"/>
      <c r="AL2824" s="100"/>
      <c r="AM2824" s="100"/>
      <c r="AN2824" s="100"/>
      <c r="AO2824" s="100"/>
      <c r="AP2824" s="100"/>
      <c r="AQ2824" s="100"/>
      <c r="AR2824" s="100"/>
      <c r="AS2824" s="100"/>
      <c r="AT2824" s="102"/>
      <c r="AZ2824" s="117"/>
      <c r="BK2824" s="39"/>
    </row>
    <row r="2825" spans="1:63" x14ac:dyDescent="0.25">
      <c r="A2825" s="92"/>
      <c r="B2825" s="92"/>
      <c r="C2825" s="92"/>
      <c r="D2825" s="92"/>
      <c r="E2825" s="92"/>
      <c r="F2825" s="92"/>
      <c r="G2825" s="92"/>
      <c r="H2825" s="92"/>
      <c r="I2825" s="92"/>
      <c r="J2825" s="92"/>
      <c r="K2825" s="92"/>
      <c r="L2825" s="92"/>
      <c r="M2825" s="92"/>
      <c r="N2825" s="92"/>
      <c r="AG2825" s="100"/>
      <c r="AH2825" s="100"/>
      <c r="AI2825" s="100"/>
      <c r="AJ2825" s="101"/>
      <c r="AK2825" s="100"/>
      <c r="AL2825" s="100"/>
      <c r="AM2825" s="100"/>
      <c r="AN2825" s="100"/>
      <c r="AO2825" s="100"/>
      <c r="AP2825" s="100"/>
      <c r="AQ2825" s="100"/>
      <c r="AR2825" s="100"/>
      <c r="AS2825" s="100"/>
      <c r="AT2825" s="100"/>
      <c r="AZ2825" s="117"/>
      <c r="BK2825" s="39"/>
    </row>
    <row r="2826" spans="1:63" x14ac:dyDescent="0.25">
      <c r="A2826" s="92"/>
      <c r="B2826" s="92"/>
      <c r="C2826" s="92"/>
      <c r="D2826" s="92"/>
      <c r="E2826" s="92"/>
      <c r="F2826" s="92"/>
      <c r="G2826" s="92"/>
      <c r="H2826" s="92"/>
      <c r="I2826" s="92"/>
      <c r="J2826" s="92"/>
      <c r="K2826" s="92"/>
      <c r="L2826" s="92"/>
      <c r="M2826" s="92"/>
      <c r="N2826" s="92"/>
      <c r="AG2826" s="100"/>
      <c r="AH2826" s="100"/>
      <c r="AI2826" s="100"/>
      <c r="AJ2826" s="101"/>
      <c r="AK2826" s="100"/>
      <c r="AL2826" s="100"/>
      <c r="AM2826" s="100"/>
      <c r="AN2826" s="100"/>
      <c r="AO2826" s="100"/>
      <c r="AP2826" s="100"/>
      <c r="AQ2826" s="100"/>
      <c r="AR2826" s="100"/>
      <c r="AS2826" s="100"/>
      <c r="AT2826" s="100"/>
      <c r="AZ2826" s="117"/>
      <c r="BK2826" s="39"/>
    </row>
    <row r="2827" spans="1:63" x14ac:dyDescent="0.25">
      <c r="A2827" s="92"/>
      <c r="B2827" s="92"/>
      <c r="C2827" s="92"/>
      <c r="D2827" s="92"/>
      <c r="E2827" s="92"/>
      <c r="F2827" s="92"/>
      <c r="G2827" s="92"/>
      <c r="H2827" s="92"/>
      <c r="I2827" s="92"/>
      <c r="J2827" s="92"/>
      <c r="K2827" s="92"/>
      <c r="L2827" s="92"/>
      <c r="M2827" s="92"/>
      <c r="N2827" s="92"/>
      <c r="AG2827" s="100"/>
      <c r="AH2827" s="101"/>
      <c r="AI2827" s="101"/>
      <c r="AJ2827" s="101"/>
      <c r="AK2827" s="100"/>
      <c r="AL2827" s="100"/>
      <c r="AM2827" s="100"/>
      <c r="AN2827" s="100"/>
      <c r="AO2827" s="100"/>
      <c r="AP2827" s="100"/>
      <c r="AQ2827" s="100"/>
      <c r="AR2827" s="100"/>
      <c r="AS2827" s="100"/>
      <c r="AT2827" s="102"/>
      <c r="AZ2827" s="117"/>
      <c r="BK2827" s="39"/>
    </row>
    <row r="2828" spans="1:63" x14ac:dyDescent="0.25">
      <c r="A2828" s="92"/>
      <c r="B2828" s="93"/>
      <c r="C2828" s="93"/>
      <c r="D2828" s="92"/>
      <c r="E2828" s="92"/>
      <c r="F2828" s="92"/>
      <c r="G2828" s="92"/>
      <c r="H2828" s="92"/>
      <c r="I2828" s="92"/>
      <c r="J2828" s="92"/>
      <c r="K2828" s="92"/>
      <c r="L2828" s="92"/>
      <c r="M2828" s="92"/>
      <c r="N2828" s="94"/>
      <c r="AG2828" s="100"/>
      <c r="AH2828" s="100"/>
      <c r="AI2828" s="100"/>
      <c r="AJ2828" s="101"/>
      <c r="AK2828" s="100"/>
      <c r="AL2828" s="100"/>
      <c r="AM2828" s="100"/>
      <c r="AN2828" s="100"/>
      <c r="AO2828" s="100"/>
      <c r="AP2828" s="100"/>
      <c r="AQ2828" s="100"/>
      <c r="AR2828" s="100"/>
      <c r="AS2828" s="100"/>
      <c r="AT2828" s="100"/>
    </row>
    <row r="2829" spans="1:63" x14ac:dyDescent="0.25">
      <c r="A2829" s="92"/>
      <c r="B2829" s="92"/>
      <c r="C2829" s="92"/>
      <c r="D2829" s="92"/>
      <c r="E2829" s="92"/>
      <c r="F2829" s="92"/>
      <c r="G2829" s="92"/>
      <c r="H2829" s="92"/>
      <c r="I2829" s="92"/>
      <c r="J2829" s="92"/>
      <c r="K2829" s="92"/>
      <c r="L2829" s="92"/>
      <c r="M2829" s="92"/>
      <c r="N2829" s="92"/>
      <c r="AG2829" s="100"/>
      <c r="AH2829" s="100"/>
      <c r="AI2829" s="100"/>
      <c r="AJ2829" s="101"/>
      <c r="AK2829" s="100"/>
      <c r="AL2829" s="100"/>
      <c r="AM2829" s="100"/>
      <c r="AN2829" s="100"/>
      <c r="AO2829" s="100"/>
      <c r="AP2829" s="100"/>
      <c r="AQ2829" s="100"/>
      <c r="AR2829" s="100"/>
      <c r="AS2829" s="100"/>
      <c r="AT2829" s="100"/>
      <c r="AZ2829" s="117"/>
      <c r="BK2829" s="39"/>
    </row>
    <row r="2830" spans="1:63" x14ac:dyDescent="0.25">
      <c r="A2830" s="92"/>
      <c r="B2830" s="92"/>
      <c r="C2830" s="92"/>
      <c r="D2830" s="92"/>
      <c r="E2830" s="92"/>
      <c r="F2830" s="92"/>
      <c r="G2830" s="92"/>
      <c r="H2830" s="92"/>
      <c r="I2830" s="92"/>
      <c r="J2830" s="92"/>
      <c r="K2830" s="92"/>
      <c r="L2830" s="92"/>
      <c r="M2830" s="92"/>
      <c r="N2830" s="92"/>
      <c r="AG2830" s="100"/>
      <c r="AH2830" s="100"/>
      <c r="AI2830" s="100"/>
      <c r="AJ2830" s="101"/>
      <c r="AK2830" s="100"/>
      <c r="AL2830" s="100"/>
      <c r="AM2830" s="100"/>
      <c r="AN2830" s="100"/>
      <c r="AO2830" s="100"/>
      <c r="AP2830" s="100"/>
      <c r="AQ2830" s="100"/>
      <c r="AR2830" s="100"/>
      <c r="AS2830" s="100"/>
      <c r="AT2830" s="100"/>
      <c r="AZ2830" s="117"/>
      <c r="BK2830" s="39"/>
    </row>
    <row r="2831" spans="1:63" x14ac:dyDescent="0.25">
      <c r="A2831" s="92"/>
      <c r="B2831" s="93"/>
      <c r="C2831" s="93"/>
      <c r="D2831" s="92"/>
      <c r="E2831" s="92"/>
      <c r="F2831" s="92"/>
      <c r="G2831" s="92"/>
      <c r="H2831" s="92"/>
      <c r="I2831" s="92"/>
      <c r="J2831" s="92"/>
      <c r="K2831" s="92"/>
      <c r="L2831" s="92"/>
      <c r="M2831" s="92"/>
      <c r="N2831" s="94"/>
      <c r="AG2831" s="100"/>
      <c r="AH2831" s="101"/>
      <c r="AI2831" s="101"/>
      <c r="AJ2831" s="101"/>
      <c r="AK2831" s="100"/>
      <c r="AL2831" s="100"/>
      <c r="AM2831" s="100"/>
      <c r="AN2831" s="100"/>
      <c r="AO2831" s="100"/>
      <c r="AP2831" s="100"/>
      <c r="AQ2831" s="100"/>
      <c r="AR2831" s="100"/>
      <c r="AS2831" s="100"/>
      <c r="AT2831" s="102"/>
      <c r="AZ2831" s="117"/>
      <c r="BA2831" s="117"/>
      <c r="BK2831" s="39"/>
    </row>
    <row r="2832" spans="1:63" x14ac:dyDescent="0.25">
      <c r="A2832" s="92"/>
      <c r="B2832" s="93"/>
      <c r="C2832" s="93"/>
      <c r="D2832" s="92"/>
      <c r="E2832" s="92"/>
      <c r="F2832" s="92"/>
      <c r="G2832" s="92"/>
      <c r="H2832" s="92"/>
      <c r="I2832" s="92"/>
      <c r="J2832" s="92"/>
      <c r="K2832" s="92"/>
      <c r="L2832" s="92"/>
      <c r="M2832" s="92"/>
      <c r="N2832" s="94"/>
      <c r="AG2832" s="100"/>
      <c r="AH2832" s="101"/>
      <c r="AI2832" s="101"/>
      <c r="AJ2832" s="101"/>
      <c r="AK2832" s="100"/>
      <c r="AL2832" s="100"/>
      <c r="AM2832" s="100"/>
      <c r="AN2832" s="100"/>
      <c r="AO2832" s="100"/>
      <c r="AP2832" s="100"/>
      <c r="AQ2832" s="100"/>
      <c r="AR2832" s="100"/>
      <c r="AS2832" s="100"/>
      <c r="AT2832" s="102"/>
      <c r="BA2832" s="117"/>
    </row>
    <row r="2833" spans="1:63" x14ac:dyDescent="0.25">
      <c r="A2833" s="92"/>
      <c r="B2833" s="93"/>
      <c r="C2833" s="93"/>
      <c r="D2833" s="92"/>
      <c r="E2833" s="92"/>
      <c r="F2833" s="92"/>
      <c r="G2833" s="92"/>
      <c r="H2833" s="92"/>
      <c r="I2833" s="92"/>
      <c r="J2833" s="92"/>
      <c r="K2833" s="92"/>
      <c r="L2833" s="92"/>
      <c r="M2833" s="92"/>
      <c r="N2833" s="94"/>
      <c r="AG2833" s="100"/>
      <c r="AH2833" s="101"/>
      <c r="AI2833" s="101"/>
      <c r="AJ2833" s="101"/>
      <c r="AK2833" s="100"/>
      <c r="AL2833" s="100"/>
      <c r="AM2833" s="100"/>
      <c r="AN2833" s="100"/>
      <c r="AO2833" s="100"/>
      <c r="AP2833" s="100"/>
      <c r="AQ2833" s="100"/>
      <c r="AR2833" s="100"/>
      <c r="AS2833" s="100"/>
      <c r="AT2833" s="102"/>
    </row>
    <row r="2834" spans="1:63" x14ac:dyDescent="0.25">
      <c r="A2834" s="92"/>
      <c r="B2834" s="93"/>
      <c r="C2834" s="93"/>
      <c r="D2834" s="92"/>
      <c r="E2834" s="92"/>
      <c r="F2834" s="92"/>
      <c r="G2834" s="92"/>
      <c r="H2834" s="92"/>
      <c r="I2834" s="92"/>
      <c r="J2834" s="92"/>
      <c r="K2834" s="92"/>
      <c r="L2834" s="92"/>
      <c r="M2834" s="92"/>
      <c r="N2834" s="94"/>
      <c r="AG2834" s="100"/>
      <c r="AH2834" s="101"/>
      <c r="AI2834" s="101"/>
      <c r="AJ2834" s="101"/>
      <c r="AK2834" s="100"/>
      <c r="AL2834" s="100"/>
      <c r="AM2834" s="100"/>
      <c r="AN2834" s="100"/>
      <c r="AO2834" s="100"/>
      <c r="AP2834" s="100"/>
      <c r="AQ2834" s="100"/>
      <c r="AR2834" s="100"/>
      <c r="AS2834" s="100"/>
      <c r="AT2834" s="102"/>
    </row>
    <row r="2835" spans="1:63" x14ac:dyDescent="0.25">
      <c r="A2835" s="92"/>
      <c r="B2835" s="92"/>
      <c r="C2835" s="92"/>
      <c r="D2835" s="92"/>
      <c r="E2835" s="92"/>
      <c r="F2835" s="92"/>
      <c r="G2835" s="92"/>
      <c r="H2835" s="92"/>
      <c r="I2835" s="92"/>
      <c r="J2835" s="92"/>
      <c r="K2835" s="92"/>
      <c r="L2835" s="92"/>
      <c r="M2835" s="92"/>
      <c r="N2835" s="92"/>
      <c r="AG2835" s="100"/>
      <c r="AH2835" s="101"/>
      <c r="AI2835" s="101"/>
      <c r="AJ2835" s="101"/>
      <c r="AK2835" s="100"/>
      <c r="AL2835" s="100"/>
      <c r="AM2835" s="100"/>
      <c r="AN2835" s="100"/>
      <c r="AO2835" s="100"/>
      <c r="AP2835" s="100"/>
      <c r="AQ2835" s="100"/>
      <c r="AR2835" s="100"/>
      <c r="AS2835" s="100"/>
      <c r="AT2835" s="102"/>
    </row>
    <row r="2836" spans="1:63" x14ac:dyDescent="0.25">
      <c r="A2836" s="92"/>
      <c r="B2836" s="93"/>
      <c r="C2836" s="93"/>
      <c r="D2836" s="92"/>
      <c r="E2836" s="92"/>
      <c r="F2836" s="92"/>
      <c r="G2836" s="92"/>
      <c r="H2836" s="92"/>
      <c r="I2836" s="92"/>
      <c r="J2836" s="92"/>
      <c r="K2836" s="92"/>
      <c r="L2836" s="92"/>
      <c r="M2836" s="92"/>
      <c r="N2836" s="94"/>
      <c r="AG2836" s="100"/>
      <c r="AH2836" s="101"/>
      <c r="AI2836" s="101"/>
      <c r="AJ2836" s="101"/>
      <c r="AK2836" s="100"/>
      <c r="AL2836" s="100"/>
      <c r="AM2836" s="100"/>
      <c r="AN2836" s="100"/>
      <c r="AO2836" s="100"/>
      <c r="AP2836" s="100"/>
      <c r="AQ2836" s="100"/>
      <c r="AR2836" s="100"/>
      <c r="AS2836" s="100"/>
      <c r="AT2836" s="102"/>
    </row>
    <row r="2837" spans="1:63" x14ac:dyDescent="0.25">
      <c r="A2837" s="92"/>
      <c r="B2837" s="93"/>
      <c r="C2837" s="93"/>
      <c r="D2837" s="92"/>
      <c r="E2837" s="92"/>
      <c r="F2837" s="92"/>
      <c r="G2837" s="92"/>
      <c r="H2837" s="92"/>
      <c r="I2837" s="92"/>
      <c r="J2837" s="92"/>
      <c r="K2837" s="92"/>
      <c r="L2837" s="92"/>
      <c r="M2837" s="92"/>
      <c r="N2837" s="94"/>
      <c r="AG2837" s="100"/>
      <c r="AH2837" s="101"/>
      <c r="AI2837" s="101"/>
      <c r="AJ2837" s="101"/>
      <c r="AK2837" s="100"/>
      <c r="AL2837" s="100"/>
      <c r="AM2837" s="100"/>
      <c r="AN2837" s="100"/>
      <c r="AO2837" s="100"/>
      <c r="AP2837" s="100"/>
      <c r="AQ2837" s="100"/>
      <c r="AR2837" s="100"/>
      <c r="AS2837" s="100"/>
      <c r="AT2837" s="102"/>
    </row>
    <row r="2838" spans="1:63" x14ac:dyDescent="0.25">
      <c r="A2838" s="92"/>
      <c r="B2838" s="93"/>
      <c r="C2838" s="93"/>
      <c r="D2838" s="93"/>
      <c r="E2838" s="92"/>
      <c r="F2838" s="92"/>
      <c r="G2838" s="92"/>
      <c r="H2838" s="92"/>
      <c r="I2838" s="92"/>
      <c r="J2838" s="92"/>
      <c r="K2838" s="92"/>
      <c r="L2838" s="92"/>
      <c r="M2838" s="92"/>
      <c r="N2838" s="94"/>
      <c r="AG2838" s="100"/>
      <c r="AH2838" s="101"/>
      <c r="AI2838" s="101"/>
      <c r="AJ2838" s="101"/>
      <c r="AK2838" s="100"/>
      <c r="AL2838" s="100"/>
      <c r="AM2838" s="100"/>
      <c r="AN2838" s="100"/>
      <c r="AO2838" s="100"/>
      <c r="AP2838" s="100"/>
      <c r="AQ2838" s="100"/>
      <c r="AR2838" s="100"/>
      <c r="AS2838" s="100"/>
      <c r="AT2838" s="102"/>
    </row>
    <row r="2839" spans="1:63" x14ac:dyDescent="0.25">
      <c r="A2839" s="92"/>
      <c r="B2839" s="92"/>
      <c r="C2839" s="92"/>
      <c r="D2839" s="93"/>
      <c r="E2839" s="92"/>
      <c r="F2839" s="92"/>
      <c r="G2839" s="92"/>
      <c r="H2839" s="92"/>
      <c r="I2839" s="92"/>
      <c r="J2839" s="92"/>
      <c r="K2839" s="92"/>
      <c r="L2839" s="92"/>
      <c r="M2839" s="92"/>
      <c r="N2839" s="92"/>
      <c r="AG2839" s="100"/>
      <c r="AH2839" s="101"/>
      <c r="AI2839" s="101"/>
      <c r="AJ2839" s="101"/>
      <c r="AK2839" s="100"/>
      <c r="AL2839" s="100"/>
      <c r="AM2839" s="100"/>
      <c r="AN2839" s="100"/>
      <c r="AO2839" s="100"/>
      <c r="AP2839" s="100"/>
      <c r="AQ2839" s="100"/>
      <c r="AR2839" s="100"/>
      <c r="AS2839" s="100"/>
      <c r="AT2839" s="102"/>
    </row>
    <row r="2840" spans="1:63" x14ac:dyDescent="0.25">
      <c r="A2840" s="92"/>
      <c r="B2840" s="92"/>
      <c r="C2840" s="92"/>
      <c r="D2840" s="92"/>
      <c r="E2840" s="92"/>
      <c r="F2840" s="92"/>
      <c r="G2840" s="92"/>
      <c r="H2840" s="92"/>
      <c r="I2840" s="92"/>
      <c r="J2840" s="92"/>
      <c r="K2840" s="92"/>
      <c r="L2840" s="92"/>
      <c r="M2840" s="92"/>
      <c r="N2840" s="92"/>
      <c r="AG2840" s="100"/>
      <c r="AH2840" s="101"/>
      <c r="AI2840" s="101"/>
      <c r="AJ2840" s="101"/>
      <c r="AK2840" s="100"/>
      <c r="AL2840" s="100"/>
      <c r="AM2840" s="100"/>
      <c r="AN2840" s="100"/>
      <c r="AO2840" s="100"/>
      <c r="AP2840" s="100"/>
      <c r="AQ2840" s="100"/>
      <c r="AR2840" s="100"/>
      <c r="AS2840" s="100"/>
      <c r="AT2840" s="102"/>
    </row>
    <row r="2841" spans="1:63" x14ac:dyDescent="0.25">
      <c r="A2841" s="92"/>
      <c r="B2841" s="92"/>
      <c r="C2841" s="92"/>
      <c r="D2841" s="92"/>
      <c r="E2841" s="92"/>
      <c r="F2841" s="92"/>
      <c r="G2841" s="92"/>
      <c r="H2841" s="92"/>
      <c r="I2841" s="92"/>
      <c r="J2841" s="92"/>
      <c r="K2841" s="92"/>
      <c r="L2841" s="92"/>
      <c r="M2841" s="92"/>
      <c r="N2841" s="92"/>
      <c r="AG2841" s="100"/>
      <c r="AH2841" s="101"/>
      <c r="AI2841" s="101"/>
      <c r="AJ2841" s="101"/>
      <c r="AK2841" s="100"/>
      <c r="AL2841" s="100"/>
      <c r="AM2841" s="100"/>
      <c r="AN2841" s="100"/>
      <c r="AO2841" s="100"/>
      <c r="AP2841" s="100"/>
      <c r="AQ2841" s="100"/>
      <c r="AR2841" s="100"/>
      <c r="AS2841" s="100"/>
      <c r="AT2841" s="102"/>
      <c r="AZ2841" s="117"/>
      <c r="BA2841" s="117"/>
      <c r="BK2841" s="39"/>
    </row>
    <row r="2842" spans="1:63" x14ac:dyDescent="0.25">
      <c r="A2842" s="92"/>
      <c r="B2842" s="92"/>
      <c r="C2842" s="92"/>
      <c r="D2842" s="92"/>
      <c r="E2842" s="92"/>
      <c r="F2842" s="92"/>
      <c r="G2842" s="92"/>
      <c r="H2842" s="92"/>
      <c r="I2842" s="92"/>
      <c r="J2842" s="92"/>
      <c r="K2842" s="92"/>
      <c r="L2842" s="92"/>
      <c r="M2842" s="92"/>
      <c r="N2842" s="92"/>
      <c r="AG2842" s="100"/>
      <c r="AH2842" s="101"/>
      <c r="AI2842" s="101"/>
      <c r="AJ2842" s="101"/>
      <c r="AK2842" s="100"/>
      <c r="AL2842" s="100"/>
      <c r="AM2842" s="100"/>
      <c r="AN2842" s="100"/>
      <c r="AO2842" s="100"/>
      <c r="AP2842" s="100"/>
      <c r="AQ2842" s="100"/>
      <c r="AR2842" s="100"/>
      <c r="AS2842" s="100"/>
      <c r="AT2842" s="102"/>
    </row>
    <row r="2843" spans="1:63" x14ac:dyDescent="0.25">
      <c r="A2843" s="92"/>
      <c r="B2843" s="92"/>
      <c r="C2843" s="92"/>
      <c r="D2843" s="92"/>
      <c r="E2843" s="92"/>
      <c r="F2843" s="92"/>
      <c r="G2843" s="92"/>
      <c r="H2843" s="92"/>
      <c r="I2843" s="92"/>
      <c r="J2843" s="92"/>
      <c r="K2843" s="92"/>
      <c r="L2843" s="92"/>
      <c r="M2843" s="92"/>
      <c r="N2843" s="92"/>
      <c r="AG2843" s="100"/>
      <c r="AH2843" s="101"/>
      <c r="AI2843" s="101"/>
      <c r="AJ2843" s="101"/>
      <c r="AK2843" s="100"/>
      <c r="AL2843" s="100"/>
      <c r="AM2843" s="100"/>
      <c r="AN2843" s="100"/>
      <c r="AO2843" s="100"/>
      <c r="AP2843" s="100"/>
      <c r="AQ2843" s="100"/>
      <c r="AR2843" s="100"/>
      <c r="AS2843" s="100"/>
      <c r="AT2843" s="102"/>
    </row>
    <row r="2844" spans="1:63" x14ac:dyDescent="0.25">
      <c r="A2844" s="92"/>
      <c r="B2844" s="92"/>
      <c r="C2844" s="92"/>
      <c r="D2844" s="92"/>
      <c r="E2844" s="92"/>
      <c r="F2844" s="92"/>
      <c r="G2844" s="92"/>
      <c r="H2844" s="92"/>
      <c r="I2844" s="92"/>
      <c r="J2844" s="92"/>
      <c r="K2844" s="92"/>
      <c r="L2844" s="92"/>
      <c r="M2844" s="92"/>
      <c r="N2844" s="92"/>
      <c r="AG2844" s="100"/>
      <c r="AH2844" s="101"/>
      <c r="AI2844" s="101"/>
      <c r="AJ2844" s="101"/>
      <c r="AK2844" s="100"/>
      <c r="AL2844" s="100"/>
      <c r="AM2844" s="100"/>
      <c r="AN2844" s="100"/>
      <c r="AO2844" s="100"/>
      <c r="AP2844" s="100"/>
      <c r="AQ2844" s="100"/>
      <c r="AR2844" s="100"/>
      <c r="AS2844" s="100"/>
      <c r="AT2844" s="102"/>
    </row>
    <row r="2845" spans="1:63" x14ac:dyDescent="0.25">
      <c r="A2845" s="92"/>
      <c r="B2845" s="92"/>
      <c r="C2845" s="92"/>
      <c r="D2845" s="92"/>
      <c r="E2845" s="92"/>
      <c r="F2845" s="92"/>
      <c r="G2845" s="92"/>
      <c r="H2845" s="92"/>
      <c r="I2845" s="92"/>
      <c r="J2845" s="92"/>
      <c r="K2845" s="92"/>
      <c r="L2845" s="92"/>
      <c r="M2845" s="92"/>
      <c r="N2845" s="92"/>
      <c r="AG2845" s="100"/>
      <c r="AH2845" s="101"/>
      <c r="AI2845" s="101"/>
      <c r="AJ2845" s="101"/>
      <c r="AK2845" s="100"/>
      <c r="AL2845" s="100"/>
      <c r="AM2845" s="100"/>
      <c r="AN2845" s="100"/>
      <c r="AO2845" s="100"/>
      <c r="AP2845" s="100"/>
      <c r="AQ2845" s="100"/>
      <c r="AR2845" s="100"/>
      <c r="AS2845" s="100"/>
      <c r="AT2845" s="102"/>
    </row>
    <row r="2846" spans="1:63" x14ac:dyDescent="0.25">
      <c r="A2846" s="92"/>
      <c r="B2846" s="92"/>
      <c r="C2846" s="92"/>
      <c r="D2846" s="92"/>
      <c r="E2846" s="92"/>
      <c r="F2846" s="92"/>
      <c r="G2846" s="92"/>
      <c r="H2846" s="92"/>
      <c r="I2846" s="92"/>
      <c r="J2846" s="92"/>
      <c r="K2846" s="92"/>
      <c r="L2846" s="92"/>
      <c r="M2846" s="92"/>
      <c r="N2846" s="92"/>
      <c r="AG2846" s="100"/>
      <c r="AH2846" s="101"/>
      <c r="AI2846" s="101"/>
      <c r="AJ2846" s="101"/>
      <c r="AK2846" s="100"/>
      <c r="AL2846" s="100"/>
      <c r="AM2846" s="100"/>
      <c r="AN2846" s="100"/>
      <c r="AO2846" s="100"/>
      <c r="AP2846" s="100"/>
      <c r="AQ2846" s="100"/>
      <c r="AR2846" s="100"/>
      <c r="AS2846" s="100"/>
      <c r="AT2846" s="102"/>
      <c r="AZ2846" s="117"/>
      <c r="BK2846" s="39"/>
    </row>
    <row r="2847" spans="1:63" x14ac:dyDescent="0.25">
      <c r="A2847" s="92"/>
      <c r="B2847" s="92"/>
      <c r="C2847" s="92"/>
      <c r="D2847" s="92"/>
      <c r="E2847" s="92"/>
      <c r="F2847" s="92"/>
      <c r="G2847" s="92"/>
      <c r="H2847" s="92"/>
      <c r="I2847" s="92"/>
      <c r="J2847" s="92"/>
      <c r="K2847" s="92"/>
      <c r="L2847" s="92"/>
      <c r="M2847" s="92"/>
      <c r="N2847" s="92"/>
      <c r="AG2847" s="100"/>
      <c r="AH2847" s="101"/>
      <c r="AI2847" s="101"/>
      <c r="AJ2847" s="101"/>
      <c r="AK2847" s="100"/>
      <c r="AL2847" s="100"/>
      <c r="AM2847" s="100"/>
      <c r="AN2847" s="100"/>
      <c r="AO2847" s="100"/>
      <c r="AP2847" s="100"/>
      <c r="AQ2847" s="100"/>
      <c r="AR2847" s="100"/>
      <c r="AS2847" s="100"/>
      <c r="AT2847" s="102"/>
      <c r="AZ2847" s="117"/>
      <c r="BK2847" s="39"/>
    </row>
    <row r="2848" spans="1:63" x14ac:dyDescent="0.25">
      <c r="A2848" s="92"/>
      <c r="B2848" s="93"/>
      <c r="C2848" s="93"/>
      <c r="D2848" s="93"/>
      <c r="E2848" s="92"/>
      <c r="F2848" s="92"/>
      <c r="G2848" s="92"/>
      <c r="H2848" s="92"/>
      <c r="I2848" s="92"/>
      <c r="J2848" s="92"/>
      <c r="K2848" s="92"/>
      <c r="L2848" s="92"/>
      <c r="M2848" s="92"/>
      <c r="N2848" s="94"/>
      <c r="AG2848" s="100"/>
      <c r="AH2848" s="101"/>
      <c r="AI2848" s="101"/>
      <c r="AJ2848" s="101"/>
      <c r="AK2848" s="100"/>
      <c r="AL2848" s="100"/>
      <c r="AM2848" s="100"/>
      <c r="AN2848" s="100"/>
      <c r="AO2848" s="100"/>
      <c r="AP2848" s="100"/>
      <c r="AQ2848" s="100"/>
      <c r="AR2848" s="100"/>
      <c r="AS2848" s="100"/>
      <c r="AT2848" s="102"/>
      <c r="AZ2848" s="117"/>
      <c r="BK2848" s="39"/>
    </row>
    <row r="2849" spans="1:63" x14ac:dyDescent="0.25">
      <c r="A2849" s="92"/>
      <c r="B2849" s="92"/>
      <c r="C2849" s="92"/>
      <c r="D2849" s="92"/>
      <c r="E2849" s="92"/>
      <c r="F2849" s="92"/>
      <c r="G2849" s="92"/>
      <c r="H2849" s="92"/>
      <c r="I2849" s="92"/>
      <c r="J2849" s="92"/>
      <c r="K2849" s="92"/>
      <c r="L2849" s="92"/>
      <c r="M2849" s="92"/>
      <c r="N2849" s="92"/>
      <c r="AG2849" s="100"/>
      <c r="AH2849" s="101"/>
      <c r="AI2849" s="101"/>
      <c r="AJ2849" s="101"/>
      <c r="AK2849" s="100"/>
      <c r="AL2849" s="100"/>
      <c r="AM2849" s="100"/>
      <c r="AN2849" s="100"/>
      <c r="AO2849" s="100"/>
      <c r="AP2849" s="100"/>
      <c r="AQ2849" s="100"/>
      <c r="AR2849" s="100"/>
      <c r="AS2849" s="100"/>
      <c r="AT2849" s="102"/>
      <c r="AZ2849" s="117"/>
      <c r="BK2849" s="39"/>
    </row>
    <row r="2850" spans="1:63" x14ac:dyDescent="0.25">
      <c r="A2850" s="92"/>
      <c r="B2850" s="92"/>
      <c r="C2850" s="92"/>
      <c r="D2850" s="92"/>
      <c r="E2850" s="92"/>
      <c r="F2850" s="92"/>
      <c r="G2850" s="92"/>
      <c r="H2850" s="92"/>
      <c r="I2850" s="92"/>
      <c r="J2850" s="92"/>
      <c r="K2850" s="92"/>
      <c r="L2850" s="92"/>
      <c r="M2850" s="92"/>
      <c r="N2850" s="92"/>
      <c r="AG2850" s="100"/>
      <c r="AH2850" s="101"/>
      <c r="AI2850" s="101"/>
      <c r="AJ2850" s="101"/>
      <c r="AK2850" s="100"/>
      <c r="AL2850" s="100"/>
      <c r="AM2850" s="100"/>
      <c r="AN2850" s="100"/>
      <c r="AO2850" s="100"/>
      <c r="AP2850" s="100"/>
      <c r="AQ2850" s="100"/>
      <c r="AR2850" s="100"/>
      <c r="AS2850" s="100"/>
      <c r="AT2850" s="102"/>
      <c r="AZ2850" s="117"/>
      <c r="BK2850" s="39"/>
    </row>
    <row r="2851" spans="1:63" x14ac:dyDescent="0.25">
      <c r="A2851" s="92"/>
      <c r="B2851" s="92"/>
      <c r="C2851" s="92"/>
      <c r="D2851" s="92"/>
      <c r="E2851" s="92"/>
      <c r="F2851" s="92"/>
      <c r="G2851" s="92"/>
      <c r="H2851" s="92"/>
      <c r="I2851" s="92"/>
      <c r="J2851" s="92"/>
      <c r="K2851" s="92"/>
      <c r="L2851" s="92"/>
      <c r="M2851" s="92"/>
      <c r="N2851" s="92"/>
      <c r="AG2851" s="100"/>
      <c r="AH2851" s="101"/>
      <c r="AI2851" s="101"/>
      <c r="AJ2851" s="101"/>
      <c r="AK2851" s="100"/>
      <c r="AL2851" s="100"/>
      <c r="AM2851" s="100"/>
      <c r="AN2851" s="100"/>
      <c r="AO2851" s="100"/>
      <c r="AP2851" s="100"/>
      <c r="AQ2851" s="100"/>
      <c r="AR2851" s="100"/>
      <c r="AS2851" s="100"/>
      <c r="AT2851" s="102"/>
      <c r="AZ2851" s="117"/>
      <c r="BK2851" s="39"/>
    </row>
    <row r="2852" spans="1:63" x14ac:dyDescent="0.25">
      <c r="A2852" s="92"/>
      <c r="B2852" s="92"/>
      <c r="C2852" s="92"/>
      <c r="D2852" s="92"/>
      <c r="E2852" s="92"/>
      <c r="F2852" s="92"/>
      <c r="G2852" s="92"/>
      <c r="H2852" s="92"/>
      <c r="I2852" s="92"/>
      <c r="J2852" s="92"/>
      <c r="K2852" s="92"/>
      <c r="L2852" s="92"/>
      <c r="M2852" s="92"/>
      <c r="N2852" s="92"/>
      <c r="AG2852" s="100"/>
      <c r="AH2852" s="101"/>
      <c r="AI2852" s="101"/>
      <c r="AJ2852" s="101"/>
      <c r="AK2852" s="100"/>
      <c r="AL2852" s="100"/>
      <c r="AM2852" s="100"/>
      <c r="AN2852" s="100"/>
      <c r="AO2852" s="100"/>
      <c r="AP2852" s="100"/>
      <c r="AQ2852" s="100"/>
      <c r="AR2852" s="100"/>
      <c r="AS2852" s="100"/>
      <c r="AT2852" s="102"/>
      <c r="AZ2852" s="117"/>
      <c r="BK2852" s="39"/>
    </row>
    <row r="2853" spans="1:63" x14ac:dyDescent="0.25">
      <c r="A2853" s="92"/>
      <c r="B2853" s="93"/>
      <c r="C2853" s="93"/>
      <c r="D2853" s="92"/>
      <c r="E2853" s="92"/>
      <c r="F2853" s="92"/>
      <c r="G2853" s="92"/>
      <c r="H2853" s="92"/>
      <c r="I2853" s="92"/>
      <c r="J2853" s="92"/>
      <c r="K2853" s="92"/>
      <c r="L2853" s="92"/>
      <c r="M2853" s="92"/>
      <c r="N2853" s="94"/>
      <c r="AG2853" s="100"/>
      <c r="AH2853" s="101"/>
      <c r="AI2853" s="101"/>
      <c r="AJ2853" s="101"/>
      <c r="AK2853" s="100"/>
      <c r="AL2853" s="100"/>
      <c r="AM2853" s="100"/>
      <c r="AN2853" s="100"/>
      <c r="AO2853" s="100"/>
      <c r="AP2853" s="100"/>
      <c r="AQ2853" s="100"/>
      <c r="AR2853" s="100"/>
      <c r="AS2853" s="100"/>
      <c r="AT2853" s="102"/>
    </row>
    <row r="2854" spans="1:63" x14ac:dyDescent="0.25">
      <c r="A2854" s="92"/>
      <c r="B2854" s="93"/>
      <c r="C2854" s="93"/>
      <c r="D2854" s="92"/>
      <c r="E2854" s="92"/>
      <c r="F2854" s="92"/>
      <c r="G2854" s="92"/>
      <c r="H2854" s="92"/>
      <c r="I2854" s="92"/>
      <c r="J2854" s="92"/>
      <c r="K2854" s="92"/>
      <c r="L2854" s="92"/>
      <c r="M2854" s="92"/>
      <c r="N2854" s="94"/>
      <c r="AG2854" s="100"/>
      <c r="AH2854" s="101"/>
      <c r="AI2854" s="101"/>
      <c r="AJ2854" s="101"/>
      <c r="AK2854" s="100"/>
      <c r="AL2854" s="100"/>
      <c r="AM2854" s="100"/>
      <c r="AN2854" s="100"/>
      <c r="AO2854" s="100"/>
      <c r="AP2854" s="100"/>
      <c r="AQ2854" s="100"/>
      <c r="AR2854" s="100"/>
      <c r="AS2854" s="100"/>
      <c r="AT2854" s="102"/>
    </row>
    <row r="2855" spans="1:63" x14ac:dyDescent="0.25">
      <c r="A2855" s="92"/>
      <c r="B2855" s="93"/>
      <c r="C2855" s="93"/>
      <c r="D2855" s="92"/>
      <c r="E2855" s="92"/>
      <c r="F2855" s="92"/>
      <c r="G2855" s="92"/>
      <c r="H2855" s="92"/>
      <c r="I2855" s="92"/>
      <c r="J2855" s="92"/>
      <c r="K2855" s="92"/>
      <c r="L2855" s="92"/>
      <c r="M2855" s="92"/>
      <c r="N2855" s="94"/>
      <c r="AG2855" s="100"/>
      <c r="AH2855" s="101"/>
      <c r="AI2855" s="101"/>
      <c r="AJ2855" s="101"/>
      <c r="AK2855" s="100"/>
      <c r="AL2855" s="100"/>
      <c r="AM2855" s="100"/>
      <c r="AN2855" s="100"/>
      <c r="AO2855" s="100"/>
      <c r="AP2855" s="100"/>
      <c r="AQ2855" s="100"/>
      <c r="AR2855" s="100"/>
      <c r="AS2855" s="100"/>
      <c r="AT2855" s="102"/>
      <c r="AZ2855" s="117"/>
      <c r="BK2855" s="39"/>
    </row>
    <row r="2856" spans="1:63" x14ac:dyDescent="0.25">
      <c r="A2856" s="92"/>
      <c r="B2856" s="93"/>
      <c r="C2856" s="93"/>
      <c r="D2856" s="92"/>
      <c r="E2856" s="92"/>
      <c r="F2856" s="92"/>
      <c r="G2856" s="92"/>
      <c r="H2856" s="92"/>
      <c r="I2856" s="92"/>
      <c r="J2856" s="92"/>
      <c r="K2856" s="92"/>
      <c r="L2856" s="92"/>
      <c r="M2856" s="92"/>
      <c r="N2856" s="94"/>
      <c r="AG2856" s="100"/>
      <c r="AH2856" s="101"/>
      <c r="AI2856" s="101"/>
      <c r="AJ2856" s="101"/>
      <c r="AK2856" s="100"/>
      <c r="AL2856" s="100"/>
      <c r="AM2856" s="100"/>
      <c r="AN2856" s="100"/>
      <c r="AO2856" s="100"/>
      <c r="AP2856" s="100"/>
      <c r="AQ2856" s="100"/>
      <c r="AR2856" s="100"/>
      <c r="AS2856" s="100"/>
      <c r="AT2856" s="102"/>
      <c r="AZ2856" s="117"/>
      <c r="BK2856" s="39"/>
    </row>
    <row r="2857" spans="1:63" x14ac:dyDescent="0.25">
      <c r="A2857" s="92"/>
      <c r="B2857" s="93"/>
      <c r="C2857" s="93"/>
      <c r="D2857" s="92"/>
      <c r="E2857" s="92"/>
      <c r="F2857" s="92"/>
      <c r="G2857" s="92"/>
      <c r="H2857" s="92"/>
      <c r="I2857" s="92"/>
      <c r="J2857" s="92"/>
      <c r="K2857" s="92"/>
      <c r="L2857" s="92"/>
      <c r="M2857" s="92"/>
      <c r="N2857" s="94"/>
      <c r="AG2857" s="100"/>
      <c r="AH2857" s="101"/>
      <c r="AI2857" s="101"/>
      <c r="AJ2857" s="101"/>
      <c r="AK2857" s="100"/>
      <c r="AL2857" s="100"/>
      <c r="AM2857" s="100"/>
      <c r="AN2857" s="100"/>
      <c r="AO2857" s="100"/>
      <c r="AP2857" s="100"/>
      <c r="AQ2857" s="100"/>
      <c r="AR2857" s="100"/>
      <c r="AS2857" s="100"/>
      <c r="AT2857" s="102"/>
      <c r="AZ2857" s="117"/>
      <c r="BK2857" s="39"/>
    </row>
    <row r="2858" spans="1:63" x14ac:dyDescent="0.25">
      <c r="A2858" s="92"/>
      <c r="B2858" s="93"/>
      <c r="C2858" s="93"/>
      <c r="D2858" s="92"/>
      <c r="E2858" s="92"/>
      <c r="F2858" s="92"/>
      <c r="G2858" s="92"/>
      <c r="H2858" s="92"/>
      <c r="I2858" s="92"/>
      <c r="J2858" s="92"/>
      <c r="K2858" s="92"/>
      <c r="L2858" s="92"/>
      <c r="M2858" s="92"/>
      <c r="N2858" s="94"/>
      <c r="AG2858" s="100"/>
      <c r="AH2858" s="101"/>
      <c r="AI2858" s="101"/>
      <c r="AJ2858" s="101"/>
      <c r="AK2858" s="100"/>
      <c r="AL2858" s="100"/>
      <c r="AM2858" s="100"/>
      <c r="AN2858" s="100"/>
      <c r="AO2858" s="100"/>
      <c r="AP2858" s="100"/>
      <c r="AQ2858" s="100"/>
      <c r="AR2858" s="100"/>
      <c r="AS2858" s="100"/>
      <c r="AT2858" s="102"/>
    </row>
    <row r="2859" spans="1:63" x14ac:dyDescent="0.25">
      <c r="A2859" s="92"/>
      <c r="B2859" s="93"/>
      <c r="C2859" s="93"/>
      <c r="D2859" s="92"/>
      <c r="E2859" s="92"/>
      <c r="F2859" s="92"/>
      <c r="G2859" s="92"/>
      <c r="H2859" s="92"/>
      <c r="I2859" s="92"/>
      <c r="J2859" s="92"/>
      <c r="K2859" s="92"/>
      <c r="L2859" s="92"/>
      <c r="M2859" s="92"/>
      <c r="N2859" s="94"/>
      <c r="AG2859" s="100"/>
      <c r="AH2859" s="101"/>
      <c r="AI2859" s="101"/>
      <c r="AJ2859" s="101"/>
      <c r="AK2859" s="100"/>
      <c r="AL2859" s="100"/>
      <c r="AM2859" s="100"/>
      <c r="AN2859" s="100"/>
      <c r="AO2859" s="100"/>
      <c r="AP2859" s="100"/>
      <c r="AQ2859" s="100"/>
      <c r="AR2859" s="100"/>
      <c r="AS2859" s="100"/>
      <c r="AT2859" s="102"/>
    </row>
    <row r="2860" spans="1:63" x14ac:dyDescent="0.25">
      <c r="A2860" s="92"/>
      <c r="B2860" s="92"/>
      <c r="C2860" s="92"/>
      <c r="D2860" s="92"/>
      <c r="E2860" s="92"/>
      <c r="F2860" s="92"/>
      <c r="G2860" s="92"/>
      <c r="H2860" s="92"/>
      <c r="I2860" s="92"/>
      <c r="J2860" s="92"/>
      <c r="K2860" s="92"/>
      <c r="L2860" s="92"/>
      <c r="M2860" s="92"/>
      <c r="N2860" s="92"/>
      <c r="AG2860" s="100"/>
      <c r="AH2860" s="101"/>
      <c r="AI2860" s="101"/>
      <c r="AJ2860" s="101"/>
      <c r="AK2860" s="100"/>
      <c r="AL2860" s="100"/>
      <c r="AM2860" s="100"/>
      <c r="AN2860" s="100"/>
      <c r="AO2860" s="100"/>
      <c r="AP2860" s="100"/>
      <c r="AQ2860" s="100"/>
      <c r="AR2860" s="100"/>
      <c r="AS2860" s="100"/>
      <c r="AT2860" s="102"/>
    </row>
    <row r="2861" spans="1:63" x14ac:dyDescent="0.25">
      <c r="A2861" s="92"/>
      <c r="B2861" s="92"/>
      <c r="C2861" s="92"/>
      <c r="D2861" s="92"/>
      <c r="E2861" s="92"/>
      <c r="F2861" s="92"/>
      <c r="G2861" s="92"/>
      <c r="H2861" s="92"/>
      <c r="I2861" s="92"/>
      <c r="J2861" s="92"/>
      <c r="K2861" s="92"/>
      <c r="L2861" s="92"/>
      <c r="M2861" s="92"/>
      <c r="N2861" s="92"/>
      <c r="AG2861" s="100"/>
      <c r="AH2861" s="101"/>
      <c r="AI2861" s="101"/>
      <c r="AJ2861" s="101"/>
      <c r="AK2861" s="100"/>
      <c r="AL2861" s="100"/>
      <c r="AM2861" s="100"/>
      <c r="AN2861" s="100"/>
      <c r="AO2861" s="100"/>
      <c r="AP2861" s="100"/>
      <c r="AQ2861" s="100"/>
      <c r="AR2861" s="100"/>
      <c r="AS2861" s="100"/>
      <c r="AT2861" s="102"/>
      <c r="AZ2861" s="117"/>
      <c r="BK2861" s="39"/>
    </row>
    <row r="2862" spans="1:63" x14ac:dyDescent="0.25">
      <c r="A2862" s="92"/>
      <c r="B2862" s="93"/>
      <c r="C2862" s="93"/>
      <c r="D2862" s="92"/>
      <c r="E2862" s="92"/>
      <c r="F2862" s="92"/>
      <c r="G2862" s="92"/>
      <c r="H2862" s="92"/>
      <c r="I2862" s="92"/>
      <c r="J2862" s="92"/>
      <c r="K2862" s="92"/>
      <c r="L2862" s="92"/>
      <c r="M2862" s="92"/>
      <c r="N2862" s="94"/>
      <c r="AG2862" s="100"/>
      <c r="AH2862" s="101"/>
      <c r="AI2862" s="101"/>
      <c r="AJ2862" s="101"/>
      <c r="AK2862" s="100"/>
      <c r="AL2862" s="100"/>
      <c r="AM2862" s="100"/>
      <c r="AN2862" s="100"/>
      <c r="AO2862" s="100"/>
      <c r="AP2862" s="100"/>
      <c r="AQ2862" s="100"/>
      <c r="AR2862" s="100"/>
      <c r="AS2862" s="100"/>
      <c r="AT2862" s="102"/>
      <c r="AZ2862" s="117"/>
      <c r="BA2862" s="117"/>
      <c r="BK2862" s="39"/>
    </row>
    <row r="2863" spans="1:63" x14ac:dyDescent="0.25">
      <c r="A2863" s="92"/>
      <c r="B2863" s="93"/>
      <c r="C2863" s="93"/>
      <c r="D2863" s="92"/>
      <c r="E2863" s="92"/>
      <c r="F2863" s="92"/>
      <c r="G2863" s="92"/>
      <c r="H2863" s="92"/>
      <c r="I2863" s="92"/>
      <c r="J2863" s="92"/>
      <c r="K2863" s="92"/>
      <c r="L2863" s="92"/>
      <c r="M2863" s="92"/>
      <c r="N2863" s="94"/>
      <c r="AG2863" s="100"/>
      <c r="AH2863" s="100"/>
      <c r="AI2863" s="100"/>
      <c r="AJ2863" s="101"/>
      <c r="AK2863" s="100"/>
      <c r="AL2863" s="100"/>
      <c r="AM2863" s="100"/>
      <c r="AN2863" s="100"/>
      <c r="AO2863" s="100"/>
      <c r="AP2863" s="100"/>
      <c r="AQ2863" s="100"/>
      <c r="AR2863" s="100"/>
      <c r="AS2863" s="100"/>
      <c r="AT2863" s="100"/>
    </row>
    <row r="2864" spans="1:63" x14ac:dyDescent="0.25">
      <c r="A2864" s="92"/>
      <c r="B2864" s="93"/>
      <c r="C2864" s="93"/>
      <c r="D2864" s="92"/>
      <c r="E2864" s="92"/>
      <c r="F2864" s="92"/>
      <c r="G2864" s="92"/>
      <c r="H2864" s="92"/>
      <c r="I2864" s="92"/>
      <c r="J2864" s="92"/>
      <c r="K2864" s="92"/>
      <c r="L2864" s="92"/>
      <c r="M2864" s="92"/>
      <c r="N2864" s="94"/>
      <c r="AG2864" s="100"/>
      <c r="AH2864" s="100"/>
      <c r="AI2864" s="100"/>
      <c r="AJ2864" s="101"/>
      <c r="AK2864" s="100"/>
      <c r="AL2864" s="100"/>
      <c r="AM2864" s="100"/>
      <c r="AN2864" s="100"/>
      <c r="AO2864" s="100"/>
      <c r="AP2864" s="100"/>
      <c r="AQ2864" s="100"/>
      <c r="AR2864" s="100"/>
      <c r="AS2864" s="100"/>
      <c r="AT2864" s="100"/>
    </row>
    <row r="2865" spans="1:63" x14ac:dyDescent="0.25">
      <c r="A2865" s="92"/>
      <c r="B2865" s="92"/>
      <c r="C2865" s="92"/>
      <c r="D2865" s="92"/>
      <c r="E2865" s="92"/>
      <c r="F2865" s="92"/>
      <c r="G2865" s="92"/>
      <c r="H2865" s="92"/>
      <c r="I2865" s="92"/>
      <c r="J2865" s="92"/>
      <c r="K2865" s="92"/>
      <c r="L2865" s="92"/>
      <c r="M2865" s="92"/>
      <c r="N2865" s="92"/>
      <c r="AG2865" s="100"/>
      <c r="AH2865" s="101"/>
      <c r="AI2865" s="101"/>
      <c r="AJ2865" s="101"/>
      <c r="AK2865" s="100"/>
      <c r="AL2865" s="100"/>
      <c r="AM2865" s="100"/>
      <c r="AN2865" s="100"/>
      <c r="AO2865" s="100"/>
      <c r="AP2865" s="100"/>
      <c r="AQ2865" s="100"/>
      <c r="AR2865" s="100"/>
      <c r="AS2865" s="100"/>
      <c r="AT2865" s="102"/>
    </row>
    <row r="2866" spans="1:63" x14ac:dyDescent="0.25">
      <c r="A2866" s="92"/>
      <c r="B2866" s="92"/>
      <c r="C2866" s="92"/>
      <c r="D2866" s="92"/>
      <c r="E2866" s="92"/>
      <c r="F2866" s="92"/>
      <c r="G2866" s="92"/>
      <c r="H2866" s="92"/>
      <c r="I2866" s="92"/>
      <c r="J2866" s="92"/>
      <c r="K2866" s="92"/>
      <c r="L2866" s="92"/>
      <c r="M2866" s="92"/>
      <c r="N2866" s="92"/>
      <c r="AG2866" s="100"/>
      <c r="AH2866" s="101"/>
      <c r="AI2866" s="101"/>
      <c r="AJ2866" s="101"/>
      <c r="AK2866" s="100"/>
      <c r="AL2866" s="100"/>
      <c r="AM2866" s="100"/>
      <c r="AN2866" s="100"/>
      <c r="AO2866" s="100"/>
      <c r="AP2866" s="100"/>
      <c r="AQ2866" s="100"/>
      <c r="AR2866" s="100"/>
      <c r="AS2866" s="100"/>
      <c r="AT2866" s="102"/>
    </row>
    <row r="2867" spans="1:63" x14ac:dyDescent="0.25">
      <c r="A2867" s="92"/>
      <c r="B2867" s="92"/>
      <c r="C2867" s="92"/>
      <c r="D2867" s="92"/>
      <c r="E2867" s="92"/>
      <c r="F2867" s="92"/>
      <c r="G2867" s="92"/>
      <c r="H2867" s="92"/>
      <c r="I2867" s="92"/>
      <c r="J2867" s="92"/>
      <c r="K2867" s="92"/>
      <c r="L2867" s="92"/>
      <c r="M2867" s="92"/>
      <c r="N2867" s="92"/>
      <c r="AG2867" s="100"/>
      <c r="AH2867" s="101"/>
      <c r="AI2867" s="101"/>
      <c r="AJ2867" s="101"/>
      <c r="AK2867" s="100"/>
      <c r="AL2867" s="100"/>
      <c r="AM2867" s="100"/>
      <c r="AN2867" s="100"/>
      <c r="AO2867" s="100"/>
      <c r="AP2867" s="100"/>
      <c r="AQ2867" s="100"/>
      <c r="AR2867" s="100"/>
      <c r="AS2867" s="100"/>
      <c r="AT2867" s="102"/>
      <c r="AZ2867" s="117"/>
      <c r="BA2867" s="117"/>
      <c r="BK2867" s="39"/>
    </row>
    <row r="2868" spans="1:63" x14ac:dyDescent="0.25">
      <c r="A2868" s="92"/>
      <c r="B2868" s="93"/>
      <c r="C2868" s="93"/>
      <c r="D2868" s="92"/>
      <c r="E2868" s="92"/>
      <c r="F2868" s="92"/>
      <c r="G2868" s="92"/>
      <c r="H2868" s="92"/>
      <c r="I2868" s="92"/>
      <c r="J2868" s="92"/>
      <c r="K2868" s="92"/>
      <c r="L2868" s="92"/>
      <c r="M2868" s="92"/>
      <c r="N2868" s="94"/>
      <c r="AG2868" s="100"/>
      <c r="AH2868" s="101"/>
      <c r="AI2868" s="101"/>
      <c r="AJ2868" s="101"/>
      <c r="AK2868" s="100"/>
      <c r="AL2868" s="100"/>
      <c r="AM2868" s="100"/>
      <c r="AN2868" s="100"/>
      <c r="AO2868" s="100"/>
      <c r="AP2868" s="100"/>
      <c r="AQ2868" s="100"/>
      <c r="AR2868" s="100"/>
      <c r="AS2868" s="100"/>
      <c r="AT2868" s="102"/>
      <c r="AZ2868" s="117"/>
      <c r="BK2868" s="39"/>
    </row>
    <row r="2869" spans="1:63" x14ac:dyDescent="0.25">
      <c r="A2869" s="92"/>
      <c r="B2869" s="93"/>
      <c r="C2869" s="93"/>
      <c r="D2869" s="93"/>
      <c r="E2869" s="92"/>
      <c r="F2869" s="92"/>
      <c r="G2869" s="92"/>
      <c r="H2869" s="92"/>
      <c r="I2869" s="92"/>
      <c r="J2869" s="92"/>
      <c r="K2869" s="92"/>
      <c r="L2869" s="92"/>
      <c r="M2869" s="92"/>
      <c r="N2869" s="94"/>
      <c r="AG2869" s="100"/>
      <c r="AH2869" s="101"/>
      <c r="AI2869" s="101"/>
      <c r="AJ2869" s="101"/>
      <c r="AK2869" s="100"/>
      <c r="AL2869" s="100"/>
      <c r="AM2869" s="100"/>
      <c r="AN2869" s="100"/>
      <c r="AO2869" s="100"/>
      <c r="AP2869" s="100"/>
      <c r="AQ2869" s="100"/>
      <c r="AR2869" s="100"/>
      <c r="AS2869" s="100"/>
      <c r="AT2869" s="102"/>
    </row>
    <row r="2870" spans="1:63" x14ac:dyDescent="0.25">
      <c r="A2870" s="92"/>
      <c r="B2870" s="92"/>
      <c r="C2870" s="92"/>
      <c r="D2870" s="92"/>
      <c r="E2870" s="92"/>
      <c r="F2870" s="92"/>
      <c r="G2870" s="92"/>
      <c r="H2870" s="92"/>
      <c r="I2870" s="92"/>
      <c r="J2870" s="92"/>
      <c r="K2870" s="92"/>
      <c r="L2870" s="92"/>
      <c r="M2870" s="92"/>
      <c r="N2870" s="92"/>
      <c r="AG2870" s="100"/>
      <c r="AH2870" s="101"/>
      <c r="AI2870" s="101"/>
      <c r="AJ2870" s="101"/>
      <c r="AK2870" s="100"/>
      <c r="AL2870" s="100"/>
      <c r="AM2870" s="100"/>
      <c r="AN2870" s="100"/>
      <c r="AO2870" s="100"/>
      <c r="AP2870" s="100"/>
      <c r="AQ2870" s="100"/>
      <c r="AR2870" s="100"/>
      <c r="AS2870" s="100"/>
      <c r="AT2870" s="102"/>
      <c r="AZ2870" s="117"/>
      <c r="BK2870" s="39"/>
    </row>
    <row r="2871" spans="1:63" x14ac:dyDescent="0.25">
      <c r="A2871" s="92"/>
      <c r="B2871" s="92"/>
      <c r="C2871" s="92"/>
      <c r="D2871" s="92"/>
      <c r="E2871" s="92"/>
      <c r="F2871" s="92"/>
      <c r="G2871" s="92"/>
      <c r="H2871" s="92"/>
      <c r="I2871" s="92"/>
      <c r="J2871" s="92"/>
      <c r="K2871" s="92"/>
      <c r="L2871" s="92"/>
      <c r="M2871" s="92"/>
      <c r="N2871" s="92"/>
      <c r="AG2871" s="100"/>
      <c r="AH2871" s="101"/>
      <c r="AI2871" s="100"/>
      <c r="AJ2871" s="101"/>
      <c r="AK2871" s="100"/>
      <c r="AL2871" s="100"/>
      <c r="AM2871" s="100"/>
      <c r="AN2871" s="100"/>
      <c r="AO2871" s="100"/>
      <c r="AP2871" s="100"/>
      <c r="AQ2871" s="100"/>
      <c r="AR2871" s="100"/>
      <c r="AS2871" s="100"/>
      <c r="AT2871" s="102"/>
    </row>
    <row r="2872" spans="1:63" x14ac:dyDescent="0.25">
      <c r="A2872" s="92"/>
      <c r="B2872" s="92"/>
      <c r="C2872" s="92"/>
      <c r="D2872" s="92"/>
      <c r="E2872" s="92"/>
      <c r="F2872" s="92"/>
      <c r="G2872" s="92"/>
      <c r="H2872" s="92"/>
      <c r="I2872" s="92"/>
      <c r="J2872" s="92"/>
      <c r="K2872" s="92"/>
      <c r="L2872" s="92"/>
      <c r="M2872" s="92"/>
      <c r="N2872" s="92"/>
      <c r="AG2872" s="100"/>
      <c r="AH2872" s="101"/>
      <c r="AI2872" s="100"/>
      <c r="AJ2872" s="101"/>
      <c r="AK2872" s="100"/>
      <c r="AL2872" s="100"/>
      <c r="AM2872" s="100"/>
      <c r="AN2872" s="100"/>
      <c r="AO2872" s="100"/>
      <c r="AP2872" s="100"/>
      <c r="AQ2872" s="100"/>
      <c r="AR2872" s="100"/>
      <c r="AS2872" s="100"/>
      <c r="AT2872" s="102"/>
      <c r="AZ2872" s="117"/>
      <c r="BA2872" s="117"/>
      <c r="BK2872" s="39"/>
    </row>
    <row r="2873" spans="1:63" x14ac:dyDescent="0.25">
      <c r="A2873" s="92"/>
      <c r="B2873" s="92"/>
      <c r="C2873" s="92"/>
      <c r="D2873" s="92"/>
      <c r="E2873" s="92"/>
      <c r="F2873" s="92"/>
      <c r="G2873" s="92"/>
      <c r="H2873" s="92"/>
      <c r="I2873" s="92"/>
      <c r="J2873" s="92"/>
      <c r="K2873" s="92"/>
      <c r="L2873" s="92"/>
      <c r="M2873" s="92"/>
      <c r="N2873" s="92"/>
      <c r="AG2873" s="100"/>
      <c r="AH2873" s="101"/>
      <c r="AI2873" s="101"/>
      <c r="AJ2873" s="101"/>
      <c r="AK2873" s="100"/>
      <c r="AL2873" s="100"/>
      <c r="AM2873" s="100"/>
      <c r="AN2873" s="100"/>
      <c r="AO2873" s="100"/>
      <c r="AP2873" s="100"/>
      <c r="AQ2873" s="100"/>
      <c r="AR2873" s="100"/>
      <c r="AS2873" s="100"/>
      <c r="AT2873" s="102"/>
      <c r="BA2873" s="117"/>
    </row>
    <row r="2874" spans="1:63" x14ac:dyDescent="0.25">
      <c r="A2874" s="92"/>
      <c r="B2874" s="93"/>
      <c r="C2874" s="93"/>
      <c r="D2874" s="93"/>
      <c r="E2874" s="92"/>
      <c r="F2874" s="92"/>
      <c r="G2874" s="92"/>
      <c r="H2874" s="92"/>
      <c r="I2874" s="92"/>
      <c r="J2874" s="92"/>
      <c r="K2874" s="92"/>
      <c r="L2874" s="92"/>
      <c r="M2874" s="92"/>
      <c r="N2874" s="94"/>
      <c r="AG2874" s="100"/>
      <c r="AH2874" s="101"/>
      <c r="AI2874" s="101"/>
      <c r="AJ2874" s="101"/>
      <c r="AK2874" s="100"/>
      <c r="AL2874" s="100"/>
      <c r="AM2874" s="100"/>
      <c r="AN2874" s="100"/>
      <c r="AO2874" s="100"/>
      <c r="AP2874" s="100"/>
      <c r="AQ2874" s="100"/>
      <c r="AR2874" s="100"/>
      <c r="AS2874" s="100"/>
      <c r="AT2874" s="102"/>
      <c r="BA2874" s="117"/>
    </row>
    <row r="2875" spans="1:63" x14ac:dyDescent="0.25">
      <c r="A2875" s="92"/>
      <c r="B2875" s="93"/>
      <c r="C2875" s="93"/>
      <c r="D2875" s="92"/>
      <c r="E2875" s="92"/>
      <c r="F2875" s="92"/>
      <c r="G2875" s="92"/>
      <c r="H2875" s="92"/>
      <c r="I2875" s="92"/>
      <c r="J2875" s="92"/>
      <c r="K2875" s="92"/>
      <c r="L2875" s="92"/>
      <c r="M2875" s="92"/>
      <c r="N2875" s="94"/>
      <c r="AG2875" s="100"/>
      <c r="AH2875" s="101"/>
      <c r="AI2875" s="101"/>
      <c r="AJ2875" s="101"/>
      <c r="AK2875" s="100"/>
      <c r="AL2875" s="100"/>
      <c r="AM2875" s="100"/>
      <c r="AN2875" s="100"/>
      <c r="AO2875" s="100"/>
      <c r="AP2875" s="100"/>
      <c r="AQ2875" s="100"/>
      <c r="AR2875" s="100"/>
      <c r="AS2875" s="100"/>
      <c r="AT2875" s="102"/>
      <c r="BA2875" s="117"/>
    </row>
    <row r="2876" spans="1:63" x14ac:dyDescent="0.25">
      <c r="A2876" s="92"/>
      <c r="B2876" s="92"/>
      <c r="C2876" s="92"/>
      <c r="D2876" s="92"/>
      <c r="E2876" s="92"/>
      <c r="F2876" s="92"/>
      <c r="G2876" s="92"/>
      <c r="H2876" s="92"/>
      <c r="I2876" s="92"/>
      <c r="J2876" s="92"/>
      <c r="K2876" s="92"/>
      <c r="L2876" s="92"/>
      <c r="M2876" s="92"/>
      <c r="N2876" s="92"/>
      <c r="AG2876" s="100"/>
      <c r="AH2876" s="101"/>
      <c r="AI2876" s="101"/>
      <c r="AJ2876" s="101"/>
      <c r="AK2876" s="100"/>
      <c r="AL2876" s="100"/>
      <c r="AM2876" s="100"/>
      <c r="AN2876" s="100"/>
      <c r="AO2876" s="100"/>
      <c r="AP2876" s="100"/>
      <c r="AQ2876" s="100"/>
      <c r="AR2876" s="100"/>
      <c r="AS2876" s="100"/>
      <c r="AT2876" s="102"/>
      <c r="BA2876" s="117"/>
    </row>
    <row r="2877" spans="1:63" x14ac:dyDescent="0.25">
      <c r="A2877" s="92"/>
      <c r="B2877" s="93"/>
      <c r="C2877" s="93"/>
      <c r="D2877" s="92"/>
      <c r="E2877" s="92"/>
      <c r="F2877" s="92"/>
      <c r="G2877" s="92"/>
      <c r="H2877" s="92"/>
      <c r="I2877" s="92"/>
      <c r="J2877" s="92"/>
      <c r="K2877" s="92"/>
      <c r="L2877" s="92"/>
      <c r="M2877" s="92"/>
      <c r="N2877" s="94"/>
      <c r="AG2877" s="100"/>
      <c r="AH2877" s="101"/>
      <c r="AI2877" s="101"/>
      <c r="AJ2877" s="101"/>
      <c r="AK2877" s="100"/>
      <c r="AL2877" s="100"/>
      <c r="AM2877" s="100"/>
      <c r="AN2877" s="100"/>
      <c r="AO2877" s="100"/>
      <c r="AP2877" s="100"/>
      <c r="AQ2877" s="100"/>
      <c r="AR2877" s="100"/>
      <c r="AS2877" s="100"/>
      <c r="AT2877" s="102"/>
      <c r="BA2877" s="117"/>
    </row>
    <row r="2878" spans="1:63" x14ac:dyDescent="0.25">
      <c r="A2878" s="92"/>
      <c r="B2878" s="92"/>
      <c r="C2878" s="92"/>
      <c r="D2878" s="92"/>
      <c r="E2878" s="92"/>
      <c r="F2878" s="92"/>
      <c r="G2878" s="92"/>
      <c r="H2878" s="92"/>
      <c r="I2878" s="92"/>
      <c r="J2878" s="92"/>
      <c r="K2878" s="92"/>
      <c r="L2878" s="92"/>
      <c r="M2878" s="92"/>
      <c r="N2878" s="92"/>
      <c r="AG2878" s="100"/>
      <c r="AH2878" s="101"/>
      <c r="AI2878" s="101"/>
      <c r="AJ2878" s="101"/>
      <c r="AK2878" s="100"/>
      <c r="AL2878" s="100"/>
      <c r="AM2878" s="100"/>
      <c r="AN2878" s="100"/>
      <c r="AO2878" s="100"/>
      <c r="AP2878" s="100"/>
      <c r="AQ2878" s="100"/>
      <c r="AR2878" s="100"/>
      <c r="AS2878" s="100"/>
      <c r="AT2878" s="102"/>
      <c r="BA2878" s="117"/>
    </row>
    <row r="2879" spans="1:63" x14ac:dyDescent="0.25">
      <c r="A2879" s="92"/>
      <c r="B2879" s="93"/>
      <c r="C2879" s="93"/>
      <c r="D2879" s="93"/>
      <c r="E2879" s="92"/>
      <c r="F2879" s="92"/>
      <c r="G2879" s="92"/>
      <c r="H2879" s="92"/>
      <c r="I2879" s="92"/>
      <c r="J2879" s="92"/>
      <c r="K2879" s="92"/>
      <c r="L2879" s="92"/>
      <c r="M2879" s="92"/>
      <c r="N2879" s="94"/>
      <c r="AG2879" s="100"/>
      <c r="AH2879" s="101"/>
      <c r="AI2879" s="101"/>
      <c r="AJ2879" s="101"/>
      <c r="AK2879" s="100"/>
      <c r="AL2879" s="100"/>
      <c r="AM2879" s="100"/>
      <c r="AN2879" s="100"/>
      <c r="AO2879" s="100"/>
      <c r="AP2879" s="100"/>
      <c r="AQ2879" s="100"/>
      <c r="AR2879" s="100"/>
      <c r="AS2879" s="100"/>
      <c r="AT2879" s="102"/>
      <c r="BA2879" s="117"/>
    </row>
    <row r="2880" spans="1:63" x14ac:dyDescent="0.25">
      <c r="A2880" s="92"/>
      <c r="B2880" s="92"/>
      <c r="C2880" s="92"/>
      <c r="D2880" s="93"/>
      <c r="E2880" s="92"/>
      <c r="F2880" s="92"/>
      <c r="G2880" s="92"/>
      <c r="H2880" s="92"/>
      <c r="I2880" s="92"/>
      <c r="J2880" s="92"/>
      <c r="K2880" s="92"/>
      <c r="L2880" s="92"/>
      <c r="M2880" s="92"/>
      <c r="N2880" s="92"/>
      <c r="AG2880" s="100"/>
      <c r="AH2880" s="101"/>
      <c r="AI2880" s="101"/>
      <c r="AJ2880" s="101"/>
      <c r="AK2880" s="100"/>
      <c r="AL2880" s="100"/>
      <c r="AM2880" s="100"/>
      <c r="AN2880" s="100"/>
      <c r="AO2880" s="100"/>
      <c r="AP2880" s="100"/>
      <c r="AQ2880" s="100"/>
      <c r="AR2880" s="100"/>
      <c r="AS2880" s="100"/>
      <c r="AT2880" s="102"/>
      <c r="BA2880" s="117"/>
    </row>
    <row r="2881" spans="1:63" x14ac:dyDescent="0.25">
      <c r="A2881" s="92"/>
      <c r="B2881" s="92"/>
      <c r="C2881" s="92"/>
      <c r="D2881" s="93"/>
      <c r="E2881" s="92"/>
      <c r="F2881" s="92"/>
      <c r="G2881" s="92"/>
      <c r="H2881" s="92"/>
      <c r="I2881" s="92"/>
      <c r="J2881" s="92"/>
      <c r="K2881" s="92"/>
      <c r="L2881" s="92"/>
      <c r="M2881" s="92"/>
      <c r="N2881" s="92"/>
      <c r="AG2881" s="100"/>
      <c r="AH2881" s="100"/>
      <c r="AI2881" s="100"/>
      <c r="AJ2881" s="101"/>
      <c r="AK2881" s="100"/>
      <c r="AL2881" s="100"/>
      <c r="AM2881" s="100"/>
      <c r="AN2881" s="100"/>
      <c r="AO2881" s="100"/>
      <c r="AP2881" s="100"/>
      <c r="AQ2881" s="100"/>
      <c r="AR2881" s="100"/>
      <c r="AS2881" s="100"/>
      <c r="AT2881" s="100"/>
      <c r="AZ2881" s="117"/>
      <c r="BK2881" s="39"/>
    </row>
    <row r="2882" spans="1:63" x14ac:dyDescent="0.25">
      <c r="A2882" s="92"/>
      <c r="B2882" s="92"/>
      <c r="C2882" s="92"/>
      <c r="D2882" s="93"/>
      <c r="E2882" s="92"/>
      <c r="F2882" s="92"/>
      <c r="G2882" s="92"/>
      <c r="H2882" s="92"/>
      <c r="I2882" s="92"/>
      <c r="J2882" s="92"/>
      <c r="K2882" s="92"/>
      <c r="L2882" s="92"/>
      <c r="M2882" s="92"/>
      <c r="N2882" s="92"/>
      <c r="AG2882" s="100"/>
      <c r="AH2882" s="101"/>
      <c r="AI2882" s="101"/>
      <c r="AJ2882" s="101"/>
      <c r="AK2882" s="100"/>
      <c r="AL2882" s="100"/>
      <c r="AM2882" s="100"/>
      <c r="AN2882" s="100"/>
      <c r="AO2882" s="100"/>
      <c r="AP2882" s="100"/>
      <c r="AQ2882" s="100"/>
      <c r="AR2882" s="100"/>
      <c r="AS2882" s="100"/>
      <c r="AT2882" s="102"/>
    </row>
    <row r="2883" spans="1:63" x14ac:dyDescent="0.25">
      <c r="A2883" s="92"/>
      <c r="B2883" s="92"/>
      <c r="C2883" s="92"/>
      <c r="D2883" s="93"/>
      <c r="E2883" s="92"/>
      <c r="F2883" s="92"/>
      <c r="G2883" s="92"/>
      <c r="H2883" s="92"/>
      <c r="I2883" s="92"/>
      <c r="J2883" s="92"/>
      <c r="K2883" s="92"/>
      <c r="L2883" s="92"/>
      <c r="M2883" s="92"/>
      <c r="N2883" s="92"/>
      <c r="AG2883" s="100"/>
      <c r="AH2883" s="101"/>
      <c r="AI2883" s="101"/>
      <c r="AJ2883" s="101"/>
      <c r="AK2883" s="100"/>
      <c r="AL2883" s="100"/>
      <c r="AM2883" s="100"/>
      <c r="AN2883" s="100"/>
      <c r="AO2883" s="100"/>
      <c r="AP2883" s="100"/>
      <c r="AQ2883" s="100"/>
      <c r="AR2883" s="100"/>
      <c r="AS2883" s="100"/>
      <c r="AT2883" s="102"/>
    </row>
    <row r="2884" spans="1:63" x14ac:dyDescent="0.25">
      <c r="A2884" s="92"/>
      <c r="B2884" s="92"/>
      <c r="C2884" s="92"/>
      <c r="D2884" s="93"/>
      <c r="E2884" s="92"/>
      <c r="F2884" s="92"/>
      <c r="G2884" s="92"/>
      <c r="H2884" s="92"/>
      <c r="I2884" s="92"/>
      <c r="J2884" s="92"/>
      <c r="K2884" s="92"/>
      <c r="L2884" s="92"/>
      <c r="M2884" s="92"/>
      <c r="N2884" s="92"/>
      <c r="AG2884" s="100"/>
      <c r="AH2884" s="101"/>
      <c r="AI2884" s="101"/>
      <c r="AJ2884" s="101"/>
      <c r="AK2884" s="100"/>
      <c r="AL2884" s="100"/>
      <c r="AM2884" s="100"/>
      <c r="AN2884" s="100"/>
      <c r="AO2884" s="100"/>
      <c r="AP2884" s="100"/>
      <c r="AQ2884" s="100"/>
      <c r="AR2884" s="100"/>
      <c r="AS2884" s="100"/>
      <c r="AT2884" s="102"/>
      <c r="AZ2884" s="117"/>
      <c r="BK2884" s="39"/>
    </row>
    <row r="2885" spans="1:63" x14ac:dyDescent="0.25">
      <c r="A2885" s="92"/>
      <c r="B2885" s="92"/>
      <c r="C2885" s="92"/>
      <c r="D2885" s="93"/>
      <c r="E2885" s="92"/>
      <c r="F2885" s="92"/>
      <c r="G2885" s="92"/>
      <c r="H2885" s="92"/>
      <c r="I2885" s="92"/>
      <c r="J2885" s="92"/>
      <c r="K2885" s="92"/>
      <c r="L2885" s="92"/>
      <c r="M2885" s="92"/>
      <c r="N2885" s="92"/>
      <c r="AG2885" s="100"/>
      <c r="AH2885" s="101"/>
      <c r="AI2885" s="101"/>
      <c r="AJ2885" s="101"/>
      <c r="AK2885" s="100"/>
      <c r="AL2885" s="100"/>
      <c r="AM2885" s="100"/>
      <c r="AN2885" s="100"/>
      <c r="AO2885" s="100"/>
      <c r="AP2885" s="100"/>
      <c r="AQ2885" s="100"/>
      <c r="AR2885" s="100"/>
      <c r="AS2885" s="100"/>
      <c r="AT2885" s="102"/>
    </row>
    <row r="2886" spans="1:63" x14ac:dyDescent="0.25">
      <c r="A2886" s="92"/>
      <c r="B2886" s="92"/>
      <c r="C2886" s="92"/>
      <c r="D2886" s="93"/>
      <c r="E2886" s="92"/>
      <c r="F2886" s="92"/>
      <c r="G2886" s="92"/>
      <c r="H2886" s="92"/>
      <c r="I2886" s="92"/>
      <c r="J2886" s="92"/>
      <c r="K2886" s="92"/>
      <c r="L2886" s="92"/>
      <c r="M2886" s="92"/>
      <c r="N2886" s="92"/>
      <c r="AG2886" s="100"/>
      <c r="AH2886" s="101"/>
      <c r="AI2886" s="101"/>
      <c r="AJ2886" s="101"/>
      <c r="AK2886" s="100"/>
      <c r="AL2886" s="100"/>
      <c r="AM2886" s="100"/>
      <c r="AN2886" s="100"/>
      <c r="AO2886" s="100"/>
      <c r="AP2886" s="100"/>
      <c r="AQ2886" s="100"/>
      <c r="AR2886" s="100"/>
      <c r="AS2886" s="100"/>
      <c r="AT2886" s="102"/>
      <c r="AZ2886" s="117"/>
      <c r="BK2886" s="39"/>
    </row>
    <row r="2887" spans="1:63" x14ac:dyDescent="0.25">
      <c r="A2887" s="92"/>
      <c r="B2887" s="92"/>
      <c r="C2887" s="92"/>
      <c r="D2887" s="93"/>
      <c r="E2887" s="92"/>
      <c r="F2887" s="92"/>
      <c r="G2887" s="92"/>
      <c r="H2887" s="92"/>
      <c r="I2887" s="92"/>
      <c r="J2887" s="92"/>
      <c r="K2887" s="92"/>
      <c r="L2887" s="92"/>
      <c r="M2887" s="92"/>
      <c r="N2887" s="92"/>
      <c r="AG2887" s="100"/>
      <c r="AH2887" s="100"/>
      <c r="AI2887" s="100"/>
      <c r="AJ2887" s="101"/>
      <c r="AK2887" s="100"/>
      <c r="AL2887" s="100"/>
      <c r="AM2887" s="100"/>
      <c r="AN2887" s="100"/>
      <c r="AO2887" s="100"/>
      <c r="AP2887" s="100"/>
      <c r="AQ2887" s="100"/>
      <c r="AR2887" s="100"/>
      <c r="AS2887" s="100"/>
      <c r="AT2887" s="100"/>
    </row>
    <row r="2888" spans="1:63" x14ac:dyDescent="0.25">
      <c r="A2888" s="92"/>
      <c r="B2888" s="92"/>
      <c r="C2888" s="92"/>
      <c r="D2888" s="93"/>
      <c r="E2888" s="92"/>
      <c r="F2888" s="92"/>
      <c r="G2888" s="92"/>
      <c r="H2888" s="92"/>
      <c r="I2888" s="92"/>
      <c r="J2888" s="92"/>
      <c r="K2888" s="92"/>
      <c r="L2888" s="92"/>
      <c r="M2888" s="92"/>
      <c r="N2888" s="92"/>
      <c r="AG2888" s="100"/>
      <c r="AH2888" s="100"/>
      <c r="AI2888" s="100"/>
      <c r="AJ2888" s="101"/>
      <c r="AK2888" s="100"/>
      <c r="AL2888" s="100"/>
      <c r="AM2888" s="100"/>
      <c r="AN2888" s="100"/>
      <c r="AO2888" s="100"/>
      <c r="AP2888" s="100"/>
      <c r="AQ2888" s="100"/>
      <c r="AR2888" s="100"/>
      <c r="AS2888" s="100"/>
      <c r="AT2888" s="100"/>
    </row>
    <row r="2889" spans="1:63" x14ac:dyDescent="0.25">
      <c r="A2889" s="92"/>
      <c r="B2889" s="93"/>
      <c r="C2889" s="93"/>
      <c r="D2889" s="92"/>
      <c r="E2889" s="92"/>
      <c r="F2889" s="92"/>
      <c r="G2889" s="92"/>
      <c r="H2889" s="92"/>
      <c r="I2889" s="92"/>
      <c r="J2889" s="92"/>
      <c r="K2889" s="92"/>
      <c r="L2889" s="92"/>
      <c r="M2889" s="92"/>
      <c r="N2889" s="94"/>
      <c r="AG2889" s="100"/>
      <c r="AH2889" s="101"/>
      <c r="AI2889" s="101"/>
      <c r="AJ2889" s="101"/>
      <c r="AK2889" s="100"/>
      <c r="AL2889" s="100"/>
      <c r="AM2889" s="100"/>
      <c r="AN2889" s="100"/>
      <c r="AO2889" s="100"/>
      <c r="AP2889" s="100"/>
      <c r="AQ2889" s="100"/>
      <c r="AR2889" s="100"/>
      <c r="AS2889" s="100"/>
      <c r="AT2889" s="102"/>
    </row>
    <row r="2890" spans="1:63" x14ac:dyDescent="0.25">
      <c r="A2890" s="92"/>
      <c r="B2890" s="92"/>
      <c r="C2890" s="92"/>
      <c r="D2890" s="92"/>
      <c r="E2890" s="92"/>
      <c r="F2890" s="92"/>
      <c r="G2890" s="92"/>
      <c r="H2890" s="92"/>
      <c r="I2890" s="92"/>
      <c r="J2890" s="92"/>
      <c r="K2890" s="92"/>
      <c r="L2890" s="92"/>
      <c r="M2890" s="92"/>
      <c r="N2890" s="92"/>
      <c r="AG2890" s="100"/>
      <c r="AH2890" s="101"/>
      <c r="AI2890" s="101"/>
      <c r="AJ2890" s="101"/>
      <c r="AK2890" s="100"/>
      <c r="AL2890" s="100"/>
      <c r="AM2890" s="100"/>
      <c r="AN2890" s="100"/>
      <c r="AO2890" s="100"/>
      <c r="AP2890" s="100"/>
      <c r="AQ2890" s="100"/>
      <c r="AR2890" s="100"/>
      <c r="AS2890" s="100"/>
      <c r="AT2890" s="102"/>
      <c r="AZ2890" s="117"/>
      <c r="BK2890" s="39"/>
    </row>
    <row r="2891" spans="1:63" x14ac:dyDescent="0.25">
      <c r="A2891" s="92"/>
      <c r="B2891" s="92"/>
      <c r="C2891" s="92"/>
      <c r="D2891" s="92"/>
      <c r="E2891" s="92"/>
      <c r="F2891" s="92"/>
      <c r="G2891" s="92"/>
      <c r="H2891" s="92"/>
      <c r="I2891" s="92"/>
      <c r="J2891" s="92"/>
      <c r="K2891" s="92"/>
      <c r="L2891" s="92"/>
      <c r="M2891" s="92"/>
      <c r="N2891" s="92"/>
      <c r="AG2891" s="100"/>
      <c r="AH2891" s="100"/>
      <c r="AI2891" s="100"/>
      <c r="AJ2891" s="101"/>
      <c r="AK2891" s="100"/>
      <c r="AL2891" s="100"/>
      <c r="AM2891" s="100"/>
      <c r="AN2891" s="100"/>
      <c r="AO2891" s="100"/>
      <c r="AP2891" s="100"/>
      <c r="AQ2891" s="100"/>
      <c r="AR2891" s="100"/>
      <c r="AS2891" s="100"/>
      <c r="AT2891" s="100"/>
      <c r="AZ2891" s="117"/>
      <c r="BK2891" s="39"/>
    </row>
    <row r="2892" spans="1:63" x14ac:dyDescent="0.25">
      <c r="A2892" s="92"/>
      <c r="B2892" s="93"/>
      <c r="C2892" s="93"/>
      <c r="D2892" s="92"/>
      <c r="E2892" s="92"/>
      <c r="F2892" s="92"/>
      <c r="G2892" s="92"/>
      <c r="H2892" s="92"/>
      <c r="I2892" s="92"/>
      <c r="J2892" s="92"/>
      <c r="K2892" s="92"/>
      <c r="L2892" s="92"/>
      <c r="M2892" s="92"/>
      <c r="N2892" s="94"/>
      <c r="AG2892" s="100"/>
      <c r="AH2892" s="101"/>
      <c r="AI2892" s="101"/>
      <c r="AJ2892" s="101"/>
      <c r="AK2892" s="100"/>
      <c r="AL2892" s="100"/>
      <c r="AM2892" s="100"/>
      <c r="AN2892" s="100"/>
      <c r="AO2892" s="100"/>
      <c r="AP2892" s="100"/>
      <c r="AQ2892" s="100"/>
      <c r="AR2892" s="100"/>
      <c r="AS2892" s="100"/>
      <c r="AT2892" s="102"/>
      <c r="AZ2892" s="117"/>
      <c r="BK2892" s="39"/>
    </row>
    <row r="2893" spans="1:63" x14ac:dyDescent="0.25">
      <c r="A2893" s="92"/>
      <c r="B2893" s="92"/>
      <c r="C2893" s="92"/>
      <c r="D2893" s="92"/>
      <c r="E2893" s="92"/>
      <c r="F2893" s="92"/>
      <c r="G2893" s="92"/>
      <c r="H2893" s="92"/>
      <c r="I2893" s="92"/>
      <c r="J2893" s="92"/>
      <c r="K2893" s="92"/>
      <c r="L2893" s="92"/>
      <c r="M2893" s="92"/>
      <c r="N2893" s="92"/>
      <c r="AG2893" s="100"/>
      <c r="AH2893" s="101"/>
      <c r="AI2893" s="101"/>
      <c r="AJ2893" s="101"/>
      <c r="AK2893" s="100"/>
      <c r="AL2893" s="100"/>
      <c r="AM2893" s="100"/>
      <c r="AN2893" s="100"/>
      <c r="AO2893" s="100"/>
      <c r="AP2893" s="100"/>
      <c r="AQ2893" s="100"/>
      <c r="AR2893" s="100"/>
      <c r="AS2893" s="100"/>
      <c r="AT2893" s="102"/>
      <c r="AZ2893" s="117"/>
      <c r="BK2893" s="39"/>
    </row>
    <row r="2894" spans="1:63" x14ac:dyDescent="0.25">
      <c r="A2894" s="92"/>
      <c r="B2894" s="93"/>
      <c r="C2894" s="93"/>
      <c r="D2894" s="92"/>
      <c r="E2894" s="92"/>
      <c r="F2894" s="92"/>
      <c r="G2894" s="92"/>
      <c r="H2894" s="92"/>
      <c r="I2894" s="92"/>
      <c r="J2894" s="92"/>
      <c r="K2894" s="92"/>
      <c r="L2894" s="92"/>
      <c r="M2894" s="92"/>
      <c r="N2894" s="94"/>
      <c r="AG2894" s="100"/>
      <c r="AH2894" s="101"/>
      <c r="AI2894" s="101"/>
      <c r="AJ2894" s="101"/>
      <c r="AK2894" s="100"/>
      <c r="AL2894" s="100"/>
      <c r="AM2894" s="100"/>
      <c r="AN2894" s="100"/>
      <c r="AO2894" s="100"/>
      <c r="AP2894" s="100"/>
      <c r="AQ2894" s="100"/>
      <c r="AR2894" s="100"/>
      <c r="AS2894" s="100"/>
      <c r="AT2894" s="102"/>
      <c r="AZ2894" s="117"/>
      <c r="BA2894" s="117"/>
      <c r="BK2894" s="39"/>
    </row>
    <row r="2895" spans="1:63" x14ac:dyDescent="0.25">
      <c r="A2895" s="92"/>
      <c r="B2895" s="92"/>
      <c r="C2895" s="92"/>
      <c r="D2895" s="92"/>
      <c r="E2895" s="92"/>
      <c r="F2895" s="92"/>
      <c r="G2895" s="92"/>
      <c r="H2895" s="92"/>
      <c r="I2895" s="92"/>
      <c r="J2895" s="92"/>
      <c r="K2895" s="92"/>
      <c r="L2895" s="92"/>
      <c r="M2895" s="92"/>
      <c r="N2895" s="92"/>
      <c r="AG2895" s="100"/>
      <c r="AH2895" s="101"/>
      <c r="AI2895" s="101"/>
      <c r="AJ2895" s="101"/>
      <c r="AK2895" s="100"/>
      <c r="AL2895" s="100"/>
      <c r="AM2895" s="100"/>
      <c r="AN2895" s="100"/>
      <c r="AO2895" s="100"/>
      <c r="AP2895" s="100"/>
      <c r="AQ2895" s="100"/>
      <c r="AR2895" s="100"/>
      <c r="AS2895" s="100"/>
      <c r="AT2895" s="102"/>
      <c r="BA2895" s="117"/>
    </row>
    <row r="2896" spans="1:63" x14ac:dyDescent="0.25">
      <c r="A2896" s="92"/>
      <c r="B2896" s="92"/>
      <c r="C2896" s="92"/>
      <c r="D2896" s="92"/>
      <c r="E2896" s="92"/>
      <c r="F2896" s="92"/>
      <c r="G2896" s="92"/>
      <c r="H2896" s="92"/>
      <c r="I2896" s="92"/>
      <c r="J2896" s="92"/>
      <c r="K2896" s="92"/>
      <c r="L2896" s="92"/>
      <c r="M2896" s="92"/>
      <c r="N2896" s="92"/>
      <c r="AG2896" s="100"/>
      <c r="AH2896" s="100"/>
      <c r="AI2896" s="100"/>
      <c r="AJ2896" s="101"/>
      <c r="AK2896" s="100"/>
      <c r="AL2896" s="100"/>
      <c r="AM2896" s="100"/>
      <c r="AN2896" s="100"/>
      <c r="AO2896" s="100"/>
      <c r="AP2896" s="100"/>
      <c r="AQ2896" s="100"/>
      <c r="AR2896" s="100"/>
      <c r="AS2896" s="100"/>
      <c r="AT2896" s="100"/>
      <c r="BA2896" s="117"/>
    </row>
    <row r="2897" spans="1:63" x14ac:dyDescent="0.25">
      <c r="A2897" s="92"/>
      <c r="B2897" s="92"/>
      <c r="C2897" s="92"/>
      <c r="D2897" s="92"/>
      <c r="E2897" s="92"/>
      <c r="F2897" s="92"/>
      <c r="G2897" s="92"/>
      <c r="H2897" s="92"/>
      <c r="I2897" s="92"/>
      <c r="J2897" s="92"/>
      <c r="K2897" s="92"/>
      <c r="L2897" s="92"/>
      <c r="M2897" s="92"/>
      <c r="N2897" s="92"/>
      <c r="AG2897" s="100"/>
      <c r="AH2897" s="100"/>
      <c r="AI2897" s="100"/>
      <c r="AJ2897" s="101"/>
      <c r="AK2897" s="100"/>
      <c r="AL2897" s="100"/>
      <c r="AM2897" s="100"/>
      <c r="AN2897" s="100"/>
      <c r="AO2897" s="100"/>
      <c r="AP2897" s="100"/>
      <c r="AQ2897" s="100"/>
      <c r="AR2897" s="100"/>
      <c r="AS2897" s="100"/>
      <c r="AT2897" s="100"/>
      <c r="AZ2897" s="117"/>
      <c r="BA2897" s="117"/>
      <c r="BK2897" s="39"/>
    </row>
    <row r="2898" spans="1:63" x14ac:dyDescent="0.25">
      <c r="A2898" s="92"/>
      <c r="B2898" s="93"/>
      <c r="C2898" s="93"/>
      <c r="D2898" s="92"/>
      <c r="E2898" s="92"/>
      <c r="F2898" s="92"/>
      <c r="G2898" s="92"/>
      <c r="H2898" s="92"/>
      <c r="I2898" s="92"/>
      <c r="J2898" s="92"/>
      <c r="K2898" s="92"/>
      <c r="L2898" s="92"/>
      <c r="M2898" s="92"/>
      <c r="N2898" s="94"/>
      <c r="AG2898" s="100"/>
      <c r="AH2898" s="100"/>
      <c r="AI2898" s="100"/>
      <c r="AJ2898" s="101"/>
      <c r="AK2898" s="100"/>
      <c r="AL2898" s="100"/>
      <c r="AM2898" s="100"/>
      <c r="AN2898" s="100"/>
      <c r="AO2898" s="100"/>
      <c r="AP2898" s="100"/>
      <c r="AQ2898" s="100"/>
      <c r="AR2898" s="100"/>
      <c r="AS2898" s="100"/>
      <c r="AT2898" s="100"/>
    </row>
    <row r="2899" spans="1:63" x14ac:dyDescent="0.25">
      <c r="A2899" s="92"/>
      <c r="B2899" s="93"/>
      <c r="C2899" s="93"/>
      <c r="D2899" s="92"/>
      <c r="E2899" s="92"/>
      <c r="F2899" s="92"/>
      <c r="G2899" s="92"/>
      <c r="H2899" s="92"/>
      <c r="I2899" s="92"/>
      <c r="J2899" s="92"/>
      <c r="K2899" s="92"/>
      <c r="L2899" s="92"/>
      <c r="M2899" s="92"/>
      <c r="N2899" s="94"/>
      <c r="AG2899" s="100"/>
      <c r="AH2899" s="101"/>
      <c r="AI2899" s="101"/>
      <c r="AJ2899" s="101"/>
      <c r="AK2899" s="100"/>
      <c r="AL2899" s="100"/>
      <c r="AM2899" s="100"/>
      <c r="AN2899" s="100"/>
      <c r="AO2899" s="100"/>
      <c r="AP2899" s="100"/>
      <c r="AQ2899" s="100"/>
      <c r="AR2899" s="100"/>
      <c r="AS2899" s="100"/>
      <c r="AT2899" s="102"/>
    </row>
    <row r="2900" spans="1:63" x14ac:dyDescent="0.25">
      <c r="A2900" s="92"/>
      <c r="B2900" s="93"/>
      <c r="C2900" s="93"/>
      <c r="D2900" s="92"/>
      <c r="E2900" s="92"/>
      <c r="F2900" s="92"/>
      <c r="G2900" s="92"/>
      <c r="H2900" s="92"/>
      <c r="I2900" s="92"/>
      <c r="J2900" s="92"/>
      <c r="K2900" s="92"/>
      <c r="L2900" s="92"/>
      <c r="M2900" s="92"/>
      <c r="N2900" s="94"/>
      <c r="AG2900" s="100"/>
      <c r="AH2900" s="101"/>
      <c r="AI2900" s="101"/>
      <c r="AJ2900" s="101"/>
      <c r="AK2900" s="100"/>
      <c r="AL2900" s="100"/>
      <c r="AM2900" s="100"/>
      <c r="AN2900" s="100"/>
      <c r="AO2900" s="100"/>
      <c r="AP2900" s="100"/>
      <c r="AQ2900" s="100"/>
      <c r="AR2900" s="100"/>
      <c r="AS2900" s="100"/>
      <c r="AT2900" s="102"/>
    </row>
    <row r="2901" spans="1:63" x14ac:dyDescent="0.25">
      <c r="A2901" s="92"/>
      <c r="B2901" s="93"/>
      <c r="C2901" s="93"/>
      <c r="D2901" s="92"/>
      <c r="E2901" s="92"/>
      <c r="F2901" s="92"/>
      <c r="G2901" s="92"/>
      <c r="H2901" s="92"/>
      <c r="I2901" s="92"/>
      <c r="J2901" s="92"/>
      <c r="K2901" s="92"/>
      <c r="L2901" s="92"/>
      <c r="M2901" s="92"/>
      <c r="N2901" s="94"/>
      <c r="AG2901" s="100"/>
      <c r="AH2901" s="101"/>
      <c r="AI2901" s="101"/>
      <c r="AJ2901" s="101"/>
      <c r="AK2901" s="100"/>
      <c r="AL2901" s="100"/>
      <c r="AM2901" s="100"/>
      <c r="AN2901" s="100"/>
      <c r="AO2901" s="100"/>
      <c r="AP2901" s="100"/>
      <c r="AQ2901" s="100"/>
      <c r="AR2901" s="100"/>
      <c r="AS2901" s="100"/>
      <c r="AT2901" s="102"/>
    </row>
    <row r="2902" spans="1:63" x14ac:dyDescent="0.25">
      <c r="A2902" s="92"/>
      <c r="B2902" s="93"/>
      <c r="C2902" s="93"/>
      <c r="D2902" s="93"/>
      <c r="E2902" s="92"/>
      <c r="F2902" s="92"/>
      <c r="G2902" s="92"/>
      <c r="H2902" s="92"/>
      <c r="I2902" s="92"/>
      <c r="J2902" s="92"/>
      <c r="K2902" s="92"/>
      <c r="L2902" s="92"/>
      <c r="M2902" s="92"/>
      <c r="N2902" s="94"/>
      <c r="AG2902" s="100"/>
      <c r="AH2902" s="100"/>
      <c r="AI2902" s="100"/>
      <c r="AJ2902" s="101"/>
      <c r="AK2902" s="100"/>
      <c r="AL2902" s="100"/>
      <c r="AM2902" s="100"/>
      <c r="AN2902" s="100"/>
      <c r="AO2902" s="100"/>
      <c r="AP2902" s="100"/>
      <c r="AQ2902" s="100"/>
      <c r="AR2902" s="100"/>
      <c r="AS2902" s="100"/>
      <c r="AT2902" s="100"/>
    </row>
    <row r="2903" spans="1:63" x14ac:dyDescent="0.25">
      <c r="A2903" s="92"/>
      <c r="B2903" s="92"/>
      <c r="C2903" s="92"/>
      <c r="D2903" s="93"/>
      <c r="E2903" s="92"/>
      <c r="F2903" s="92"/>
      <c r="G2903" s="92"/>
      <c r="H2903" s="92"/>
      <c r="I2903" s="92"/>
      <c r="J2903" s="92"/>
      <c r="K2903" s="92"/>
      <c r="L2903" s="92"/>
      <c r="M2903" s="92"/>
      <c r="N2903" s="92"/>
      <c r="AG2903" s="100"/>
      <c r="AH2903" s="101"/>
      <c r="AI2903" s="101"/>
      <c r="AJ2903" s="101"/>
      <c r="AK2903" s="100"/>
      <c r="AL2903" s="100"/>
      <c r="AM2903" s="100"/>
      <c r="AN2903" s="100"/>
      <c r="AO2903" s="100"/>
      <c r="AP2903" s="100"/>
      <c r="AQ2903" s="100"/>
      <c r="AR2903" s="100"/>
      <c r="AS2903" s="100"/>
      <c r="AT2903" s="102"/>
      <c r="AZ2903" s="117"/>
      <c r="BK2903" s="39"/>
    </row>
    <row r="2904" spans="1:63" x14ac:dyDescent="0.25">
      <c r="A2904" s="92"/>
      <c r="B2904" s="92"/>
      <c r="C2904" s="92"/>
      <c r="D2904" s="93"/>
      <c r="E2904" s="92"/>
      <c r="F2904" s="92"/>
      <c r="G2904" s="92"/>
      <c r="H2904" s="92"/>
      <c r="I2904" s="92"/>
      <c r="J2904" s="92"/>
      <c r="K2904" s="92"/>
      <c r="L2904" s="92"/>
      <c r="M2904" s="92"/>
      <c r="N2904" s="92"/>
      <c r="AG2904" s="100"/>
      <c r="AH2904" s="101"/>
      <c r="AI2904" s="101"/>
      <c r="AJ2904" s="101"/>
      <c r="AK2904" s="100"/>
      <c r="AL2904" s="100"/>
      <c r="AM2904" s="100"/>
      <c r="AN2904" s="100"/>
      <c r="AO2904" s="100"/>
      <c r="AP2904" s="100"/>
      <c r="AQ2904" s="100"/>
      <c r="AR2904" s="100"/>
      <c r="AS2904" s="100"/>
      <c r="AT2904" s="102"/>
      <c r="AZ2904" s="117"/>
      <c r="BA2904" s="117"/>
      <c r="BK2904" s="39"/>
    </row>
    <row r="2905" spans="1:63" x14ac:dyDescent="0.25">
      <c r="A2905" s="92"/>
      <c r="B2905" s="92"/>
      <c r="C2905" s="92"/>
      <c r="D2905" s="93"/>
      <c r="E2905" s="92"/>
      <c r="F2905" s="92"/>
      <c r="G2905" s="92"/>
      <c r="H2905" s="92"/>
      <c r="I2905" s="92"/>
      <c r="J2905" s="92"/>
      <c r="K2905" s="92"/>
      <c r="L2905" s="92"/>
      <c r="M2905" s="92"/>
      <c r="N2905" s="92"/>
      <c r="AG2905" s="100"/>
      <c r="AH2905" s="101"/>
      <c r="AI2905" s="101"/>
      <c r="AJ2905" s="101"/>
      <c r="AK2905" s="100"/>
      <c r="AL2905" s="100"/>
      <c r="AM2905" s="100"/>
      <c r="AN2905" s="100"/>
      <c r="AO2905" s="100"/>
      <c r="AP2905" s="100"/>
      <c r="AQ2905" s="100"/>
      <c r="AR2905" s="100"/>
      <c r="AS2905" s="100"/>
      <c r="AT2905" s="102"/>
      <c r="BA2905" s="117"/>
    </row>
    <row r="2906" spans="1:63" x14ac:dyDescent="0.25">
      <c r="A2906" s="92"/>
      <c r="B2906" s="93"/>
      <c r="C2906" s="93"/>
      <c r="D2906" s="93"/>
      <c r="E2906" s="92"/>
      <c r="F2906" s="92"/>
      <c r="G2906" s="92"/>
      <c r="H2906" s="92"/>
      <c r="I2906" s="92"/>
      <c r="J2906" s="92"/>
      <c r="K2906" s="92"/>
      <c r="L2906" s="92"/>
      <c r="M2906" s="92"/>
      <c r="N2906" s="94"/>
      <c r="AG2906" s="100"/>
      <c r="AH2906" s="101"/>
      <c r="AI2906" s="101"/>
      <c r="AJ2906" s="101"/>
      <c r="AK2906" s="100"/>
      <c r="AL2906" s="100"/>
      <c r="AM2906" s="100"/>
      <c r="AN2906" s="100"/>
      <c r="AO2906" s="100"/>
      <c r="AP2906" s="100"/>
      <c r="AQ2906" s="100"/>
      <c r="AR2906" s="100"/>
      <c r="AS2906" s="100"/>
      <c r="AT2906" s="102"/>
    </row>
    <row r="2907" spans="1:63" x14ac:dyDescent="0.25">
      <c r="A2907" s="92"/>
      <c r="B2907" s="92"/>
      <c r="C2907" s="92"/>
      <c r="D2907" s="92"/>
      <c r="E2907" s="92"/>
      <c r="F2907" s="92"/>
      <c r="G2907" s="92"/>
      <c r="H2907" s="92"/>
      <c r="I2907" s="92"/>
      <c r="J2907" s="92"/>
      <c r="K2907" s="92"/>
      <c r="L2907" s="92"/>
      <c r="M2907" s="92"/>
      <c r="N2907" s="92"/>
      <c r="AG2907" s="100"/>
      <c r="AH2907" s="101"/>
      <c r="AI2907" s="101"/>
      <c r="AJ2907" s="101"/>
      <c r="AK2907" s="100"/>
      <c r="AL2907" s="100"/>
      <c r="AM2907" s="100"/>
      <c r="AN2907" s="100"/>
      <c r="AO2907" s="100"/>
      <c r="AP2907" s="100"/>
      <c r="AQ2907" s="100"/>
      <c r="AR2907" s="100"/>
      <c r="AS2907" s="100"/>
      <c r="AT2907" s="102"/>
    </row>
    <row r="2908" spans="1:63" x14ac:dyDescent="0.25">
      <c r="A2908" s="92"/>
      <c r="B2908" s="92"/>
      <c r="C2908" s="92"/>
      <c r="D2908" s="92"/>
      <c r="E2908" s="92"/>
      <c r="F2908" s="92"/>
      <c r="G2908" s="92"/>
      <c r="H2908" s="92"/>
      <c r="I2908" s="92"/>
      <c r="J2908" s="92"/>
      <c r="K2908" s="92"/>
      <c r="L2908" s="92"/>
      <c r="M2908" s="92"/>
      <c r="N2908" s="92"/>
      <c r="AG2908" s="100"/>
      <c r="AH2908" s="101"/>
      <c r="AI2908" s="101"/>
      <c r="AJ2908" s="101"/>
      <c r="AK2908" s="100"/>
      <c r="AL2908" s="100"/>
      <c r="AM2908" s="100"/>
      <c r="AN2908" s="100"/>
      <c r="AO2908" s="100"/>
      <c r="AP2908" s="100"/>
      <c r="AQ2908" s="100"/>
      <c r="AR2908" s="100"/>
      <c r="AS2908" s="100"/>
      <c r="AT2908" s="102"/>
    </row>
    <row r="2909" spans="1:63" x14ac:dyDescent="0.25">
      <c r="A2909" s="92"/>
      <c r="B2909" s="92"/>
      <c r="C2909" s="92"/>
      <c r="D2909" s="92"/>
      <c r="E2909" s="92"/>
      <c r="F2909" s="92"/>
      <c r="G2909" s="92"/>
      <c r="H2909" s="92"/>
      <c r="I2909" s="92"/>
      <c r="J2909" s="92"/>
      <c r="K2909" s="92"/>
      <c r="L2909" s="92"/>
      <c r="M2909" s="92"/>
      <c r="N2909" s="92"/>
      <c r="AG2909" s="100"/>
      <c r="AH2909" s="101"/>
      <c r="AI2909" s="101"/>
      <c r="AJ2909" s="101"/>
      <c r="AK2909" s="100"/>
      <c r="AL2909" s="100"/>
      <c r="AM2909" s="100"/>
      <c r="AN2909" s="100"/>
      <c r="AO2909" s="100"/>
      <c r="AP2909" s="100"/>
      <c r="AQ2909" s="100"/>
      <c r="AR2909" s="100"/>
      <c r="AS2909" s="100"/>
      <c r="AT2909" s="102"/>
    </row>
    <row r="2910" spans="1:63" x14ac:dyDescent="0.25">
      <c r="A2910" s="92"/>
      <c r="B2910" s="92"/>
      <c r="C2910" s="92"/>
      <c r="D2910" s="92"/>
      <c r="E2910" s="92"/>
      <c r="F2910" s="92"/>
      <c r="G2910" s="92"/>
      <c r="H2910" s="92"/>
      <c r="I2910" s="92"/>
      <c r="J2910" s="92"/>
      <c r="K2910" s="92"/>
      <c r="L2910" s="92"/>
      <c r="M2910" s="92"/>
      <c r="N2910" s="92"/>
      <c r="AG2910" s="100"/>
      <c r="AH2910" s="101"/>
      <c r="AI2910" s="101"/>
      <c r="AJ2910" s="101"/>
      <c r="AK2910" s="100"/>
      <c r="AL2910" s="100"/>
      <c r="AM2910" s="100"/>
      <c r="AN2910" s="100"/>
      <c r="AO2910" s="100"/>
      <c r="AP2910" s="100"/>
      <c r="AQ2910" s="100"/>
      <c r="AR2910" s="100"/>
      <c r="AS2910" s="100"/>
      <c r="AT2910" s="102"/>
    </row>
    <row r="2911" spans="1:63" x14ac:dyDescent="0.25">
      <c r="A2911" s="92"/>
      <c r="B2911" s="92"/>
      <c r="C2911" s="92"/>
      <c r="D2911" s="92"/>
      <c r="E2911" s="92"/>
      <c r="F2911" s="92"/>
      <c r="G2911" s="92"/>
      <c r="H2911" s="92"/>
      <c r="I2911" s="92"/>
      <c r="J2911" s="92"/>
      <c r="K2911" s="92"/>
      <c r="L2911" s="92"/>
      <c r="M2911" s="92"/>
      <c r="N2911" s="92"/>
      <c r="AG2911" s="100"/>
      <c r="AH2911" s="101"/>
      <c r="AI2911" s="101"/>
      <c r="AJ2911" s="101"/>
      <c r="AK2911" s="100"/>
      <c r="AL2911" s="100"/>
      <c r="AM2911" s="100"/>
      <c r="AN2911" s="100"/>
      <c r="AO2911" s="100"/>
      <c r="AP2911" s="100"/>
      <c r="AQ2911" s="100"/>
      <c r="AR2911" s="100"/>
      <c r="AS2911" s="100"/>
      <c r="AT2911" s="102"/>
    </row>
    <row r="2912" spans="1:63" x14ac:dyDescent="0.25">
      <c r="A2912" s="92"/>
      <c r="B2912" s="93"/>
      <c r="C2912" s="93"/>
      <c r="D2912" s="92"/>
      <c r="E2912" s="92"/>
      <c r="F2912" s="92"/>
      <c r="G2912" s="92"/>
      <c r="H2912" s="92"/>
      <c r="I2912" s="92"/>
      <c r="J2912" s="92"/>
      <c r="K2912" s="92"/>
      <c r="L2912" s="92"/>
      <c r="M2912" s="92"/>
      <c r="N2912" s="94"/>
      <c r="AG2912" s="100"/>
      <c r="AH2912" s="101"/>
      <c r="AI2912" s="101"/>
      <c r="AJ2912" s="101"/>
      <c r="AK2912" s="100"/>
      <c r="AL2912" s="100"/>
      <c r="AM2912" s="100"/>
      <c r="AN2912" s="100"/>
      <c r="AO2912" s="100"/>
      <c r="AP2912" s="100"/>
      <c r="AQ2912" s="100"/>
      <c r="AR2912" s="100"/>
      <c r="AS2912" s="100"/>
      <c r="AT2912" s="102"/>
    </row>
    <row r="2913" spans="1:63" x14ac:dyDescent="0.25">
      <c r="A2913" s="92"/>
      <c r="B2913" s="93"/>
      <c r="C2913" s="93"/>
      <c r="D2913" s="93"/>
      <c r="E2913" s="92"/>
      <c r="F2913" s="92"/>
      <c r="G2913" s="92"/>
      <c r="H2913" s="92"/>
      <c r="I2913" s="92"/>
      <c r="J2913" s="92"/>
      <c r="K2913" s="92"/>
      <c r="L2913" s="92"/>
      <c r="M2913" s="92"/>
      <c r="N2913" s="94"/>
      <c r="AG2913" s="100"/>
      <c r="AH2913" s="101"/>
      <c r="AI2913" s="101"/>
      <c r="AJ2913" s="101"/>
      <c r="AK2913" s="100"/>
      <c r="AL2913" s="100"/>
      <c r="AM2913" s="100"/>
      <c r="AN2913" s="100"/>
      <c r="AO2913" s="100"/>
      <c r="AP2913" s="100"/>
      <c r="AQ2913" s="100"/>
      <c r="AR2913" s="100"/>
      <c r="AS2913" s="100"/>
      <c r="AT2913" s="102"/>
    </row>
    <row r="2914" spans="1:63" x14ac:dyDescent="0.25">
      <c r="A2914" s="92"/>
      <c r="B2914" s="92"/>
      <c r="C2914" s="92"/>
      <c r="D2914" s="93"/>
      <c r="E2914" s="92"/>
      <c r="F2914" s="92"/>
      <c r="G2914" s="92"/>
      <c r="H2914" s="92"/>
      <c r="I2914" s="92"/>
      <c r="J2914" s="92"/>
      <c r="K2914" s="92"/>
      <c r="L2914" s="92"/>
      <c r="M2914" s="92"/>
      <c r="N2914" s="92"/>
      <c r="AG2914" s="100"/>
      <c r="AH2914" s="101"/>
      <c r="AI2914" s="101"/>
      <c r="AJ2914" s="101"/>
      <c r="AK2914" s="100"/>
      <c r="AL2914" s="100"/>
      <c r="AM2914" s="100"/>
      <c r="AN2914" s="100"/>
      <c r="AO2914" s="100"/>
      <c r="AP2914" s="100"/>
      <c r="AQ2914" s="100"/>
      <c r="AR2914" s="100"/>
      <c r="AS2914" s="100"/>
      <c r="AT2914" s="102"/>
    </row>
    <row r="2915" spans="1:63" x14ac:dyDescent="0.25">
      <c r="A2915" s="92"/>
      <c r="B2915" s="92"/>
      <c r="C2915" s="92"/>
      <c r="D2915" s="92"/>
      <c r="E2915" s="92"/>
      <c r="F2915" s="92"/>
      <c r="G2915" s="92"/>
      <c r="H2915" s="92"/>
      <c r="I2915" s="92"/>
      <c r="J2915" s="92"/>
      <c r="K2915" s="92"/>
      <c r="L2915" s="92"/>
      <c r="M2915" s="92"/>
      <c r="N2915" s="92"/>
      <c r="AG2915" s="100"/>
      <c r="AH2915" s="101"/>
      <c r="AI2915" s="101"/>
      <c r="AJ2915" s="101"/>
      <c r="AK2915" s="100"/>
      <c r="AL2915" s="100"/>
      <c r="AM2915" s="100"/>
      <c r="AN2915" s="100"/>
      <c r="AO2915" s="100"/>
      <c r="AP2915" s="100"/>
      <c r="AQ2915" s="100"/>
      <c r="AR2915" s="100"/>
      <c r="AS2915" s="100"/>
      <c r="AT2915" s="102"/>
    </row>
    <row r="2916" spans="1:63" x14ac:dyDescent="0.25">
      <c r="A2916" s="92"/>
      <c r="B2916" s="92"/>
      <c r="C2916" s="92"/>
      <c r="D2916" s="92"/>
      <c r="E2916" s="92"/>
      <c r="F2916" s="92"/>
      <c r="G2916" s="92"/>
      <c r="H2916" s="92"/>
      <c r="I2916" s="92"/>
      <c r="J2916" s="92"/>
      <c r="K2916" s="92"/>
      <c r="L2916" s="92"/>
      <c r="M2916" s="92"/>
      <c r="N2916" s="92"/>
      <c r="AG2916" s="100"/>
      <c r="AH2916" s="101"/>
      <c r="AI2916" s="101"/>
      <c r="AJ2916" s="101"/>
      <c r="AK2916" s="100"/>
      <c r="AL2916" s="100"/>
      <c r="AM2916" s="100"/>
      <c r="AN2916" s="100"/>
      <c r="AO2916" s="100"/>
      <c r="AP2916" s="100"/>
      <c r="AQ2916" s="100"/>
      <c r="AR2916" s="100"/>
      <c r="AS2916" s="100"/>
      <c r="AT2916" s="102"/>
    </row>
    <row r="2917" spans="1:63" x14ac:dyDescent="0.25">
      <c r="A2917" s="92"/>
      <c r="B2917" s="92"/>
      <c r="C2917" s="92"/>
      <c r="D2917" s="92"/>
      <c r="E2917" s="92"/>
      <c r="F2917" s="92"/>
      <c r="G2917" s="92"/>
      <c r="H2917" s="92"/>
      <c r="I2917" s="92"/>
      <c r="J2917" s="92"/>
      <c r="K2917" s="92"/>
      <c r="L2917" s="92"/>
      <c r="M2917" s="92"/>
      <c r="N2917" s="92"/>
      <c r="AG2917" s="100"/>
      <c r="AH2917" s="101"/>
      <c r="AI2917" s="101"/>
      <c r="AJ2917" s="101"/>
      <c r="AK2917" s="100"/>
      <c r="AL2917" s="100"/>
      <c r="AM2917" s="100"/>
      <c r="AN2917" s="100"/>
      <c r="AO2917" s="100"/>
      <c r="AP2917" s="100"/>
      <c r="AQ2917" s="100"/>
      <c r="AR2917" s="100"/>
      <c r="AS2917" s="100"/>
      <c r="AT2917" s="102"/>
    </row>
    <row r="2918" spans="1:63" x14ac:dyDescent="0.25">
      <c r="A2918" s="92"/>
      <c r="B2918" s="92"/>
      <c r="C2918" s="92"/>
      <c r="D2918" s="92"/>
      <c r="E2918" s="92"/>
      <c r="F2918" s="92"/>
      <c r="G2918" s="92"/>
      <c r="H2918" s="92"/>
      <c r="I2918" s="92"/>
      <c r="J2918" s="92"/>
      <c r="K2918" s="92"/>
      <c r="L2918" s="92"/>
      <c r="M2918" s="92"/>
      <c r="N2918" s="92"/>
      <c r="AG2918" s="100"/>
      <c r="AH2918" s="101"/>
      <c r="AI2918" s="101"/>
      <c r="AJ2918" s="101"/>
      <c r="AK2918" s="100"/>
      <c r="AL2918" s="100"/>
      <c r="AM2918" s="100"/>
      <c r="AN2918" s="100"/>
      <c r="AO2918" s="100"/>
      <c r="AP2918" s="100"/>
      <c r="AQ2918" s="100"/>
      <c r="AR2918" s="100"/>
      <c r="AS2918" s="100"/>
      <c r="AT2918" s="102"/>
      <c r="AZ2918" s="117"/>
      <c r="BK2918" s="39"/>
    </row>
    <row r="2919" spans="1:63" x14ac:dyDescent="0.25">
      <c r="A2919" s="92"/>
      <c r="B2919" s="92"/>
      <c r="C2919" s="92"/>
      <c r="D2919" s="92"/>
      <c r="E2919" s="92"/>
      <c r="F2919" s="92"/>
      <c r="G2919" s="92"/>
      <c r="H2919" s="92"/>
      <c r="I2919" s="92"/>
      <c r="J2919" s="92"/>
      <c r="K2919" s="92"/>
      <c r="L2919" s="92"/>
      <c r="M2919" s="92"/>
      <c r="N2919" s="92"/>
      <c r="AG2919" s="100"/>
      <c r="AH2919" s="100"/>
      <c r="AI2919" s="100"/>
      <c r="AJ2919" s="101"/>
      <c r="AK2919" s="100"/>
      <c r="AL2919" s="100"/>
      <c r="AM2919" s="100"/>
      <c r="AN2919" s="100"/>
      <c r="AO2919" s="100"/>
      <c r="AP2919" s="100"/>
      <c r="AQ2919" s="100"/>
      <c r="AR2919" s="100"/>
      <c r="AS2919" s="100"/>
      <c r="AT2919" s="100"/>
      <c r="AZ2919" s="117"/>
      <c r="BK2919" s="39"/>
    </row>
    <row r="2920" spans="1:63" x14ac:dyDescent="0.25">
      <c r="A2920" s="92"/>
      <c r="B2920" s="92"/>
      <c r="C2920" s="92"/>
      <c r="D2920" s="92"/>
      <c r="E2920" s="92"/>
      <c r="F2920" s="92"/>
      <c r="G2920" s="92"/>
      <c r="H2920" s="92"/>
      <c r="I2920" s="92"/>
      <c r="J2920" s="92"/>
      <c r="K2920" s="92"/>
      <c r="L2920" s="92"/>
      <c r="M2920" s="92"/>
      <c r="N2920" s="92"/>
      <c r="AG2920" s="100"/>
      <c r="AH2920" s="101"/>
      <c r="AI2920" s="101"/>
      <c r="AJ2920" s="101"/>
      <c r="AK2920" s="100"/>
      <c r="AL2920" s="100"/>
      <c r="AM2920" s="100"/>
      <c r="AN2920" s="100"/>
      <c r="AO2920" s="100"/>
      <c r="AP2920" s="100"/>
      <c r="AQ2920" s="100"/>
      <c r="AR2920" s="100"/>
      <c r="AS2920" s="100"/>
      <c r="AT2920" s="102"/>
      <c r="AZ2920" s="117"/>
      <c r="BK2920" s="39"/>
    </row>
    <row r="2921" spans="1:63" x14ac:dyDescent="0.25">
      <c r="A2921" s="92"/>
      <c r="B2921" s="92"/>
      <c r="C2921" s="92"/>
      <c r="D2921" s="92"/>
      <c r="E2921" s="92"/>
      <c r="F2921" s="92"/>
      <c r="G2921" s="92"/>
      <c r="H2921" s="92"/>
      <c r="I2921" s="92"/>
      <c r="J2921" s="92"/>
      <c r="K2921" s="92"/>
      <c r="L2921" s="92"/>
      <c r="M2921" s="92"/>
      <c r="N2921" s="92"/>
      <c r="AG2921" s="100"/>
      <c r="AH2921" s="101"/>
      <c r="AI2921" s="101"/>
      <c r="AJ2921" s="101"/>
      <c r="AK2921" s="100"/>
      <c r="AL2921" s="100"/>
      <c r="AM2921" s="100"/>
      <c r="AN2921" s="100"/>
      <c r="AO2921" s="100"/>
      <c r="AP2921" s="100"/>
      <c r="AQ2921" s="100"/>
      <c r="AR2921" s="100"/>
      <c r="AS2921" s="100"/>
      <c r="AT2921" s="102"/>
    </row>
    <row r="2922" spans="1:63" x14ac:dyDescent="0.25">
      <c r="A2922" s="92"/>
      <c r="B2922" s="92"/>
      <c r="C2922" s="92"/>
      <c r="D2922" s="92"/>
      <c r="E2922" s="92"/>
      <c r="F2922" s="92"/>
      <c r="G2922" s="92"/>
      <c r="H2922" s="92"/>
      <c r="I2922" s="92"/>
      <c r="J2922" s="92"/>
      <c r="K2922" s="92"/>
      <c r="L2922" s="92"/>
      <c r="M2922" s="92"/>
      <c r="N2922" s="92"/>
      <c r="AG2922" s="100"/>
      <c r="AH2922" s="100"/>
      <c r="AI2922" s="100"/>
      <c r="AJ2922" s="101"/>
      <c r="AK2922" s="100"/>
      <c r="AL2922" s="100"/>
      <c r="AM2922" s="100"/>
      <c r="AN2922" s="100"/>
      <c r="AO2922" s="100"/>
      <c r="AP2922" s="100"/>
      <c r="AQ2922" s="100"/>
      <c r="AR2922" s="100"/>
      <c r="AS2922" s="100"/>
      <c r="AT2922" s="100"/>
      <c r="AZ2922" s="117"/>
      <c r="BK2922" s="39"/>
    </row>
    <row r="2923" spans="1:63" x14ac:dyDescent="0.25">
      <c r="A2923" s="92"/>
      <c r="B2923" s="92"/>
      <c r="C2923" s="92"/>
      <c r="D2923" s="92"/>
      <c r="E2923" s="92"/>
      <c r="F2923" s="92"/>
      <c r="G2923" s="92"/>
      <c r="H2923" s="92"/>
      <c r="I2923" s="92"/>
      <c r="J2923" s="92"/>
      <c r="K2923" s="92"/>
      <c r="L2923" s="92"/>
      <c r="M2923" s="92"/>
      <c r="N2923" s="92"/>
      <c r="AG2923" s="100"/>
      <c r="AH2923" s="101"/>
      <c r="AI2923" s="101"/>
      <c r="AJ2923" s="101"/>
      <c r="AK2923" s="100"/>
      <c r="AL2923" s="100"/>
      <c r="AM2923" s="100"/>
      <c r="AN2923" s="100"/>
      <c r="AO2923" s="100"/>
      <c r="AP2923" s="100"/>
      <c r="AQ2923" s="100"/>
      <c r="AR2923" s="100"/>
      <c r="AS2923" s="100"/>
      <c r="AT2923" s="102"/>
    </row>
    <row r="2924" spans="1:63" x14ac:dyDescent="0.25">
      <c r="A2924" s="92"/>
      <c r="B2924" s="92"/>
      <c r="C2924" s="92"/>
      <c r="D2924" s="92"/>
      <c r="E2924" s="92"/>
      <c r="F2924" s="92"/>
      <c r="G2924" s="92"/>
      <c r="H2924" s="92"/>
      <c r="I2924" s="92"/>
      <c r="J2924" s="92"/>
      <c r="K2924" s="92"/>
      <c r="L2924" s="92"/>
      <c r="M2924" s="92"/>
      <c r="N2924" s="92"/>
      <c r="AG2924" s="100"/>
      <c r="AH2924" s="100"/>
      <c r="AI2924" s="100"/>
      <c r="AJ2924" s="101"/>
      <c r="AK2924" s="100"/>
      <c r="AL2924" s="100"/>
      <c r="AM2924" s="100"/>
      <c r="AN2924" s="100"/>
      <c r="AO2924" s="100"/>
      <c r="AP2924" s="100"/>
      <c r="AQ2924" s="100"/>
      <c r="AR2924" s="100"/>
      <c r="AS2924" s="100"/>
      <c r="AT2924" s="100"/>
      <c r="AZ2924" s="117"/>
      <c r="BK2924" s="39"/>
    </row>
    <row r="2925" spans="1:63" x14ac:dyDescent="0.25">
      <c r="A2925" s="92"/>
      <c r="B2925" s="92"/>
      <c r="C2925" s="92"/>
      <c r="D2925" s="92"/>
      <c r="E2925" s="92"/>
      <c r="F2925" s="92"/>
      <c r="G2925" s="92"/>
      <c r="H2925" s="92"/>
      <c r="I2925" s="92"/>
      <c r="J2925" s="92"/>
      <c r="K2925" s="92"/>
      <c r="L2925" s="92"/>
      <c r="M2925" s="92"/>
      <c r="N2925" s="92"/>
      <c r="AG2925" s="100"/>
      <c r="AH2925" s="100"/>
      <c r="AI2925" s="100"/>
      <c r="AJ2925" s="101"/>
      <c r="AK2925" s="100"/>
      <c r="AL2925" s="100"/>
      <c r="AM2925" s="100"/>
      <c r="AN2925" s="100"/>
      <c r="AO2925" s="100"/>
      <c r="AP2925" s="100"/>
      <c r="AQ2925" s="100"/>
      <c r="AR2925" s="100"/>
      <c r="AS2925" s="100"/>
      <c r="AT2925" s="100"/>
      <c r="AZ2925" s="117"/>
      <c r="BK2925" s="39"/>
    </row>
    <row r="2926" spans="1:63" x14ac:dyDescent="0.25">
      <c r="A2926" s="92"/>
      <c r="B2926" s="92"/>
      <c r="C2926" s="92"/>
      <c r="D2926" s="92"/>
      <c r="E2926" s="92"/>
      <c r="F2926" s="92"/>
      <c r="G2926" s="92"/>
      <c r="H2926" s="92"/>
      <c r="I2926" s="92"/>
      <c r="J2926" s="92"/>
      <c r="K2926" s="92"/>
      <c r="L2926" s="92"/>
      <c r="M2926" s="92"/>
      <c r="N2926" s="92"/>
      <c r="AG2926" s="100"/>
      <c r="AH2926" s="100"/>
      <c r="AI2926" s="100"/>
      <c r="AJ2926" s="101"/>
      <c r="AK2926" s="100"/>
      <c r="AL2926" s="100"/>
      <c r="AM2926" s="100"/>
      <c r="AN2926" s="100"/>
      <c r="AO2926" s="100"/>
      <c r="AP2926" s="100"/>
      <c r="AQ2926" s="100"/>
      <c r="AR2926" s="100"/>
      <c r="AS2926" s="100"/>
      <c r="AT2926" s="100"/>
      <c r="AZ2926" s="117"/>
      <c r="BK2926" s="39"/>
    </row>
    <row r="2927" spans="1:63" x14ac:dyDescent="0.25">
      <c r="A2927" s="92"/>
      <c r="B2927" s="93"/>
      <c r="C2927" s="93"/>
      <c r="D2927" s="92"/>
      <c r="E2927" s="92"/>
      <c r="F2927" s="92"/>
      <c r="G2927" s="92"/>
      <c r="H2927" s="92"/>
      <c r="I2927" s="92"/>
      <c r="J2927" s="92"/>
      <c r="K2927" s="92"/>
      <c r="L2927" s="92"/>
      <c r="M2927" s="92"/>
      <c r="N2927" s="94"/>
      <c r="AG2927" s="100"/>
      <c r="AH2927" s="101"/>
      <c r="AI2927" s="101"/>
      <c r="AJ2927" s="101"/>
      <c r="AK2927" s="100"/>
      <c r="AL2927" s="100"/>
      <c r="AM2927" s="100"/>
      <c r="AN2927" s="100"/>
      <c r="AO2927" s="100"/>
      <c r="AP2927" s="100"/>
      <c r="AQ2927" s="100"/>
      <c r="AR2927" s="100"/>
      <c r="AS2927" s="100"/>
      <c r="AT2927" s="102"/>
      <c r="AZ2927" s="117"/>
      <c r="BA2927" s="117"/>
      <c r="BK2927" s="39"/>
    </row>
    <row r="2928" spans="1:63" x14ac:dyDescent="0.25">
      <c r="A2928" s="92"/>
      <c r="B2928" s="93"/>
      <c r="C2928" s="93"/>
      <c r="D2928" s="92"/>
      <c r="E2928" s="92"/>
      <c r="F2928" s="92"/>
      <c r="G2928" s="92"/>
      <c r="H2928" s="92"/>
      <c r="I2928" s="92"/>
      <c r="J2928" s="92"/>
      <c r="K2928" s="92"/>
      <c r="L2928" s="92"/>
      <c r="M2928" s="92"/>
      <c r="N2928" s="94"/>
      <c r="AG2928" s="100"/>
      <c r="AH2928" s="101"/>
      <c r="AI2928" s="101"/>
      <c r="AJ2928" s="101"/>
      <c r="AK2928" s="100"/>
      <c r="AL2928" s="100"/>
      <c r="AM2928" s="100"/>
      <c r="AN2928" s="100"/>
      <c r="AO2928" s="100"/>
      <c r="AP2928" s="100"/>
      <c r="AQ2928" s="100"/>
      <c r="AR2928" s="100"/>
      <c r="AS2928" s="100"/>
      <c r="AT2928" s="102"/>
      <c r="AZ2928" s="117"/>
      <c r="BK2928" s="39"/>
    </row>
    <row r="2929" spans="1:46" x14ac:dyDescent="0.25">
      <c r="A2929" s="92"/>
      <c r="B2929" s="93"/>
      <c r="C2929" s="93"/>
      <c r="D2929" s="92"/>
      <c r="E2929" s="92"/>
      <c r="F2929" s="92"/>
      <c r="G2929" s="92"/>
      <c r="H2929" s="92"/>
      <c r="I2929" s="92"/>
      <c r="J2929" s="92"/>
      <c r="K2929" s="92"/>
      <c r="L2929" s="92"/>
      <c r="M2929" s="92"/>
      <c r="N2929" s="94"/>
      <c r="AG2929" s="100"/>
      <c r="AH2929" s="101"/>
      <c r="AI2929" s="101"/>
      <c r="AJ2929" s="101"/>
      <c r="AK2929" s="100"/>
      <c r="AL2929" s="100"/>
      <c r="AM2929" s="100"/>
      <c r="AN2929" s="100"/>
      <c r="AO2929" s="100"/>
      <c r="AP2929" s="100"/>
      <c r="AQ2929" s="100"/>
      <c r="AR2929" s="100"/>
      <c r="AS2929" s="100"/>
      <c r="AT2929" s="102"/>
    </row>
    <row r="2930" spans="1:46" x14ac:dyDescent="0.25">
      <c r="A2930" s="92"/>
      <c r="B2930" s="92"/>
      <c r="C2930" s="92"/>
      <c r="D2930" s="92"/>
      <c r="E2930" s="92"/>
      <c r="F2930" s="92"/>
      <c r="G2930" s="92"/>
      <c r="H2930" s="92"/>
      <c r="I2930" s="92"/>
      <c r="J2930" s="92"/>
      <c r="K2930" s="92"/>
      <c r="L2930" s="92"/>
      <c r="M2930" s="92"/>
      <c r="N2930" s="92"/>
      <c r="AG2930" s="100"/>
      <c r="AH2930" s="101"/>
      <c r="AI2930" s="101"/>
      <c r="AJ2930" s="101"/>
      <c r="AK2930" s="100"/>
      <c r="AL2930" s="100"/>
      <c r="AM2930" s="100"/>
      <c r="AN2930" s="100"/>
      <c r="AO2930" s="100"/>
      <c r="AP2930" s="100"/>
      <c r="AQ2930" s="100"/>
      <c r="AR2930" s="100"/>
      <c r="AS2930" s="100"/>
      <c r="AT2930" s="102"/>
    </row>
    <row r="2931" spans="1:46" x14ac:dyDescent="0.25">
      <c r="A2931" s="92"/>
      <c r="B2931" s="93"/>
      <c r="C2931" s="93"/>
      <c r="D2931" s="92"/>
      <c r="E2931" s="92"/>
      <c r="F2931" s="92"/>
      <c r="G2931" s="92"/>
      <c r="H2931" s="92"/>
      <c r="I2931" s="92"/>
      <c r="J2931" s="92"/>
      <c r="K2931" s="92"/>
      <c r="L2931" s="92"/>
      <c r="M2931" s="92"/>
      <c r="N2931" s="94"/>
      <c r="AG2931" s="100"/>
      <c r="AH2931" s="101"/>
      <c r="AI2931" s="101"/>
      <c r="AJ2931" s="101"/>
      <c r="AK2931" s="100"/>
      <c r="AL2931" s="100"/>
      <c r="AM2931" s="100"/>
      <c r="AN2931" s="100"/>
      <c r="AO2931" s="100"/>
      <c r="AP2931" s="100"/>
      <c r="AQ2931" s="100"/>
      <c r="AR2931" s="100"/>
      <c r="AS2931" s="100"/>
      <c r="AT2931" s="102"/>
    </row>
    <row r="2932" spans="1:46" x14ac:dyDescent="0.25">
      <c r="A2932" s="92"/>
      <c r="B2932" s="92"/>
      <c r="C2932" s="92"/>
      <c r="D2932" s="92"/>
      <c r="E2932" s="92"/>
      <c r="F2932" s="92"/>
      <c r="G2932" s="92"/>
      <c r="H2932" s="92"/>
      <c r="I2932" s="92"/>
      <c r="J2932" s="92"/>
      <c r="K2932" s="92"/>
      <c r="L2932" s="92"/>
      <c r="M2932" s="92"/>
      <c r="N2932" s="92"/>
      <c r="AG2932" s="100"/>
      <c r="AH2932" s="101"/>
      <c r="AI2932" s="101"/>
      <c r="AJ2932" s="101"/>
      <c r="AK2932" s="100"/>
      <c r="AL2932" s="100"/>
      <c r="AM2932" s="100"/>
      <c r="AN2932" s="100"/>
      <c r="AO2932" s="100"/>
      <c r="AP2932" s="100"/>
      <c r="AQ2932" s="100"/>
      <c r="AR2932" s="100"/>
      <c r="AS2932" s="100"/>
      <c r="AT2932" s="102"/>
    </row>
    <row r="2933" spans="1:46" x14ac:dyDescent="0.25">
      <c r="A2933" s="92"/>
      <c r="B2933" s="93"/>
      <c r="C2933" s="93"/>
      <c r="D2933" s="92"/>
      <c r="E2933" s="92"/>
      <c r="F2933" s="92"/>
      <c r="G2933" s="92"/>
      <c r="H2933" s="92"/>
      <c r="I2933" s="92"/>
      <c r="J2933" s="92"/>
      <c r="K2933" s="92"/>
      <c r="L2933" s="92"/>
      <c r="M2933" s="92"/>
      <c r="N2933" s="94"/>
      <c r="AG2933" s="100"/>
      <c r="AH2933" s="101"/>
      <c r="AI2933" s="101"/>
      <c r="AJ2933" s="101"/>
      <c r="AK2933" s="100"/>
      <c r="AL2933" s="100"/>
      <c r="AM2933" s="100"/>
      <c r="AN2933" s="100"/>
      <c r="AO2933" s="100"/>
      <c r="AP2933" s="100"/>
      <c r="AQ2933" s="100"/>
      <c r="AR2933" s="100"/>
      <c r="AS2933" s="100"/>
      <c r="AT2933" s="102"/>
    </row>
    <row r="2934" spans="1:46" x14ac:dyDescent="0.25">
      <c r="A2934" s="92"/>
      <c r="B2934" s="93"/>
      <c r="C2934" s="93"/>
      <c r="D2934" s="92"/>
      <c r="E2934" s="92"/>
      <c r="F2934" s="92"/>
      <c r="G2934" s="92"/>
      <c r="H2934" s="92"/>
      <c r="I2934" s="92"/>
      <c r="J2934" s="92"/>
      <c r="K2934" s="92"/>
      <c r="L2934" s="92"/>
      <c r="M2934" s="92"/>
      <c r="N2934" s="94"/>
      <c r="AG2934" s="100"/>
      <c r="AH2934" s="101"/>
      <c r="AI2934" s="101"/>
      <c r="AJ2934" s="101"/>
      <c r="AK2934" s="100"/>
      <c r="AL2934" s="100"/>
      <c r="AM2934" s="100"/>
      <c r="AN2934" s="100"/>
      <c r="AO2934" s="100"/>
      <c r="AP2934" s="100"/>
      <c r="AQ2934" s="100"/>
      <c r="AR2934" s="100"/>
      <c r="AS2934" s="100"/>
      <c r="AT2934" s="102"/>
    </row>
    <row r="2935" spans="1:46" x14ac:dyDescent="0.25">
      <c r="A2935" s="92"/>
      <c r="B2935" s="93"/>
      <c r="C2935" s="93"/>
      <c r="D2935" s="92"/>
      <c r="E2935" s="92"/>
      <c r="F2935" s="92"/>
      <c r="G2935" s="92"/>
      <c r="H2935" s="92"/>
      <c r="I2935" s="92"/>
      <c r="J2935" s="92"/>
      <c r="K2935" s="92"/>
      <c r="L2935" s="92"/>
      <c r="M2935" s="92"/>
      <c r="N2935" s="94"/>
      <c r="AG2935" s="100"/>
      <c r="AH2935" s="101"/>
      <c r="AI2935" s="101"/>
      <c r="AJ2935" s="101"/>
      <c r="AK2935" s="100"/>
      <c r="AL2935" s="100"/>
      <c r="AM2935" s="100"/>
      <c r="AN2935" s="100"/>
      <c r="AO2935" s="100"/>
      <c r="AP2935" s="100"/>
      <c r="AQ2935" s="100"/>
      <c r="AR2935" s="100"/>
      <c r="AS2935" s="100"/>
      <c r="AT2935" s="102"/>
    </row>
    <row r="2936" spans="1:46" x14ac:dyDescent="0.25">
      <c r="A2936" s="92"/>
      <c r="B2936" s="93"/>
      <c r="C2936" s="93"/>
      <c r="D2936" s="93"/>
      <c r="E2936" s="92"/>
      <c r="F2936" s="92"/>
      <c r="G2936" s="92"/>
      <c r="H2936" s="92"/>
      <c r="I2936" s="92"/>
      <c r="J2936" s="92"/>
      <c r="K2936" s="92"/>
      <c r="L2936" s="92"/>
      <c r="M2936" s="92"/>
      <c r="N2936" s="94"/>
      <c r="AG2936" s="100"/>
      <c r="AH2936" s="100"/>
      <c r="AI2936" s="100"/>
      <c r="AJ2936" s="101"/>
      <c r="AK2936" s="100"/>
      <c r="AL2936" s="100"/>
      <c r="AM2936" s="100"/>
      <c r="AN2936" s="100"/>
      <c r="AO2936" s="100"/>
      <c r="AP2936" s="100"/>
      <c r="AQ2936" s="100"/>
      <c r="AR2936" s="100"/>
      <c r="AS2936" s="100"/>
      <c r="AT2936" s="100"/>
    </row>
    <row r="2937" spans="1:46" x14ac:dyDescent="0.25">
      <c r="A2937" s="92"/>
      <c r="B2937" s="93"/>
      <c r="C2937" s="93"/>
      <c r="D2937" s="92"/>
      <c r="E2937" s="92"/>
      <c r="F2937" s="92"/>
      <c r="G2937" s="92"/>
      <c r="H2937" s="92"/>
      <c r="I2937" s="92"/>
      <c r="J2937" s="92"/>
      <c r="K2937" s="92"/>
      <c r="L2937" s="92"/>
      <c r="M2937" s="92"/>
      <c r="N2937" s="94"/>
      <c r="AG2937" s="100"/>
      <c r="AH2937" s="101"/>
      <c r="AI2937" s="101"/>
      <c r="AJ2937" s="101"/>
      <c r="AK2937" s="100"/>
      <c r="AL2937" s="100"/>
      <c r="AM2937" s="100"/>
      <c r="AN2937" s="100"/>
      <c r="AO2937" s="100"/>
      <c r="AP2937" s="100"/>
      <c r="AQ2937" s="100"/>
      <c r="AR2937" s="100"/>
      <c r="AS2937" s="100"/>
      <c r="AT2937" s="102"/>
    </row>
    <row r="2938" spans="1:46" x14ac:dyDescent="0.25">
      <c r="A2938" s="92"/>
      <c r="B2938" s="92"/>
      <c r="C2938" s="92"/>
      <c r="D2938" s="92"/>
      <c r="E2938" s="92"/>
      <c r="F2938" s="92"/>
      <c r="G2938" s="92"/>
      <c r="H2938" s="92"/>
      <c r="I2938" s="92"/>
      <c r="J2938" s="92"/>
      <c r="K2938" s="92"/>
      <c r="L2938" s="92"/>
      <c r="M2938" s="92"/>
      <c r="N2938" s="92"/>
      <c r="AG2938" s="100"/>
      <c r="AH2938" s="101"/>
      <c r="AI2938" s="101"/>
      <c r="AJ2938" s="101"/>
      <c r="AK2938" s="100"/>
      <c r="AL2938" s="100"/>
      <c r="AM2938" s="100"/>
      <c r="AN2938" s="100"/>
      <c r="AO2938" s="100"/>
      <c r="AP2938" s="100"/>
      <c r="AQ2938" s="100"/>
      <c r="AR2938" s="100"/>
      <c r="AS2938" s="100"/>
      <c r="AT2938" s="102"/>
    </row>
    <row r="2939" spans="1:46" x14ac:dyDescent="0.25">
      <c r="A2939" s="92"/>
      <c r="B2939" s="92"/>
      <c r="C2939" s="92"/>
      <c r="D2939" s="92"/>
      <c r="E2939" s="92"/>
      <c r="F2939" s="92"/>
      <c r="G2939" s="92"/>
      <c r="H2939" s="92"/>
      <c r="I2939" s="92"/>
      <c r="J2939" s="92"/>
      <c r="K2939" s="92"/>
      <c r="L2939" s="92"/>
      <c r="M2939" s="92"/>
      <c r="N2939" s="92"/>
      <c r="AG2939" s="100"/>
      <c r="AH2939" s="101"/>
      <c r="AI2939" s="101"/>
      <c r="AJ2939" s="101"/>
      <c r="AK2939" s="100"/>
      <c r="AL2939" s="100"/>
      <c r="AM2939" s="100"/>
      <c r="AN2939" s="100"/>
      <c r="AO2939" s="100"/>
      <c r="AP2939" s="100"/>
      <c r="AQ2939" s="100"/>
      <c r="AR2939" s="100"/>
      <c r="AS2939" s="100"/>
      <c r="AT2939" s="102"/>
    </row>
    <row r="2940" spans="1:46" x14ac:dyDescent="0.25">
      <c r="A2940" s="92"/>
      <c r="B2940" s="92"/>
      <c r="C2940" s="92"/>
      <c r="D2940" s="92"/>
      <c r="E2940" s="92"/>
      <c r="F2940" s="92"/>
      <c r="G2940" s="92"/>
      <c r="H2940" s="92"/>
      <c r="I2940" s="92"/>
      <c r="J2940" s="92"/>
      <c r="K2940" s="92"/>
      <c r="L2940" s="92"/>
      <c r="M2940" s="92"/>
      <c r="N2940" s="92"/>
      <c r="AG2940" s="100"/>
      <c r="AH2940" s="101"/>
      <c r="AI2940" s="101"/>
      <c r="AJ2940" s="101"/>
      <c r="AK2940" s="100"/>
      <c r="AL2940" s="100"/>
      <c r="AM2940" s="100"/>
      <c r="AN2940" s="100"/>
      <c r="AO2940" s="100"/>
      <c r="AP2940" s="100"/>
      <c r="AQ2940" s="100"/>
      <c r="AR2940" s="100"/>
      <c r="AS2940" s="100"/>
      <c r="AT2940" s="102"/>
    </row>
    <row r="2941" spans="1:46" x14ac:dyDescent="0.25">
      <c r="A2941" s="92"/>
      <c r="B2941" s="92"/>
      <c r="C2941" s="92"/>
      <c r="D2941" s="92"/>
      <c r="E2941" s="92"/>
      <c r="F2941" s="92"/>
      <c r="G2941" s="92"/>
      <c r="H2941" s="92"/>
      <c r="I2941" s="92"/>
      <c r="J2941" s="92"/>
      <c r="K2941" s="92"/>
      <c r="L2941" s="92"/>
      <c r="M2941" s="92"/>
      <c r="N2941" s="92"/>
      <c r="AG2941" s="100"/>
      <c r="AH2941" s="101"/>
      <c r="AI2941" s="100"/>
      <c r="AJ2941" s="101"/>
      <c r="AK2941" s="100"/>
      <c r="AL2941" s="100"/>
      <c r="AM2941" s="100"/>
      <c r="AN2941" s="100"/>
      <c r="AO2941" s="100"/>
      <c r="AP2941" s="100"/>
      <c r="AQ2941" s="100"/>
      <c r="AR2941" s="100"/>
      <c r="AS2941" s="100"/>
      <c r="AT2941" s="102"/>
    </row>
    <row r="2942" spans="1:46" x14ac:dyDescent="0.25">
      <c r="A2942" s="92"/>
      <c r="B2942" s="92"/>
      <c r="C2942" s="92"/>
      <c r="D2942" s="92"/>
      <c r="E2942" s="92"/>
      <c r="F2942" s="92"/>
      <c r="G2942" s="92"/>
      <c r="H2942" s="92"/>
      <c r="I2942" s="92"/>
      <c r="J2942" s="92"/>
      <c r="K2942" s="92"/>
      <c r="L2942" s="92"/>
      <c r="M2942" s="92"/>
      <c r="N2942" s="92"/>
      <c r="AG2942" s="100"/>
      <c r="AH2942" s="101"/>
      <c r="AI2942" s="100"/>
      <c r="AJ2942" s="101"/>
      <c r="AK2942" s="100"/>
      <c r="AL2942" s="100"/>
      <c r="AM2942" s="100"/>
      <c r="AN2942" s="100"/>
      <c r="AO2942" s="100"/>
      <c r="AP2942" s="100"/>
      <c r="AQ2942" s="100"/>
      <c r="AR2942" s="100"/>
      <c r="AS2942" s="100"/>
      <c r="AT2942" s="102"/>
    </row>
    <row r="2943" spans="1:46" x14ac:dyDescent="0.25">
      <c r="A2943" s="92"/>
      <c r="B2943" s="92"/>
      <c r="C2943" s="92"/>
      <c r="D2943" s="92"/>
      <c r="E2943" s="92"/>
      <c r="F2943" s="92"/>
      <c r="G2943" s="92"/>
      <c r="H2943" s="92"/>
      <c r="I2943" s="92"/>
      <c r="J2943" s="92"/>
      <c r="K2943" s="92"/>
      <c r="L2943" s="92"/>
      <c r="M2943" s="92"/>
      <c r="N2943" s="92"/>
      <c r="AG2943" s="100"/>
      <c r="AH2943" s="100"/>
      <c r="AI2943" s="100"/>
      <c r="AJ2943" s="101"/>
      <c r="AK2943" s="100"/>
      <c r="AL2943" s="100"/>
      <c r="AM2943" s="100"/>
      <c r="AN2943" s="100"/>
      <c r="AO2943" s="100"/>
      <c r="AP2943" s="100"/>
      <c r="AQ2943" s="100"/>
      <c r="AR2943" s="100"/>
      <c r="AS2943" s="100"/>
      <c r="AT2943" s="100"/>
    </row>
    <row r="2944" spans="1:46" x14ac:dyDescent="0.25">
      <c r="A2944" s="92"/>
      <c r="B2944" s="92"/>
      <c r="C2944" s="92"/>
      <c r="D2944" s="92"/>
      <c r="E2944" s="92"/>
      <c r="F2944" s="92"/>
      <c r="G2944" s="92"/>
      <c r="H2944" s="92"/>
      <c r="I2944" s="92"/>
      <c r="J2944" s="92"/>
      <c r="K2944" s="92"/>
      <c r="L2944" s="92"/>
      <c r="M2944" s="92"/>
      <c r="N2944" s="92"/>
      <c r="AG2944" s="100"/>
      <c r="AH2944" s="100"/>
      <c r="AI2944" s="100"/>
      <c r="AJ2944" s="101"/>
      <c r="AK2944" s="100"/>
      <c r="AL2944" s="100"/>
      <c r="AM2944" s="100"/>
      <c r="AN2944" s="100"/>
      <c r="AO2944" s="100"/>
      <c r="AP2944" s="100"/>
      <c r="AQ2944" s="100"/>
      <c r="AR2944" s="100"/>
      <c r="AS2944" s="100"/>
      <c r="AT2944" s="100"/>
    </row>
    <row r="2945" spans="1:63" x14ac:dyDescent="0.25">
      <c r="A2945" s="92"/>
      <c r="B2945" s="92"/>
      <c r="C2945" s="92"/>
      <c r="D2945" s="92"/>
      <c r="E2945" s="92"/>
      <c r="F2945" s="92"/>
      <c r="G2945" s="92"/>
      <c r="H2945" s="92"/>
      <c r="I2945" s="92"/>
      <c r="J2945" s="92"/>
      <c r="K2945" s="92"/>
      <c r="L2945" s="92"/>
      <c r="M2945" s="92"/>
      <c r="N2945" s="92"/>
      <c r="AG2945" s="100"/>
      <c r="AH2945" s="100"/>
      <c r="AI2945" s="100"/>
      <c r="AJ2945" s="101"/>
      <c r="AK2945" s="100"/>
      <c r="AL2945" s="100"/>
      <c r="AM2945" s="100"/>
      <c r="AN2945" s="100"/>
      <c r="AO2945" s="100"/>
      <c r="AP2945" s="100"/>
      <c r="AQ2945" s="100"/>
      <c r="AR2945" s="100"/>
      <c r="AS2945" s="100"/>
      <c r="AT2945" s="100"/>
      <c r="AZ2945" s="117"/>
      <c r="BK2945" s="39"/>
    </row>
    <row r="2946" spans="1:63" x14ac:dyDescent="0.25">
      <c r="A2946" s="92"/>
      <c r="B2946" s="92"/>
      <c r="C2946" s="92"/>
      <c r="D2946" s="92"/>
      <c r="E2946" s="92"/>
      <c r="F2946" s="92"/>
      <c r="G2946" s="92"/>
      <c r="H2946" s="92"/>
      <c r="I2946" s="92"/>
      <c r="J2946" s="92"/>
      <c r="K2946" s="92"/>
      <c r="L2946" s="92"/>
      <c r="M2946" s="92"/>
      <c r="N2946" s="92"/>
      <c r="AG2946" s="100"/>
      <c r="AH2946" s="101"/>
      <c r="AI2946" s="100"/>
      <c r="AJ2946" s="101"/>
      <c r="AK2946" s="100"/>
      <c r="AL2946" s="100"/>
      <c r="AM2946" s="100"/>
      <c r="AN2946" s="100"/>
      <c r="AO2946" s="100"/>
      <c r="AP2946" s="100"/>
      <c r="AQ2946" s="100"/>
      <c r="AR2946" s="100"/>
      <c r="AS2946" s="100"/>
      <c r="AT2946" s="102"/>
      <c r="AZ2946" s="117"/>
      <c r="BK2946" s="39"/>
    </row>
    <row r="2947" spans="1:63" x14ac:dyDescent="0.25">
      <c r="A2947" s="92"/>
      <c r="B2947" s="92"/>
      <c r="C2947" s="92"/>
      <c r="D2947" s="92"/>
      <c r="E2947" s="92"/>
      <c r="F2947" s="92"/>
      <c r="G2947" s="92"/>
      <c r="H2947" s="92"/>
      <c r="I2947" s="92"/>
      <c r="J2947" s="92"/>
      <c r="K2947" s="92"/>
      <c r="L2947" s="92"/>
      <c r="M2947" s="92"/>
      <c r="N2947" s="92"/>
      <c r="AG2947" s="100"/>
      <c r="AH2947" s="100"/>
      <c r="AI2947" s="100"/>
      <c r="AJ2947" s="101"/>
      <c r="AK2947" s="100"/>
      <c r="AL2947" s="100"/>
      <c r="AM2947" s="100"/>
      <c r="AN2947" s="100"/>
      <c r="AO2947" s="100"/>
      <c r="AP2947" s="100"/>
      <c r="AQ2947" s="100"/>
      <c r="AR2947" s="100"/>
      <c r="AS2947" s="100"/>
      <c r="AT2947" s="100"/>
      <c r="AZ2947" s="117"/>
      <c r="BK2947" s="39"/>
    </row>
    <row r="2948" spans="1:63" x14ac:dyDescent="0.25">
      <c r="A2948" s="92"/>
      <c r="B2948" s="92"/>
      <c r="C2948" s="92"/>
      <c r="D2948" s="92"/>
      <c r="E2948" s="92"/>
      <c r="F2948" s="92"/>
      <c r="G2948" s="92"/>
      <c r="H2948" s="92"/>
      <c r="I2948" s="92"/>
      <c r="J2948" s="92"/>
      <c r="K2948" s="92"/>
      <c r="L2948" s="92"/>
      <c r="M2948" s="92"/>
      <c r="N2948" s="92"/>
      <c r="AG2948" s="100"/>
      <c r="AH2948" s="101"/>
      <c r="AI2948" s="101"/>
      <c r="AJ2948" s="101"/>
      <c r="AK2948" s="100"/>
      <c r="AL2948" s="100"/>
      <c r="AM2948" s="100"/>
      <c r="AN2948" s="100"/>
      <c r="AO2948" s="100"/>
      <c r="AP2948" s="100"/>
      <c r="AQ2948" s="100"/>
      <c r="AR2948" s="100"/>
      <c r="AS2948" s="100"/>
      <c r="AT2948" s="102"/>
    </row>
    <row r="2949" spans="1:63" x14ac:dyDescent="0.25">
      <c r="A2949" s="92"/>
      <c r="B2949" s="92"/>
      <c r="C2949" s="92"/>
      <c r="D2949" s="92"/>
      <c r="E2949" s="92"/>
      <c r="F2949" s="92"/>
      <c r="G2949" s="92"/>
      <c r="H2949" s="92"/>
      <c r="I2949" s="92"/>
      <c r="J2949" s="92"/>
      <c r="K2949" s="92"/>
      <c r="L2949" s="92"/>
      <c r="M2949" s="92"/>
      <c r="N2949" s="92"/>
      <c r="AG2949" s="100"/>
      <c r="AH2949" s="101"/>
      <c r="AI2949" s="101"/>
      <c r="AJ2949" s="101"/>
      <c r="AK2949" s="100"/>
      <c r="AL2949" s="100"/>
      <c r="AM2949" s="100"/>
      <c r="AN2949" s="100"/>
      <c r="AO2949" s="100"/>
      <c r="AP2949" s="100"/>
      <c r="AQ2949" s="100"/>
      <c r="AR2949" s="100"/>
      <c r="AS2949" s="100"/>
      <c r="AT2949" s="102"/>
    </row>
    <row r="2950" spans="1:63" x14ac:dyDescent="0.25">
      <c r="A2950" s="92"/>
      <c r="B2950" s="92"/>
      <c r="C2950" s="92"/>
      <c r="D2950" s="92"/>
      <c r="E2950" s="92"/>
      <c r="F2950" s="92"/>
      <c r="G2950" s="92"/>
      <c r="H2950" s="92"/>
      <c r="I2950" s="92"/>
      <c r="J2950" s="92"/>
      <c r="K2950" s="92"/>
      <c r="L2950" s="92"/>
      <c r="M2950" s="92"/>
      <c r="N2950" s="92"/>
      <c r="AG2950" s="100"/>
      <c r="AH2950" s="101"/>
      <c r="AI2950" s="101"/>
      <c r="AJ2950" s="101"/>
      <c r="AK2950" s="100"/>
      <c r="AL2950" s="100"/>
      <c r="AM2950" s="100"/>
      <c r="AN2950" s="100"/>
      <c r="AO2950" s="100"/>
      <c r="AP2950" s="100"/>
      <c r="AQ2950" s="100"/>
      <c r="AR2950" s="100"/>
      <c r="AS2950" s="100"/>
      <c r="AT2950" s="102"/>
      <c r="AZ2950" s="117"/>
      <c r="BK2950" s="39"/>
    </row>
    <row r="2951" spans="1:63" x14ac:dyDescent="0.25">
      <c r="A2951" s="92"/>
      <c r="B2951" s="92"/>
      <c r="C2951" s="92"/>
      <c r="D2951" s="92"/>
      <c r="E2951" s="92"/>
      <c r="F2951" s="92"/>
      <c r="G2951" s="92"/>
      <c r="H2951" s="92"/>
      <c r="I2951" s="92"/>
      <c r="J2951" s="92"/>
      <c r="K2951" s="92"/>
      <c r="L2951" s="92"/>
      <c r="M2951" s="92"/>
      <c r="N2951" s="92"/>
      <c r="AG2951" s="100"/>
      <c r="AH2951" s="100"/>
      <c r="AI2951" s="100"/>
      <c r="AJ2951" s="101"/>
      <c r="AK2951" s="100"/>
      <c r="AL2951" s="100"/>
      <c r="AM2951" s="100"/>
      <c r="AN2951" s="100"/>
      <c r="AO2951" s="100"/>
      <c r="AP2951" s="100"/>
      <c r="AQ2951" s="100"/>
      <c r="AR2951" s="100"/>
      <c r="AS2951" s="100"/>
      <c r="AT2951" s="100"/>
      <c r="AZ2951" s="117"/>
      <c r="BK2951" s="39"/>
    </row>
    <row r="2952" spans="1:63" x14ac:dyDescent="0.25">
      <c r="A2952" s="92"/>
      <c r="B2952" s="92"/>
      <c r="C2952" s="92"/>
      <c r="D2952" s="92"/>
      <c r="E2952" s="92"/>
      <c r="F2952" s="92"/>
      <c r="G2952" s="92"/>
      <c r="H2952" s="92"/>
      <c r="I2952" s="92"/>
      <c r="J2952" s="92"/>
      <c r="K2952" s="92"/>
      <c r="L2952" s="92"/>
      <c r="M2952" s="92"/>
      <c r="N2952" s="92"/>
      <c r="AG2952" s="100"/>
      <c r="AH2952" s="101"/>
      <c r="AI2952" s="101"/>
      <c r="AJ2952" s="101"/>
      <c r="AK2952" s="100"/>
      <c r="AL2952" s="100"/>
      <c r="AM2952" s="100"/>
      <c r="AN2952" s="100"/>
      <c r="AO2952" s="100"/>
      <c r="AP2952" s="100"/>
      <c r="AQ2952" s="100"/>
      <c r="AR2952" s="100"/>
      <c r="AS2952" s="100"/>
      <c r="AT2952" s="102"/>
      <c r="AZ2952" s="117"/>
      <c r="BK2952" s="39"/>
    </row>
    <row r="2953" spans="1:63" x14ac:dyDescent="0.25">
      <c r="A2953" s="92"/>
      <c r="B2953" s="92"/>
      <c r="C2953" s="92"/>
      <c r="D2953" s="92"/>
      <c r="E2953" s="92"/>
      <c r="F2953" s="92"/>
      <c r="G2953" s="92"/>
      <c r="H2953" s="92"/>
      <c r="I2953" s="92"/>
      <c r="J2953" s="92"/>
      <c r="K2953" s="92"/>
      <c r="L2953" s="92"/>
      <c r="M2953" s="92"/>
      <c r="N2953" s="92"/>
      <c r="AG2953" s="100"/>
      <c r="AH2953" s="100"/>
      <c r="AI2953" s="100"/>
      <c r="AJ2953" s="101"/>
      <c r="AK2953" s="100"/>
      <c r="AL2953" s="100"/>
      <c r="AM2953" s="100"/>
      <c r="AN2953" s="100"/>
      <c r="AO2953" s="100"/>
      <c r="AP2953" s="100"/>
      <c r="AQ2953" s="100"/>
      <c r="AR2953" s="100"/>
      <c r="AS2953" s="100"/>
      <c r="AT2953" s="100"/>
    </row>
    <row r="2954" spans="1:63" x14ac:dyDescent="0.25">
      <c r="A2954" s="92"/>
      <c r="B2954" s="93"/>
      <c r="C2954" s="93"/>
      <c r="D2954" s="92"/>
      <c r="E2954" s="92"/>
      <c r="F2954" s="92"/>
      <c r="G2954" s="92"/>
      <c r="H2954" s="92"/>
      <c r="I2954" s="92"/>
      <c r="J2954" s="92"/>
      <c r="K2954" s="92"/>
      <c r="L2954" s="92"/>
      <c r="M2954" s="92"/>
      <c r="N2954" s="94"/>
      <c r="AG2954" s="100"/>
      <c r="AH2954" s="101"/>
      <c r="AI2954" s="101"/>
      <c r="AJ2954" s="101"/>
      <c r="AK2954" s="100"/>
      <c r="AL2954" s="100"/>
      <c r="AM2954" s="100"/>
      <c r="AN2954" s="100"/>
      <c r="AO2954" s="100"/>
      <c r="AP2954" s="100"/>
      <c r="AQ2954" s="100"/>
      <c r="AR2954" s="100"/>
      <c r="AS2954" s="100"/>
      <c r="AT2954" s="102"/>
    </row>
    <row r="2955" spans="1:63" x14ac:dyDescent="0.25">
      <c r="A2955" s="92"/>
      <c r="B2955" s="93"/>
      <c r="C2955" s="93"/>
      <c r="D2955" s="92"/>
      <c r="E2955" s="92"/>
      <c r="F2955" s="92"/>
      <c r="G2955" s="92"/>
      <c r="H2955" s="92"/>
      <c r="I2955" s="92"/>
      <c r="J2955" s="92"/>
      <c r="K2955" s="92"/>
      <c r="L2955" s="92"/>
      <c r="M2955" s="92"/>
      <c r="N2955" s="94"/>
      <c r="AG2955" s="100"/>
      <c r="AH2955" s="101"/>
      <c r="AI2955" s="101"/>
      <c r="AJ2955" s="101"/>
      <c r="AK2955" s="100"/>
      <c r="AL2955" s="100"/>
      <c r="AM2955" s="100"/>
      <c r="AN2955" s="100"/>
      <c r="AO2955" s="100"/>
      <c r="AP2955" s="100"/>
      <c r="AQ2955" s="100"/>
      <c r="AR2955" s="100"/>
      <c r="AS2955" s="100"/>
      <c r="AT2955" s="102"/>
    </row>
    <row r="2956" spans="1:63" x14ac:dyDescent="0.25">
      <c r="A2956" s="92"/>
      <c r="B2956" s="93"/>
      <c r="C2956" s="93"/>
      <c r="D2956" s="92"/>
      <c r="E2956" s="92"/>
      <c r="F2956" s="92"/>
      <c r="G2956" s="92"/>
      <c r="H2956" s="92"/>
      <c r="I2956" s="92"/>
      <c r="J2956" s="92"/>
      <c r="K2956" s="92"/>
      <c r="L2956" s="92"/>
      <c r="M2956" s="92"/>
      <c r="N2956" s="94"/>
      <c r="AG2956" s="100"/>
      <c r="AH2956" s="101"/>
      <c r="AI2956" s="101"/>
      <c r="AJ2956" s="101"/>
      <c r="AK2956" s="100"/>
      <c r="AL2956" s="100"/>
      <c r="AM2956" s="100"/>
      <c r="AN2956" s="100"/>
      <c r="AO2956" s="100"/>
      <c r="AP2956" s="100"/>
      <c r="AQ2956" s="100"/>
      <c r="AR2956" s="100"/>
      <c r="AS2956" s="100"/>
      <c r="AT2956" s="102"/>
    </row>
    <row r="2957" spans="1:63" x14ac:dyDescent="0.25">
      <c r="A2957" s="92"/>
      <c r="B2957" s="92"/>
      <c r="C2957" s="92"/>
      <c r="D2957" s="92"/>
      <c r="E2957" s="92"/>
      <c r="F2957" s="92"/>
      <c r="G2957" s="92"/>
      <c r="H2957" s="92"/>
      <c r="I2957" s="92"/>
      <c r="J2957" s="92"/>
      <c r="K2957" s="92"/>
      <c r="L2957" s="92"/>
      <c r="M2957" s="92"/>
      <c r="N2957" s="92"/>
      <c r="AG2957" s="100"/>
      <c r="AH2957" s="101"/>
      <c r="AI2957" s="101"/>
      <c r="AJ2957" s="101"/>
      <c r="AK2957" s="100"/>
      <c r="AL2957" s="100"/>
      <c r="AM2957" s="100"/>
      <c r="AN2957" s="100"/>
      <c r="AO2957" s="100"/>
      <c r="AP2957" s="100"/>
      <c r="AQ2957" s="100"/>
      <c r="AR2957" s="100"/>
      <c r="AS2957" s="100"/>
      <c r="AT2957" s="102"/>
      <c r="AZ2957" s="117"/>
      <c r="BK2957" s="39"/>
    </row>
    <row r="2958" spans="1:63" x14ac:dyDescent="0.25">
      <c r="A2958" s="92"/>
      <c r="B2958" s="92"/>
      <c r="C2958" s="92"/>
      <c r="D2958" s="92"/>
      <c r="E2958" s="92"/>
      <c r="F2958" s="92"/>
      <c r="G2958" s="92"/>
      <c r="H2958" s="92"/>
      <c r="I2958" s="92"/>
      <c r="J2958" s="92"/>
      <c r="K2958" s="92"/>
      <c r="L2958" s="92"/>
      <c r="M2958" s="92"/>
      <c r="N2958" s="92"/>
      <c r="AG2958" s="100"/>
      <c r="AH2958" s="101"/>
      <c r="AI2958" s="101"/>
      <c r="AJ2958" s="101"/>
      <c r="AK2958" s="100"/>
      <c r="AL2958" s="100"/>
      <c r="AM2958" s="100"/>
      <c r="AN2958" s="100"/>
      <c r="AO2958" s="100"/>
      <c r="AP2958" s="100"/>
      <c r="AQ2958" s="100"/>
      <c r="AR2958" s="100"/>
      <c r="AS2958" s="100"/>
      <c r="AT2958" s="102"/>
    </row>
    <row r="2959" spans="1:63" x14ac:dyDescent="0.25">
      <c r="A2959" s="92"/>
      <c r="B2959" s="93"/>
      <c r="C2959" s="93"/>
      <c r="D2959" s="92"/>
      <c r="E2959" s="92"/>
      <c r="F2959" s="92"/>
      <c r="G2959" s="92"/>
      <c r="H2959" s="92"/>
      <c r="I2959" s="92"/>
      <c r="J2959" s="92"/>
      <c r="K2959" s="92"/>
      <c r="L2959" s="92"/>
      <c r="M2959" s="92"/>
      <c r="N2959" s="94"/>
      <c r="AG2959" s="100"/>
      <c r="AH2959" s="101"/>
      <c r="AI2959" s="101"/>
      <c r="AJ2959" s="101"/>
      <c r="AK2959" s="100"/>
      <c r="AL2959" s="100"/>
      <c r="AM2959" s="100"/>
      <c r="AN2959" s="100"/>
      <c r="AO2959" s="100"/>
      <c r="AP2959" s="100"/>
      <c r="AQ2959" s="100"/>
      <c r="AR2959" s="100"/>
      <c r="AS2959" s="100"/>
      <c r="AT2959" s="102"/>
      <c r="AZ2959" s="117"/>
      <c r="BK2959" s="39"/>
    </row>
    <row r="2960" spans="1:63" x14ac:dyDescent="0.25">
      <c r="A2960" s="92"/>
      <c r="B2960" s="93"/>
      <c r="C2960" s="93"/>
      <c r="D2960" s="92"/>
      <c r="E2960" s="92"/>
      <c r="F2960" s="92"/>
      <c r="G2960" s="92"/>
      <c r="H2960" s="92"/>
      <c r="I2960" s="92"/>
      <c r="J2960" s="92"/>
      <c r="K2960" s="92"/>
      <c r="L2960" s="92"/>
      <c r="M2960" s="92"/>
      <c r="N2960" s="94"/>
      <c r="AG2960" s="100"/>
      <c r="AH2960" s="101"/>
      <c r="AI2960" s="101"/>
      <c r="AJ2960" s="101"/>
      <c r="AK2960" s="100"/>
      <c r="AL2960" s="100"/>
      <c r="AM2960" s="100"/>
      <c r="AN2960" s="100"/>
      <c r="AO2960" s="100"/>
      <c r="AP2960" s="100"/>
      <c r="AQ2960" s="100"/>
      <c r="AR2960" s="100"/>
      <c r="AS2960" s="100"/>
      <c r="AT2960" s="102"/>
      <c r="AZ2960" s="117"/>
      <c r="BK2960" s="39"/>
    </row>
    <row r="2961" spans="1:63" x14ac:dyDescent="0.25">
      <c r="A2961" s="92"/>
      <c r="B2961" s="93"/>
      <c r="C2961" s="93"/>
      <c r="D2961" s="92"/>
      <c r="E2961" s="92"/>
      <c r="F2961" s="92"/>
      <c r="G2961" s="92"/>
      <c r="H2961" s="92"/>
      <c r="I2961" s="92"/>
      <c r="J2961" s="92"/>
      <c r="K2961" s="92"/>
      <c r="L2961" s="92"/>
      <c r="M2961" s="92"/>
      <c r="N2961" s="94"/>
      <c r="AG2961" s="100"/>
      <c r="AH2961" s="101"/>
      <c r="AI2961" s="101"/>
      <c r="AJ2961" s="101"/>
      <c r="AK2961" s="100"/>
      <c r="AL2961" s="100"/>
      <c r="AM2961" s="100"/>
      <c r="AN2961" s="100"/>
      <c r="AO2961" s="100"/>
      <c r="AP2961" s="100"/>
      <c r="AQ2961" s="100"/>
      <c r="AR2961" s="100"/>
      <c r="AS2961" s="100"/>
      <c r="AT2961" s="102"/>
    </row>
    <row r="2962" spans="1:63" x14ac:dyDescent="0.25">
      <c r="A2962" s="92"/>
      <c r="B2962" s="92"/>
      <c r="C2962" s="92"/>
      <c r="D2962" s="92"/>
      <c r="E2962" s="92"/>
      <c r="F2962" s="92"/>
      <c r="G2962" s="92"/>
      <c r="H2962" s="92"/>
      <c r="I2962" s="92"/>
      <c r="J2962" s="92"/>
      <c r="K2962" s="92"/>
      <c r="L2962" s="92"/>
      <c r="M2962" s="92"/>
      <c r="N2962" s="92"/>
      <c r="AG2962" s="100"/>
      <c r="AH2962" s="101"/>
      <c r="AI2962" s="101"/>
      <c r="AJ2962" s="101"/>
      <c r="AK2962" s="100"/>
      <c r="AL2962" s="100"/>
      <c r="AM2962" s="100"/>
      <c r="AN2962" s="100"/>
      <c r="AO2962" s="100"/>
      <c r="AP2962" s="100"/>
      <c r="AQ2962" s="100"/>
      <c r="AR2962" s="100"/>
      <c r="AS2962" s="100"/>
      <c r="AT2962" s="102"/>
    </row>
    <row r="2963" spans="1:63" x14ac:dyDescent="0.25">
      <c r="A2963" s="92"/>
      <c r="B2963" s="92"/>
      <c r="C2963" s="92"/>
      <c r="D2963" s="92"/>
      <c r="E2963" s="92"/>
      <c r="F2963" s="92"/>
      <c r="G2963" s="92"/>
      <c r="H2963" s="92"/>
      <c r="I2963" s="92"/>
      <c r="J2963" s="92"/>
      <c r="K2963" s="92"/>
      <c r="L2963" s="92"/>
      <c r="M2963" s="92"/>
      <c r="N2963" s="92"/>
      <c r="AG2963" s="100"/>
      <c r="AH2963" s="101"/>
      <c r="AI2963" s="101"/>
      <c r="AJ2963" s="101"/>
      <c r="AK2963" s="100"/>
      <c r="AL2963" s="100"/>
      <c r="AM2963" s="100"/>
      <c r="AN2963" s="100"/>
      <c r="AO2963" s="100"/>
      <c r="AP2963" s="100"/>
      <c r="AQ2963" s="100"/>
      <c r="AR2963" s="100"/>
      <c r="AS2963" s="100"/>
      <c r="AT2963" s="102"/>
    </row>
    <row r="2964" spans="1:63" x14ac:dyDescent="0.25">
      <c r="A2964" s="92"/>
      <c r="B2964" s="92"/>
      <c r="C2964" s="92"/>
      <c r="D2964" s="92"/>
      <c r="E2964" s="92"/>
      <c r="F2964" s="92"/>
      <c r="G2964" s="92"/>
      <c r="H2964" s="92"/>
      <c r="I2964" s="92"/>
      <c r="J2964" s="92"/>
      <c r="K2964" s="92"/>
      <c r="L2964" s="92"/>
      <c r="M2964" s="92"/>
      <c r="N2964" s="92"/>
      <c r="AG2964" s="100"/>
      <c r="AH2964" s="101"/>
      <c r="AI2964" s="101"/>
      <c r="AJ2964" s="101"/>
      <c r="AK2964" s="100"/>
      <c r="AL2964" s="100"/>
      <c r="AM2964" s="100"/>
      <c r="AN2964" s="100"/>
      <c r="AO2964" s="100"/>
      <c r="AP2964" s="100"/>
      <c r="AQ2964" s="100"/>
      <c r="AR2964" s="100"/>
      <c r="AS2964" s="100"/>
      <c r="AT2964" s="102"/>
    </row>
    <row r="2965" spans="1:63" x14ac:dyDescent="0.25">
      <c r="A2965" s="92"/>
      <c r="B2965" s="92"/>
      <c r="C2965" s="92"/>
      <c r="D2965" s="92"/>
      <c r="E2965" s="92"/>
      <c r="F2965" s="92"/>
      <c r="G2965" s="92"/>
      <c r="H2965" s="92"/>
      <c r="I2965" s="92"/>
      <c r="J2965" s="92"/>
      <c r="K2965" s="92"/>
      <c r="L2965" s="92"/>
      <c r="M2965" s="92"/>
      <c r="N2965" s="92"/>
      <c r="AG2965" s="100"/>
      <c r="AH2965" s="101"/>
      <c r="AI2965" s="101"/>
      <c r="AJ2965" s="101"/>
      <c r="AK2965" s="100"/>
      <c r="AL2965" s="100"/>
      <c r="AM2965" s="100"/>
      <c r="AN2965" s="100"/>
      <c r="AO2965" s="100"/>
      <c r="AP2965" s="100"/>
      <c r="AQ2965" s="100"/>
      <c r="AR2965" s="100"/>
      <c r="AS2965" s="100"/>
      <c r="AT2965" s="102"/>
    </row>
    <row r="2966" spans="1:63" x14ac:dyDescent="0.25">
      <c r="A2966" s="92"/>
      <c r="B2966" s="93"/>
      <c r="C2966" s="93"/>
      <c r="D2966" s="92"/>
      <c r="E2966" s="92"/>
      <c r="F2966" s="92"/>
      <c r="G2966" s="92"/>
      <c r="H2966" s="92"/>
      <c r="I2966" s="92"/>
      <c r="J2966" s="92"/>
      <c r="K2966" s="92"/>
      <c r="L2966" s="92"/>
      <c r="M2966" s="92"/>
      <c r="N2966" s="94"/>
      <c r="AG2966" s="100"/>
      <c r="AH2966" s="101"/>
      <c r="AI2966" s="101"/>
      <c r="AJ2966" s="101"/>
      <c r="AK2966" s="100"/>
      <c r="AL2966" s="100"/>
      <c r="AM2966" s="100"/>
      <c r="AN2966" s="100"/>
      <c r="AO2966" s="100"/>
      <c r="AP2966" s="100"/>
      <c r="AQ2966" s="100"/>
      <c r="AR2966" s="100"/>
      <c r="AS2966" s="100"/>
      <c r="AT2966" s="102"/>
    </row>
    <row r="2967" spans="1:63" x14ac:dyDescent="0.25">
      <c r="A2967" s="92"/>
      <c r="B2967" s="92"/>
      <c r="C2967" s="92"/>
      <c r="D2967" s="92"/>
      <c r="E2967" s="92"/>
      <c r="F2967" s="92"/>
      <c r="G2967" s="92"/>
      <c r="H2967" s="92"/>
      <c r="I2967" s="92"/>
      <c r="J2967" s="92"/>
      <c r="K2967" s="92"/>
      <c r="L2967" s="92"/>
      <c r="M2967" s="92"/>
      <c r="N2967" s="92"/>
      <c r="AG2967" s="100"/>
      <c r="AH2967" s="101"/>
      <c r="AI2967" s="101"/>
      <c r="AJ2967" s="101"/>
      <c r="AK2967" s="100"/>
      <c r="AL2967" s="100"/>
      <c r="AM2967" s="100"/>
      <c r="AN2967" s="100"/>
      <c r="AO2967" s="100"/>
      <c r="AP2967" s="100"/>
      <c r="AQ2967" s="100"/>
      <c r="AR2967" s="100"/>
      <c r="AS2967" s="100"/>
      <c r="AT2967" s="102"/>
    </row>
    <row r="2968" spans="1:63" x14ac:dyDescent="0.25">
      <c r="A2968" s="92"/>
      <c r="B2968" s="93"/>
      <c r="C2968" s="93"/>
      <c r="D2968" s="92"/>
      <c r="E2968" s="92"/>
      <c r="F2968" s="92"/>
      <c r="G2968" s="92"/>
      <c r="H2968" s="92"/>
      <c r="I2968" s="92"/>
      <c r="J2968" s="92"/>
      <c r="K2968" s="92"/>
      <c r="L2968" s="92"/>
      <c r="M2968" s="92"/>
      <c r="N2968" s="94"/>
      <c r="AG2968" s="100"/>
      <c r="AH2968" s="101"/>
      <c r="AI2968" s="101"/>
      <c r="AJ2968" s="101"/>
      <c r="AK2968" s="100"/>
      <c r="AL2968" s="100"/>
      <c r="AM2968" s="100"/>
      <c r="AN2968" s="100"/>
      <c r="AO2968" s="100"/>
      <c r="AP2968" s="100"/>
      <c r="AQ2968" s="100"/>
      <c r="AR2968" s="100"/>
      <c r="AS2968" s="100"/>
      <c r="AT2968" s="102"/>
    </row>
    <row r="2969" spans="1:63" x14ac:dyDescent="0.25">
      <c r="A2969" s="92"/>
      <c r="B2969" s="93"/>
      <c r="C2969" s="93"/>
      <c r="D2969" s="92"/>
      <c r="E2969" s="92"/>
      <c r="F2969" s="92"/>
      <c r="G2969" s="92"/>
      <c r="H2969" s="92"/>
      <c r="I2969" s="92"/>
      <c r="J2969" s="92"/>
      <c r="K2969" s="92"/>
      <c r="L2969" s="92"/>
      <c r="M2969" s="92"/>
      <c r="N2969" s="94"/>
      <c r="AG2969" s="100"/>
      <c r="AH2969" s="100"/>
      <c r="AI2969" s="100"/>
      <c r="AJ2969" s="101"/>
      <c r="AK2969" s="100"/>
      <c r="AL2969" s="100"/>
      <c r="AM2969" s="100"/>
      <c r="AN2969" s="100"/>
      <c r="AO2969" s="100"/>
      <c r="AP2969" s="100"/>
      <c r="AQ2969" s="100"/>
      <c r="AR2969" s="100"/>
      <c r="AS2969" s="100"/>
      <c r="AT2969" s="100"/>
    </row>
    <row r="2970" spans="1:63" x14ac:dyDescent="0.25">
      <c r="A2970" s="92"/>
      <c r="B2970" s="92"/>
      <c r="C2970" s="92"/>
      <c r="D2970" s="92"/>
      <c r="E2970" s="92"/>
      <c r="F2970" s="92"/>
      <c r="G2970" s="92"/>
      <c r="H2970" s="92"/>
      <c r="I2970" s="92"/>
      <c r="J2970" s="92"/>
      <c r="K2970" s="92"/>
      <c r="L2970" s="92"/>
      <c r="M2970" s="92"/>
      <c r="N2970" s="92"/>
      <c r="AG2970" s="100"/>
      <c r="AH2970" s="101"/>
      <c r="AI2970" s="101"/>
      <c r="AJ2970" s="101"/>
      <c r="AK2970" s="100"/>
      <c r="AL2970" s="100"/>
      <c r="AM2970" s="100"/>
      <c r="AN2970" s="100"/>
      <c r="AO2970" s="100"/>
      <c r="AP2970" s="100"/>
      <c r="AQ2970" s="100"/>
      <c r="AR2970" s="100"/>
      <c r="AS2970" s="100"/>
      <c r="AT2970" s="102"/>
    </row>
    <row r="2971" spans="1:63" x14ac:dyDescent="0.25">
      <c r="A2971" s="92"/>
      <c r="B2971" s="92"/>
      <c r="C2971" s="92"/>
      <c r="D2971" s="92"/>
      <c r="E2971" s="92"/>
      <c r="F2971" s="92"/>
      <c r="G2971" s="92"/>
      <c r="H2971" s="92"/>
      <c r="I2971" s="92"/>
      <c r="J2971" s="92"/>
      <c r="K2971" s="92"/>
      <c r="L2971" s="92"/>
      <c r="M2971" s="92"/>
      <c r="N2971" s="92"/>
      <c r="AG2971" s="100"/>
      <c r="AH2971" s="100"/>
      <c r="AI2971" s="100"/>
      <c r="AJ2971" s="101"/>
      <c r="AK2971" s="100"/>
      <c r="AL2971" s="100"/>
      <c r="AM2971" s="100"/>
      <c r="AN2971" s="100"/>
      <c r="AO2971" s="100"/>
      <c r="AP2971" s="100"/>
      <c r="AQ2971" s="100"/>
      <c r="AR2971" s="100"/>
      <c r="AS2971" s="100"/>
      <c r="AT2971" s="100"/>
    </row>
    <row r="2972" spans="1:63" x14ac:dyDescent="0.25">
      <c r="A2972" s="92"/>
      <c r="B2972" s="92"/>
      <c r="C2972" s="92"/>
      <c r="D2972" s="92"/>
      <c r="E2972" s="92"/>
      <c r="F2972" s="92"/>
      <c r="G2972" s="92"/>
      <c r="H2972" s="92"/>
      <c r="I2972" s="92"/>
      <c r="J2972" s="92"/>
      <c r="K2972" s="92"/>
      <c r="L2972" s="92"/>
      <c r="M2972" s="92"/>
      <c r="N2972" s="92"/>
      <c r="AG2972" s="100"/>
      <c r="AH2972" s="101"/>
      <c r="AI2972" s="101"/>
      <c r="AJ2972" s="101"/>
      <c r="AK2972" s="100"/>
      <c r="AL2972" s="100"/>
      <c r="AM2972" s="100"/>
      <c r="AN2972" s="100"/>
      <c r="AO2972" s="100"/>
      <c r="AP2972" s="100"/>
      <c r="AQ2972" s="100"/>
      <c r="AR2972" s="100"/>
      <c r="AS2972" s="100"/>
      <c r="AT2972" s="102"/>
    </row>
    <row r="2973" spans="1:63" x14ac:dyDescent="0.25">
      <c r="A2973" s="92"/>
      <c r="B2973" s="92"/>
      <c r="C2973" s="92"/>
      <c r="D2973" s="92"/>
      <c r="E2973" s="92"/>
      <c r="F2973" s="92"/>
      <c r="G2973" s="92"/>
      <c r="H2973" s="92"/>
      <c r="I2973" s="92"/>
      <c r="J2973" s="92"/>
      <c r="K2973" s="92"/>
      <c r="L2973" s="92"/>
      <c r="M2973" s="92"/>
      <c r="N2973" s="92"/>
      <c r="AG2973" s="100"/>
      <c r="AH2973" s="101"/>
      <c r="AI2973" s="101"/>
      <c r="AJ2973" s="101"/>
      <c r="AK2973" s="100"/>
      <c r="AL2973" s="100"/>
      <c r="AM2973" s="100"/>
      <c r="AN2973" s="100"/>
      <c r="AO2973" s="100"/>
      <c r="AP2973" s="100"/>
      <c r="AQ2973" s="100"/>
      <c r="AR2973" s="100"/>
      <c r="AS2973" s="100"/>
      <c r="AT2973" s="102"/>
      <c r="AZ2973" s="117"/>
      <c r="BK2973" s="39"/>
    </row>
    <row r="2974" spans="1:63" x14ac:dyDescent="0.25">
      <c r="A2974" s="92"/>
      <c r="B2974" s="92"/>
      <c r="C2974" s="92"/>
      <c r="D2974" s="92"/>
      <c r="E2974" s="92"/>
      <c r="F2974" s="92"/>
      <c r="G2974" s="92"/>
      <c r="H2974" s="92"/>
      <c r="I2974" s="92"/>
      <c r="J2974" s="92"/>
      <c r="K2974" s="92"/>
      <c r="L2974" s="92"/>
      <c r="M2974" s="92"/>
      <c r="N2974" s="92"/>
      <c r="AG2974" s="100"/>
      <c r="AH2974" s="101"/>
      <c r="AI2974" s="101"/>
      <c r="AJ2974" s="101"/>
      <c r="AK2974" s="100"/>
      <c r="AL2974" s="100"/>
      <c r="AM2974" s="100"/>
      <c r="AN2974" s="100"/>
      <c r="AO2974" s="100"/>
      <c r="AP2974" s="100"/>
      <c r="AQ2974" s="100"/>
      <c r="AR2974" s="100"/>
      <c r="AS2974" s="100"/>
      <c r="AT2974" s="102"/>
      <c r="AZ2974" s="117"/>
      <c r="BK2974" s="39"/>
    </row>
    <row r="2975" spans="1:63" x14ac:dyDescent="0.25">
      <c r="A2975" s="92"/>
      <c r="B2975" s="92"/>
      <c r="C2975" s="92"/>
      <c r="D2975" s="92"/>
      <c r="E2975" s="92"/>
      <c r="F2975" s="92"/>
      <c r="G2975" s="92"/>
      <c r="H2975" s="92"/>
      <c r="I2975" s="92"/>
      <c r="J2975" s="92"/>
      <c r="K2975" s="92"/>
      <c r="L2975" s="92"/>
      <c r="M2975" s="92"/>
      <c r="N2975" s="92"/>
      <c r="AG2975" s="100"/>
      <c r="AH2975" s="101"/>
      <c r="AI2975" s="101"/>
      <c r="AJ2975" s="101"/>
      <c r="AK2975" s="100"/>
      <c r="AL2975" s="100"/>
      <c r="AM2975" s="100"/>
      <c r="AN2975" s="100"/>
      <c r="AO2975" s="100"/>
      <c r="AP2975" s="100"/>
      <c r="AQ2975" s="100"/>
      <c r="AR2975" s="100"/>
      <c r="AS2975" s="100"/>
      <c r="AT2975" s="102"/>
      <c r="AZ2975" s="117"/>
      <c r="BK2975" s="39"/>
    </row>
    <row r="2976" spans="1:63" x14ac:dyDescent="0.25">
      <c r="A2976" s="92"/>
      <c r="B2976" s="92"/>
      <c r="C2976" s="92"/>
      <c r="D2976" s="92"/>
      <c r="E2976" s="92"/>
      <c r="F2976" s="92"/>
      <c r="G2976" s="92"/>
      <c r="H2976" s="92"/>
      <c r="I2976" s="92"/>
      <c r="J2976" s="92"/>
      <c r="K2976" s="92"/>
      <c r="L2976" s="92"/>
      <c r="M2976" s="92"/>
      <c r="N2976" s="92"/>
      <c r="AG2976" s="100"/>
      <c r="AH2976" s="101"/>
      <c r="AI2976" s="101"/>
      <c r="AJ2976" s="101"/>
      <c r="AK2976" s="100"/>
      <c r="AL2976" s="100"/>
      <c r="AM2976" s="100"/>
      <c r="AN2976" s="100"/>
      <c r="AO2976" s="100"/>
      <c r="AP2976" s="100"/>
      <c r="AQ2976" s="100"/>
      <c r="AR2976" s="100"/>
      <c r="AS2976" s="100"/>
      <c r="AT2976" s="102"/>
      <c r="AZ2976" s="117"/>
      <c r="BA2976" s="117"/>
      <c r="BK2976" s="39"/>
    </row>
    <row r="2977" spans="1:63" x14ac:dyDescent="0.25">
      <c r="A2977" s="92"/>
      <c r="B2977" s="92"/>
      <c r="C2977" s="92"/>
      <c r="D2977" s="92"/>
      <c r="E2977" s="92"/>
      <c r="F2977" s="92"/>
      <c r="G2977" s="92"/>
      <c r="H2977" s="92"/>
      <c r="I2977" s="92"/>
      <c r="J2977" s="92"/>
      <c r="K2977" s="92"/>
      <c r="L2977" s="92"/>
      <c r="M2977" s="92"/>
      <c r="N2977" s="92"/>
      <c r="AG2977" s="100"/>
      <c r="AH2977" s="101"/>
      <c r="AI2977" s="101"/>
      <c r="AJ2977" s="101"/>
      <c r="AK2977" s="100"/>
      <c r="AL2977" s="100"/>
      <c r="AM2977" s="100"/>
      <c r="AN2977" s="100"/>
      <c r="AO2977" s="100"/>
      <c r="AP2977" s="100"/>
      <c r="AQ2977" s="100"/>
      <c r="AR2977" s="100"/>
      <c r="AS2977" s="100"/>
      <c r="AT2977" s="102"/>
      <c r="AZ2977" s="117"/>
      <c r="BK2977" s="39"/>
    </row>
    <row r="2978" spans="1:63" x14ac:dyDescent="0.25">
      <c r="A2978" s="92"/>
      <c r="B2978" s="92"/>
      <c r="C2978" s="92"/>
      <c r="D2978" s="92"/>
      <c r="E2978" s="92"/>
      <c r="F2978" s="92"/>
      <c r="G2978" s="92"/>
      <c r="H2978" s="92"/>
      <c r="I2978" s="92"/>
      <c r="J2978" s="92"/>
      <c r="K2978" s="92"/>
      <c r="L2978" s="92"/>
      <c r="M2978" s="92"/>
      <c r="N2978" s="92"/>
      <c r="AG2978" s="100"/>
      <c r="AH2978" s="101"/>
      <c r="AI2978" s="101"/>
      <c r="AJ2978" s="101"/>
      <c r="AK2978" s="100"/>
      <c r="AL2978" s="100"/>
      <c r="AM2978" s="100"/>
      <c r="AN2978" s="100"/>
      <c r="AO2978" s="100"/>
      <c r="AP2978" s="100"/>
      <c r="AQ2978" s="100"/>
      <c r="AR2978" s="100"/>
      <c r="AS2978" s="100"/>
      <c r="AT2978" s="102"/>
      <c r="AZ2978" s="117"/>
      <c r="BK2978" s="39"/>
    </row>
    <row r="2979" spans="1:63" x14ac:dyDescent="0.25">
      <c r="A2979" s="92"/>
      <c r="B2979" s="92"/>
      <c r="C2979" s="92"/>
      <c r="D2979" s="92"/>
      <c r="E2979" s="92"/>
      <c r="F2979" s="92"/>
      <c r="G2979" s="92"/>
      <c r="H2979" s="92"/>
      <c r="I2979" s="92"/>
      <c r="J2979" s="92"/>
      <c r="K2979" s="92"/>
      <c r="L2979" s="92"/>
      <c r="M2979" s="92"/>
      <c r="N2979" s="92"/>
      <c r="AG2979" s="100"/>
      <c r="AH2979" s="101"/>
      <c r="AI2979" s="101"/>
      <c r="AJ2979" s="101"/>
      <c r="AK2979" s="100"/>
      <c r="AL2979" s="100"/>
      <c r="AM2979" s="100"/>
      <c r="AN2979" s="100"/>
      <c r="AO2979" s="100"/>
      <c r="AP2979" s="100"/>
      <c r="AQ2979" s="100"/>
      <c r="AR2979" s="100"/>
      <c r="AS2979" s="100"/>
      <c r="AT2979" s="102"/>
      <c r="AZ2979" s="117"/>
      <c r="BK2979" s="39"/>
    </row>
    <row r="2980" spans="1:63" x14ac:dyDescent="0.25">
      <c r="A2980" s="92"/>
      <c r="B2980" s="92"/>
      <c r="C2980" s="92"/>
      <c r="D2980" s="92"/>
      <c r="E2980" s="92"/>
      <c r="F2980" s="92"/>
      <c r="G2980" s="92"/>
      <c r="H2980" s="92"/>
      <c r="I2980" s="92"/>
      <c r="J2980" s="92"/>
      <c r="K2980" s="92"/>
      <c r="L2980" s="92"/>
      <c r="M2980" s="92"/>
      <c r="N2980" s="92"/>
      <c r="AG2980" s="100"/>
      <c r="AH2980" s="100"/>
      <c r="AI2980" s="100"/>
      <c r="AJ2980" s="101"/>
      <c r="AK2980" s="100"/>
      <c r="AL2980" s="100"/>
      <c r="AM2980" s="100"/>
      <c r="AN2980" s="100"/>
      <c r="AO2980" s="100"/>
      <c r="AP2980" s="100"/>
      <c r="AQ2980" s="100"/>
      <c r="AR2980" s="100"/>
      <c r="AS2980" s="100"/>
      <c r="AT2980" s="100"/>
      <c r="AZ2980" s="117"/>
      <c r="BK2980" s="39"/>
    </row>
    <row r="2981" spans="1:63" x14ac:dyDescent="0.25">
      <c r="A2981" s="92"/>
      <c r="B2981" s="92"/>
      <c r="C2981" s="92"/>
      <c r="D2981" s="92"/>
      <c r="E2981" s="92"/>
      <c r="F2981" s="92"/>
      <c r="G2981" s="92"/>
      <c r="H2981" s="92"/>
      <c r="I2981" s="92"/>
      <c r="J2981" s="92"/>
      <c r="K2981" s="92"/>
      <c r="L2981" s="92"/>
      <c r="M2981" s="92"/>
      <c r="N2981" s="92"/>
      <c r="AG2981" s="100"/>
      <c r="AH2981" s="101"/>
      <c r="AI2981" s="101"/>
      <c r="AJ2981" s="101"/>
      <c r="AK2981" s="100"/>
      <c r="AL2981" s="100"/>
      <c r="AM2981" s="100"/>
      <c r="AN2981" s="100"/>
      <c r="AO2981" s="100"/>
      <c r="AP2981" s="100"/>
      <c r="AQ2981" s="100"/>
      <c r="AR2981" s="100"/>
      <c r="AS2981" s="100"/>
      <c r="AT2981" s="102"/>
    </row>
    <row r="2982" spans="1:63" x14ac:dyDescent="0.25">
      <c r="A2982" s="92"/>
      <c r="B2982" s="93"/>
      <c r="C2982" s="93"/>
      <c r="D2982" s="92"/>
      <c r="E2982" s="92"/>
      <c r="F2982" s="92"/>
      <c r="G2982" s="92"/>
      <c r="H2982" s="92"/>
      <c r="I2982" s="92"/>
      <c r="J2982" s="92"/>
      <c r="K2982" s="92"/>
      <c r="L2982" s="92"/>
      <c r="M2982" s="92"/>
      <c r="N2982" s="94"/>
      <c r="AG2982" s="100"/>
      <c r="AH2982" s="101"/>
      <c r="AI2982" s="101"/>
      <c r="AJ2982" s="101"/>
      <c r="AK2982" s="100"/>
      <c r="AL2982" s="100"/>
      <c r="AM2982" s="100"/>
      <c r="AN2982" s="100"/>
      <c r="AO2982" s="100"/>
      <c r="AP2982" s="100"/>
      <c r="AQ2982" s="100"/>
      <c r="AR2982" s="100"/>
      <c r="AS2982" s="100"/>
      <c r="AT2982" s="102"/>
    </row>
    <row r="2983" spans="1:63" x14ac:dyDescent="0.25">
      <c r="A2983" s="92"/>
      <c r="B2983" s="93"/>
      <c r="C2983" s="93"/>
      <c r="D2983" s="92"/>
      <c r="E2983" s="92"/>
      <c r="F2983" s="92"/>
      <c r="G2983" s="92"/>
      <c r="H2983" s="92"/>
      <c r="I2983" s="92"/>
      <c r="J2983" s="92"/>
      <c r="K2983" s="92"/>
      <c r="L2983" s="92"/>
      <c r="M2983" s="92"/>
      <c r="N2983" s="94"/>
      <c r="AG2983" s="100"/>
      <c r="AH2983" s="101"/>
      <c r="AI2983" s="101"/>
      <c r="AJ2983" s="101"/>
      <c r="AK2983" s="100"/>
      <c r="AL2983" s="100"/>
      <c r="AM2983" s="100"/>
      <c r="AN2983" s="100"/>
      <c r="AO2983" s="100"/>
      <c r="AP2983" s="100"/>
      <c r="AQ2983" s="100"/>
      <c r="AR2983" s="100"/>
      <c r="AS2983" s="100"/>
      <c r="AT2983" s="102"/>
    </row>
    <row r="2984" spans="1:63" x14ac:dyDescent="0.25">
      <c r="A2984" s="92"/>
      <c r="B2984" s="93"/>
      <c r="C2984" s="93"/>
      <c r="D2984" s="92"/>
      <c r="E2984" s="92"/>
      <c r="F2984" s="92"/>
      <c r="G2984" s="92"/>
      <c r="H2984" s="92"/>
      <c r="I2984" s="92"/>
      <c r="J2984" s="92"/>
      <c r="K2984" s="92"/>
      <c r="L2984" s="92"/>
      <c r="M2984" s="92"/>
      <c r="N2984" s="94"/>
      <c r="AG2984" s="100"/>
      <c r="AH2984" s="101"/>
      <c r="AI2984" s="101"/>
      <c r="AJ2984" s="101"/>
      <c r="AK2984" s="100"/>
      <c r="AL2984" s="100"/>
      <c r="AM2984" s="100"/>
      <c r="AN2984" s="100"/>
      <c r="AO2984" s="100"/>
      <c r="AP2984" s="100"/>
      <c r="AQ2984" s="100"/>
      <c r="AR2984" s="100"/>
      <c r="AS2984" s="100"/>
      <c r="AT2984" s="102"/>
    </row>
    <row r="2985" spans="1:63" x14ac:dyDescent="0.25">
      <c r="A2985" s="92"/>
      <c r="B2985" s="93"/>
      <c r="C2985" s="93"/>
      <c r="D2985" s="93"/>
      <c r="E2985" s="92"/>
      <c r="F2985" s="92"/>
      <c r="G2985" s="92"/>
      <c r="H2985" s="92"/>
      <c r="I2985" s="92"/>
      <c r="J2985" s="92"/>
      <c r="K2985" s="92"/>
      <c r="L2985" s="92"/>
      <c r="M2985" s="92"/>
      <c r="N2985" s="94"/>
      <c r="AG2985" s="100"/>
      <c r="AH2985" s="101"/>
      <c r="AI2985" s="101"/>
      <c r="AJ2985" s="101"/>
      <c r="AK2985" s="100"/>
      <c r="AL2985" s="100"/>
      <c r="AM2985" s="100"/>
      <c r="AN2985" s="100"/>
      <c r="AO2985" s="100"/>
      <c r="AP2985" s="100"/>
      <c r="AQ2985" s="100"/>
      <c r="AR2985" s="100"/>
      <c r="AS2985" s="100"/>
      <c r="AT2985" s="102"/>
    </row>
    <row r="2986" spans="1:63" x14ac:dyDescent="0.25">
      <c r="A2986" s="92"/>
      <c r="B2986" s="93"/>
      <c r="C2986" s="93"/>
      <c r="D2986" s="92"/>
      <c r="E2986" s="92"/>
      <c r="F2986" s="92"/>
      <c r="G2986" s="92"/>
      <c r="H2986" s="92"/>
      <c r="I2986" s="92"/>
      <c r="J2986" s="92"/>
      <c r="K2986" s="92"/>
      <c r="L2986" s="92"/>
      <c r="M2986" s="92"/>
      <c r="N2986" s="94"/>
      <c r="AG2986" s="100"/>
      <c r="AH2986" s="101"/>
      <c r="AI2986" s="101"/>
      <c r="AJ2986" s="101"/>
      <c r="AK2986" s="100"/>
      <c r="AL2986" s="100"/>
      <c r="AM2986" s="100"/>
      <c r="AN2986" s="100"/>
      <c r="AO2986" s="100"/>
      <c r="AP2986" s="100"/>
      <c r="AQ2986" s="100"/>
      <c r="AR2986" s="100"/>
      <c r="AS2986" s="100"/>
      <c r="AT2986" s="102"/>
    </row>
    <row r="2987" spans="1:63" x14ac:dyDescent="0.25">
      <c r="A2987" s="92"/>
      <c r="B2987" s="93"/>
      <c r="C2987" s="93"/>
      <c r="D2987" s="92"/>
      <c r="E2987" s="92"/>
      <c r="F2987" s="92"/>
      <c r="G2987" s="92"/>
      <c r="H2987" s="92"/>
      <c r="I2987" s="92"/>
      <c r="J2987" s="92"/>
      <c r="K2987" s="92"/>
      <c r="L2987" s="92"/>
      <c r="M2987" s="92"/>
      <c r="N2987" s="94"/>
      <c r="AG2987" s="100"/>
      <c r="AH2987" s="101"/>
      <c r="AI2987" s="101"/>
      <c r="AJ2987" s="101"/>
      <c r="AK2987" s="100"/>
      <c r="AL2987" s="100"/>
      <c r="AM2987" s="100"/>
      <c r="AN2987" s="100"/>
      <c r="AO2987" s="100"/>
      <c r="AP2987" s="100"/>
      <c r="AQ2987" s="100"/>
      <c r="AR2987" s="100"/>
      <c r="AS2987" s="100"/>
      <c r="AT2987" s="102"/>
    </row>
    <row r="2988" spans="1:63" x14ac:dyDescent="0.25">
      <c r="A2988" s="92"/>
      <c r="B2988" s="93"/>
      <c r="C2988" s="93"/>
      <c r="D2988" s="92"/>
      <c r="E2988" s="92"/>
      <c r="F2988" s="92"/>
      <c r="G2988" s="92"/>
      <c r="H2988" s="92"/>
      <c r="I2988" s="92"/>
      <c r="J2988" s="92"/>
      <c r="K2988" s="92"/>
      <c r="L2988" s="92"/>
      <c r="M2988" s="92"/>
      <c r="N2988" s="94"/>
      <c r="AG2988" s="100"/>
      <c r="AH2988" s="100"/>
      <c r="AI2988" s="100"/>
      <c r="AJ2988" s="101"/>
      <c r="AK2988" s="100"/>
      <c r="AL2988" s="100"/>
      <c r="AM2988" s="100"/>
      <c r="AN2988" s="100"/>
      <c r="AO2988" s="100"/>
      <c r="AP2988" s="100"/>
      <c r="AQ2988" s="100"/>
      <c r="AR2988" s="100"/>
      <c r="AS2988" s="100"/>
      <c r="AT2988" s="100"/>
    </row>
    <row r="2989" spans="1:63" x14ac:dyDescent="0.25">
      <c r="A2989" s="92"/>
      <c r="B2989" s="93"/>
      <c r="C2989" s="93"/>
      <c r="D2989" s="92"/>
      <c r="E2989" s="92"/>
      <c r="F2989" s="92"/>
      <c r="G2989" s="92"/>
      <c r="H2989" s="92"/>
      <c r="I2989" s="92"/>
      <c r="J2989" s="92"/>
      <c r="K2989" s="92"/>
      <c r="L2989" s="92"/>
      <c r="M2989" s="92"/>
      <c r="N2989" s="94"/>
      <c r="AG2989" s="100"/>
      <c r="AH2989" s="101"/>
      <c r="AI2989" s="101"/>
      <c r="AJ2989" s="101"/>
      <c r="AK2989" s="100"/>
      <c r="AL2989" s="100"/>
      <c r="AM2989" s="100"/>
      <c r="AN2989" s="100"/>
      <c r="AO2989" s="100"/>
      <c r="AP2989" s="100"/>
      <c r="AQ2989" s="100"/>
      <c r="AR2989" s="100"/>
      <c r="AS2989" s="100"/>
      <c r="AT2989" s="102"/>
      <c r="AZ2989" s="117"/>
      <c r="BK2989" s="39"/>
    </row>
    <row r="2990" spans="1:63" x14ac:dyDescent="0.25">
      <c r="A2990" s="92"/>
      <c r="B2990" s="92"/>
      <c r="C2990" s="92"/>
      <c r="D2990" s="92"/>
      <c r="E2990" s="92"/>
      <c r="F2990" s="92"/>
      <c r="G2990" s="92"/>
      <c r="H2990" s="92"/>
      <c r="I2990" s="92"/>
      <c r="J2990" s="92"/>
      <c r="K2990" s="92"/>
      <c r="L2990" s="92"/>
      <c r="M2990" s="92"/>
      <c r="N2990" s="92"/>
      <c r="AG2990" s="100"/>
      <c r="AH2990" s="101"/>
      <c r="AI2990" s="101"/>
      <c r="AJ2990" s="101"/>
      <c r="AK2990" s="100"/>
      <c r="AL2990" s="100"/>
      <c r="AM2990" s="100"/>
      <c r="AN2990" s="100"/>
      <c r="AO2990" s="100"/>
      <c r="AP2990" s="100"/>
      <c r="AQ2990" s="100"/>
      <c r="AR2990" s="100"/>
      <c r="AS2990" s="100"/>
      <c r="AT2990" s="102"/>
      <c r="AZ2990" s="117"/>
      <c r="BK2990" s="39"/>
    </row>
    <row r="2991" spans="1:63" x14ac:dyDescent="0.25">
      <c r="A2991" s="92"/>
      <c r="B2991" s="92"/>
      <c r="C2991" s="92"/>
      <c r="D2991" s="92"/>
      <c r="E2991" s="92"/>
      <c r="F2991" s="92"/>
      <c r="G2991" s="92"/>
      <c r="H2991" s="92"/>
      <c r="I2991" s="92"/>
      <c r="J2991" s="92"/>
      <c r="K2991" s="92"/>
      <c r="L2991" s="92"/>
      <c r="M2991" s="92"/>
      <c r="N2991" s="92"/>
      <c r="AG2991" s="100"/>
      <c r="AH2991" s="101"/>
      <c r="AI2991" s="101"/>
      <c r="AJ2991" s="101"/>
      <c r="AK2991" s="100"/>
      <c r="AL2991" s="100"/>
      <c r="AM2991" s="100"/>
      <c r="AN2991" s="100"/>
      <c r="AO2991" s="100"/>
      <c r="AP2991" s="100"/>
      <c r="AQ2991" s="100"/>
      <c r="AR2991" s="100"/>
      <c r="AS2991" s="100"/>
      <c r="AT2991" s="102"/>
      <c r="AZ2991" s="117"/>
      <c r="BA2991" s="117"/>
      <c r="BK2991" s="39"/>
    </row>
    <row r="2992" spans="1:63" x14ac:dyDescent="0.25">
      <c r="A2992" s="92"/>
      <c r="B2992" s="92"/>
      <c r="C2992" s="92"/>
      <c r="D2992" s="92"/>
      <c r="E2992" s="92"/>
      <c r="F2992" s="92"/>
      <c r="G2992" s="92"/>
      <c r="H2992" s="92"/>
      <c r="I2992" s="92"/>
      <c r="J2992" s="92"/>
      <c r="K2992" s="92"/>
      <c r="L2992" s="92"/>
      <c r="M2992" s="92"/>
      <c r="N2992" s="92"/>
      <c r="AG2992" s="100"/>
      <c r="AH2992" s="101"/>
      <c r="AI2992" s="101"/>
      <c r="AJ2992" s="101"/>
      <c r="AK2992" s="100"/>
      <c r="AL2992" s="100"/>
      <c r="AM2992" s="100"/>
      <c r="AN2992" s="100"/>
      <c r="AO2992" s="100"/>
      <c r="AP2992" s="100"/>
      <c r="AQ2992" s="100"/>
      <c r="AR2992" s="100"/>
      <c r="AS2992" s="100"/>
      <c r="AT2992" s="102"/>
      <c r="AZ2992" s="117"/>
      <c r="BK2992" s="39"/>
    </row>
    <row r="2993" spans="1:63" x14ac:dyDescent="0.25">
      <c r="A2993" s="92"/>
      <c r="B2993" s="92"/>
      <c r="C2993" s="92"/>
      <c r="D2993" s="92"/>
      <c r="E2993" s="92"/>
      <c r="F2993" s="92"/>
      <c r="G2993" s="92"/>
      <c r="H2993" s="92"/>
      <c r="I2993" s="92"/>
      <c r="J2993" s="92"/>
      <c r="K2993" s="92"/>
      <c r="L2993" s="92"/>
      <c r="M2993" s="92"/>
      <c r="N2993" s="92"/>
      <c r="AG2993" s="100"/>
      <c r="AH2993" s="101"/>
      <c r="AI2993" s="101"/>
      <c r="AJ2993" s="101"/>
      <c r="AK2993" s="100"/>
      <c r="AL2993" s="100"/>
      <c r="AM2993" s="100"/>
      <c r="AN2993" s="100"/>
      <c r="AO2993" s="100"/>
      <c r="AP2993" s="100"/>
      <c r="AQ2993" s="100"/>
      <c r="AR2993" s="100"/>
      <c r="AS2993" s="100"/>
      <c r="AT2993" s="102"/>
      <c r="AZ2993" s="117"/>
      <c r="BK2993" s="39"/>
    </row>
    <row r="2994" spans="1:63" x14ac:dyDescent="0.25">
      <c r="A2994" s="92"/>
      <c r="B2994" s="92"/>
      <c r="C2994" s="92"/>
      <c r="D2994" s="92"/>
      <c r="E2994" s="92"/>
      <c r="F2994" s="92"/>
      <c r="G2994" s="92"/>
      <c r="H2994" s="92"/>
      <c r="I2994" s="92"/>
      <c r="J2994" s="92"/>
      <c r="K2994" s="92"/>
      <c r="L2994" s="92"/>
      <c r="M2994" s="92"/>
      <c r="N2994" s="92"/>
      <c r="AG2994" s="100"/>
      <c r="AH2994" s="101"/>
      <c r="AI2994" s="101"/>
      <c r="AJ2994" s="101"/>
      <c r="AK2994" s="100"/>
      <c r="AL2994" s="100"/>
      <c r="AM2994" s="100"/>
      <c r="AN2994" s="100"/>
      <c r="AO2994" s="100"/>
      <c r="AP2994" s="100"/>
      <c r="AQ2994" s="100"/>
      <c r="AR2994" s="100"/>
      <c r="AS2994" s="100"/>
      <c r="AT2994" s="102"/>
    </row>
    <row r="2995" spans="1:63" x14ac:dyDescent="0.25">
      <c r="A2995" s="92"/>
      <c r="B2995" s="92"/>
      <c r="C2995" s="92"/>
      <c r="D2995" s="92"/>
      <c r="E2995" s="92"/>
      <c r="F2995" s="92"/>
      <c r="G2995" s="92"/>
      <c r="H2995" s="92"/>
      <c r="I2995" s="92"/>
      <c r="J2995" s="92"/>
      <c r="K2995" s="92"/>
      <c r="L2995" s="92"/>
      <c r="M2995" s="92"/>
      <c r="N2995" s="92"/>
      <c r="AG2995" s="100"/>
      <c r="AH2995" s="101"/>
      <c r="AI2995" s="101"/>
      <c r="AJ2995" s="101"/>
      <c r="AK2995" s="100"/>
      <c r="AL2995" s="100"/>
      <c r="AM2995" s="100"/>
      <c r="AN2995" s="100"/>
      <c r="AO2995" s="100"/>
      <c r="AP2995" s="100"/>
      <c r="AQ2995" s="100"/>
      <c r="AR2995" s="100"/>
      <c r="AS2995" s="100"/>
      <c r="AT2995" s="102"/>
      <c r="AZ2995" s="117"/>
      <c r="BK2995" s="39"/>
    </row>
    <row r="2996" spans="1:63" x14ac:dyDescent="0.25">
      <c r="A2996" s="92"/>
      <c r="B2996" s="92"/>
      <c r="C2996" s="92"/>
      <c r="D2996" s="92"/>
      <c r="E2996" s="92"/>
      <c r="F2996" s="92"/>
      <c r="G2996" s="92"/>
      <c r="H2996" s="92"/>
      <c r="I2996" s="92"/>
      <c r="J2996" s="92"/>
      <c r="K2996" s="92"/>
      <c r="L2996" s="92"/>
      <c r="M2996" s="92"/>
      <c r="N2996" s="92"/>
      <c r="AG2996" s="100"/>
      <c r="AH2996" s="101"/>
      <c r="AI2996" s="101"/>
      <c r="AJ2996" s="101"/>
      <c r="AK2996" s="100"/>
      <c r="AL2996" s="100"/>
      <c r="AM2996" s="100"/>
      <c r="AN2996" s="100"/>
      <c r="AO2996" s="100"/>
      <c r="AP2996" s="100"/>
      <c r="AQ2996" s="100"/>
      <c r="AR2996" s="100"/>
      <c r="AS2996" s="100"/>
      <c r="AT2996" s="102"/>
      <c r="AZ2996" s="117"/>
      <c r="BK2996" s="39"/>
    </row>
    <row r="2997" spans="1:63" x14ac:dyDescent="0.25">
      <c r="A2997" s="92"/>
      <c r="B2997" s="92"/>
      <c r="C2997" s="92"/>
      <c r="D2997" s="92"/>
      <c r="E2997" s="92"/>
      <c r="F2997" s="92"/>
      <c r="G2997" s="92"/>
      <c r="H2997" s="92"/>
      <c r="I2997" s="92"/>
      <c r="J2997" s="92"/>
      <c r="K2997" s="92"/>
      <c r="L2997" s="92"/>
      <c r="M2997" s="92"/>
      <c r="N2997" s="92"/>
      <c r="AG2997" s="100"/>
      <c r="AH2997" s="101"/>
      <c r="AI2997" s="101"/>
      <c r="AJ2997" s="101"/>
      <c r="AK2997" s="100"/>
      <c r="AL2997" s="100"/>
      <c r="AM2997" s="100"/>
      <c r="AN2997" s="100"/>
      <c r="AO2997" s="100"/>
      <c r="AP2997" s="100"/>
      <c r="AQ2997" s="100"/>
      <c r="AR2997" s="100"/>
      <c r="AS2997" s="100"/>
      <c r="AT2997" s="102"/>
    </row>
    <row r="2998" spans="1:63" x14ac:dyDescent="0.25">
      <c r="A2998" s="92"/>
      <c r="B2998" s="93"/>
      <c r="C2998" s="93"/>
      <c r="D2998" s="92"/>
      <c r="E2998" s="92"/>
      <c r="F2998" s="92"/>
      <c r="G2998" s="92"/>
      <c r="H2998" s="92"/>
      <c r="I2998" s="92"/>
      <c r="J2998" s="92"/>
      <c r="K2998" s="92"/>
      <c r="L2998" s="92"/>
      <c r="M2998" s="92"/>
      <c r="N2998" s="94"/>
      <c r="AG2998" s="100"/>
      <c r="AH2998" s="100"/>
      <c r="AI2998" s="100"/>
      <c r="AJ2998" s="101"/>
      <c r="AK2998" s="100"/>
      <c r="AL2998" s="100"/>
      <c r="AM2998" s="100"/>
      <c r="AN2998" s="100"/>
      <c r="AO2998" s="100"/>
      <c r="AP2998" s="100"/>
      <c r="AQ2998" s="100"/>
      <c r="AR2998" s="100"/>
      <c r="AS2998" s="100"/>
      <c r="AT2998" s="100"/>
      <c r="AZ2998" s="117"/>
      <c r="BK2998" s="39"/>
    </row>
    <row r="2999" spans="1:63" x14ac:dyDescent="0.25">
      <c r="A2999" s="92"/>
      <c r="B2999" s="93"/>
      <c r="C2999" s="93"/>
      <c r="D2999" s="92"/>
      <c r="E2999" s="92"/>
      <c r="F2999" s="92"/>
      <c r="G2999" s="92"/>
      <c r="H2999" s="92"/>
      <c r="I2999" s="92"/>
      <c r="J2999" s="92"/>
      <c r="K2999" s="92"/>
      <c r="L2999" s="92"/>
      <c r="M2999" s="92"/>
      <c r="N2999" s="94"/>
      <c r="AG2999" s="100"/>
      <c r="AH2999" s="100"/>
      <c r="AI2999" s="100"/>
      <c r="AJ2999" s="101"/>
      <c r="AK2999" s="100"/>
      <c r="AL2999" s="100"/>
      <c r="AM2999" s="100"/>
      <c r="AN2999" s="100"/>
      <c r="AO2999" s="100"/>
      <c r="AP2999" s="100"/>
      <c r="AQ2999" s="100"/>
      <c r="AR2999" s="100"/>
      <c r="AS2999" s="100"/>
      <c r="AT2999" s="100"/>
      <c r="AZ2999" s="117"/>
      <c r="BK2999" s="39"/>
    </row>
    <row r="3000" spans="1:63" x14ac:dyDescent="0.25">
      <c r="A3000" s="92"/>
      <c r="B3000" s="93"/>
      <c r="C3000" s="93"/>
      <c r="D3000" s="93"/>
      <c r="E3000" s="92"/>
      <c r="F3000" s="92"/>
      <c r="G3000" s="92"/>
      <c r="H3000" s="92"/>
      <c r="I3000" s="92"/>
      <c r="J3000" s="92"/>
      <c r="K3000" s="92"/>
      <c r="L3000" s="92"/>
      <c r="M3000" s="92"/>
      <c r="N3000" s="94"/>
      <c r="AG3000" s="100"/>
      <c r="AH3000" s="101"/>
      <c r="AI3000" s="101"/>
      <c r="AJ3000" s="101"/>
      <c r="AK3000" s="100"/>
      <c r="AL3000" s="100"/>
      <c r="AM3000" s="100"/>
      <c r="AN3000" s="100"/>
      <c r="AO3000" s="100"/>
      <c r="AP3000" s="100"/>
      <c r="AQ3000" s="100"/>
      <c r="AR3000" s="100"/>
      <c r="AS3000" s="100"/>
      <c r="AT3000" s="102"/>
      <c r="AZ3000" s="117"/>
      <c r="BK3000" s="39"/>
    </row>
    <row r="3001" spans="1:63" x14ac:dyDescent="0.25">
      <c r="A3001" s="92"/>
      <c r="B3001" s="93"/>
      <c r="C3001" s="93"/>
      <c r="D3001" s="92"/>
      <c r="E3001" s="92"/>
      <c r="F3001" s="92"/>
      <c r="G3001" s="92"/>
      <c r="H3001" s="92"/>
      <c r="I3001" s="92"/>
      <c r="J3001" s="92"/>
      <c r="K3001" s="92"/>
      <c r="L3001" s="92"/>
      <c r="M3001" s="92"/>
      <c r="N3001" s="94"/>
      <c r="AG3001" s="100"/>
      <c r="AH3001" s="101"/>
      <c r="AI3001" s="101"/>
      <c r="AJ3001" s="101"/>
      <c r="AK3001" s="100"/>
      <c r="AL3001" s="100"/>
      <c r="AM3001" s="100"/>
      <c r="AN3001" s="100"/>
      <c r="AO3001" s="100"/>
      <c r="AP3001" s="100"/>
      <c r="AQ3001" s="100"/>
      <c r="AR3001" s="100"/>
      <c r="AS3001" s="100"/>
      <c r="AT3001" s="102"/>
    </row>
    <row r="3002" spans="1:63" x14ac:dyDescent="0.25">
      <c r="A3002" s="92"/>
      <c r="B3002" s="93"/>
      <c r="C3002" s="93"/>
      <c r="D3002" s="92"/>
      <c r="E3002" s="92"/>
      <c r="F3002" s="92"/>
      <c r="G3002" s="92"/>
      <c r="H3002" s="92"/>
      <c r="I3002" s="92"/>
      <c r="J3002" s="92"/>
      <c r="K3002" s="92"/>
      <c r="L3002" s="92"/>
      <c r="M3002" s="92"/>
      <c r="N3002" s="94"/>
      <c r="AG3002" s="100"/>
      <c r="AH3002" s="100"/>
      <c r="AI3002" s="100"/>
      <c r="AJ3002" s="101"/>
      <c r="AK3002" s="100"/>
      <c r="AL3002" s="100"/>
      <c r="AM3002" s="100"/>
      <c r="AN3002" s="100"/>
      <c r="AO3002" s="100"/>
      <c r="AP3002" s="100"/>
      <c r="AQ3002" s="100"/>
      <c r="AR3002" s="100"/>
      <c r="AS3002" s="100"/>
      <c r="AT3002" s="100"/>
      <c r="AZ3002" s="117"/>
      <c r="BK3002" s="39"/>
    </row>
    <row r="3003" spans="1:63" x14ac:dyDescent="0.25">
      <c r="A3003" s="92"/>
      <c r="B3003" s="92"/>
      <c r="C3003" s="92"/>
      <c r="D3003" s="92"/>
      <c r="E3003" s="92"/>
      <c r="F3003" s="92"/>
      <c r="G3003" s="92"/>
      <c r="H3003" s="92"/>
      <c r="I3003" s="92"/>
      <c r="J3003" s="92"/>
      <c r="K3003" s="92"/>
      <c r="L3003" s="92"/>
      <c r="M3003" s="92"/>
      <c r="N3003" s="92"/>
      <c r="AG3003" s="100"/>
      <c r="AH3003" s="101"/>
      <c r="AI3003" s="101"/>
      <c r="AJ3003" s="101"/>
      <c r="AK3003" s="100"/>
      <c r="AL3003" s="100"/>
      <c r="AM3003" s="100"/>
      <c r="AN3003" s="100"/>
      <c r="AO3003" s="100"/>
      <c r="AP3003" s="100"/>
      <c r="AQ3003" s="100"/>
      <c r="AR3003" s="100"/>
      <c r="AS3003" s="100"/>
      <c r="AT3003" s="102"/>
    </row>
    <row r="3004" spans="1:63" x14ac:dyDescent="0.25">
      <c r="A3004" s="92"/>
      <c r="B3004" s="93"/>
      <c r="C3004" s="93"/>
      <c r="D3004" s="92"/>
      <c r="E3004" s="92"/>
      <c r="F3004" s="92"/>
      <c r="G3004" s="92"/>
      <c r="H3004" s="92"/>
      <c r="I3004" s="92"/>
      <c r="J3004" s="92"/>
      <c r="K3004" s="92"/>
      <c r="L3004" s="92"/>
      <c r="M3004" s="92"/>
      <c r="N3004" s="94"/>
      <c r="AG3004" s="100"/>
      <c r="AH3004" s="101"/>
      <c r="AI3004" s="101"/>
      <c r="AJ3004" s="101"/>
      <c r="AK3004" s="100"/>
      <c r="AL3004" s="100"/>
      <c r="AM3004" s="100"/>
      <c r="AN3004" s="100"/>
      <c r="AO3004" s="100"/>
      <c r="AP3004" s="100"/>
      <c r="AQ3004" s="100"/>
      <c r="AR3004" s="100"/>
      <c r="AS3004" s="100"/>
      <c r="AT3004" s="102"/>
      <c r="AZ3004" s="117"/>
      <c r="BK3004" s="39"/>
    </row>
    <row r="3005" spans="1:63" x14ac:dyDescent="0.25">
      <c r="A3005" s="92"/>
      <c r="B3005" s="93"/>
      <c r="C3005" s="93"/>
      <c r="D3005" s="92"/>
      <c r="E3005" s="92"/>
      <c r="F3005" s="92"/>
      <c r="G3005" s="92"/>
      <c r="H3005" s="92"/>
      <c r="I3005" s="92"/>
      <c r="J3005" s="92"/>
      <c r="K3005" s="92"/>
      <c r="L3005" s="92"/>
      <c r="M3005" s="92"/>
      <c r="N3005" s="94"/>
      <c r="AG3005" s="100"/>
      <c r="AH3005" s="101"/>
      <c r="AI3005" s="101"/>
      <c r="AJ3005" s="101"/>
      <c r="AK3005" s="100"/>
      <c r="AL3005" s="100"/>
      <c r="AM3005" s="100"/>
      <c r="AN3005" s="100"/>
      <c r="AO3005" s="100"/>
      <c r="AP3005" s="100"/>
      <c r="AQ3005" s="100"/>
      <c r="AR3005" s="100"/>
      <c r="AS3005" s="100"/>
      <c r="AT3005" s="102"/>
    </row>
    <row r="3006" spans="1:63" x14ac:dyDescent="0.25">
      <c r="A3006" s="92"/>
      <c r="B3006" s="92"/>
      <c r="C3006" s="92"/>
      <c r="D3006" s="92"/>
      <c r="E3006" s="92"/>
      <c r="F3006" s="92"/>
      <c r="G3006" s="92"/>
      <c r="H3006" s="92"/>
      <c r="I3006" s="92"/>
      <c r="J3006" s="92"/>
      <c r="K3006" s="92"/>
      <c r="L3006" s="92"/>
      <c r="M3006" s="92"/>
      <c r="N3006" s="92"/>
      <c r="AG3006" s="100"/>
      <c r="AH3006" s="101"/>
      <c r="AI3006" s="101"/>
      <c r="AJ3006" s="101"/>
      <c r="AK3006" s="100"/>
      <c r="AL3006" s="100"/>
      <c r="AM3006" s="100"/>
      <c r="AN3006" s="100"/>
      <c r="AO3006" s="100"/>
      <c r="AP3006" s="100"/>
      <c r="AQ3006" s="100"/>
      <c r="AR3006" s="100"/>
      <c r="AS3006" s="100"/>
      <c r="AT3006" s="102"/>
      <c r="AZ3006" s="117"/>
      <c r="BK3006" s="39"/>
    </row>
    <row r="3007" spans="1:63" x14ac:dyDescent="0.25">
      <c r="A3007" s="92"/>
      <c r="B3007" s="93"/>
      <c r="C3007" s="93"/>
      <c r="D3007" s="92"/>
      <c r="E3007" s="92"/>
      <c r="F3007" s="92"/>
      <c r="G3007" s="92"/>
      <c r="H3007" s="92"/>
      <c r="I3007" s="92"/>
      <c r="J3007" s="92"/>
      <c r="K3007" s="92"/>
      <c r="L3007" s="92"/>
      <c r="M3007" s="92"/>
      <c r="N3007" s="94"/>
      <c r="AG3007" s="100"/>
      <c r="AH3007" s="100"/>
      <c r="AI3007" s="100"/>
      <c r="AJ3007" s="101"/>
      <c r="AK3007" s="100"/>
      <c r="AL3007" s="100"/>
      <c r="AM3007" s="100"/>
      <c r="AN3007" s="100"/>
      <c r="AO3007" s="100"/>
      <c r="AP3007" s="100"/>
      <c r="AQ3007" s="100"/>
      <c r="AR3007" s="100"/>
      <c r="AS3007" s="100"/>
      <c r="AT3007" s="100"/>
      <c r="AZ3007" s="117"/>
      <c r="BK3007" s="39"/>
    </row>
    <row r="3008" spans="1:63" x14ac:dyDescent="0.25">
      <c r="A3008" s="92"/>
      <c r="B3008" s="93"/>
      <c r="C3008" s="93"/>
      <c r="D3008" s="92"/>
      <c r="E3008" s="92"/>
      <c r="F3008" s="92"/>
      <c r="G3008" s="92"/>
      <c r="H3008" s="92"/>
      <c r="I3008" s="92"/>
      <c r="J3008" s="92"/>
      <c r="K3008" s="92"/>
      <c r="L3008" s="92"/>
      <c r="M3008" s="92"/>
      <c r="N3008" s="94"/>
      <c r="AG3008" s="100"/>
      <c r="AH3008" s="101"/>
      <c r="AI3008" s="101"/>
      <c r="AJ3008" s="101"/>
      <c r="AK3008" s="100"/>
      <c r="AL3008" s="100"/>
      <c r="AM3008" s="100"/>
      <c r="AN3008" s="100"/>
      <c r="AO3008" s="100"/>
      <c r="AP3008" s="100"/>
      <c r="AQ3008" s="100"/>
      <c r="AR3008" s="100"/>
      <c r="AS3008" s="100"/>
      <c r="AT3008" s="102"/>
      <c r="AZ3008" s="117"/>
      <c r="BA3008" s="117"/>
      <c r="BK3008" s="39"/>
    </row>
    <row r="3009" spans="1:63" x14ac:dyDescent="0.25">
      <c r="A3009" s="92"/>
      <c r="B3009" s="93"/>
      <c r="C3009" s="93"/>
      <c r="D3009" s="92"/>
      <c r="E3009" s="92"/>
      <c r="F3009" s="92"/>
      <c r="G3009" s="92"/>
      <c r="H3009" s="92"/>
      <c r="I3009" s="92"/>
      <c r="J3009" s="92"/>
      <c r="K3009" s="92"/>
      <c r="L3009" s="92"/>
      <c r="M3009" s="92"/>
      <c r="N3009" s="94"/>
      <c r="AG3009" s="100"/>
      <c r="AH3009" s="101"/>
      <c r="AI3009" s="101"/>
      <c r="AJ3009" s="101"/>
      <c r="AK3009" s="100"/>
      <c r="AL3009" s="100"/>
      <c r="AM3009" s="100"/>
      <c r="AN3009" s="100"/>
      <c r="AO3009" s="100"/>
      <c r="AP3009" s="100"/>
      <c r="AQ3009" s="100"/>
      <c r="AR3009" s="100"/>
      <c r="AS3009" s="100"/>
      <c r="AT3009" s="102"/>
    </row>
    <row r="3010" spans="1:63" x14ac:dyDescent="0.25">
      <c r="A3010" s="92"/>
      <c r="B3010" s="92"/>
      <c r="C3010" s="92"/>
      <c r="D3010" s="92"/>
      <c r="E3010" s="92"/>
      <c r="F3010" s="92"/>
      <c r="G3010" s="92"/>
      <c r="H3010" s="92"/>
      <c r="I3010" s="92"/>
      <c r="J3010" s="92"/>
      <c r="K3010" s="92"/>
      <c r="L3010" s="92"/>
      <c r="M3010" s="92"/>
      <c r="N3010" s="92"/>
      <c r="AG3010" s="100"/>
      <c r="AH3010" s="101"/>
      <c r="AI3010" s="101"/>
      <c r="AJ3010" s="101"/>
      <c r="AK3010" s="100"/>
      <c r="AL3010" s="100"/>
      <c r="AM3010" s="100"/>
      <c r="AN3010" s="100"/>
      <c r="AO3010" s="100"/>
      <c r="AP3010" s="100"/>
      <c r="AQ3010" s="100"/>
      <c r="AR3010" s="100"/>
      <c r="AS3010" s="100"/>
      <c r="AT3010" s="102"/>
    </row>
    <row r="3011" spans="1:63" x14ac:dyDescent="0.25">
      <c r="A3011" s="92"/>
      <c r="B3011" s="93"/>
      <c r="C3011" s="93"/>
      <c r="D3011" s="92"/>
      <c r="E3011" s="92"/>
      <c r="F3011" s="92"/>
      <c r="G3011" s="92"/>
      <c r="H3011" s="92"/>
      <c r="I3011" s="92"/>
      <c r="J3011" s="92"/>
      <c r="K3011" s="92"/>
      <c r="L3011" s="92"/>
      <c r="M3011" s="92"/>
      <c r="N3011" s="94"/>
      <c r="AG3011" s="100"/>
      <c r="AH3011" s="101"/>
      <c r="AI3011" s="101"/>
      <c r="AJ3011" s="101"/>
      <c r="AK3011" s="100"/>
      <c r="AL3011" s="100"/>
      <c r="AM3011" s="100"/>
      <c r="AN3011" s="100"/>
      <c r="AO3011" s="100"/>
      <c r="AP3011" s="100"/>
      <c r="AQ3011" s="100"/>
      <c r="AR3011" s="100"/>
      <c r="AS3011" s="100"/>
      <c r="AT3011" s="102"/>
    </row>
    <row r="3012" spans="1:63" x14ac:dyDescent="0.25">
      <c r="A3012" s="92"/>
      <c r="B3012" s="92"/>
      <c r="C3012" s="92"/>
      <c r="D3012" s="92"/>
      <c r="E3012" s="92"/>
      <c r="F3012" s="92"/>
      <c r="G3012" s="92"/>
      <c r="H3012" s="92"/>
      <c r="I3012" s="92"/>
      <c r="J3012" s="92"/>
      <c r="K3012" s="92"/>
      <c r="L3012" s="92"/>
      <c r="M3012" s="92"/>
      <c r="N3012" s="92"/>
      <c r="AG3012" s="100"/>
      <c r="AH3012" s="101"/>
      <c r="AI3012" s="101"/>
      <c r="AJ3012" s="101"/>
      <c r="AK3012" s="100"/>
      <c r="AL3012" s="100"/>
      <c r="AM3012" s="100"/>
      <c r="AN3012" s="100"/>
      <c r="AO3012" s="100"/>
      <c r="AP3012" s="100"/>
      <c r="AQ3012" s="100"/>
      <c r="AR3012" s="100"/>
      <c r="AS3012" s="100"/>
      <c r="AT3012" s="102"/>
    </row>
    <row r="3013" spans="1:63" x14ac:dyDescent="0.25">
      <c r="A3013" s="92"/>
      <c r="B3013" s="93"/>
      <c r="C3013" s="93"/>
      <c r="D3013" s="92"/>
      <c r="E3013" s="92"/>
      <c r="F3013" s="92"/>
      <c r="G3013" s="92"/>
      <c r="H3013" s="92"/>
      <c r="I3013" s="92"/>
      <c r="J3013" s="92"/>
      <c r="K3013" s="92"/>
      <c r="L3013" s="92"/>
      <c r="M3013" s="92"/>
      <c r="N3013" s="94"/>
      <c r="AG3013" s="100"/>
      <c r="AH3013" s="101"/>
      <c r="AI3013" s="101"/>
      <c r="AJ3013" s="101"/>
      <c r="AK3013" s="100"/>
      <c r="AL3013" s="100"/>
      <c r="AM3013" s="100"/>
      <c r="AN3013" s="100"/>
      <c r="AO3013" s="100"/>
      <c r="AP3013" s="100"/>
      <c r="AQ3013" s="100"/>
      <c r="AR3013" s="100"/>
      <c r="AS3013" s="100"/>
      <c r="AT3013" s="102"/>
    </row>
    <row r="3014" spans="1:63" x14ac:dyDescent="0.25">
      <c r="A3014" s="92"/>
      <c r="B3014" s="92"/>
      <c r="C3014" s="92"/>
      <c r="D3014" s="92"/>
      <c r="E3014" s="92"/>
      <c r="F3014" s="92"/>
      <c r="G3014" s="92"/>
      <c r="H3014" s="92"/>
      <c r="I3014" s="92"/>
      <c r="J3014" s="92"/>
      <c r="K3014" s="92"/>
      <c r="L3014" s="92"/>
      <c r="M3014" s="92"/>
      <c r="N3014" s="92"/>
      <c r="AG3014" s="100"/>
      <c r="AH3014" s="101"/>
      <c r="AI3014" s="101"/>
      <c r="AJ3014" s="101"/>
      <c r="AK3014" s="100"/>
      <c r="AL3014" s="100"/>
      <c r="AM3014" s="100"/>
      <c r="AN3014" s="100"/>
      <c r="AO3014" s="100"/>
      <c r="AP3014" s="100"/>
      <c r="AQ3014" s="100"/>
      <c r="AR3014" s="100"/>
      <c r="AS3014" s="100"/>
      <c r="AT3014" s="102"/>
    </row>
    <row r="3015" spans="1:63" x14ac:dyDescent="0.25">
      <c r="A3015" s="92"/>
      <c r="B3015" s="93"/>
      <c r="C3015" s="93"/>
      <c r="D3015" s="92"/>
      <c r="E3015" s="92"/>
      <c r="F3015" s="92"/>
      <c r="G3015" s="92"/>
      <c r="H3015" s="92"/>
      <c r="I3015" s="92"/>
      <c r="J3015" s="92"/>
      <c r="K3015" s="92"/>
      <c r="L3015" s="92"/>
      <c r="M3015" s="92"/>
      <c r="N3015" s="94"/>
      <c r="AG3015" s="100"/>
      <c r="AH3015" s="100"/>
      <c r="AI3015" s="100"/>
      <c r="AJ3015" s="101"/>
      <c r="AK3015" s="100"/>
      <c r="AL3015" s="100"/>
      <c r="AM3015" s="100"/>
      <c r="AN3015" s="100"/>
      <c r="AO3015" s="100"/>
      <c r="AP3015" s="100"/>
      <c r="AQ3015" s="100"/>
      <c r="AR3015" s="100"/>
      <c r="AS3015" s="100"/>
      <c r="AT3015" s="100"/>
      <c r="AZ3015" s="117"/>
      <c r="BA3015" s="117"/>
      <c r="BK3015" s="39"/>
    </row>
    <row r="3016" spans="1:63" x14ac:dyDescent="0.25">
      <c r="A3016" s="92"/>
      <c r="B3016" s="93"/>
      <c r="C3016" s="93"/>
      <c r="D3016" s="92"/>
      <c r="E3016" s="92"/>
      <c r="F3016" s="92"/>
      <c r="G3016" s="92"/>
      <c r="H3016" s="92"/>
      <c r="I3016" s="92"/>
      <c r="J3016" s="92"/>
      <c r="K3016" s="92"/>
      <c r="L3016" s="92"/>
      <c r="M3016" s="92"/>
      <c r="N3016" s="94"/>
      <c r="AG3016" s="100"/>
      <c r="AH3016" s="100"/>
      <c r="AI3016" s="100"/>
      <c r="AJ3016" s="101"/>
      <c r="AK3016" s="100"/>
      <c r="AL3016" s="100"/>
      <c r="AM3016" s="100"/>
      <c r="AN3016" s="100"/>
      <c r="AO3016" s="100"/>
      <c r="AP3016" s="100"/>
      <c r="AQ3016" s="100"/>
      <c r="AR3016" s="100"/>
      <c r="AS3016" s="100"/>
      <c r="AT3016" s="100"/>
    </row>
    <row r="3017" spans="1:63" x14ac:dyDescent="0.25">
      <c r="A3017" s="92"/>
      <c r="B3017" s="93"/>
      <c r="C3017" s="93"/>
      <c r="D3017" s="93"/>
      <c r="E3017" s="92"/>
      <c r="F3017" s="92"/>
      <c r="G3017" s="92"/>
      <c r="H3017" s="92"/>
      <c r="I3017" s="92"/>
      <c r="J3017" s="92"/>
      <c r="K3017" s="92"/>
      <c r="L3017" s="92"/>
      <c r="M3017" s="92"/>
      <c r="N3017" s="94"/>
      <c r="AG3017" s="100"/>
      <c r="AH3017" s="100"/>
      <c r="AI3017" s="100"/>
      <c r="AJ3017" s="101"/>
      <c r="AK3017" s="100"/>
      <c r="AL3017" s="100"/>
      <c r="AM3017" s="100"/>
      <c r="AN3017" s="100"/>
      <c r="AO3017" s="100"/>
      <c r="AP3017" s="100"/>
      <c r="AQ3017" s="100"/>
      <c r="AR3017" s="100"/>
      <c r="AS3017" s="100"/>
      <c r="AT3017" s="100"/>
      <c r="AZ3017" s="117"/>
      <c r="BK3017" s="39"/>
    </row>
    <row r="3018" spans="1:63" x14ac:dyDescent="0.25">
      <c r="A3018" s="92"/>
      <c r="B3018" s="92"/>
      <c r="C3018" s="92"/>
      <c r="D3018" s="92"/>
      <c r="E3018" s="92"/>
      <c r="F3018" s="92"/>
      <c r="G3018" s="92"/>
      <c r="H3018" s="92"/>
      <c r="I3018" s="92"/>
      <c r="J3018" s="92"/>
      <c r="K3018" s="92"/>
      <c r="L3018" s="92"/>
      <c r="M3018" s="92"/>
      <c r="N3018" s="92"/>
      <c r="AG3018" s="100"/>
      <c r="AH3018" s="101"/>
      <c r="AI3018" s="101"/>
      <c r="AJ3018" s="101"/>
      <c r="AK3018" s="100"/>
      <c r="AL3018" s="100"/>
      <c r="AM3018" s="100"/>
      <c r="AN3018" s="100"/>
      <c r="AO3018" s="100"/>
      <c r="AP3018" s="100"/>
      <c r="AQ3018" s="100"/>
      <c r="AR3018" s="100"/>
      <c r="AS3018" s="100"/>
      <c r="AT3018" s="102"/>
      <c r="AZ3018" s="117"/>
      <c r="BK3018" s="39"/>
    </row>
    <row r="3019" spans="1:63" x14ac:dyDescent="0.25">
      <c r="A3019" s="92"/>
      <c r="B3019" s="92"/>
      <c r="C3019" s="92"/>
      <c r="D3019" s="92"/>
      <c r="E3019" s="92"/>
      <c r="F3019" s="92"/>
      <c r="G3019" s="92"/>
      <c r="H3019" s="92"/>
      <c r="I3019" s="92"/>
      <c r="J3019" s="92"/>
      <c r="K3019" s="92"/>
      <c r="L3019" s="92"/>
      <c r="M3019" s="92"/>
      <c r="N3019" s="92"/>
      <c r="AG3019" s="100"/>
      <c r="AH3019" s="101"/>
      <c r="AI3019" s="101"/>
      <c r="AJ3019" s="101"/>
      <c r="AK3019" s="100"/>
      <c r="AL3019" s="100"/>
      <c r="AM3019" s="100"/>
      <c r="AN3019" s="100"/>
      <c r="AO3019" s="100"/>
      <c r="AP3019" s="100"/>
      <c r="AQ3019" s="100"/>
      <c r="AR3019" s="100"/>
      <c r="AS3019" s="100"/>
      <c r="AT3019" s="102"/>
      <c r="AZ3019" s="117"/>
      <c r="BK3019" s="39"/>
    </row>
    <row r="3020" spans="1:63" x14ac:dyDescent="0.25">
      <c r="A3020" s="92"/>
      <c r="B3020" s="92"/>
      <c r="C3020" s="92"/>
      <c r="D3020" s="92"/>
      <c r="E3020" s="92"/>
      <c r="F3020" s="92"/>
      <c r="G3020" s="92"/>
      <c r="H3020" s="92"/>
      <c r="I3020" s="92"/>
      <c r="J3020" s="92"/>
      <c r="K3020" s="92"/>
      <c r="L3020" s="92"/>
      <c r="M3020" s="92"/>
      <c r="N3020" s="92"/>
      <c r="AG3020" s="100"/>
      <c r="AH3020" s="100"/>
      <c r="AI3020" s="100"/>
      <c r="AJ3020" s="101"/>
      <c r="AK3020" s="100"/>
      <c r="AL3020" s="100"/>
      <c r="AM3020" s="100"/>
      <c r="AN3020" s="100"/>
      <c r="AO3020" s="100"/>
      <c r="AP3020" s="100"/>
      <c r="AQ3020" s="100"/>
      <c r="AR3020" s="100"/>
      <c r="AS3020" s="100"/>
      <c r="AT3020" s="100"/>
    </row>
    <row r="3021" spans="1:63" x14ac:dyDescent="0.25">
      <c r="A3021" s="92"/>
      <c r="B3021" s="92"/>
      <c r="C3021" s="92"/>
      <c r="D3021" s="92"/>
      <c r="E3021" s="92"/>
      <c r="F3021" s="92"/>
      <c r="G3021" s="92"/>
      <c r="H3021" s="92"/>
      <c r="I3021" s="92"/>
      <c r="J3021" s="92"/>
      <c r="K3021" s="92"/>
      <c r="L3021" s="92"/>
      <c r="M3021" s="92"/>
      <c r="N3021" s="92"/>
      <c r="AG3021" s="100"/>
      <c r="AH3021" s="101"/>
      <c r="AI3021" s="101"/>
      <c r="AJ3021" s="101"/>
      <c r="AK3021" s="100"/>
      <c r="AL3021" s="100"/>
      <c r="AM3021" s="100"/>
      <c r="AN3021" s="100"/>
      <c r="AO3021" s="100"/>
      <c r="AP3021" s="100"/>
      <c r="AQ3021" s="100"/>
      <c r="AR3021" s="100"/>
      <c r="AS3021" s="100"/>
      <c r="AT3021" s="102"/>
    </row>
    <row r="3022" spans="1:63" x14ac:dyDescent="0.25">
      <c r="A3022" s="92"/>
      <c r="B3022" s="92"/>
      <c r="C3022" s="92"/>
      <c r="D3022" s="92"/>
      <c r="E3022" s="92"/>
      <c r="F3022" s="92"/>
      <c r="G3022" s="92"/>
      <c r="H3022" s="92"/>
      <c r="I3022" s="92"/>
      <c r="J3022" s="92"/>
      <c r="K3022" s="92"/>
      <c r="L3022" s="92"/>
      <c r="M3022" s="92"/>
      <c r="N3022" s="92"/>
      <c r="AG3022" s="100"/>
      <c r="AH3022" s="101"/>
      <c r="AI3022" s="101"/>
      <c r="AJ3022" s="101"/>
      <c r="AK3022" s="100"/>
      <c r="AL3022" s="100"/>
      <c r="AM3022" s="100"/>
      <c r="AN3022" s="100"/>
      <c r="AO3022" s="100"/>
      <c r="AP3022" s="100"/>
      <c r="AQ3022" s="100"/>
      <c r="AR3022" s="100"/>
      <c r="AS3022" s="100"/>
      <c r="AT3022" s="102"/>
    </row>
    <row r="3023" spans="1:63" x14ac:dyDescent="0.25">
      <c r="A3023" s="92"/>
      <c r="B3023" s="92"/>
      <c r="C3023" s="92"/>
      <c r="D3023" s="92"/>
      <c r="E3023" s="92"/>
      <c r="F3023" s="92"/>
      <c r="G3023" s="92"/>
      <c r="H3023" s="92"/>
      <c r="I3023" s="92"/>
      <c r="J3023" s="92"/>
      <c r="K3023" s="92"/>
      <c r="L3023" s="92"/>
      <c r="M3023" s="92"/>
      <c r="N3023" s="92"/>
      <c r="AG3023" s="100"/>
      <c r="AH3023" s="100"/>
      <c r="AI3023" s="100"/>
      <c r="AJ3023" s="101"/>
      <c r="AK3023" s="100"/>
      <c r="AL3023" s="100"/>
      <c r="AM3023" s="100"/>
      <c r="AN3023" s="100"/>
      <c r="AO3023" s="100"/>
      <c r="AP3023" s="100"/>
      <c r="AQ3023" s="100"/>
      <c r="AR3023" s="100"/>
      <c r="AS3023" s="100"/>
      <c r="AT3023" s="100"/>
    </row>
    <row r="3024" spans="1:63" x14ac:dyDescent="0.25">
      <c r="A3024" s="92"/>
      <c r="B3024" s="93"/>
      <c r="C3024" s="93"/>
      <c r="D3024" s="93"/>
      <c r="E3024" s="92"/>
      <c r="F3024" s="92"/>
      <c r="G3024" s="92"/>
      <c r="H3024" s="92"/>
      <c r="I3024" s="92"/>
      <c r="J3024" s="92"/>
      <c r="K3024" s="92"/>
      <c r="L3024" s="92"/>
      <c r="M3024" s="92"/>
      <c r="N3024" s="94"/>
      <c r="AG3024" s="100"/>
      <c r="AH3024" s="101"/>
      <c r="AI3024" s="101"/>
      <c r="AJ3024" s="101"/>
      <c r="AK3024" s="100"/>
      <c r="AL3024" s="100"/>
      <c r="AM3024" s="100"/>
      <c r="AN3024" s="100"/>
      <c r="AO3024" s="100"/>
      <c r="AP3024" s="100"/>
      <c r="AQ3024" s="100"/>
      <c r="AR3024" s="100"/>
      <c r="AS3024" s="100"/>
      <c r="AT3024" s="102"/>
      <c r="AZ3024" s="117"/>
      <c r="BK3024" s="39"/>
    </row>
    <row r="3025" spans="1:63" x14ac:dyDescent="0.25">
      <c r="A3025" s="92"/>
      <c r="B3025" s="92"/>
      <c r="C3025" s="92"/>
      <c r="D3025" s="92"/>
      <c r="E3025" s="92"/>
      <c r="F3025" s="92"/>
      <c r="G3025" s="92"/>
      <c r="H3025" s="92"/>
      <c r="I3025" s="92"/>
      <c r="J3025" s="92"/>
      <c r="K3025" s="92"/>
      <c r="L3025" s="92"/>
      <c r="M3025" s="92"/>
      <c r="N3025" s="92"/>
      <c r="AG3025" s="100"/>
      <c r="AH3025" s="101"/>
      <c r="AI3025" s="101"/>
      <c r="AJ3025" s="101"/>
      <c r="AK3025" s="100"/>
      <c r="AL3025" s="100"/>
      <c r="AM3025" s="100"/>
      <c r="AN3025" s="100"/>
      <c r="AO3025" s="100"/>
      <c r="AP3025" s="100"/>
      <c r="AQ3025" s="100"/>
      <c r="AR3025" s="100"/>
      <c r="AS3025" s="100"/>
      <c r="AT3025" s="102"/>
      <c r="AZ3025" s="117"/>
      <c r="BK3025" s="39"/>
    </row>
    <row r="3026" spans="1:63" x14ac:dyDescent="0.25">
      <c r="A3026" s="92"/>
      <c r="B3026" s="93"/>
      <c r="C3026" s="93"/>
      <c r="D3026" s="92"/>
      <c r="E3026" s="92"/>
      <c r="F3026" s="92"/>
      <c r="G3026" s="92"/>
      <c r="H3026" s="92"/>
      <c r="I3026" s="92"/>
      <c r="J3026" s="92"/>
      <c r="K3026" s="92"/>
      <c r="L3026" s="92"/>
      <c r="M3026" s="92"/>
      <c r="N3026" s="94"/>
      <c r="AG3026" s="100"/>
      <c r="AH3026" s="101"/>
      <c r="AI3026" s="101"/>
      <c r="AJ3026" s="101"/>
      <c r="AK3026" s="100"/>
      <c r="AL3026" s="100"/>
      <c r="AM3026" s="100"/>
      <c r="AN3026" s="100"/>
      <c r="AO3026" s="100"/>
      <c r="AP3026" s="100"/>
      <c r="AQ3026" s="100"/>
      <c r="AR3026" s="100"/>
      <c r="AS3026" s="100"/>
      <c r="AT3026" s="102"/>
      <c r="AZ3026" s="117"/>
      <c r="BK3026" s="39"/>
    </row>
    <row r="3027" spans="1:63" x14ac:dyDescent="0.25">
      <c r="A3027" s="92"/>
      <c r="B3027" s="93"/>
      <c r="C3027" s="93"/>
      <c r="D3027" s="92"/>
      <c r="E3027" s="92"/>
      <c r="F3027" s="92"/>
      <c r="G3027" s="92"/>
      <c r="H3027" s="92"/>
      <c r="I3027" s="92"/>
      <c r="J3027" s="92"/>
      <c r="K3027" s="92"/>
      <c r="L3027" s="92"/>
      <c r="M3027" s="92"/>
      <c r="N3027" s="94"/>
      <c r="AG3027" s="100"/>
      <c r="AH3027" s="101"/>
      <c r="AI3027" s="101"/>
      <c r="AJ3027" s="101"/>
      <c r="AK3027" s="100"/>
      <c r="AL3027" s="100"/>
      <c r="AM3027" s="100"/>
      <c r="AN3027" s="100"/>
      <c r="AO3027" s="100"/>
      <c r="AP3027" s="100"/>
      <c r="AQ3027" s="100"/>
      <c r="AR3027" s="100"/>
      <c r="AS3027" s="100"/>
      <c r="AT3027" s="102"/>
      <c r="AZ3027" s="117"/>
      <c r="BK3027" s="39"/>
    </row>
    <row r="3028" spans="1:63" x14ac:dyDescent="0.25">
      <c r="A3028" s="92"/>
      <c r="B3028" s="93"/>
      <c r="C3028" s="93"/>
      <c r="D3028" s="92"/>
      <c r="E3028" s="92"/>
      <c r="F3028" s="92"/>
      <c r="G3028" s="92"/>
      <c r="H3028" s="92"/>
      <c r="I3028" s="92"/>
      <c r="J3028" s="92"/>
      <c r="K3028" s="92"/>
      <c r="L3028" s="92"/>
      <c r="M3028" s="92"/>
      <c r="N3028" s="94"/>
      <c r="AG3028" s="100"/>
      <c r="AH3028" s="101"/>
      <c r="AI3028" s="101"/>
      <c r="AJ3028" s="101"/>
      <c r="AK3028" s="100"/>
      <c r="AL3028" s="100"/>
      <c r="AM3028" s="100"/>
      <c r="AN3028" s="100"/>
      <c r="AO3028" s="100"/>
      <c r="AP3028" s="100"/>
      <c r="AQ3028" s="100"/>
      <c r="AR3028" s="100"/>
      <c r="AS3028" s="100"/>
      <c r="AT3028" s="102"/>
      <c r="AZ3028" s="117"/>
      <c r="BK3028" s="39"/>
    </row>
    <row r="3029" spans="1:63" x14ac:dyDescent="0.25">
      <c r="A3029" s="92"/>
      <c r="B3029" s="92"/>
      <c r="C3029" s="92"/>
      <c r="D3029" s="92"/>
      <c r="E3029" s="92"/>
      <c r="F3029" s="92"/>
      <c r="G3029" s="92"/>
      <c r="H3029" s="92"/>
      <c r="I3029" s="92"/>
      <c r="J3029" s="92"/>
      <c r="K3029" s="92"/>
      <c r="L3029" s="92"/>
      <c r="M3029" s="92"/>
      <c r="N3029" s="92"/>
      <c r="AG3029" s="100"/>
      <c r="AH3029" s="100"/>
      <c r="AI3029" s="100"/>
      <c r="AJ3029" s="101"/>
      <c r="AK3029" s="100"/>
      <c r="AL3029" s="100"/>
      <c r="AM3029" s="100"/>
      <c r="AN3029" s="100"/>
      <c r="AO3029" s="100"/>
      <c r="AP3029" s="100"/>
      <c r="AQ3029" s="100"/>
      <c r="AR3029" s="100"/>
      <c r="AS3029" s="100"/>
      <c r="AT3029" s="100"/>
    </row>
    <row r="3030" spans="1:63" x14ac:dyDescent="0.25">
      <c r="A3030" s="92"/>
      <c r="B3030" s="92"/>
      <c r="C3030" s="92"/>
      <c r="D3030" s="92"/>
      <c r="E3030" s="92"/>
      <c r="F3030" s="92"/>
      <c r="G3030" s="92"/>
      <c r="H3030" s="92"/>
      <c r="I3030" s="92"/>
      <c r="J3030" s="92"/>
      <c r="K3030" s="92"/>
      <c r="L3030" s="92"/>
      <c r="M3030" s="92"/>
      <c r="N3030" s="92"/>
      <c r="AG3030" s="100"/>
      <c r="AH3030" s="101"/>
      <c r="AI3030" s="100"/>
      <c r="AJ3030" s="101"/>
      <c r="AK3030" s="100"/>
      <c r="AL3030" s="100"/>
      <c r="AM3030" s="100"/>
      <c r="AN3030" s="100"/>
      <c r="AO3030" s="100"/>
      <c r="AP3030" s="100"/>
      <c r="AQ3030" s="100"/>
      <c r="AR3030" s="100"/>
      <c r="AS3030" s="100"/>
      <c r="AT3030" s="102"/>
    </row>
    <row r="3031" spans="1:63" x14ac:dyDescent="0.25">
      <c r="A3031" s="92"/>
      <c r="B3031" s="92"/>
      <c r="C3031" s="92"/>
      <c r="D3031" s="92"/>
      <c r="E3031" s="92"/>
      <c r="F3031" s="92"/>
      <c r="G3031" s="92"/>
      <c r="H3031" s="92"/>
      <c r="I3031" s="92"/>
      <c r="J3031" s="92"/>
      <c r="K3031" s="92"/>
      <c r="L3031" s="92"/>
      <c r="M3031" s="92"/>
      <c r="N3031" s="92"/>
      <c r="AG3031" s="100"/>
      <c r="AH3031" s="101"/>
      <c r="AI3031" s="100"/>
      <c r="AJ3031" s="101"/>
      <c r="AK3031" s="100"/>
      <c r="AL3031" s="100"/>
      <c r="AM3031" s="100"/>
      <c r="AN3031" s="100"/>
      <c r="AO3031" s="100"/>
      <c r="AP3031" s="100"/>
      <c r="AQ3031" s="100"/>
      <c r="AR3031" s="100"/>
      <c r="AS3031" s="100"/>
      <c r="AT3031" s="102"/>
      <c r="AZ3031" s="117"/>
      <c r="BK3031" s="39"/>
    </row>
    <row r="3032" spans="1:63" x14ac:dyDescent="0.25">
      <c r="A3032" s="92"/>
      <c r="B3032" s="92"/>
      <c r="C3032" s="92"/>
      <c r="D3032" s="92"/>
      <c r="E3032" s="92"/>
      <c r="F3032" s="92"/>
      <c r="G3032" s="92"/>
      <c r="H3032" s="92"/>
      <c r="I3032" s="92"/>
      <c r="J3032" s="92"/>
      <c r="K3032" s="92"/>
      <c r="L3032" s="92"/>
      <c r="M3032" s="92"/>
      <c r="N3032" s="92"/>
      <c r="AG3032" s="100"/>
      <c r="AH3032" s="101"/>
      <c r="AI3032" s="100"/>
      <c r="AJ3032" s="101"/>
      <c r="AK3032" s="100"/>
      <c r="AL3032" s="100"/>
      <c r="AM3032" s="100"/>
      <c r="AN3032" s="100"/>
      <c r="AO3032" s="100"/>
      <c r="AP3032" s="100"/>
      <c r="AQ3032" s="100"/>
      <c r="AR3032" s="100"/>
      <c r="AS3032" s="100"/>
      <c r="AT3032" s="102"/>
      <c r="AZ3032" s="117"/>
      <c r="BK3032" s="39"/>
    </row>
    <row r="3033" spans="1:63" x14ac:dyDescent="0.25">
      <c r="A3033" s="92"/>
      <c r="B3033" s="93"/>
      <c r="C3033" s="93"/>
      <c r="D3033" s="92"/>
      <c r="E3033" s="92"/>
      <c r="F3033" s="92"/>
      <c r="G3033" s="92"/>
      <c r="H3033" s="92"/>
      <c r="I3033" s="92"/>
      <c r="J3033" s="92"/>
      <c r="K3033" s="92"/>
      <c r="L3033" s="92"/>
      <c r="M3033" s="92"/>
      <c r="N3033" s="94"/>
      <c r="AG3033" s="100"/>
      <c r="AH3033" s="101"/>
      <c r="AI3033" s="101"/>
      <c r="AJ3033" s="101"/>
      <c r="AK3033" s="100"/>
      <c r="AL3033" s="100"/>
      <c r="AM3033" s="100"/>
      <c r="AN3033" s="100"/>
      <c r="AO3033" s="100"/>
      <c r="AP3033" s="100"/>
      <c r="AQ3033" s="100"/>
      <c r="AR3033" s="100"/>
      <c r="AS3033" s="100"/>
      <c r="AT3033" s="102"/>
    </row>
    <row r="3034" spans="1:63" x14ac:dyDescent="0.25">
      <c r="A3034" s="92"/>
      <c r="B3034" s="93"/>
      <c r="C3034" s="93"/>
      <c r="D3034" s="92"/>
      <c r="E3034" s="92"/>
      <c r="F3034" s="92"/>
      <c r="G3034" s="92"/>
      <c r="H3034" s="92"/>
      <c r="I3034" s="92"/>
      <c r="J3034" s="92"/>
      <c r="K3034" s="92"/>
      <c r="L3034" s="92"/>
      <c r="M3034" s="92"/>
      <c r="N3034" s="94"/>
      <c r="AG3034" s="100"/>
      <c r="AH3034" s="101"/>
      <c r="AI3034" s="101"/>
      <c r="AJ3034" s="101"/>
      <c r="AK3034" s="100"/>
      <c r="AL3034" s="100"/>
      <c r="AM3034" s="100"/>
      <c r="AN3034" s="100"/>
      <c r="AO3034" s="100"/>
      <c r="AP3034" s="100"/>
      <c r="AQ3034" s="100"/>
      <c r="AR3034" s="100"/>
      <c r="AS3034" s="100"/>
      <c r="AT3034" s="102"/>
    </row>
    <row r="3035" spans="1:63" x14ac:dyDescent="0.25">
      <c r="A3035" s="92"/>
      <c r="B3035" s="93"/>
      <c r="C3035" s="93"/>
      <c r="D3035" s="92"/>
      <c r="E3035" s="92"/>
      <c r="F3035" s="92"/>
      <c r="G3035" s="92"/>
      <c r="H3035" s="92"/>
      <c r="I3035" s="92"/>
      <c r="J3035" s="92"/>
      <c r="K3035" s="92"/>
      <c r="L3035" s="92"/>
      <c r="M3035" s="92"/>
      <c r="N3035" s="94"/>
      <c r="AG3035" s="100"/>
      <c r="AH3035" s="101"/>
      <c r="AI3035" s="101"/>
      <c r="AJ3035" s="101"/>
      <c r="AK3035" s="100"/>
      <c r="AL3035" s="100"/>
      <c r="AM3035" s="100"/>
      <c r="AN3035" s="100"/>
      <c r="AO3035" s="100"/>
      <c r="AP3035" s="100"/>
      <c r="AQ3035" s="100"/>
      <c r="AR3035" s="100"/>
      <c r="AS3035" s="100"/>
      <c r="AT3035" s="102"/>
      <c r="AZ3035" s="117"/>
      <c r="BK3035" s="39"/>
    </row>
    <row r="3036" spans="1:63" x14ac:dyDescent="0.25">
      <c r="A3036" s="92"/>
      <c r="B3036" s="93"/>
      <c r="C3036" s="93"/>
      <c r="D3036" s="92"/>
      <c r="E3036" s="92"/>
      <c r="F3036" s="92"/>
      <c r="G3036" s="92"/>
      <c r="H3036" s="92"/>
      <c r="I3036" s="92"/>
      <c r="J3036" s="92"/>
      <c r="K3036" s="92"/>
      <c r="L3036" s="92"/>
      <c r="M3036" s="92"/>
      <c r="N3036" s="94"/>
      <c r="AG3036" s="100"/>
      <c r="AH3036" s="101"/>
      <c r="AI3036" s="101"/>
      <c r="AJ3036" s="101"/>
      <c r="AK3036" s="100"/>
      <c r="AL3036" s="100"/>
      <c r="AM3036" s="100"/>
      <c r="AN3036" s="100"/>
      <c r="AO3036" s="100"/>
      <c r="AP3036" s="100"/>
      <c r="AQ3036" s="100"/>
      <c r="AR3036" s="100"/>
      <c r="AS3036" s="100"/>
      <c r="AT3036" s="102"/>
      <c r="AZ3036" s="117"/>
      <c r="BK3036" s="39"/>
    </row>
    <row r="3037" spans="1:63" x14ac:dyDescent="0.25">
      <c r="A3037" s="92"/>
      <c r="B3037" s="93"/>
      <c r="C3037" s="93"/>
      <c r="D3037" s="92"/>
      <c r="E3037" s="92"/>
      <c r="F3037" s="92"/>
      <c r="G3037" s="92"/>
      <c r="H3037" s="92"/>
      <c r="I3037" s="92"/>
      <c r="J3037" s="92"/>
      <c r="K3037" s="92"/>
      <c r="L3037" s="92"/>
      <c r="M3037" s="92"/>
      <c r="N3037" s="94"/>
      <c r="AG3037" s="100"/>
      <c r="AH3037" s="101"/>
      <c r="AI3037" s="101"/>
      <c r="AJ3037" s="101"/>
      <c r="AK3037" s="100"/>
      <c r="AL3037" s="100"/>
      <c r="AM3037" s="100"/>
      <c r="AN3037" s="100"/>
      <c r="AO3037" s="100"/>
      <c r="AP3037" s="100"/>
      <c r="AQ3037" s="100"/>
      <c r="AR3037" s="100"/>
      <c r="AS3037" s="100"/>
      <c r="AT3037" s="102"/>
      <c r="AZ3037" s="117"/>
      <c r="BA3037" s="117"/>
      <c r="BK3037" s="39"/>
    </row>
    <row r="3038" spans="1:63" x14ac:dyDescent="0.25">
      <c r="A3038" s="92"/>
      <c r="B3038" s="92"/>
      <c r="C3038" s="92"/>
      <c r="D3038" s="92"/>
      <c r="E3038" s="92"/>
      <c r="F3038" s="92"/>
      <c r="G3038" s="92"/>
      <c r="H3038" s="92"/>
      <c r="I3038" s="92"/>
      <c r="J3038" s="92"/>
      <c r="K3038" s="92"/>
      <c r="L3038" s="92"/>
      <c r="M3038" s="92"/>
      <c r="N3038" s="92"/>
      <c r="AG3038" s="100"/>
      <c r="AH3038" s="101"/>
      <c r="AI3038" s="101"/>
      <c r="AJ3038" s="101"/>
      <c r="AK3038" s="100"/>
      <c r="AL3038" s="100"/>
      <c r="AM3038" s="100"/>
      <c r="AN3038" s="100"/>
      <c r="AO3038" s="100"/>
      <c r="AP3038" s="100"/>
      <c r="AQ3038" s="100"/>
      <c r="AR3038" s="100"/>
      <c r="AS3038" s="100"/>
      <c r="AT3038" s="102"/>
      <c r="AZ3038" s="117"/>
      <c r="BA3038" s="117"/>
      <c r="BK3038" s="39"/>
    </row>
    <row r="3039" spans="1:63" x14ac:dyDescent="0.25">
      <c r="A3039" s="92"/>
      <c r="B3039" s="92"/>
      <c r="C3039" s="92"/>
      <c r="D3039" s="92"/>
      <c r="E3039" s="92"/>
      <c r="F3039" s="92"/>
      <c r="G3039" s="92"/>
      <c r="H3039" s="92"/>
      <c r="I3039" s="92"/>
      <c r="J3039" s="92"/>
      <c r="K3039" s="92"/>
      <c r="L3039" s="92"/>
      <c r="M3039" s="92"/>
      <c r="N3039" s="92"/>
      <c r="AG3039" s="100"/>
      <c r="AH3039" s="101"/>
      <c r="AI3039" s="101"/>
      <c r="AJ3039" s="101"/>
      <c r="AK3039" s="100"/>
      <c r="AL3039" s="100"/>
      <c r="AM3039" s="100"/>
      <c r="AN3039" s="100"/>
      <c r="AO3039" s="100"/>
      <c r="AP3039" s="100"/>
      <c r="AQ3039" s="100"/>
      <c r="AR3039" s="100"/>
      <c r="AS3039" s="100"/>
      <c r="AT3039" s="102"/>
      <c r="BA3039" s="117"/>
    </row>
    <row r="3040" spans="1:63" x14ac:dyDescent="0.25">
      <c r="A3040" s="92"/>
      <c r="B3040" s="93"/>
      <c r="C3040" s="93"/>
      <c r="D3040" s="92"/>
      <c r="E3040" s="92"/>
      <c r="F3040" s="92"/>
      <c r="G3040" s="92"/>
      <c r="H3040" s="92"/>
      <c r="I3040" s="92"/>
      <c r="J3040" s="92"/>
      <c r="K3040" s="92"/>
      <c r="L3040" s="92"/>
      <c r="M3040" s="92"/>
      <c r="N3040" s="94"/>
      <c r="AG3040" s="100"/>
      <c r="AH3040" s="101"/>
      <c r="AI3040" s="101"/>
      <c r="AJ3040" s="101"/>
      <c r="AK3040" s="100"/>
      <c r="AL3040" s="100"/>
      <c r="AM3040" s="100"/>
      <c r="AN3040" s="100"/>
      <c r="AO3040" s="100"/>
      <c r="AP3040" s="100"/>
      <c r="AQ3040" s="100"/>
      <c r="AR3040" s="100"/>
      <c r="AS3040" s="100"/>
      <c r="AT3040" s="102"/>
      <c r="AZ3040" s="117"/>
      <c r="BK3040" s="39"/>
    </row>
    <row r="3041" spans="1:63" x14ac:dyDescent="0.25">
      <c r="A3041" s="92"/>
      <c r="B3041" s="93"/>
      <c r="C3041" s="93"/>
      <c r="D3041" s="92"/>
      <c r="E3041" s="92"/>
      <c r="F3041" s="92"/>
      <c r="G3041" s="92"/>
      <c r="H3041" s="92"/>
      <c r="I3041" s="92"/>
      <c r="J3041" s="92"/>
      <c r="K3041" s="92"/>
      <c r="L3041" s="92"/>
      <c r="M3041" s="92"/>
      <c r="N3041" s="94"/>
      <c r="AG3041" s="100"/>
      <c r="AH3041" s="101"/>
      <c r="AI3041" s="101"/>
      <c r="AJ3041" s="101"/>
      <c r="AK3041" s="100"/>
      <c r="AL3041" s="100"/>
      <c r="AM3041" s="100"/>
      <c r="AN3041" s="100"/>
      <c r="AO3041" s="100"/>
      <c r="AP3041" s="100"/>
      <c r="AQ3041" s="100"/>
      <c r="AR3041" s="100"/>
      <c r="AS3041" s="100"/>
      <c r="AT3041" s="102"/>
      <c r="AZ3041" s="117"/>
      <c r="BK3041" s="39"/>
    </row>
    <row r="3042" spans="1:63" x14ac:dyDescent="0.25">
      <c r="A3042" s="92"/>
      <c r="B3042" s="92"/>
      <c r="C3042" s="92"/>
      <c r="D3042" s="92"/>
      <c r="E3042" s="92"/>
      <c r="F3042" s="92"/>
      <c r="G3042" s="92"/>
      <c r="H3042" s="92"/>
      <c r="I3042" s="92"/>
      <c r="J3042" s="92"/>
      <c r="K3042" s="92"/>
      <c r="L3042" s="92"/>
      <c r="M3042" s="92"/>
      <c r="N3042" s="92"/>
      <c r="AG3042" s="100"/>
      <c r="AH3042" s="101"/>
      <c r="AI3042" s="101"/>
      <c r="AJ3042" s="101"/>
      <c r="AK3042" s="100"/>
      <c r="AL3042" s="100"/>
      <c r="AM3042" s="100"/>
      <c r="AN3042" s="100"/>
      <c r="AO3042" s="100"/>
      <c r="AP3042" s="100"/>
      <c r="AQ3042" s="100"/>
      <c r="AR3042" s="100"/>
      <c r="AS3042" s="100"/>
      <c r="AT3042" s="102"/>
      <c r="AZ3042" s="117"/>
      <c r="BK3042" s="39"/>
    </row>
    <row r="3043" spans="1:63" x14ac:dyDescent="0.25">
      <c r="A3043" s="92"/>
      <c r="B3043" s="92"/>
      <c r="C3043" s="92"/>
      <c r="D3043" s="92"/>
      <c r="E3043" s="92"/>
      <c r="F3043" s="92"/>
      <c r="G3043" s="92"/>
      <c r="H3043" s="92"/>
      <c r="I3043" s="92"/>
      <c r="J3043" s="92"/>
      <c r="K3043" s="92"/>
      <c r="L3043" s="92"/>
      <c r="M3043" s="92"/>
      <c r="N3043" s="92"/>
      <c r="AG3043" s="100"/>
      <c r="AH3043" s="100"/>
      <c r="AI3043" s="100"/>
      <c r="AJ3043" s="101"/>
      <c r="AK3043" s="100"/>
      <c r="AL3043" s="100"/>
      <c r="AM3043" s="100"/>
      <c r="AN3043" s="100"/>
      <c r="AO3043" s="100"/>
      <c r="AP3043" s="100"/>
      <c r="AQ3043" s="100"/>
      <c r="AR3043" s="100"/>
      <c r="AS3043" s="100"/>
      <c r="AT3043" s="100"/>
      <c r="AZ3043" s="117"/>
      <c r="BK3043" s="39"/>
    </row>
    <row r="3044" spans="1:63" x14ac:dyDescent="0.25">
      <c r="A3044" s="92"/>
      <c r="B3044" s="93"/>
      <c r="C3044" s="93"/>
      <c r="D3044" s="92"/>
      <c r="E3044" s="92"/>
      <c r="F3044" s="92"/>
      <c r="G3044" s="92"/>
      <c r="H3044" s="92"/>
      <c r="I3044" s="92"/>
      <c r="J3044" s="92"/>
      <c r="K3044" s="92"/>
      <c r="L3044" s="92"/>
      <c r="M3044" s="92"/>
      <c r="N3044" s="94"/>
      <c r="AG3044" s="100"/>
      <c r="AH3044" s="101"/>
      <c r="AI3044" s="101"/>
      <c r="AJ3044" s="101"/>
      <c r="AK3044" s="100"/>
      <c r="AL3044" s="100"/>
      <c r="AM3044" s="100"/>
      <c r="AN3044" s="100"/>
      <c r="AO3044" s="100"/>
      <c r="AP3044" s="100"/>
      <c r="AQ3044" s="100"/>
      <c r="AR3044" s="100"/>
      <c r="AS3044" s="100"/>
      <c r="AT3044" s="102"/>
      <c r="AZ3044" s="117"/>
      <c r="BA3044" s="117"/>
      <c r="BK3044" s="39"/>
    </row>
    <row r="3045" spans="1:63" x14ac:dyDescent="0.25">
      <c r="A3045" s="92"/>
      <c r="B3045" s="93"/>
      <c r="C3045" s="93"/>
      <c r="D3045" s="92"/>
      <c r="E3045" s="92"/>
      <c r="F3045" s="92"/>
      <c r="G3045" s="92"/>
      <c r="H3045" s="92"/>
      <c r="I3045" s="92"/>
      <c r="J3045" s="92"/>
      <c r="K3045" s="92"/>
      <c r="L3045" s="92"/>
      <c r="M3045" s="92"/>
      <c r="N3045" s="94"/>
      <c r="AG3045" s="100"/>
      <c r="AH3045" s="100"/>
      <c r="AI3045" s="100"/>
      <c r="AJ3045" s="101"/>
      <c r="AK3045" s="100"/>
      <c r="AL3045" s="100"/>
      <c r="AM3045" s="100"/>
      <c r="AN3045" s="100"/>
      <c r="AO3045" s="100"/>
      <c r="AP3045" s="100"/>
      <c r="AQ3045" s="100"/>
      <c r="AR3045" s="100"/>
      <c r="AS3045" s="100"/>
      <c r="AT3045" s="100"/>
      <c r="AZ3045" s="117"/>
      <c r="BK3045" s="39"/>
    </row>
    <row r="3046" spans="1:63" x14ac:dyDescent="0.25">
      <c r="A3046" s="92"/>
      <c r="B3046" s="93"/>
      <c r="C3046" s="93"/>
      <c r="D3046" s="93"/>
      <c r="E3046" s="92"/>
      <c r="F3046" s="92"/>
      <c r="G3046" s="92"/>
      <c r="H3046" s="92"/>
      <c r="I3046" s="92"/>
      <c r="J3046" s="92"/>
      <c r="K3046" s="92"/>
      <c r="L3046" s="92"/>
      <c r="M3046" s="92"/>
      <c r="N3046" s="94"/>
      <c r="AG3046" s="100"/>
      <c r="AH3046" s="100"/>
      <c r="AI3046" s="100"/>
      <c r="AJ3046" s="101"/>
      <c r="AK3046" s="100"/>
      <c r="AL3046" s="100"/>
      <c r="AM3046" s="100"/>
      <c r="AN3046" s="100"/>
      <c r="AO3046" s="100"/>
      <c r="AP3046" s="100"/>
      <c r="AQ3046" s="100"/>
      <c r="AR3046" s="100"/>
      <c r="AS3046" s="100"/>
      <c r="AT3046" s="100"/>
    </row>
    <row r="3047" spans="1:63" x14ac:dyDescent="0.25">
      <c r="A3047" s="92"/>
      <c r="B3047" s="93"/>
      <c r="C3047" s="93"/>
      <c r="D3047" s="93"/>
      <c r="E3047" s="92"/>
      <c r="F3047" s="92"/>
      <c r="G3047" s="92"/>
      <c r="H3047" s="92"/>
      <c r="I3047" s="92"/>
      <c r="J3047" s="92"/>
      <c r="K3047" s="92"/>
      <c r="L3047" s="92"/>
      <c r="M3047" s="92"/>
      <c r="N3047" s="94"/>
      <c r="AG3047" s="100"/>
      <c r="AH3047" s="100"/>
      <c r="AI3047" s="100"/>
      <c r="AJ3047" s="101"/>
      <c r="AK3047" s="100"/>
      <c r="AL3047" s="100"/>
      <c r="AM3047" s="100"/>
      <c r="AN3047" s="100"/>
      <c r="AO3047" s="100"/>
      <c r="AP3047" s="100"/>
      <c r="AQ3047" s="100"/>
      <c r="AR3047" s="100"/>
      <c r="AS3047" s="100"/>
      <c r="AT3047" s="100"/>
    </row>
    <row r="3048" spans="1:63" x14ac:dyDescent="0.25">
      <c r="A3048" s="92"/>
      <c r="B3048" s="92"/>
      <c r="C3048" s="92"/>
      <c r="D3048" s="93"/>
      <c r="E3048" s="92"/>
      <c r="F3048" s="92"/>
      <c r="G3048" s="92"/>
      <c r="H3048" s="92"/>
      <c r="I3048" s="92"/>
      <c r="J3048" s="92"/>
      <c r="K3048" s="92"/>
      <c r="L3048" s="92"/>
      <c r="M3048" s="92"/>
      <c r="N3048" s="92"/>
      <c r="AG3048" s="100"/>
      <c r="AH3048" s="100"/>
      <c r="AI3048" s="100"/>
      <c r="AJ3048" s="101"/>
      <c r="AK3048" s="100"/>
      <c r="AL3048" s="100"/>
      <c r="AM3048" s="100"/>
      <c r="AN3048" s="100"/>
      <c r="AO3048" s="100"/>
      <c r="AP3048" s="100"/>
      <c r="AQ3048" s="100"/>
      <c r="AR3048" s="100"/>
      <c r="AS3048" s="100"/>
      <c r="AT3048" s="100"/>
      <c r="AZ3048" s="117"/>
      <c r="BK3048" s="39"/>
    </row>
    <row r="3049" spans="1:63" x14ac:dyDescent="0.25">
      <c r="A3049" s="92"/>
      <c r="B3049" s="93"/>
      <c r="C3049" s="93"/>
      <c r="D3049" s="92"/>
      <c r="E3049" s="92"/>
      <c r="F3049" s="92"/>
      <c r="G3049" s="92"/>
      <c r="H3049" s="92"/>
      <c r="I3049" s="92"/>
      <c r="J3049" s="92"/>
      <c r="K3049" s="92"/>
      <c r="L3049" s="92"/>
      <c r="M3049" s="92"/>
      <c r="N3049" s="94"/>
      <c r="AG3049" s="100"/>
      <c r="AH3049" s="100"/>
      <c r="AI3049" s="100"/>
      <c r="AJ3049" s="101"/>
      <c r="AK3049" s="100"/>
      <c r="AL3049" s="100"/>
      <c r="AM3049" s="100"/>
      <c r="AN3049" s="100"/>
      <c r="AO3049" s="100"/>
      <c r="AP3049" s="100"/>
      <c r="AQ3049" s="100"/>
      <c r="AR3049" s="100"/>
      <c r="AS3049" s="100"/>
      <c r="AT3049" s="100"/>
    </row>
    <row r="3050" spans="1:63" x14ac:dyDescent="0.25">
      <c r="A3050" s="92"/>
      <c r="B3050" s="93"/>
      <c r="C3050" s="93"/>
      <c r="D3050" s="92"/>
      <c r="E3050" s="92"/>
      <c r="F3050" s="92"/>
      <c r="G3050" s="92"/>
      <c r="H3050" s="92"/>
      <c r="I3050" s="92"/>
      <c r="J3050" s="92"/>
      <c r="K3050" s="92"/>
      <c r="L3050" s="92"/>
      <c r="M3050" s="92"/>
      <c r="N3050" s="94"/>
      <c r="AG3050" s="100"/>
      <c r="AH3050" s="101"/>
      <c r="AI3050" s="101"/>
      <c r="AJ3050" s="101"/>
      <c r="AK3050" s="100"/>
      <c r="AL3050" s="100"/>
      <c r="AM3050" s="100"/>
      <c r="AN3050" s="100"/>
      <c r="AO3050" s="100"/>
      <c r="AP3050" s="100"/>
      <c r="AQ3050" s="100"/>
      <c r="AR3050" s="100"/>
      <c r="AS3050" s="100"/>
      <c r="AT3050" s="102"/>
    </row>
    <row r="3051" spans="1:63" x14ac:dyDescent="0.25">
      <c r="A3051" s="92"/>
      <c r="B3051" s="93"/>
      <c r="C3051" s="93"/>
      <c r="D3051" s="92"/>
      <c r="E3051" s="92"/>
      <c r="F3051" s="92"/>
      <c r="G3051" s="92"/>
      <c r="H3051" s="92"/>
      <c r="I3051" s="92"/>
      <c r="J3051" s="92"/>
      <c r="K3051" s="92"/>
      <c r="L3051" s="92"/>
      <c r="M3051" s="92"/>
      <c r="N3051" s="94"/>
      <c r="AG3051" s="100"/>
      <c r="AH3051" s="101"/>
      <c r="AI3051" s="101"/>
      <c r="AJ3051" s="101"/>
      <c r="AK3051" s="100"/>
      <c r="AL3051" s="100"/>
      <c r="AM3051" s="100"/>
      <c r="AN3051" s="100"/>
      <c r="AO3051" s="100"/>
      <c r="AP3051" s="100"/>
      <c r="AQ3051" s="100"/>
      <c r="AR3051" s="100"/>
      <c r="AS3051" s="100"/>
      <c r="AT3051" s="102"/>
      <c r="AZ3051" s="117"/>
      <c r="BK3051" s="39"/>
    </row>
    <row r="3052" spans="1:63" x14ac:dyDescent="0.25">
      <c r="A3052" s="92"/>
      <c r="B3052" s="93"/>
      <c r="C3052" s="93"/>
      <c r="D3052" s="92"/>
      <c r="E3052" s="92"/>
      <c r="F3052" s="92"/>
      <c r="G3052" s="92"/>
      <c r="H3052" s="92"/>
      <c r="I3052" s="92"/>
      <c r="J3052" s="92"/>
      <c r="K3052" s="92"/>
      <c r="L3052" s="92"/>
      <c r="M3052" s="92"/>
      <c r="N3052" s="94"/>
      <c r="AG3052" s="100"/>
      <c r="AH3052" s="101"/>
      <c r="AI3052" s="101"/>
      <c r="AJ3052" s="101"/>
      <c r="AK3052" s="100"/>
      <c r="AL3052" s="100"/>
      <c r="AM3052" s="100"/>
      <c r="AN3052" s="100"/>
      <c r="AO3052" s="100"/>
      <c r="AP3052" s="100"/>
      <c r="AQ3052" s="100"/>
      <c r="AR3052" s="100"/>
      <c r="AS3052" s="100"/>
      <c r="AT3052" s="102"/>
      <c r="AZ3052" s="117"/>
      <c r="BK3052" s="39"/>
    </row>
    <row r="3053" spans="1:63" x14ac:dyDescent="0.25">
      <c r="A3053" s="92"/>
      <c r="B3053" s="93"/>
      <c r="C3053" s="93"/>
      <c r="D3053" s="93"/>
      <c r="E3053" s="92"/>
      <c r="F3053" s="92"/>
      <c r="G3053" s="92"/>
      <c r="H3053" s="92"/>
      <c r="I3053" s="92"/>
      <c r="J3053" s="92"/>
      <c r="K3053" s="92"/>
      <c r="L3053" s="92"/>
      <c r="M3053" s="92"/>
      <c r="N3053" s="94"/>
      <c r="AG3053" s="100"/>
      <c r="AH3053" s="101"/>
      <c r="AI3053" s="101"/>
      <c r="AJ3053" s="101"/>
      <c r="AK3053" s="100"/>
      <c r="AL3053" s="100"/>
      <c r="AM3053" s="100"/>
      <c r="AN3053" s="100"/>
      <c r="AO3053" s="100"/>
      <c r="AP3053" s="100"/>
      <c r="AQ3053" s="100"/>
      <c r="AR3053" s="100"/>
      <c r="AS3053" s="100"/>
      <c r="AT3053" s="102"/>
      <c r="AZ3053" s="117"/>
      <c r="BK3053" s="39"/>
    </row>
    <row r="3054" spans="1:63" x14ac:dyDescent="0.25">
      <c r="A3054" s="92"/>
      <c r="B3054" s="93"/>
      <c r="C3054" s="93"/>
      <c r="D3054" s="92"/>
      <c r="E3054" s="92"/>
      <c r="F3054" s="92"/>
      <c r="G3054" s="92"/>
      <c r="H3054" s="92"/>
      <c r="I3054" s="92"/>
      <c r="J3054" s="92"/>
      <c r="K3054" s="92"/>
      <c r="L3054" s="92"/>
      <c r="M3054" s="92"/>
      <c r="N3054" s="94"/>
      <c r="AG3054" s="100"/>
      <c r="AH3054" s="101"/>
      <c r="AI3054" s="101"/>
      <c r="AJ3054" s="101"/>
      <c r="AK3054" s="100"/>
      <c r="AL3054" s="100"/>
      <c r="AM3054" s="100"/>
      <c r="AN3054" s="100"/>
      <c r="AO3054" s="100"/>
      <c r="AP3054" s="100"/>
      <c r="AQ3054" s="100"/>
      <c r="AR3054" s="100"/>
      <c r="AS3054" s="100"/>
      <c r="AT3054" s="102"/>
    </row>
    <row r="3055" spans="1:63" x14ac:dyDescent="0.25">
      <c r="A3055" s="92"/>
      <c r="B3055" s="92"/>
      <c r="C3055" s="92"/>
      <c r="D3055" s="92"/>
      <c r="E3055" s="92"/>
      <c r="F3055" s="92"/>
      <c r="G3055" s="92"/>
      <c r="H3055" s="92"/>
      <c r="I3055" s="92"/>
      <c r="J3055" s="92"/>
      <c r="K3055" s="92"/>
      <c r="L3055" s="92"/>
      <c r="M3055" s="92"/>
      <c r="N3055" s="92"/>
      <c r="AG3055" s="100"/>
      <c r="AH3055" s="101"/>
      <c r="AI3055" s="101"/>
      <c r="AJ3055" s="101"/>
      <c r="AK3055" s="100"/>
      <c r="AL3055" s="100"/>
      <c r="AM3055" s="100"/>
      <c r="AN3055" s="100"/>
      <c r="AO3055" s="100"/>
      <c r="AP3055" s="100"/>
      <c r="AQ3055" s="100"/>
      <c r="AR3055" s="100"/>
      <c r="AS3055" s="100"/>
      <c r="AT3055" s="102"/>
      <c r="AZ3055" s="117"/>
      <c r="BA3055" s="117"/>
      <c r="BK3055" s="39"/>
    </row>
    <row r="3056" spans="1:63" x14ac:dyDescent="0.25">
      <c r="A3056" s="92"/>
      <c r="B3056" s="92"/>
      <c r="C3056" s="92"/>
      <c r="D3056" s="92"/>
      <c r="E3056" s="92"/>
      <c r="F3056" s="92"/>
      <c r="G3056" s="92"/>
      <c r="H3056" s="92"/>
      <c r="I3056" s="92"/>
      <c r="J3056" s="92"/>
      <c r="K3056" s="92"/>
      <c r="L3056" s="92"/>
      <c r="M3056" s="92"/>
      <c r="N3056" s="92"/>
      <c r="AG3056" s="100"/>
      <c r="AH3056" s="101"/>
      <c r="AI3056" s="101"/>
      <c r="AJ3056" s="101"/>
      <c r="AK3056" s="100"/>
      <c r="AL3056" s="100"/>
      <c r="AM3056" s="100"/>
      <c r="AN3056" s="100"/>
      <c r="AO3056" s="100"/>
      <c r="AP3056" s="100"/>
      <c r="AQ3056" s="100"/>
      <c r="AR3056" s="100"/>
      <c r="AS3056" s="100"/>
      <c r="AT3056" s="102"/>
      <c r="BA3056" s="117"/>
    </row>
    <row r="3057" spans="1:63" x14ac:dyDescent="0.25">
      <c r="A3057" s="92"/>
      <c r="B3057" s="93"/>
      <c r="C3057" s="93"/>
      <c r="D3057" s="92"/>
      <c r="E3057" s="92"/>
      <c r="F3057" s="92"/>
      <c r="G3057" s="92"/>
      <c r="H3057" s="92"/>
      <c r="I3057" s="92"/>
      <c r="J3057" s="92"/>
      <c r="K3057" s="92"/>
      <c r="L3057" s="92"/>
      <c r="M3057" s="92"/>
      <c r="N3057" s="94"/>
      <c r="AG3057" s="100"/>
      <c r="AH3057" s="101"/>
      <c r="AI3057" s="101"/>
      <c r="AJ3057" s="101"/>
      <c r="AK3057" s="100"/>
      <c r="AL3057" s="100"/>
      <c r="AM3057" s="100"/>
      <c r="AN3057" s="100"/>
      <c r="AO3057" s="100"/>
      <c r="AP3057" s="100"/>
      <c r="AQ3057" s="100"/>
      <c r="AR3057" s="100"/>
      <c r="AS3057" s="100"/>
      <c r="AT3057" s="102"/>
      <c r="AZ3057" s="117"/>
      <c r="BK3057" s="39"/>
    </row>
    <row r="3058" spans="1:63" x14ac:dyDescent="0.25">
      <c r="A3058" s="92"/>
      <c r="B3058" s="92"/>
      <c r="C3058" s="92"/>
      <c r="D3058" s="92"/>
      <c r="E3058" s="92"/>
      <c r="F3058" s="92"/>
      <c r="G3058" s="92"/>
      <c r="H3058" s="92"/>
      <c r="I3058" s="92"/>
      <c r="J3058" s="92"/>
      <c r="K3058" s="92"/>
      <c r="L3058" s="92"/>
      <c r="M3058" s="92"/>
      <c r="N3058" s="92"/>
      <c r="AG3058" s="100"/>
      <c r="AH3058" s="100"/>
      <c r="AI3058" s="100"/>
      <c r="AJ3058" s="101"/>
      <c r="AK3058" s="100"/>
      <c r="AL3058" s="100"/>
      <c r="AM3058" s="100"/>
      <c r="AN3058" s="100"/>
      <c r="AO3058" s="100"/>
      <c r="AP3058" s="100"/>
      <c r="AQ3058" s="100"/>
      <c r="AR3058" s="100"/>
      <c r="AS3058" s="100"/>
      <c r="AT3058" s="100"/>
    </row>
    <row r="3059" spans="1:63" x14ac:dyDescent="0.25">
      <c r="A3059" s="92"/>
      <c r="B3059" s="92"/>
      <c r="C3059" s="92"/>
      <c r="D3059" s="92"/>
      <c r="E3059" s="92"/>
      <c r="F3059" s="92"/>
      <c r="G3059" s="92"/>
      <c r="H3059" s="92"/>
      <c r="I3059" s="92"/>
      <c r="J3059" s="92"/>
      <c r="K3059" s="92"/>
      <c r="L3059" s="92"/>
      <c r="M3059" s="92"/>
      <c r="N3059" s="92"/>
      <c r="AG3059" s="100"/>
      <c r="AH3059" s="100"/>
      <c r="AI3059" s="100"/>
      <c r="AJ3059" s="101"/>
      <c r="AK3059" s="100"/>
      <c r="AL3059" s="100"/>
      <c r="AM3059" s="100"/>
      <c r="AN3059" s="100"/>
      <c r="AO3059" s="100"/>
      <c r="AP3059" s="100"/>
      <c r="AQ3059" s="100"/>
      <c r="AR3059" s="100"/>
      <c r="AS3059" s="100"/>
      <c r="AT3059" s="100"/>
      <c r="AZ3059" s="117"/>
      <c r="BA3059" s="117"/>
      <c r="BK3059" s="39"/>
    </row>
    <row r="3060" spans="1:63" x14ac:dyDescent="0.25">
      <c r="A3060" s="92"/>
      <c r="B3060" s="93"/>
      <c r="C3060" s="93"/>
      <c r="D3060" s="92"/>
      <c r="E3060" s="92"/>
      <c r="F3060" s="92"/>
      <c r="G3060" s="92"/>
      <c r="H3060" s="92"/>
      <c r="I3060" s="92"/>
      <c r="J3060" s="92"/>
      <c r="K3060" s="92"/>
      <c r="L3060" s="92"/>
      <c r="M3060" s="92"/>
      <c r="N3060" s="94"/>
      <c r="AG3060" s="100"/>
      <c r="AH3060" s="100"/>
      <c r="AI3060" s="100"/>
      <c r="AJ3060" s="101"/>
      <c r="AK3060" s="100"/>
      <c r="AL3060" s="100"/>
      <c r="AM3060" s="100"/>
      <c r="AN3060" s="100"/>
      <c r="AO3060" s="100"/>
      <c r="AP3060" s="100"/>
      <c r="AQ3060" s="100"/>
      <c r="AR3060" s="100"/>
      <c r="AS3060" s="100"/>
      <c r="AT3060" s="100"/>
    </row>
    <row r="3061" spans="1:63" x14ac:dyDescent="0.25">
      <c r="A3061" s="92"/>
      <c r="B3061" s="93"/>
      <c r="C3061" s="93"/>
      <c r="D3061" s="92"/>
      <c r="E3061" s="92"/>
      <c r="F3061" s="92"/>
      <c r="G3061" s="92"/>
      <c r="H3061" s="92"/>
      <c r="I3061" s="92"/>
      <c r="J3061" s="92"/>
      <c r="K3061" s="92"/>
      <c r="L3061" s="92"/>
      <c r="M3061" s="92"/>
      <c r="N3061" s="94"/>
      <c r="AG3061" s="100"/>
      <c r="AH3061" s="100"/>
      <c r="AI3061" s="100"/>
      <c r="AJ3061" s="101"/>
      <c r="AK3061" s="100"/>
      <c r="AL3061" s="100"/>
      <c r="AM3061" s="100"/>
      <c r="AN3061" s="100"/>
      <c r="AO3061" s="100"/>
      <c r="AP3061" s="100"/>
      <c r="AQ3061" s="100"/>
      <c r="AR3061" s="100"/>
      <c r="AS3061" s="100"/>
      <c r="AT3061" s="100"/>
      <c r="AZ3061" s="117"/>
      <c r="BK3061" s="39"/>
    </row>
    <row r="3062" spans="1:63" x14ac:dyDescent="0.25">
      <c r="A3062" s="92"/>
      <c r="B3062" s="93"/>
      <c r="C3062" s="93"/>
      <c r="D3062" s="92"/>
      <c r="E3062" s="92"/>
      <c r="F3062" s="92"/>
      <c r="G3062" s="92"/>
      <c r="H3062" s="92"/>
      <c r="I3062" s="92"/>
      <c r="J3062" s="92"/>
      <c r="K3062" s="92"/>
      <c r="L3062" s="92"/>
      <c r="M3062" s="92"/>
      <c r="N3062" s="94"/>
      <c r="AG3062" s="100"/>
      <c r="AH3062" s="100"/>
      <c r="AI3062" s="100"/>
      <c r="AJ3062" s="101"/>
      <c r="AK3062" s="100"/>
      <c r="AL3062" s="100"/>
      <c r="AM3062" s="100"/>
      <c r="AN3062" s="100"/>
      <c r="AO3062" s="100"/>
      <c r="AP3062" s="100"/>
      <c r="AQ3062" s="100"/>
      <c r="AR3062" s="100"/>
      <c r="AS3062" s="100"/>
      <c r="AT3062" s="100"/>
      <c r="AZ3062" s="117"/>
      <c r="BK3062" s="39"/>
    </row>
    <row r="3063" spans="1:63" x14ac:dyDescent="0.25">
      <c r="A3063" s="92"/>
      <c r="B3063" s="92"/>
      <c r="C3063" s="92"/>
      <c r="D3063" s="92"/>
      <c r="E3063" s="92"/>
      <c r="F3063" s="92"/>
      <c r="G3063" s="92"/>
      <c r="H3063" s="92"/>
      <c r="I3063" s="92"/>
      <c r="J3063" s="92"/>
      <c r="K3063" s="92"/>
      <c r="L3063" s="92"/>
      <c r="M3063" s="92"/>
      <c r="N3063" s="92"/>
      <c r="AG3063" s="100"/>
      <c r="AH3063" s="100"/>
      <c r="AI3063" s="100"/>
      <c r="AJ3063" s="101"/>
      <c r="AK3063" s="100"/>
      <c r="AL3063" s="100"/>
      <c r="AM3063" s="100"/>
      <c r="AN3063" s="100"/>
      <c r="AO3063" s="100"/>
      <c r="AP3063" s="100"/>
      <c r="AQ3063" s="100"/>
      <c r="AR3063" s="100"/>
      <c r="AS3063" s="100"/>
      <c r="AT3063" s="100"/>
      <c r="AZ3063" s="117"/>
      <c r="BK3063" s="39"/>
    </row>
    <row r="3064" spans="1:63" x14ac:dyDescent="0.25">
      <c r="A3064" s="92"/>
      <c r="B3064" s="93"/>
      <c r="C3064" s="93"/>
      <c r="D3064" s="93"/>
      <c r="E3064" s="92"/>
      <c r="F3064" s="92"/>
      <c r="G3064" s="92"/>
      <c r="H3064" s="92"/>
      <c r="I3064" s="92"/>
      <c r="J3064" s="92"/>
      <c r="K3064" s="92"/>
      <c r="L3064" s="92"/>
      <c r="M3064" s="92"/>
      <c r="N3064" s="94"/>
      <c r="AG3064" s="100"/>
      <c r="AH3064" s="101"/>
      <c r="AI3064" s="101"/>
      <c r="AJ3064" s="101"/>
      <c r="AK3064" s="100"/>
      <c r="AL3064" s="100"/>
      <c r="AM3064" s="100"/>
      <c r="AN3064" s="100"/>
      <c r="AO3064" s="100"/>
      <c r="AP3064" s="100"/>
      <c r="AQ3064" s="100"/>
      <c r="AR3064" s="100"/>
      <c r="AS3064" s="100"/>
      <c r="AT3064" s="102"/>
      <c r="AZ3064" s="117"/>
      <c r="BK3064" s="39"/>
    </row>
    <row r="3065" spans="1:63" x14ac:dyDescent="0.25">
      <c r="A3065" s="92"/>
      <c r="B3065" s="92"/>
      <c r="C3065" s="92"/>
      <c r="D3065" s="93"/>
      <c r="E3065" s="92"/>
      <c r="F3065" s="92"/>
      <c r="G3065" s="92"/>
      <c r="H3065" s="92"/>
      <c r="I3065" s="92"/>
      <c r="J3065" s="92"/>
      <c r="K3065" s="92"/>
      <c r="L3065" s="92"/>
      <c r="M3065" s="92"/>
      <c r="N3065" s="92"/>
      <c r="AG3065" s="100"/>
      <c r="AH3065" s="101"/>
      <c r="AI3065" s="101"/>
      <c r="AJ3065" s="101"/>
      <c r="AK3065" s="100"/>
      <c r="AL3065" s="100"/>
      <c r="AM3065" s="100"/>
      <c r="AN3065" s="100"/>
      <c r="AO3065" s="100"/>
      <c r="AP3065" s="100"/>
      <c r="AQ3065" s="100"/>
      <c r="AR3065" s="100"/>
      <c r="AS3065" s="100"/>
      <c r="AT3065" s="102"/>
      <c r="AZ3065" s="117"/>
      <c r="BK3065" s="39"/>
    </row>
    <row r="3066" spans="1:63" x14ac:dyDescent="0.25">
      <c r="A3066" s="92"/>
      <c r="B3066" s="92"/>
      <c r="C3066" s="92"/>
      <c r="D3066" s="93"/>
      <c r="E3066" s="92"/>
      <c r="F3066" s="92"/>
      <c r="G3066" s="92"/>
      <c r="H3066" s="92"/>
      <c r="I3066" s="92"/>
      <c r="J3066" s="92"/>
      <c r="K3066" s="92"/>
      <c r="L3066" s="92"/>
      <c r="M3066" s="92"/>
      <c r="N3066" s="92"/>
      <c r="AG3066" s="100"/>
      <c r="AH3066" s="100"/>
      <c r="AI3066" s="100"/>
      <c r="AJ3066" s="101"/>
      <c r="AK3066" s="100"/>
      <c r="AL3066" s="100"/>
      <c r="AM3066" s="100"/>
      <c r="AN3066" s="100"/>
      <c r="AO3066" s="100"/>
      <c r="AP3066" s="100"/>
      <c r="AQ3066" s="100"/>
      <c r="AR3066" s="100"/>
      <c r="AS3066" s="100"/>
      <c r="AT3066" s="100"/>
      <c r="AZ3066" s="117"/>
      <c r="BK3066" s="39"/>
    </row>
    <row r="3067" spans="1:63" x14ac:dyDescent="0.25">
      <c r="A3067" s="92"/>
      <c r="B3067" s="93"/>
      <c r="C3067" s="93"/>
      <c r="D3067" s="92"/>
      <c r="E3067" s="92"/>
      <c r="F3067" s="92"/>
      <c r="G3067" s="92"/>
      <c r="H3067" s="92"/>
      <c r="I3067" s="92"/>
      <c r="J3067" s="92"/>
      <c r="K3067" s="92"/>
      <c r="L3067" s="92"/>
      <c r="M3067" s="92"/>
      <c r="N3067" s="94"/>
      <c r="AG3067" s="100"/>
      <c r="AH3067" s="101"/>
      <c r="AI3067" s="101"/>
      <c r="AJ3067" s="101"/>
      <c r="AK3067" s="100"/>
      <c r="AL3067" s="100"/>
      <c r="AM3067" s="100"/>
      <c r="AN3067" s="100"/>
      <c r="AO3067" s="100"/>
      <c r="AP3067" s="100"/>
      <c r="AQ3067" s="100"/>
      <c r="AR3067" s="100"/>
      <c r="AS3067" s="100"/>
      <c r="AT3067" s="102"/>
    </row>
    <row r="3068" spans="1:63" x14ac:dyDescent="0.25">
      <c r="A3068" s="92"/>
      <c r="B3068" s="92"/>
      <c r="C3068" s="92"/>
      <c r="D3068" s="92"/>
      <c r="E3068" s="92"/>
      <c r="F3068" s="92"/>
      <c r="G3068" s="92"/>
      <c r="H3068" s="92"/>
      <c r="I3068" s="92"/>
      <c r="J3068" s="92"/>
      <c r="K3068" s="92"/>
      <c r="L3068" s="92"/>
      <c r="M3068" s="92"/>
      <c r="N3068" s="92"/>
      <c r="AG3068" s="100"/>
      <c r="AH3068" s="101"/>
      <c r="AI3068" s="101"/>
      <c r="AJ3068" s="101"/>
      <c r="AK3068" s="100"/>
      <c r="AL3068" s="100"/>
      <c r="AM3068" s="100"/>
      <c r="AN3068" s="100"/>
      <c r="AO3068" s="100"/>
      <c r="AP3068" s="100"/>
      <c r="AQ3068" s="100"/>
      <c r="AR3068" s="100"/>
      <c r="AS3068" s="100"/>
      <c r="AT3068" s="102"/>
    </row>
    <row r="3069" spans="1:63" x14ac:dyDescent="0.25">
      <c r="A3069" s="92"/>
      <c r="B3069" s="93"/>
      <c r="C3069" s="93"/>
      <c r="D3069" s="93"/>
      <c r="E3069" s="92"/>
      <c r="F3069" s="92"/>
      <c r="G3069" s="92"/>
      <c r="H3069" s="92"/>
      <c r="I3069" s="92"/>
      <c r="J3069" s="92"/>
      <c r="K3069" s="92"/>
      <c r="L3069" s="92"/>
      <c r="M3069" s="92"/>
      <c r="N3069" s="94"/>
      <c r="AG3069" s="100"/>
      <c r="AH3069" s="101"/>
      <c r="AI3069" s="101"/>
      <c r="AJ3069" s="101"/>
      <c r="AK3069" s="100"/>
      <c r="AL3069" s="100"/>
      <c r="AM3069" s="100"/>
      <c r="AN3069" s="100"/>
      <c r="AO3069" s="100"/>
      <c r="AP3069" s="100"/>
      <c r="AQ3069" s="100"/>
      <c r="AR3069" s="100"/>
      <c r="AS3069" s="100"/>
      <c r="AT3069" s="102"/>
      <c r="AZ3069" s="117"/>
      <c r="BK3069" s="39"/>
    </row>
    <row r="3070" spans="1:63" x14ac:dyDescent="0.25">
      <c r="A3070" s="92"/>
      <c r="B3070" s="92"/>
      <c r="C3070" s="92"/>
      <c r="D3070" s="92"/>
      <c r="E3070" s="92"/>
      <c r="F3070" s="92"/>
      <c r="G3070" s="92"/>
      <c r="H3070" s="92"/>
      <c r="I3070" s="92"/>
      <c r="J3070" s="92"/>
      <c r="K3070" s="92"/>
      <c r="L3070" s="92"/>
      <c r="M3070" s="92"/>
      <c r="N3070" s="92"/>
      <c r="AG3070" s="100"/>
      <c r="AH3070" s="101"/>
      <c r="AI3070" s="101"/>
      <c r="AJ3070" s="101"/>
      <c r="AK3070" s="100"/>
      <c r="AL3070" s="100"/>
      <c r="AM3070" s="100"/>
      <c r="AN3070" s="100"/>
      <c r="AO3070" s="100"/>
      <c r="AP3070" s="100"/>
      <c r="AQ3070" s="100"/>
      <c r="AR3070" s="100"/>
      <c r="AS3070" s="100"/>
      <c r="AT3070" s="102"/>
    </row>
    <row r="3071" spans="1:63" x14ac:dyDescent="0.25">
      <c r="A3071" s="92"/>
      <c r="B3071" s="93"/>
      <c r="C3071" s="93"/>
      <c r="D3071" s="92"/>
      <c r="E3071" s="92"/>
      <c r="F3071" s="92"/>
      <c r="G3071" s="92"/>
      <c r="H3071" s="92"/>
      <c r="I3071" s="92"/>
      <c r="J3071" s="92"/>
      <c r="K3071" s="92"/>
      <c r="L3071" s="92"/>
      <c r="M3071" s="92"/>
      <c r="N3071" s="94"/>
      <c r="AG3071" s="100"/>
      <c r="AH3071" s="100"/>
      <c r="AI3071" s="100"/>
      <c r="AJ3071" s="101"/>
      <c r="AK3071" s="100"/>
      <c r="AL3071" s="100"/>
      <c r="AM3071" s="100"/>
      <c r="AN3071" s="100"/>
      <c r="AO3071" s="100"/>
      <c r="AP3071" s="100"/>
      <c r="AQ3071" s="100"/>
      <c r="AR3071" s="100"/>
      <c r="AS3071" s="100"/>
      <c r="AT3071" s="100"/>
      <c r="AZ3071" s="117"/>
      <c r="BK3071" s="39"/>
    </row>
    <row r="3072" spans="1:63" x14ac:dyDescent="0.25">
      <c r="A3072" s="92"/>
      <c r="B3072" s="93"/>
      <c r="C3072" s="93"/>
      <c r="D3072" s="92"/>
      <c r="E3072" s="92"/>
      <c r="F3072" s="92"/>
      <c r="G3072" s="92"/>
      <c r="H3072" s="92"/>
      <c r="I3072" s="92"/>
      <c r="J3072" s="92"/>
      <c r="K3072" s="92"/>
      <c r="L3072" s="92"/>
      <c r="M3072" s="92"/>
      <c r="N3072" s="94"/>
      <c r="AG3072" s="100"/>
      <c r="AH3072" s="101"/>
      <c r="AI3072" s="101"/>
      <c r="AJ3072" s="101"/>
      <c r="AK3072" s="100"/>
      <c r="AL3072" s="100"/>
      <c r="AM3072" s="100"/>
      <c r="AN3072" s="100"/>
      <c r="AO3072" s="100"/>
      <c r="AP3072" s="100"/>
      <c r="AQ3072" s="100"/>
      <c r="AR3072" s="100"/>
      <c r="AS3072" s="100"/>
      <c r="AT3072" s="102"/>
      <c r="AZ3072" s="117"/>
      <c r="BK3072" s="39"/>
    </row>
    <row r="3073" spans="1:63" x14ac:dyDescent="0.25">
      <c r="A3073" s="92"/>
      <c r="B3073" s="93"/>
      <c r="C3073" s="93"/>
      <c r="D3073" s="92"/>
      <c r="E3073" s="92"/>
      <c r="F3073" s="92"/>
      <c r="G3073" s="92"/>
      <c r="H3073" s="92"/>
      <c r="I3073" s="92"/>
      <c r="J3073" s="92"/>
      <c r="K3073" s="92"/>
      <c r="L3073" s="92"/>
      <c r="M3073" s="92"/>
      <c r="N3073" s="94"/>
      <c r="AG3073" s="100"/>
      <c r="AH3073" s="100"/>
      <c r="AI3073" s="100"/>
      <c r="AJ3073" s="101"/>
      <c r="AK3073" s="100"/>
      <c r="AL3073" s="100"/>
      <c r="AM3073" s="100"/>
      <c r="AN3073" s="100"/>
      <c r="AO3073" s="100"/>
      <c r="AP3073" s="100"/>
      <c r="AQ3073" s="100"/>
      <c r="AR3073" s="100"/>
      <c r="AS3073" s="100"/>
      <c r="AT3073" s="100"/>
      <c r="AZ3073" s="117"/>
      <c r="BK3073" s="39"/>
    </row>
    <row r="3074" spans="1:63" x14ac:dyDescent="0.25">
      <c r="A3074" s="92"/>
      <c r="B3074" s="93"/>
      <c r="C3074" s="93"/>
      <c r="D3074" s="92"/>
      <c r="E3074" s="92"/>
      <c r="F3074" s="92"/>
      <c r="G3074" s="92"/>
      <c r="H3074" s="92"/>
      <c r="I3074" s="92"/>
      <c r="J3074" s="92"/>
      <c r="K3074" s="92"/>
      <c r="L3074" s="92"/>
      <c r="M3074" s="92"/>
      <c r="N3074" s="94"/>
      <c r="AG3074" s="100"/>
      <c r="AH3074" s="100"/>
      <c r="AI3074" s="100"/>
      <c r="AJ3074" s="101"/>
      <c r="AK3074" s="100"/>
      <c r="AL3074" s="100"/>
      <c r="AM3074" s="100"/>
      <c r="AN3074" s="100"/>
      <c r="AO3074" s="100"/>
      <c r="AP3074" s="100"/>
      <c r="AQ3074" s="100"/>
      <c r="AR3074" s="100"/>
      <c r="AS3074" s="100"/>
      <c r="AT3074" s="100"/>
      <c r="AZ3074" s="117"/>
      <c r="BA3074" s="117"/>
      <c r="BK3074" s="39"/>
    </row>
    <row r="3075" spans="1:63" x14ac:dyDescent="0.25">
      <c r="A3075" s="92"/>
      <c r="B3075" s="93"/>
      <c r="C3075" s="93"/>
      <c r="D3075" s="92"/>
      <c r="E3075" s="92"/>
      <c r="F3075" s="92"/>
      <c r="G3075" s="92"/>
      <c r="H3075" s="92"/>
      <c r="I3075" s="92"/>
      <c r="J3075" s="92"/>
      <c r="K3075" s="92"/>
      <c r="L3075" s="92"/>
      <c r="M3075" s="92"/>
      <c r="N3075" s="94"/>
      <c r="AG3075" s="100"/>
      <c r="AH3075" s="101"/>
      <c r="AI3075" s="101"/>
      <c r="AJ3075" s="101"/>
      <c r="AK3075" s="100"/>
      <c r="AL3075" s="100"/>
      <c r="AM3075" s="100"/>
      <c r="AN3075" s="100"/>
      <c r="AO3075" s="100"/>
      <c r="AP3075" s="100"/>
      <c r="AQ3075" s="100"/>
      <c r="AR3075" s="100"/>
      <c r="AS3075" s="100"/>
      <c r="AT3075" s="102"/>
    </row>
    <row r="3076" spans="1:63" x14ac:dyDescent="0.25">
      <c r="A3076" s="92"/>
      <c r="B3076" s="93"/>
      <c r="C3076" s="93"/>
      <c r="D3076" s="92"/>
      <c r="E3076" s="92"/>
      <c r="F3076" s="92"/>
      <c r="G3076" s="92"/>
      <c r="H3076" s="92"/>
      <c r="I3076" s="92"/>
      <c r="J3076" s="92"/>
      <c r="K3076" s="92"/>
      <c r="L3076" s="92"/>
      <c r="M3076" s="92"/>
      <c r="N3076" s="94"/>
      <c r="AG3076" s="100"/>
      <c r="AH3076" s="101"/>
      <c r="AI3076" s="101"/>
      <c r="AJ3076" s="101"/>
      <c r="AK3076" s="100"/>
      <c r="AL3076" s="100"/>
      <c r="AM3076" s="100"/>
      <c r="AN3076" s="100"/>
      <c r="AO3076" s="100"/>
      <c r="AP3076" s="100"/>
      <c r="AQ3076" s="100"/>
      <c r="AR3076" s="100"/>
      <c r="AS3076" s="100"/>
      <c r="AT3076" s="102"/>
    </row>
    <row r="3077" spans="1:63" x14ac:dyDescent="0.25">
      <c r="A3077" s="92"/>
      <c r="B3077" s="92"/>
      <c r="C3077" s="92"/>
      <c r="D3077" s="92"/>
      <c r="E3077" s="92"/>
      <c r="F3077" s="92"/>
      <c r="G3077" s="92"/>
      <c r="H3077" s="92"/>
      <c r="I3077" s="92"/>
      <c r="J3077" s="92"/>
      <c r="K3077" s="92"/>
      <c r="L3077" s="92"/>
      <c r="M3077" s="92"/>
      <c r="N3077" s="92"/>
      <c r="AG3077" s="100"/>
      <c r="AH3077" s="101"/>
      <c r="AI3077" s="101"/>
      <c r="AJ3077" s="101"/>
      <c r="AK3077" s="100"/>
      <c r="AL3077" s="100"/>
      <c r="AM3077" s="100"/>
      <c r="AN3077" s="100"/>
      <c r="AO3077" s="100"/>
      <c r="AP3077" s="100"/>
      <c r="AQ3077" s="100"/>
      <c r="AR3077" s="100"/>
      <c r="AS3077" s="100"/>
      <c r="AT3077" s="102"/>
    </row>
    <row r="3078" spans="1:63" x14ac:dyDescent="0.25">
      <c r="A3078" s="92"/>
      <c r="B3078" s="92"/>
      <c r="C3078" s="92"/>
      <c r="D3078" s="92"/>
      <c r="E3078" s="92"/>
      <c r="F3078" s="92"/>
      <c r="G3078" s="92"/>
      <c r="H3078" s="92"/>
      <c r="I3078" s="92"/>
      <c r="J3078" s="92"/>
      <c r="K3078" s="92"/>
      <c r="L3078" s="92"/>
      <c r="M3078" s="92"/>
      <c r="N3078" s="92"/>
      <c r="AG3078" s="100"/>
      <c r="AH3078" s="101"/>
      <c r="AI3078" s="101"/>
      <c r="AJ3078" s="101"/>
      <c r="AK3078" s="100"/>
      <c r="AL3078" s="100"/>
      <c r="AM3078" s="100"/>
      <c r="AN3078" s="100"/>
      <c r="AO3078" s="100"/>
      <c r="AP3078" s="100"/>
      <c r="AQ3078" s="100"/>
      <c r="AR3078" s="100"/>
      <c r="AS3078" s="100"/>
      <c r="AT3078" s="102"/>
    </row>
    <row r="3079" spans="1:63" x14ac:dyDescent="0.25">
      <c r="A3079" s="92"/>
      <c r="B3079" s="93"/>
      <c r="C3079" s="93"/>
      <c r="D3079" s="92"/>
      <c r="E3079" s="92"/>
      <c r="F3079" s="92"/>
      <c r="G3079" s="92"/>
      <c r="H3079" s="92"/>
      <c r="I3079" s="92"/>
      <c r="J3079" s="92"/>
      <c r="K3079" s="92"/>
      <c r="L3079" s="92"/>
      <c r="M3079" s="92"/>
      <c r="N3079" s="94"/>
      <c r="AG3079" s="100"/>
      <c r="AH3079" s="101"/>
      <c r="AI3079" s="101"/>
      <c r="AJ3079" s="101"/>
      <c r="AK3079" s="100"/>
      <c r="AL3079" s="100"/>
      <c r="AM3079" s="100"/>
      <c r="AN3079" s="100"/>
      <c r="AO3079" s="100"/>
      <c r="AP3079" s="100"/>
      <c r="AQ3079" s="100"/>
      <c r="AR3079" s="100"/>
      <c r="AS3079" s="100"/>
      <c r="AT3079" s="102"/>
    </row>
    <row r="3080" spans="1:63" x14ac:dyDescent="0.25">
      <c r="A3080" s="92"/>
      <c r="B3080" s="92"/>
      <c r="C3080" s="92"/>
      <c r="D3080" s="92"/>
      <c r="E3080" s="92"/>
      <c r="F3080" s="92"/>
      <c r="G3080" s="92"/>
      <c r="H3080" s="92"/>
      <c r="I3080" s="92"/>
      <c r="J3080" s="92"/>
      <c r="K3080" s="92"/>
      <c r="L3080" s="92"/>
      <c r="M3080" s="92"/>
      <c r="N3080" s="92"/>
      <c r="AG3080" s="100"/>
      <c r="AH3080" s="101"/>
      <c r="AI3080" s="101"/>
      <c r="AJ3080" s="101"/>
      <c r="AK3080" s="100"/>
      <c r="AL3080" s="100"/>
      <c r="AM3080" s="100"/>
      <c r="AN3080" s="100"/>
      <c r="AO3080" s="100"/>
      <c r="AP3080" s="100"/>
      <c r="AQ3080" s="100"/>
      <c r="AR3080" s="100"/>
      <c r="AS3080" s="100"/>
      <c r="AT3080" s="102"/>
      <c r="AZ3080" s="117"/>
      <c r="BK3080" s="39"/>
    </row>
    <row r="3081" spans="1:63" x14ac:dyDescent="0.25">
      <c r="A3081" s="92"/>
      <c r="B3081" s="93"/>
      <c r="C3081" s="93"/>
      <c r="D3081" s="92"/>
      <c r="E3081" s="92"/>
      <c r="F3081" s="92"/>
      <c r="G3081" s="92"/>
      <c r="H3081" s="92"/>
      <c r="I3081" s="92"/>
      <c r="J3081" s="92"/>
      <c r="K3081" s="92"/>
      <c r="L3081" s="92"/>
      <c r="M3081" s="92"/>
      <c r="N3081" s="94"/>
      <c r="AG3081" s="100"/>
      <c r="AH3081" s="101"/>
      <c r="AI3081" s="101"/>
      <c r="AJ3081" s="101"/>
      <c r="AK3081" s="100"/>
      <c r="AL3081" s="100"/>
      <c r="AM3081" s="100"/>
      <c r="AN3081" s="100"/>
      <c r="AO3081" s="100"/>
      <c r="AP3081" s="100"/>
      <c r="AQ3081" s="100"/>
      <c r="AR3081" s="100"/>
      <c r="AS3081" s="100"/>
      <c r="AT3081" s="102"/>
    </row>
    <row r="3082" spans="1:63" x14ac:dyDescent="0.25">
      <c r="A3082" s="92"/>
      <c r="B3082" s="93"/>
      <c r="C3082" s="93"/>
      <c r="D3082" s="92"/>
      <c r="E3082" s="92"/>
      <c r="F3082" s="92"/>
      <c r="G3082" s="92"/>
      <c r="H3082" s="92"/>
      <c r="I3082" s="92"/>
      <c r="J3082" s="92"/>
      <c r="K3082" s="92"/>
      <c r="L3082" s="92"/>
      <c r="M3082" s="92"/>
      <c r="N3082" s="94"/>
      <c r="AG3082" s="100"/>
      <c r="AH3082" s="101"/>
      <c r="AI3082" s="101"/>
      <c r="AJ3082" s="101"/>
      <c r="AK3082" s="100"/>
      <c r="AL3082" s="100"/>
      <c r="AM3082" s="100"/>
      <c r="AN3082" s="100"/>
      <c r="AO3082" s="100"/>
      <c r="AP3082" s="100"/>
      <c r="AQ3082" s="100"/>
      <c r="AR3082" s="100"/>
      <c r="AS3082" s="100"/>
      <c r="AT3082" s="102"/>
      <c r="AZ3082" s="117"/>
      <c r="BA3082" s="117"/>
      <c r="BK3082" s="39"/>
    </row>
    <row r="3083" spans="1:63" x14ac:dyDescent="0.25">
      <c r="A3083" s="92"/>
      <c r="B3083" s="93"/>
      <c r="C3083" s="93"/>
      <c r="D3083" s="92"/>
      <c r="E3083" s="92"/>
      <c r="F3083" s="92"/>
      <c r="G3083" s="92"/>
      <c r="H3083" s="92"/>
      <c r="I3083" s="92"/>
      <c r="J3083" s="92"/>
      <c r="K3083" s="92"/>
      <c r="L3083" s="92"/>
      <c r="M3083" s="92"/>
      <c r="N3083" s="94"/>
      <c r="AG3083" s="100"/>
      <c r="AH3083" s="100"/>
      <c r="AI3083" s="100"/>
      <c r="AJ3083" s="101"/>
      <c r="AK3083" s="100"/>
      <c r="AL3083" s="100"/>
      <c r="AM3083" s="100"/>
      <c r="AN3083" s="100"/>
      <c r="AO3083" s="100"/>
      <c r="AP3083" s="100"/>
      <c r="AQ3083" s="100"/>
      <c r="AR3083" s="100"/>
      <c r="AS3083" s="100"/>
      <c r="AT3083" s="100"/>
      <c r="AZ3083" s="117"/>
      <c r="BK3083" s="39"/>
    </row>
    <row r="3084" spans="1:63" x14ac:dyDescent="0.25">
      <c r="A3084" s="92"/>
      <c r="B3084" s="93"/>
      <c r="C3084" s="93"/>
      <c r="D3084" s="93"/>
      <c r="E3084" s="92"/>
      <c r="F3084" s="92"/>
      <c r="G3084" s="92"/>
      <c r="H3084" s="92"/>
      <c r="I3084" s="92"/>
      <c r="J3084" s="92"/>
      <c r="K3084" s="92"/>
      <c r="L3084" s="92"/>
      <c r="M3084" s="92"/>
      <c r="N3084" s="94"/>
      <c r="AG3084" s="100"/>
      <c r="AH3084" s="101"/>
      <c r="AI3084" s="101"/>
      <c r="AJ3084" s="101"/>
      <c r="AK3084" s="100"/>
      <c r="AL3084" s="100"/>
      <c r="AM3084" s="100"/>
      <c r="AN3084" s="100"/>
      <c r="AO3084" s="100"/>
      <c r="AP3084" s="100"/>
      <c r="AQ3084" s="100"/>
      <c r="AR3084" s="100"/>
      <c r="AS3084" s="100"/>
      <c r="AT3084" s="102"/>
      <c r="AZ3084" s="117"/>
      <c r="BK3084" s="39"/>
    </row>
    <row r="3085" spans="1:63" x14ac:dyDescent="0.25">
      <c r="A3085" s="92"/>
      <c r="B3085" s="92"/>
      <c r="C3085" s="92"/>
      <c r="D3085" s="92"/>
      <c r="E3085" s="92"/>
      <c r="F3085" s="92"/>
      <c r="G3085" s="92"/>
      <c r="H3085" s="92"/>
      <c r="I3085" s="92"/>
      <c r="J3085" s="92"/>
      <c r="K3085" s="92"/>
      <c r="L3085" s="92"/>
      <c r="M3085" s="92"/>
      <c r="N3085" s="92"/>
      <c r="AG3085" s="100"/>
      <c r="AH3085" s="100"/>
      <c r="AI3085" s="100"/>
      <c r="AJ3085" s="101"/>
      <c r="AK3085" s="100"/>
      <c r="AL3085" s="100"/>
      <c r="AM3085" s="100"/>
      <c r="AN3085" s="100"/>
      <c r="AO3085" s="100"/>
      <c r="AP3085" s="100"/>
      <c r="AQ3085" s="100"/>
      <c r="AR3085" s="100"/>
      <c r="AS3085" s="100"/>
      <c r="AT3085" s="100"/>
      <c r="AZ3085" s="117"/>
      <c r="BK3085" s="39"/>
    </row>
    <row r="3086" spans="1:63" x14ac:dyDescent="0.25">
      <c r="A3086" s="92"/>
      <c r="B3086" s="92"/>
      <c r="C3086" s="92"/>
      <c r="D3086" s="92"/>
      <c r="E3086" s="92"/>
      <c r="F3086" s="92"/>
      <c r="G3086" s="92"/>
      <c r="H3086" s="92"/>
      <c r="I3086" s="92"/>
      <c r="J3086" s="92"/>
      <c r="K3086" s="92"/>
      <c r="L3086" s="92"/>
      <c r="M3086" s="92"/>
      <c r="N3086" s="92"/>
      <c r="AG3086" s="100"/>
      <c r="AH3086" s="101"/>
      <c r="AI3086" s="101"/>
      <c r="AJ3086" s="101"/>
      <c r="AK3086" s="100"/>
      <c r="AL3086" s="100"/>
      <c r="AM3086" s="100"/>
      <c r="AN3086" s="100"/>
      <c r="AO3086" s="100"/>
      <c r="AP3086" s="100"/>
      <c r="AQ3086" s="100"/>
      <c r="AR3086" s="100"/>
      <c r="AS3086" s="100"/>
      <c r="AT3086" s="102"/>
      <c r="AZ3086" s="117"/>
      <c r="BA3086" s="117"/>
      <c r="BK3086" s="39"/>
    </row>
    <row r="3087" spans="1:63" x14ac:dyDescent="0.25">
      <c r="A3087" s="92"/>
      <c r="B3087" s="92"/>
      <c r="C3087" s="92"/>
      <c r="D3087" s="92"/>
      <c r="E3087" s="92"/>
      <c r="F3087" s="92"/>
      <c r="G3087" s="92"/>
      <c r="H3087" s="92"/>
      <c r="I3087" s="92"/>
      <c r="J3087" s="92"/>
      <c r="K3087" s="92"/>
      <c r="L3087" s="92"/>
      <c r="M3087" s="92"/>
      <c r="N3087" s="92"/>
      <c r="AG3087" s="100"/>
      <c r="AH3087" s="101"/>
      <c r="AI3087" s="101"/>
      <c r="AJ3087" s="101"/>
      <c r="AK3087" s="100"/>
      <c r="AL3087" s="100"/>
      <c r="AM3087" s="100"/>
      <c r="AN3087" s="100"/>
      <c r="AO3087" s="100"/>
      <c r="AP3087" s="100"/>
      <c r="AQ3087" s="100"/>
      <c r="AR3087" s="100"/>
      <c r="AS3087" s="100"/>
      <c r="AT3087" s="102"/>
      <c r="AZ3087" s="117"/>
      <c r="BA3087" s="117"/>
      <c r="BK3087" s="39"/>
    </row>
    <row r="3088" spans="1:63" x14ac:dyDescent="0.25">
      <c r="A3088" s="92"/>
      <c r="B3088" s="92"/>
      <c r="C3088" s="92"/>
      <c r="D3088" s="92"/>
      <c r="E3088" s="92"/>
      <c r="F3088" s="92"/>
      <c r="G3088" s="92"/>
      <c r="H3088" s="92"/>
      <c r="I3088" s="92"/>
      <c r="J3088" s="92"/>
      <c r="K3088" s="92"/>
      <c r="L3088" s="92"/>
      <c r="M3088" s="92"/>
      <c r="N3088" s="92"/>
      <c r="AG3088" s="100"/>
      <c r="AH3088" s="101"/>
      <c r="AI3088" s="101"/>
      <c r="AJ3088" s="101"/>
      <c r="AK3088" s="100"/>
      <c r="AL3088" s="100"/>
      <c r="AM3088" s="100"/>
      <c r="AN3088" s="100"/>
      <c r="AO3088" s="100"/>
      <c r="AP3088" s="100"/>
      <c r="AQ3088" s="100"/>
      <c r="AR3088" s="100"/>
      <c r="AS3088" s="100"/>
      <c r="AT3088" s="102"/>
      <c r="AZ3088" s="117"/>
      <c r="BK3088" s="39"/>
    </row>
    <row r="3089" spans="1:63" x14ac:dyDescent="0.25">
      <c r="A3089" s="92"/>
      <c r="B3089" s="92"/>
      <c r="C3089" s="92"/>
      <c r="D3089" s="92"/>
      <c r="E3089" s="92"/>
      <c r="F3089" s="92"/>
      <c r="G3089" s="92"/>
      <c r="H3089" s="92"/>
      <c r="I3089" s="92"/>
      <c r="J3089" s="92"/>
      <c r="K3089" s="92"/>
      <c r="L3089" s="92"/>
      <c r="M3089" s="92"/>
      <c r="N3089" s="92"/>
      <c r="AG3089" s="100"/>
      <c r="AH3089" s="101"/>
      <c r="AI3089" s="101"/>
      <c r="AJ3089" s="101"/>
      <c r="AK3089" s="100"/>
      <c r="AL3089" s="100"/>
      <c r="AM3089" s="100"/>
      <c r="AN3089" s="100"/>
      <c r="AO3089" s="100"/>
      <c r="AP3089" s="100"/>
      <c r="AQ3089" s="100"/>
      <c r="AR3089" s="100"/>
      <c r="AS3089" s="100"/>
      <c r="AT3089" s="102"/>
      <c r="AZ3089" s="117"/>
      <c r="BK3089" s="39"/>
    </row>
    <row r="3090" spans="1:63" x14ac:dyDescent="0.25">
      <c r="A3090" s="92"/>
      <c r="B3090" s="93"/>
      <c r="C3090" s="93"/>
      <c r="D3090" s="93"/>
      <c r="E3090" s="92"/>
      <c r="F3090" s="92"/>
      <c r="G3090" s="92"/>
      <c r="H3090" s="92"/>
      <c r="I3090" s="92"/>
      <c r="J3090" s="92"/>
      <c r="K3090" s="92"/>
      <c r="L3090" s="92"/>
      <c r="M3090" s="92"/>
      <c r="N3090" s="94"/>
      <c r="AG3090" s="100"/>
      <c r="AH3090" s="101"/>
      <c r="AI3090" s="101"/>
      <c r="AJ3090" s="101"/>
      <c r="AK3090" s="100"/>
      <c r="AL3090" s="100"/>
      <c r="AM3090" s="100"/>
      <c r="AN3090" s="100"/>
      <c r="AO3090" s="100"/>
      <c r="AP3090" s="100"/>
      <c r="AQ3090" s="100"/>
      <c r="AR3090" s="100"/>
      <c r="AS3090" s="100"/>
      <c r="AT3090" s="102"/>
      <c r="AZ3090" s="117"/>
      <c r="BA3090" s="117"/>
      <c r="BK3090" s="39"/>
    </row>
    <row r="3091" spans="1:63" x14ac:dyDescent="0.25">
      <c r="A3091" s="92"/>
      <c r="B3091" s="92"/>
      <c r="C3091" s="92"/>
      <c r="D3091" s="92"/>
      <c r="E3091" s="92"/>
      <c r="F3091" s="92"/>
      <c r="G3091" s="92"/>
      <c r="H3091" s="92"/>
      <c r="I3091" s="92"/>
      <c r="J3091" s="92"/>
      <c r="K3091" s="92"/>
      <c r="L3091" s="92"/>
      <c r="M3091" s="92"/>
      <c r="N3091" s="92"/>
      <c r="AG3091" s="100"/>
      <c r="AH3091" s="101"/>
      <c r="AI3091" s="101"/>
      <c r="AJ3091" s="101"/>
      <c r="AK3091" s="100"/>
      <c r="AL3091" s="100"/>
      <c r="AM3091" s="100"/>
      <c r="AN3091" s="100"/>
      <c r="AO3091" s="100"/>
      <c r="AP3091" s="100"/>
      <c r="AQ3091" s="100"/>
      <c r="AR3091" s="100"/>
      <c r="AS3091" s="100"/>
      <c r="AT3091" s="102"/>
      <c r="BA3091" s="117"/>
    </row>
    <row r="3092" spans="1:63" x14ac:dyDescent="0.25">
      <c r="A3092" s="92"/>
      <c r="B3092" s="92"/>
      <c r="C3092" s="92"/>
      <c r="D3092" s="92"/>
      <c r="E3092" s="92"/>
      <c r="F3092" s="92"/>
      <c r="G3092" s="92"/>
      <c r="H3092" s="92"/>
      <c r="I3092" s="92"/>
      <c r="J3092" s="92"/>
      <c r="K3092" s="92"/>
      <c r="L3092" s="92"/>
      <c r="M3092" s="92"/>
      <c r="N3092" s="92"/>
      <c r="AG3092" s="100"/>
      <c r="AH3092" s="101"/>
      <c r="AI3092" s="101"/>
      <c r="AJ3092" s="101"/>
      <c r="AK3092" s="100"/>
      <c r="AL3092" s="100"/>
      <c r="AM3092" s="100"/>
      <c r="AN3092" s="100"/>
      <c r="AO3092" s="100"/>
      <c r="AP3092" s="100"/>
      <c r="AQ3092" s="100"/>
      <c r="AR3092" s="100"/>
      <c r="AS3092" s="100"/>
      <c r="AT3092" s="102"/>
      <c r="BA3092" s="117"/>
    </row>
    <row r="3093" spans="1:63" x14ac:dyDescent="0.25">
      <c r="A3093" s="92"/>
      <c r="B3093" s="93"/>
      <c r="C3093" s="93"/>
      <c r="D3093" s="93"/>
      <c r="E3093" s="92"/>
      <c r="F3093" s="92"/>
      <c r="G3093" s="92"/>
      <c r="H3093" s="92"/>
      <c r="I3093" s="92"/>
      <c r="J3093" s="92"/>
      <c r="K3093" s="92"/>
      <c r="L3093" s="92"/>
      <c r="M3093" s="92"/>
      <c r="N3093" s="94"/>
      <c r="AG3093" s="100"/>
      <c r="AH3093" s="101"/>
      <c r="AI3093" s="101"/>
      <c r="AJ3093" s="101"/>
      <c r="AK3093" s="100"/>
      <c r="AL3093" s="100"/>
      <c r="AM3093" s="100"/>
      <c r="AN3093" s="100"/>
      <c r="AO3093" s="100"/>
      <c r="AP3093" s="100"/>
      <c r="AQ3093" s="100"/>
      <c r="AR3093" s="100"/>
      <c r="AS3093" s="100"/>
      <c r="AT3093" s="102"/>
      <c r="AZ3093" s="117"/>
      <c r="BK3093" s="39"/>
    </row>
    <row r="3094" spans="1:63" x14ac:dyDescent="0.25">
      <c r="A3094" s="92"/>
      <c r="B3094" s="93"/>
      <c r="C3094" s="93"/>
      <c r="D3094" s="92"/>
      <c r="E3094" s="92"/>
      <c r="F3094" s="92"/>
      <c r="G3094" s="92"/>
      <c r="H3094" s="92"/>
      <c r="I3094" s="92"/>
      <c r="J3094" s="92"/>
      <c r="K3094" s="92"/>
      <c r="L3094" s="92"/>
      <c r="M3094" s="92"/>
      <c r="N3094" s="94"/>
      <c r="AG3094" s="100"/>
      <c r="AH3094" s="101"/>
      <c r="AI3094" s="101"/>
      <c r="AJ3094" s="101"/>
      <c r="AK3094" s="100"/>
      <c r="AL3094" s="100"/>
      <c r="AM3094" s="100"/>
      <c r="AN3094" s="100"/>
      <c r="AO3094" s="100"/>
      <c r="AP3094" s="100"/>
      <c r="AQ3094" s="100"/>
      <c r="AR3094" s="100"/>
      <c r="AS3094" s="100"/>
      <c r="AT3094" s="102"/>
    </row>
    <row r="3095" spans="1:63" x14ac:dyDescent="0.25">
      <c r="A3095" s="92"/>
      <c r="B3095" s="93"/>
      <c r="C3095" s="93"/>
      <c r="D3095" s="92"/>
      <c r="E3095" s="92"/>
      <c r="F3095" s="92"/>
      <c r="G3095" s="92"/>
      <c r="H3095" s="92"/>
      <c r="I3095" s="92"/>
      <c r="J3095" s="92"/>
      <c r="K3095" s="92"/>
      <c r="L3095" s="92"/>
      <c r="M3095" s="92"/>
      <c r="N3095" s="94"/>
      <c r="AG3095" s="100"/>
      <c r="AH3095" s="101"/>
      <c r="AI3095" s="101"/>
      <c r="AJ3095" s="101"/>
      <c r="AK3095" s="100"/>
      <c r="AL3095" s="100"/>
      <c r="AM3095" s="100"/>
      <c r="AN3095" s="100"/>
      <c r="AO3095" s="100"/>
      <c r="AP3095" s="100"/>
      <c r="AQ3095" s="100"/>
      <c r="AR3095" s="100"/>
      <c r="AS3095" s="100"/>
      <c r="AT3095" s="102"/>
    </row>
    <row r="3096" spans="1:63" x14ac:dyDescent="0.25">
      <c r="A3096" s="92"/>
      <c r="B3096" s="93"/>
      <c r="C3096" s="93"/>
      <c r="D3096" s="92"/>
      <c r="E3096" s="92"/>
      <c r="F3096" s="92"/>
      <c r="G3096" s="92"/>
      <c r="H3096" s="92"/>
      <c r="I3096" s="92"/>
      <c r="J3096" s="92"/>
      <c r="K3096" s="92"/>
      <c r="L3096" s="92"/>
      <c r="M3096" s="92"/>
      <c r="N3096" s="94"/>
      <c r="AG3096" s="100"/>
      <c r="AH3096" s="101"/>
      <c r="AI3096" s="101"/>
      <c r="AJ3096" s="101"/>
      <c r="AK3096" s="100"/>
      <c r="AL3096" s="100"/>
      <c r="AM3096" s="100"/>
      <c r="AN3096" s="100"/>
      <c r="AO3096" s="100"/>
      <c r="AP3096" s="100"/>
      <c r="AQ3096" s="100"/>
      <c r="AR3096" s="100"/>
      <c r="AS3096" s="100"/>
      <c r="AT3096" s="102"/>
    </row>
    <row r="3097" spans="1:63" x14ac:dyDescent="0.25">
      <c r="A3097" s="92"/>
      <c r="B3097" s="93"/>
      <c r="C3097" s="93"/>
      <c r="D3097" s="93"/>
      <c r="E3097" s="92"/>
      <c r="F3097" s="92"/>
      <c r="G3097" s="92"/>
      <c r="H3097" s="92"/>
      <c r="I3097" s="92"/>
      <c r="J3097" s="92"/>
      <c r="K3097" s="92"/>
      <c r="L3097" s="92"/>
      <c r="M3097" s="92"/>
      <c r="N3097" s="94"/>
      <c r="AG3097" s="100"/>
      <c r="AH3097" s="100"/>
      <c r="AI3097" s="100"/>
      <c r="AJ3097" s="101"/>
      <c r="AK3097" s="100"/>
      <c r="AL3097" s="100"/>
      <c r="AM3097" s="100"/>
      <c r="AN3097" s="100"/>
      <c r="AO3097" s="100"/>
      <c r="AP3097" s="100"/>
      <c r="AQ3097" s="100"/>
      <c r="AR3097" s="100"/>
      <c r="AS3097" s="100"/>
      <c r="AT3097" s="100"/>
    </row>
    <row r="3098" spans="1:63" x14ac:dyDescent="0.25">
      <c r="A3098" s="92"/>
      <c r="B3098" s="93"/>
      <c r="C3098" s="93"/>
      <c r="D3098" s="93"/>
      <c r="E3098" s="92"/>
      <c r="F3098" s="92"/>
      <c r="G3098" s="92"/>
      <c r="H3098" s="92"/>
      <c r="I3098" s="92"/>
      <c r="J3098" s="92"/>
      <c r="K3098" s="92"/>
      <c r="L3098" s="92"/>
      <c r="M3098" s="92"/>
      <c r="N3098" s="94"/>
      <c r="AG3098" s="100"/>
      <c r="AH3098" s="100"/>
      <c r="AI3098" s="100"/>
      <c r="AJ3098" s="101"/>
      <c r="AK3098" s="100"/>
      <c r="AL3098" s="100"/>
      <c r="AM3098" s="100"/>
      <c r="AN3098" s="100"/>
      <c r="AO3098" s="100"/>
      <c r="AP3098" s="100"/>
      <c r="AQ3098" s="100"/>
      <c r="AR3098" s="100"/>
      <c r="AS3098" s="100"/>
      <c r="AT3098" s="100"/>
    </row>
    <row r="3099" spans="1:63" x14ac:dyDescent="0.25">
      <c r="A3099" s="92"/>
      <c r="B3099" s="93"/>
      <c r="C3099" s="93"/>
      <c r="D3099" s="92"/>
      <c r="E3099" s="92"/>
      <c r="F3099" s="92"/>
      <c r="G3099" s="92"/>
      <c r="H3099" s="92"/>
      <c r="I3099" s="92"/>
      <c r="J3099" s="92"/>
      <c r="K3099" s="92"/>
      <c r="L3099" s="92"/>
      <c r="M3099" s="92"/>
      <c r="N3099" s="94"/>
      <c r="AG3099" s="100"/>
      <c r="AH3099" s="101"/>
      <c r="AI3099" s="101"/>
      <c r="AJ3099" s="101"/>
      <c r="AK3099" s="100"/>
      <c r="AL3099" s="100"/>
      <c r="AM3099" s="100"/>
      <c r="AN3099" s="100"/>
      <c r="AO3099" s="100"/>
      <c r="AP3099" s="100"/>
      <c r="AQ3099" s="100"/>
      <c r="AR3099" s="100"/>
      <c r="AS3099" s="100"/>
      <c r="AT3099" s="102"/>
    </row>
    <row r="3100" spans="1:63" x14ac:dyDescent="0.25">
      <c r="A3100" s="92"/>
      <c r="B3100" s="93"/>
      <c r="C3100" s="93"/>
      <c r="D3100" s="92"/>
      <c r="E3100" s="92"/>
      <c r="F3100" s="92"/>
      <c r="G3100" s="92"/>
      <c r="H3100" s="92"/>
      <c r="I3100" s="92"/>
      <c r="J3100" s="92"/>
      <c r="K3100" s="92"/>
      <c r="L3100" s="92"/>
      <c r="M3100" s="92"/>
      <c r="N3100" s="94"/>
      <c r="AG3100" s="100"/>
      <c r="AH3100" s="101"/>
      <c r="AI3100" s="101"/>
      <c r="AJ3100" s="101"/>
      <c r="AK3100" s="100"/>
      <c r="AL3100" s="100"/>
      <c r="AM3100" s="100"/>
      <c r="AN3100" s="100"/>
      <c r="AO3100" s="100"/>
      <c r="AP3100" s="100"/>
      <c r="AQ3100" s="100"/>
      <c r="AR3100" s="100"/>
      <c r="AS3100" s="100"/>
      <c r="AT3100" s="102"/>
    </row>
    <row r="3101" spans="1:63" x14ac:dyDescent="0.25">
      <c r="A3101" s="92"/>
      <c r="B3101" s="93"/>
      <c r="C3101" s="93"/>
      <c r="D3101" s="93"/>
      <c r="E3101" s="92"/>
      <c r="F3101" s="92"/>
      <c r="G3101" s="92"/>
      <c r="H3101" s="92"/>
      <c r="I3101" s="92"/>
      <c r="J3101" s="92"/>
      <c r="K3101" s="92"/>
      <c r="L3101" s="92"/>
      <c r="M3101" s="92"/>
      <c r="N3101" s="94"/>
      <c r="AG3101" s="100"/>
      <c r="AH3101" s="101"/>
      <c r="AI3101" s="101"/>
      <c r="AJ3101" s="101"/>
      <c r="AK3101" s="100"/>
      <c r="AL3101" s="100"/>
      <c r="AM3101" s="100"/>
      <c r="AN3101" s="100"/>
      <c r="AO3101" s="100"/>
      <c r="AP3101" s="100"/>
      <c r="AQ3101" s="100"/>
      <c r="AR3101" s="100"/>
      <c r="AS3101" s="100"/>
      <c r="AT3101" s="102"/>
    </row>
    <row r="3102" spans="1:63" x14ac:dyDescent="0.25">
      <c r="A3102" s="92"/>
      <c r="B3102" s="92"/>
      <c r="C3102" s="92"/>
      <c r="D3102" s="93"/>
      <c r="E3102" s="92"/>
      <c r="F3102" s="92"/>
      <c r="G3102" s="92"/>
      <c r="H3102" s="92"/>
      <c r="I3102" s="92"/>
      <c r="J3102" s="92"/>
      <c r="K3102" s="92"/>
      <c r="L3102" s="92"/>
      <c r="M3102" s="92"/>
      <c r="N3102" s="92"/>
      <c r="AG3102" s="100"/>
      <c r="AH3102" s="101"/>
      <c r="AI3102" s="101"/>
      <c r="AJ3102" s="101"/>
      <c r="AK3102" s="100"/>
      <c r="AL3102" s="100"/>
      <c r="AM3102" s="100"/>
      <c r="AN3102" s="100"/>
      <c r="AO3102" s="100"/>
      <c r="AP3102" s="100"/>
      <c r="AQ3102" s="100"/>
      <c r="AR3102" s="100"/>
      <c r="AS3102" s="100"/>
      <c r="AT3102" s="102"/>
      <c r="AZ3102" s="117"/>
      <c r="BK3102" s="39"/>
    </row>
    <row r="3103" spans="1:63" x14ac:dyDescent="0.25">
      <c r="A3103" s="92"/>
      <c r="B3103" s="92"/>
      <c r="C3103" s="92"/>
      <c r="D3103" s="93"/>
      <c r="E3103" s="92"/>
      <c r="F3103" s="92"/>
      <c r="G3103" s="92"/>
      <c r="H3103" s="92"/>
      <c r="I3103" s="92"/>
      <c r="J3103" s="92"/>
      <c r="K3103" s="92"/>
      <c r="L3103" s="92"/>
      <c r="M3103" s="92"/>
      <c r="N3103" s="92"/>
      <c r="AG3103" s="100"/>
      <c r="AH3103" s="101"/>
      <c r="AI3103" s="101"/>
      <c r="AJ3103" s="101"/>
      <c r="AK3103" s="100"/>
      <c r="AL3103" s="100"/>
      <c r="AM3103" s="100"/>
      <c r="AN3103" s="100"/>
      <c r="AO3103" s="100"/>
      <c r="AP3103" s="100"/>
      <c r="AQ3103" s="100"/>
      <c r="AR3103" s="100"/>
      <c r="AS3103" s="100"/>
      <c r="AT3103" s="102"/>
      <c r="AZ3103" s="117"/>
      <c r="BK3103" s="39"/>
    </row>
    <row r="3104" spans="1:63" x14ac:dyDescent="0.25">
      <c r="A3104" s="92"/>
      <c r="B3104" s="93"/>
      <c r="C3104" s="93"/>
      <c r="D3104" s="92"/>
      <c r="E3104" s="92"/>
      <c r="F3104" s="92"/>
      <c r="G3104" s="92"/>
      <c r="H3104" s="92"/>
      <c r="I3104" s="92"/>
      <c r="J3104" s="92"/>
      <c r="K3104" s="92"/>
      <c r="L3104" s="92"/>
      <c r="M3104" s="92"/>
      <c r="N3104" s="94"/>
      <c r="AG3104" s="100"/>
      <c r="AH3104" s="100"/>
      <c r="AI3104" s="100"/>
      <c r="AJ3104" s="101"/>
      <c r="AK3104" s="100"/>
      <c r="AL3104" s="100"/>
      <c r="AM3104" s="100"/>
      <c r="AN3104" s="100"/>
      <c r="AO3104" s="100"/>
      <c r="AP3104" s="100"/>
      <c r="AQ3104" s="100"/>
      <c r="AR3104" s="100"/>
      <c r="AS3104" s="100"/>
      <c r="AT3104" s="100"/>
      <c r="AZ3104" s="117"/>
      <c r="BA3104" s="117"/>
      <c r="BK3104" s="39"/>
    </row>
    <row r="3105" spans="1:63" x14ac:dyDescent="0.25">
      <c r="A3105" s="92"/>
      <c r="B3105" s="92"/>
      <c r="C3105" s="92"/>
      <c r="D3105" s="92"/>
      <c r="E3105" s="92"/>
      <c r="F3105" s="92"/>
      <c r="G3105" s="92"/>
      <c r="H3105" s="92"/>
      <c r="I3105" s="92"/>
      <c r="J3105" s="92"/>
      <c r="K3105" s="92"/>
      <c r="L3105" s="92"/>
      <c r="M3105" s="92"/>
      <c r="N3105" s="92"/>
      <c r="AG3105" s="100"/>
      <c r="AH3105" s="100"/>
      <c r="AI3105" s="100"/>
      <c r="AJ3105" s="101"/>
      <c r="AK3105" s="100"/>
      <c r="AL3105" s="100"/>
      <c r="AM3105" s="100"/>
      <c r="AN3105" s="100"/>
      <c r="AO3105" s="100"/>
      <c r="AP3105" s="100"/>
      <c r="AQ3105" s="100"/>
      <c r="AR3105" s="100"/>
      <c r="AS3105" s="100"/>
      <c r="AT3105" s="100"/>
    </row>
    <row r="3106" spans="1:63" x14ac:dyDescent="0.25">
      <c r="A3106" s="92"/>
      <c r="B3106" s="92"/>
      <c r="C3106" s="92"/>
      <c r="D3106" s="92"/>
      <c r="E3106" s="92"/>
      <c r="F3106" s="92"/>
      <c r="G3106" s="92"/>
      <c r="H3106" s="92"/>
      <c r="I3106" s="92"/>
      <c r="J3106" s="92"/>
      <c r="K3106" s="92"/>
      <c r="L3106" s="92"/>
      <c r="M3106" s="92"/>
      <c r="N3106" s="92"/>
      <c r="AG3106" s="100"/>
      <c r="AH3106" s="101"/>
      <c r="AI3106" s="101"/>
      <c r="AJ3106" s="101"/>
      <c r="AK3106" s="100"/>
      <c r="AL3106" s="100"/>
      <c r="AM3106" s="100"/>
      <c r="AN3106" s="100"/>
      <c r="AO3106" s="100"/>
      <c r="AP3106" s="100"/>
      <c r="AQ3106" s="100"/>
      <c r="AR3106" s="100"/>
      <c r="AS3106" s="100"/>
      <c r="AT3106" s="102"/>
      <c r="AZ3106" s="117"/>
      <c r="BK3106" s="39"/>
    </row>
    <row r="3107" spans="1:63" x14ac:dyDescent="0.25">
      <c r="A3107" s="92"/>
      <c r="B3107" s="92"/>
      <c r="C3107" s="92"/>
      <c r="D3107" s="92"/>
      <c r="E3107" s="92"/>
      <c r="F3107" s="92"/>
      <c r="G3107" s="92"/>
      <c r="H3107" s="92"/>
      <c r="I3107" s="92"/>
      <c r="J3107" s="92"/>
      <c r="K3107" s="92"/>
      <c r="L3107" s="92"/>
      <c r="M3107" s="92"/>
      <c r="N3107" s="92"/>
      <c r="AG3107" s="100"/>
      <c r="AH3107" s="101"/>
      <c r="AI3107" s="101"/>
      <c r="AJ3107" s="101"/>
      <c r="AK3107" s="100"/>
      <c r="AL3107" s="100"/>
      <c r="AM3107" s="100"/>
      <c r="AN3107" s="100"/>
      <c r="AO3107" s="100"/>
      <c r="AP3107" s="100"/>
      <c r="AQ3107" s="100"/>
      <c r="AR3107" s="100"/>
      <c r="AS3107" s="100"/>
      <c r="AT3107" s="102"/>
      <c r="AZ3107" s="117"/>
      <c r="BK3107" s="39"/>
    </row>
    <row r="3108" spans="1:63" x14ac:dyDescent="0.25">
      <c r="A3108" s="92"/>
      <c r="B3108" s="92"/>
      <c r="C3108" s="92"/>
      <c r="D3108" s="92"/>
      <c r="E3108" s="92"/>
      <c r="F3108" s="92"/>
      <c r="G3108" s="92"/>
      <c r="H3108" s="92"/>
      <c r="I3108" s="92"/>
      <c r="J3108" s="92"/>
      <c r="K3108" s="92"/>
      <c r="L3108" s="92"/>
      <c r="M3108" s="92"/>
      <c r="N3108" s="92"/>
      <c r="AG3108" s="100"/>
      <c r="AH3108" s="100"/>
      <c r="AI3108" s="100"/>
      <c r="AJ3108" s="101"/>
      <c r="AK3108" s="100"/>
      <c r="AL3108" s="100"/>
      <c r="AM3108" s="100"/>
      <c r="AN3108" s="100"/>
      <c r="AO3108" s="100"/>
      <c r="AP3108" s="100"/>
      <c r="AQ3108" s="100"/>
      <c r="AR3108" s="100"/>
      <c r="AS3108" s="100"/>
      <c r="AT3108" s="100"/>
      <c r="AZ3108" s="117"/>
      <c r="BA3108" s="117"/>
      <c r="BK3108" s="39"/>
    </row>
    <row r="3109" spans="1:63" x14ac:dyDescent="0.25">
      <c r="A3109" s="92"/>
      <c r="B3109" s="92"/>
      <c r="C3109" s="92"/>
      <c r="D3109" s="92"/>
      <c r="E3109" s="92"/>
      <c r="F3109" s="92"/>
      <c r="G3109" s="92"/>
      <c r="H3109" s="92"/>
      <c r="I3109" s="92"/>
      <c r="J3109" s="92"/>
      <c r="K3109" s="92"/>
      <c r="L3109" s="92"/>
      <c r="M3109" s="92"/>
      <c r="N3109" s="92"/>
      <c r="AG3109" s="100"/>
      <c r="AH3109" s="101"/>
      <c r="AI3109" s="101"/>
      <c r="AJ3109" s="101"/>
      <c r="AK3109" s="100"/>
      <c r="AL3109" s="100"/>
      <c r="AM3109" s="100"/>
      <c r="AN3109" s="100"/>
      <c r="AO3109" s="100"/>
      <c r="AP3109" s="100"/>
      <c r="AQ3109" s="100"/>
      <c r="AR3109" s="100"/>
      <c r="AS3109" s="100"/>
      <c r="AT3109" s="102"/>
      <c r="BA3109" s="117"/>
    </row>
    <row r="3110" spans="1:63" x14ac:dyDescent="0.25">
      <c r="A3110" s="92"/>
      <c r="B3110" s="92"/>
      <c r="C3110" s="92"/>
      <c r="D3110" s="92"/>
      <c r="E3110" s="92"/>
      <c r="F3110" s="92"/>
      <c r="G3110" s="92"/>
      <c r="H3110" s="92"/>
      <c r="I3110" s="92"/>
      <c r="J3110" s="92"/>
      <c r="K3110" s="92"/>
      <c r="L3110" s="92"/>
      <c r="M3110" s="92"/>
      <c r="N3110" s="92"/>
      <c r="AG3110" s="100"/>
      <c r="AH3110" s="101"/>
      <c r="AI3110" s="101"/>
      <c r="AJ3110" s="101"/>
      <c r="AK3110" s="100"/>
      <c r="AL3110" s="100"/>
      <c r="AM3110" s="100"/>
      <c r="AN3110" s="100"/>
      <c r="AO3110" s="100"/>
      <c r="AP3110" s="100"/>
      <c r="AQ3110" s="100"/>
      <c r="AR3110" s="100"/>
      <c r="AS3110" s="100"/>
      <c r="AT3110" s="102"/>
      <c r="AZ3110" s="117"/>
      <c r="BK3110" s="39"/>
    </row>
    <row r="3111" spans="1:63" x14ac:dyDescent="0.25">
      <c r="A3111" s="92"/>
      <c r="B3111" s="92"/>
      <c r="C3111" s="92"/>
      <c r="D3111" s="92"/>
      <c r="E3111" s="92"/>
      <c r="F3111" s="92"/>
      <c r="G3111" s="92"/>
      <c r="H3111" s="92"/>
      <c r="I3111" s="92"/>
      <c r="J3111" s="92"/>
      <c r="K3111" s="92"/>
      <c r="L3111" s="92"/>
      <c r="M3111" s="92"/>
      <c r="N3111" s="92"/>
      <c r="AG3111" s="100"/>
      <c r="AH3111" s="101"/>
      <c r="AI3111" s="101"/>
      <c r="AJ3111" s="101"/>
      <c r="AK3111" s="100"/>
      <c r="AL3111" s="100"/>
      <c r="AM3111" s="100"/>
      <c r="AN3111" s="100"/>
      <c r="AO3111" s="100"/>
      <c r="AP3111" s="100"/>
      <c r="AQ3111" s="100"/>
      <c r="AR3111" s="100"/>
      <c r="AS3111" s="100"/>
      <c r="AT3111" s="102"/>
    </row>
    <row r="3112" spans="1:63" x14ac:dyDescent="0.25">
      <c r="A3112" s="92"/>
      <c r="B3112" s="92"/>
      <c r="C3112" s="92"/>
      <c r="D3112" s="92"/>
      <c r="E3112" s="92"/>
      <c r="F3112" s="92"/>
      <c r="G3112" s="92"/>
      <c r="H3112" s="92"/>
      <c r="I3112" s="92"/>
      <c r="J3112" s="92"/>
      <c r="K3112" s="92"/>
      <c r="L3112" s="92"/>
      <c r="M3112" s="92"/>
      <c r="N3112" s="92"/>
      <c r="AG3112" s="100"/>
      <c r="AH3112" s="101"/>
      <c r="AI3112" s="101"/>
      <c r="AJ3112" s="101"/>
      <c r="AK3112" s="100"/>
      <c r="AL3112" s="100"/>
      <c r="AM3112" s="100"/>
      <c r="AN3112" s="100"/>
      <c r="AO3112" s="100"/>
      <c r="AP3112" s="100"/>
      <c r="AQ3112" s="100"/>
      <c r="AR3112" s="100"/>
      <c r="AS3112" s="100"/>
      <c r="AT3112" s="102"/>
    </row>
    <row r="3113" spans="1:63" x14ac:dyDescent="0.25">
      <c r="A3113" s="92"/>
      <c r="B3113" s="93"/>
      <c r="C3113" s="93"/>
      <c r="D3113" s="92"/>
      <c r="E3113" s="92"/>
      <c r="F3113" s="92"/>
      <c r="G3113" s="92"/>
      <c r="H3113" s="92"/>
      <c r="I3113" s="92"/>
      <c r="J3113" s="92"/>
      <c r="K3113" s="92"/>
      <c r="L3113" s="92"/>
      <c r="M3113" s="92"/>
      <c r="N3113" s="94"/>
      <c r="AG3113" s="100"/>
      <c r="AH3113" s="101"/>
      <c r="AI3113" s="101"/>
      <c r="AJ3113" s="101"/>
      <c r="AK3113" s="100"/>
      <c r="AL3113" s="100"/>
      <c r="AM3113" s="100"/>
      <c r="AN3113" s="100"/>
      <c r="AO3113" s="100"/>
      <c r="AP3113" s="100"/>
      <c r="AQ3113" s="100"/>
      <c r="AR3113" s="100"/>
      <c r="AS3113" s="100"/>
      <c r="AT3113" s="102"/>
    </row>
    <row r="3114" spans="1:63" x14ac:dyDescent="0.25">
      <c r="A3114" s="92"/>
      <c r="B3114" s="93"/>
      <c r="C3114" s="93"/>
      <c r="D3114" s="92"/>
      <c r="E3114" s="92"/>
      <c r="F3114" s="92"/>
      <c r="G3114" s="92"/>
      <c r="H3114" s="92"/>
      <c r="I3114" s="92"/>
      <c r="J3114" s="92"/>
      <c r="K3114" s="92"/>
      <c r="L3114" s="92"/>
      <c r="M3114" s="92"/>
      <c r="N3114" s="94"/>
      <c r="AG3114" s="100"/>
      <c r="AH3114" s="100"/>
      <c r="AI3114" s="100"/>
      <c r="AJ3114" s="101"/>
      <c r="AK3114" s="100"/>
      <c r="AL3114" s="100"/>
      <c r="AM3114" s="100"/>
      <c r="AN3114" s="100"/>
      <c r="AO3114" s="100"/>
      <c r="AP3114" s="100"/>
      <c r="AQ3114" s="100"/>
      <c r="AR3114" s="100"/>
      <c r="AS3114" s="100"/>
      <c r="AT3114" s="100"/>
      <c r="AZ3114" s="117"/>
      <c r="BA3114" s="117"/>
      <c r="BK3114" s="39"/>
    </row>
    <row r="3115" spans="1:63" x14ac:dyDescent="0.25">
      <c r="A3115" s="92"/>
      <c r="B3115" s="93"/>
      <c r="C3115" s="93"/>
      <c r="D3115" s="93"/>
      <c r="E3115" s="92"/>
      <c r="F3115" s="92"/>
      <c r="G3115" s="92"/>
      <c r="H3115" s="92"/>
      <c r="I3115" s="92"/>
      <c r="J3115" s="92"/>
      <c r="K3115" s="92"/>
      <c r="L3115" s="92"/>
      <c r="M3115" s="92"/>
      <c r="N3115" s="94"/>
      <c r="AG3115" s="100"/>
      <c r="AH3115" s="101"/>
      <c r="AI3115" s="101"/>
      <c r="AJ3115" s="101"/>
      <c r="AK3115" s="100"/>
      <c r="AL3115" s="100"/>
      <c r="AM3115" s="100"/>
      <c r="AN3115" s="100"/>
      <c r="AO3115" s="100"/>
      <c r="AP3115" s="100"/>
      <c r="AQ3115" s="100"/>
      <c r="AR3115" s="100"/>
      <c r="AS3115" s="100"/>
      <c r="AT3115" s="102"/>
      <c r="BA3115" s="117"/>
    </row>
    <row r="3116" spans="1:63" x14ac:dyDescent="0.25">
      <c r="A3116" s="92"/>
      <c r="B3116" s="92"/>
      <c r="C3116" s="92"/>
      <c r="D3116" s="92"/>
      <c r="E3116" s="92"/>
      <c r="F3116" s="92"/>
      <c r="G3116" s="92"/>
      <c r="H3116" s="92"/>
      <c r="I3116" s="92"/>
      <c r="J3116" s="92"/>
      <c r="K3116" s="92"/>
      <c r="L3116" s="92"/>
      <c r="M3116" s="92"/>
      <c r="N3116" s="92"/>
      <c r="AG3116" s="100"/>
      <c r="AH3116" s="101"/>
      <c r="AI3116" s="100"/>
      <c r="AJ3116" s="101"/>
      <c r="AK3116" s="100"/>
      <c r="AL3116" s="100"/>
      <c r="AM3116" s="100"/>
      <c r="AN3116" s="100"/>
      <c r="AO3116" s="100"/>
      <c r="AP3116" s="100"/>
      <c r="AQ3116" s="100"/>
      <c r="AR3116" s="100"/>
      <c r="AS3116" s="100"/>
      <c r="AT3116" s="102"/>
      <c r="BA3116" s="117"/>
    </row>
    <row r="3117" spans="1:63" x14ac:dyDescent="0.25">
      <c r="A3117" s="92"/>
      <c r="B3117" s="93"/>
      <c r="C3117" s="93"/>
      <c r="D3117" s="92"/>
      <c r="E3117" s="92"/>
      <c r="F3117" s="92"/>
      <c r="G3117" s="92"/>
      <c r="H3117" s="92"/>
      <c r="I3117" s="92"/>
      <c r="J3117" s="92"/>
      <c r="K3117" s="92"/>
      <c r="L3117" s="92"/>
      <c r="M3117" s="92"/>
      <c r="N3117" s="94"/>
      <c r="AG3117" s="100"/>
      <c r="AH3117" s="101"/>
      <c r="AI3117" s="100"/>
      <c r="AJ3117" s="101"/>
      <c r="AK3117" s="100"/>
      <c r="AL3117" s="100"/>
      <c r="AM3117" s="100"/>
      <c r="AN3117" s="100"/>
      <c r="AO3117" s="100"/>
      <c r="AP3117" s="100"/>
      <c r="AQ3117" s="100"/>
      <c r="AR3117" s="100"/>
      <c r="AS3117" s="100"/>
      <c r="AT3117" s="102"/>
      <c r="BA3117" s="117"/>
    </row>
    <row r="3118" spans="1:63" x14ac:dyDescent="0.25">
      <c r="A3118" s="92"/>
      <c r="B3118" s="93"/>
      <c r="C3118" s="93"/>
      <c r="D3118" s="92"/>
      <c r="E3118" s="92"/>
      <c r="F3118" s="92"/>
      <c r="G3118" s="92"/>
      <c r="H3118" s="92"/>
      <c r="I3118" s="92"/>
      <c r="J3118" s="92"/>
      <c r="K3118" s="92"/>
      <c r="L3118" s="92"/>
      <c r="M3118" s="92"/>
      <c r="N3118" s="94"/>
      <c r="AG3118" s="100"/>
      <c r="AH3118" s="100"/>
      <c r="AI3118" s="100"/>
      <c r="AJ3118" s="101"/>
      <c r="AK3118" s="100"/>
      <c r="AL3118" s="100"/>
      <c r="AM3118" s="100"/>
      <c r="AN3118" s="100"/>
      <c r="AO3118" s="100"/>
      <c r="AP3118" s="100"/>
      <c r="AQ3118" s="100"/>
      <c r="AR3118" s="100"/>
      <c r="AS3118" s="100"/>
      <c r="AT3118" s="100"/>
      <c r="BA3118" s="117"/>
    </row>
    <row r="3119" spans="1:63" x14ac:dyDescent="0.25">
      <c r="A3119" s="92"/>
      <c r="B3119" s="93"/>
      <c r="C3119" s="93"/>
      <c r="D3119" s="93"/>
      <c r="E3119" s="92"/>
      <c r="F3119" s="92"/>
      <c r="G3119" s="92"/>
      <c r="H3119" s="92"/>
      <c r="I3119" s="92"/>
      <c r="J3119" s="92"/>
      <c r="K3119" s="92"/>
      <c r="L3119" s="92"/>
      <c r="M3119" s="92"/>
      <c r="N3119" s="94"/>
      <c r="AG3119" s="100"/>
      <c r="AH3119" s="101"/>
      <c r="AI3119" s="100"/>
      <c r="AJ3119" s="101"/>
      <c r="AK3119" s="100"/>
      <c r="AL3119" s="100"/>
      <c r="AM3119" s="100"/>
      <c r="AN3119" s="100"/>
      <c r="AO3119" s="100"/>
      <c r="AP3119" s="100"/>
      <c r="AQ3119" s="100"/>
      <c r="AR3119" s="100"/>
      <c r="AS3119" s="100"/>
      <c r="AT3119" s="102"/>
      <c r="BA3119" s="117"/>
    </row>
    <row r="3120" spans="1:63" x14ac:dyDescent="0.25">
      <c r="A3120" s="92"/>
      <c r="B3120" s="92"/>
      <c r="C3120" s="92"/>
      <c r="D3120" s="93"/>
      <c r="E3120" s="92"/>
      <c r="F3120" s="92"/>
      <c r="G3120" s="92"/>
      <c r="H3120" s="92"/>
      <c r="I3120" s="92"/>
      <c r="J3120" s="92"/>
      <c r="K3120" s="92"/>
      <c r="L3120" s="92"/>
      <c r="M3120" s="92"/>
      <c r="N3120" s="92"/>
      <c r="AG3120" s="100"/>
      <c r="AH3120" s="101"/>
      <c r="AI3120" s="101"/>
      <c r="AJ3120" s="101"/>
      <c r="AK3120" s="100"/>
      <c r="AL3120" s="100"/>
      <c r="AM3120" s="100"/>
      <c r="AN3120" s="100"/>
      <c r="AO3120" s="100"/>
      <c r="AP3120" s="100"/>
      <c r="AQ3120" s="100"/>
      <c r="AR3120" s="100"/>
      <c r="AS3120" s="100"/>
      <c r="AT3120" s="102"/>
      <c r="BA3120" s="117"/>
    </row>
    <row r="3121" spans="1:63" x14ac:dyDescent="0.25">
      <c r="A3121" s="92"/>
      <c r="B3121" s="93"/>
      <c r="C3121" s="93"/>
      <c r="D3121" s="92"/>
      <c r="E3121" s="92"/>
      <c r="F3121" s="92"/>
      <c r="G3121" s="92"/>
      <c r="H3121" s="92"/>
      <c r="I3121" s="92"/>
      <c r="J3121" s="92"/>
      <c r="K3121" s="92"/>
      <c r="L3121" s="92"/>
      <c r="M3121" s="92"/>
      <c r="N3121" s="94"/>
      <c r="AG3121" s="100"/>
      <c r="AH3121" s="101"/>
      <c r="AI3121" s="101"/>
      <c r="AJ3121" s="101"/>
      <c r="AK3121" s="100"/>
      <c r="AL3121" s="100"/>
      <c r="AM3121" s="100"/>
      <c r="AN3121" s="100"/>
      <c r="AO3121" s="100"/>
      <c r="AP3121" s="100"/>
      <c r="AQ3121" s="100"/>
      <c r="AR3121" s="100"/>
      <c r="AS3121" s="100"/>
      <c r="AT3121" s="102"/>
      <c r="AZ3121" s="117"/>
      <c r="BK3121" s="39"/>
    </row>
    <row r="3122" spans="1:63" x14ac:dyDescent="0.25">
      <c r="A3122" s="92"/>
      <c r="B3122" s="92"/>
      <c r="C3122" s="92"/>
      <c r="D3122" s="92"/>
      <c r="E3122" s="92"/>
      <c r="F3122" s="92"/>
      <c r="G3122" s="92"/>
      <c r="H3122" s="92"/>
      <c r="I3122" s="92"/>
      <c r="J3122" s="92"/>
      <c r="K3122" s="92"/>
      <c r="L3122" s="92"/>
      <c r="M3122" s="92"/>
      <c r="N3122" s="92"/>
      <c r="AG3122" s="100"/>
      <c r="AH3122" s="101"/>
      <c r="AI3122" s="101"/>
      <c r="AJ3122" s="101"/>
      <c r="AK3122" s="100"/>
      <c r="AL3122" s="100"/>
      <c r="AM3122" s="100"/>
      <c r="AN3122" s="100"/>
      <c r="AO3122" s="100"/>
      <c r="AP3122" s="100"/>
      <c r="AQ3122" s="100"/>
      <c r="AR3122" s="100"/>
      <c r="AS3122" s="100"/>
      <c r="AT3122" s="102"/>
      <c r="AZ3122" s="117"/>
      <c r="BK3122" s="39"/>
    </row>
    <row r="3123" spans="1:63" x14ac:dyDescent="0.25">
      <c r="A3123" s="92"/>
      <c r="B3123" s="92"/>
      <c r="C3123" s="92"/>
      <c r="D3123" s="92"/>
      <c r="E3123" s="92"/>
      <c r="F3123" s="92"/>
      <c r="G3123" s="92"/>
      <c r="H3123" s="92"/>
      <c r="I3123" s="92"/>
      <c r="J3123" s="92"/>
      <c r="K3123" s="92"/>
      <c r="L3123" s="92"/>
      <c r="M3123" s="92"/>
      <c r="N3123" s="92"/>
      <c r="AG3123" s="100"/>
      <c r="AH3123" s="101"/>
      <c r="AI3123" s="101"/>
      <c r="AJ3123" s="101"/>
      <c r="AK3123" s="100"/>
      <c r="AL3123" s="100"/>
      <c r="AM3123" s="100"/>
      <c r="AN3123" s="100"/>
      <c r="AO3123" s="100"/>
      <c r="AP3123" s="100"/>
      <c r="AQ3123" s="100"/>
      <c r="AR3123" s="100"/>
      <c r="AS3123" s="100"/>
      <c r="AT3123" s="102"/>
      <c r="AZ3123" s="117"/>
      <c r="BK3123" s="39"/>
    </row>
    <row r="3124" spans="1:63" x14ac:dyDescent="0.25">
      <c r="A3124" s="92"/>
      <c r="B3124" s="92"/>
      <c r="C3124" s="92"/>
      <c r="D3124" s="92"/>
      <c r="E3124" s="92"/>
      <c r="F3124" s="92"/>
      <c r="G3124" s="92"/>
      <c r="H3124" s="92"/>
      <c r="I3124" s="92"/>
      <c r="J3124" s="92"/>
      <c r="K3124" s="92"/>
      <c r="L3124" s="92"/>
      <c r="M3124" s="92"/>
      <c r="N3124" s="92"/>
      <c r="AG3124" s="100"/>
      <c r="AH3124" s="101"/>
      <c r="AI3124" s="101"/>
      <c r="AJ3124" s="101"/>
      <c r="AK3124" s="100"/>
      <c r="AL3124" s="100"/>
      <c r="AM3124" s="100"/>
      <c r="AN3124" s="100"/>
      <c r="AO3124" s="100"/>
      <c r="AP3124" s="100"/>
      <c r="AQ3124" s="100"/>
      <c r="AR3124" s="100"/>
      <c r="AS3124" s="100"/>
      <c r="AT3124" s="102"/>
      <c r="AZ3124" s="117"/>
      <c r="BK3124" s="39"/>
    </row>
    <row r="3125" spans="1:63" x14ac:dyDescent="0.25">
      <c r="A3125" s="92"/>
      <c r="B3125" s="93"/>
      <c r="C3125" s="93"/>
      <c r="D3125" s="93"/>
      <c r="E3125" s="92"/>
      <c r="F3125" s="92"/>
      <c r="G3125" s="92"/>
      <c r="H3125" s="92"/>
      <c r="I3125" s="92"/>
      <c r="J3125" s="92"/>
      <c r="K3125" s="92"/>
      <c r="L3125" s="92"/>
      <c r="M3125" s="92"/>
      <c r="N3125" s="94"/>
      <c r="AG3125" s="100"/>
      <c r="AH3125" s="101"/>
      <c r="AI3125" s="101"/>
      <c r="AJ3125" s="101"/>
      <c r="AK3125" s="100"/>
      <c r="AL3125" s="100"/>
      <c r="AM3125" s="100"/>
      <c r="AN3125" s="100"/>
      <c r="AO3125" s="100"/>
      <c r="AP3125" s="100"/>
      <c r="AQ3125" s="100"/>
      <c r="AR3125" s="100"/>
      <c r="AS3125" s="100"/>
      <c r="AT3125" s="102"/>
      <c r="AZ3125" s="117"/>
      <c r="BK3125" s="39"/>
    </row>
    <row r="3126" spans="1:63" x14ac:dyDescent="0.25">
      <c r="A3126" s="92"/>
      <c r="B3126" s="92"/>
      <c r="C3126" s="92"/>
      <c r="D3126" s="93"/>
      <c r="E3126" s="92"/>
      <c r="F3126" s="92"/>
      <c r="G3126" s="92"/>
      <c r="H3126" s="92"/>
      <c r="I3126" s="92"/>
      <c r="J3126" s="92"/>
      <c r="K3126" s="92"/>
      <c r="L3126" s="92"/>
      <c r="M3126" s="92"/>
      <c r="N3126" s="92"/>
      <c r="AG3126" s="100"/>
      <c r="AH3126" s="101"/>
      <c r="AI3126" s="101"/>
      <c r="AJ3126" s="101"/>
      <c r="AK3126" s="100"/>
      <c r="AL3126" s="100"/>
      <c r="AM3126" s="100"/>
      <c r="AN3126" s="100"/>
      <c r="AO3126" s="100"/>
      <c r="AP3126" s="100"/>
      <c r="AQ3126" s="100"/>
      <c r="AR3126" s="100"/>
      <c r="AS3126" s="100"/>
      <c r="AT3126" s="102"/>
      <c r="AZ3126" s="117"/>
      <c r="BK3126" s="39"/>
    </row>
    <row r="3127" spans="1:63" x14ac:dyDescent="0.25">
      <c r="A3127" s="92"/>
      <c r="B3127" s="92"/>
      <c r="C3127" s="92"/>
      <c r="D3127" s="93"/>
      <c r="E3127" s="92"/>
      <c r="F3127" s="92"/>
      <c r="G3127" s="92"/>
      <c r="H3127" s="92"/>
      <c r="I3127" s="92"/>
      <c r="J3127" s="92"/>
      <c r="K3127" s="92"/>
      <c r="L3127" s="92"/>
      <c r="M3127" s="92"/>
      <c r="N3127" s="92"/>
      <c r="AG3127" s="100"/>
      <c r="AH3127" s="101"/>
      <c r="AI3127" s="101"/>
      <c r="AJ3127" s="101"/>
      <c r="AK3127" s="100"/>
      <c r="AL3127" s="100"/>
      <c r="AM3127" s="100"/>
      <c r="AN3127" s="100"/>
      <c r="AO3127" s="100"/>
      <c r="AP3127" s="100"/>
      <c r="AQ3127" s="100"/>
      <c r="AR3127" s="100"/>
      <c r="AS3127" s="100"/>
      <c r="AT3127" s="102"/>
      <c r="AZ3127" s="117"/>
      <c r="BK3127" s="39"/>
    </row>
    <row r="3128" spans="1:63" x14ac:dyDescent="0.25">
      <c r="A3128" s="92"/>
      <c r="B3128" s="92"/>
      <c r="C3128" s="92"/>
      <c r="D3128" s="93"/>
      <c r="E3128" s="92"/>
      <c r="F3128" s="92"/>
      <c r="G3128" s="92"/>
      <c r="H3128" s="92"/>
      <c r="I3128" s="92"/>
      <c r="J3128" s="92"/>
      <c r="K3128" s="92"/>
      <c r="L3128" s="92"/>
      <c r="M3128" s="92"/>
      <c r="N3128" s="92"/>
      <c r="AG3128" s="100"/>
      <c r="AH3128" s="100"/>
      <c r="AI3128" s="100"/>
      <c r="AJ3128" s="101"/>
      <c r="AK3128" s="100"/>
      <c r="AL3128" s="100"/>
      <c r="AM3128" s="100"/>
      <c r="AN3128" s="100"/>
      <c r="AO3128" s="100"/>
      <c r="AP3128" s="100"/>
      <c r="AQ3128" s="100"/>
      <c r="AR3128" s="100"/>
      <c r="AS3128" s="100"/>
      <c r="AT3128" s="100"/>
      <c r="AZ3128" s="117"/>
      <c r="BK3128" s="39"/>
    </row>
    <row r="3129" spans="1:63" x14ac:dyDescent="0.25">
      <c r="A3129" s="92"/>
      <c r="B3129" s="92"/>
      <c r="C3129" s="92"/>
      <c r="D3129" s="93"/>
      <c r="E3129" s="92"/>
      <c r="F3129" s="92"/>
      <c r="G3129" s="92"/>
      <c r="H3129" s="92"/>
      <c r="I3129" s="92"/>
      <c r="J3129" s="92"/>
      <c r="K3129" s="92"/>
      <c r="L3129" s="92"/>
      <c r="M3129" s="92"/>
      <c r="N3129" s="92"/>
      <c r="AG3129" s="100"/>
      <c r="AH3129" s="100"/>
      <c r="AI3129" s="100"/>
      <c r="AJ3129" s="101"/>
      <c r="AK3129" s="100"/>
      <c r="AL3129" s="100"/>
      <c r="AM3129" s="100"/>
      <c r="AN3129" s="100"/>
      <c r="AO3129" s="100"/>
      <c r="AP3129" s="100"/>
      <c r="AQ3129" s="100"/>
      <c r="AR3129" s="100"/>
      <c r="AS3129" s="100"/>
      <c r="AT3129" s="100"/>
      <c r="AZ3129" s="117"/>
      <c r="BA3129" s="117"/>
      <c r="BK3129" s="39"/>
    </row>
    <row r="3130" spans="1:63" x14ac:dyDescent="0.25">
      <c r="A3130" s="92"/>
      <c r="B3130" s="92"/>
      <c r="C3130" s="92"/>
      <c r="D3130" s="93"/>
      <c r="E3130" s="92"/>
      <c r="F3130" s="92"/>
      <c r="G3130" s="92"/>
      <c r="H3130" s="92"/>
      <c r="I3130" s="92"/>
      <c r="J3130" s="92"/>
      <c r="K3130" s="92"/>
      <c r="L3130" s="92"/>
      <c r="M3130" s="92"/>
      <c r="N3130" s="92"/>
      <c r="AG3130" s="100"/>
      <c r="AH3130" s="101"/>
      <c r="AI3130" s="101"/>
      <c r="AJ3130" s="101"/>
      <c r="AK3130" s="100"/>
      <c r="AL3130" s="100"/>
      <c r="AM3130" s="100"/>
      <c r="AN3130" s="100"/>
      <c r="AO3130" s="100"/>
      <c r="AP3130" s="100"/>
      <c r="AQ3130" s="100"/>
      <c r="AR3130" s="100"/>
      <c r="AS3130" s="100"/>
      <c r="AT3130" s="102"/>
    </row>
    <row r="3131" spans="1:63" x14ac:dyDescent="0.25">
      <c r="A3131" s="92"/>
      <c r="B3131" s="92"/>
      <c r="C3131" s="92"/>
      <c r="D3131" s="93"/>
      <c r="E3131" s="92"/>
      <c r="F3131" s="92"/>
      <c r="G3131" s="92"/>
      <c r="H3131" s="92"/>
      <c r="I3131" s="92"/>
      <c r="J3131" s="92"/>
      <c r="K3131" s="92"/>
      <c r="L3131" s="92"/>
      <c r="M3131" s="92"/>
      <c r="N3131" s="92"/>
      <c r="AG3131" s="100"/>
      <c r="AH3131" s="101"/>
      <c r="AI3131" s="101"/>
      <c r="AJ3131" s="101"/>
      <c r="AK3131" s="100"/>
      <c r="AL3131" s="100"/>
      <c r="AM3131" s="100"/>
      <c r="AN3131" s="100"/>
      <c r="AO3131" s="100"/>
      <c r="AP3131" s="100"/>
      <c r="AQ3131" s="100"/>
      <c r="AR3131" s="100"/>
      <c r="AS3131" s="100"/>
      <c r="AT3131" s="102"/>
    </row>
    <row r="3132" spans="1:63" x14ac:dyDescent="0.25">
      <c r="A3132" s="92"/>
      <c r="B3132" s="93"/>
      <c r="C3132" s="93"/>
      <c r="D3132" s="92"/>
      <c r="E3132" s="92"/>
      <c r="F3132" s="92"/>
      <c r="G3132" s="92"/>
      <c r="H3132" s="92"/>
      <c r="I3132" s="92"/>
      <c r="J3132" s="92"/>
      <c r="K3132" s="92"/>
      <c r="L3132" s="92"/>
      <c r="M3132" s="92"/>
      <c r="N3132" s="94"/>
      <c r="AG3132" s="100"/>
      <c r="AH3132" s="100"/>
      <c r="AI3132" s="100"/>
      <c r="AJ3132" s="101"/>
      <c r="AK3132" s="100"/>
      <c r="AL3132" s="100"/>
      <c r="AM3132" s="100"/>
      <c r="AN3132" s="100"/>
      <c r="AO3132" s="100"/>
      <c r="AP3132" s="100"/>
      <c r="AQ3132" s="100"/>
      <c r="AR3132" s="100"/>
      <c r="AS3132" s="100"/>
      <c r="AT3132" s="100"/>
    </row>
    <row r="3133" spans="1:63" x14ac:dyDescent="0.25">
      <c r="A3133" s="92"/>
      <c r="B3133" s="93"/>
      <c r="C3133" s="93"/>
      <c r="D3133" s="92"/>
      <c r="E3133" s="92"/>
      <c r="F3133" s="92"/>
      <c r="G3133" s="92"/>
      <c r="H3133" s="92"/>
      <c r="I3133" s="92"/>
      <c r="J3133" s="92"/>
      <c r="K3133" s="92"/>
      <c r="L3133" s="92"/>
      <c r="M3133" s="92"/>
      <c r="N3133" s="94"/>
      <c r="AG3133" s="100"/>
      <c r="AH3133" s="101"/>
      <c r="AI3133" s="101"/>
      <c r="AJ3133" s="101"/>
      <c r="AK3133" s="100"/>
      <c r="AL3133" s="100"/>
      <c r="AM3133" s="100"/>
      <c r="AN3133" s="100"/>
      <c r="AO3133" s="100"/>
      <c r="AP3133" s="100"/>
      <c r="AQ3133" s="100"/>
      <c r="AR3133" s="100"/>
      <c r="AS3133" s="100"/>
      <c r="AT3133" s="102"/>
    </row>
    <row r="3134" spans="1:63" x14ac:dyDescent="0.25">
      <c r="A3134" s="92"/>
      <c r="B3134" s="93"/>
      <c r="C3134" s="93"/>
      <c r="D3134" s="92"/>
      <c r="E3134" s="92"/>
      <c r="F3134" s="92"/>
      <c r="G3134" s="92"/>
      <c r="H3134" s="92"/>
      <c r="I3134" s="92"/>
      <c r="J3134" s="92"/>
      <c r="K3134" s="92"/>
      <c r="L3134" s="92"/>
      <c r="M3134" s="92"/>
      <c r="N3134" s="94"/>
      <c r="AG3134" s="100"/>
      <c r="AH3134" s="100"/>
      <c r="AI3134" s="100"/>
      <c r="AJ3134" s="101"/>
      <c r="AK3134" s="100"/>
      <c r="AL3134" s="100"/>
      <c r="AM3134" s="100"/>
      <c r="AN3134" s="100"/>
      <c r="AO3134" s="100"/>
      <c r="AP3134" s="100"/>
      <c r="AQ3134" s="100"/>
      <c r="AR3134" s="100"/>
      <c r="AS3134" s="100"/>
      <c r="AT3134" s="100"/>
    </row>
    <row r="3135" spans="1:63" x14ac:dyDescent="0.25">
      <c r="A3135" s="92"/>
      <c r="B3135" s="93"/>
      <c r="C3135" s="93"/>
      <c r="D3135" s="92"/>
      <c r="E3135" s="92"/>
      <c r="F3135" s="92"/>
      <c r="G3135" s="92"/>
      <c r="H3135" s="92"/>
      <c r="I3135" s="92"/>
      <c r="J3135" s="92"/>
      <c r="K3135" s="92"/>
      <c r="L3135" s="92"/>
      <c r="M3135" s="92"/>
      <c r="N3135" s="94"/>
      <c r="AG3135" s="100"/>
      <c r="AH3135" s="101"/>
      <c r="AI3135" s="101"/>
      <c r="AJ3135" s="101"/>
      <c r="AK3135" s="100"/>
      <c r="AL3135" s="100"/>
      <c r="AM3135" s="100"/>
      <c r="AN3135" s="100"/>
      <c r="AO3135" s="100"/>
      <c r="AP3135" s="100"/>
      <c r="AQ3135" s="100"/>
      <c r="AR3135" s="100"/>
      <c r="AS3135" s="100"/>
      <c r="AT3135" s="102"/>
    </row>
    <row r="3136" spans="1:63" x14ac:dyDescent="0.25">
      <c r="A3136" s="92"/>
      <c r="B3136" s="93"/>
      <c r="C3136" s="93"/>
      <c r="D3136" s="92"/>
      <c r="E3136" s="92"/>
      <c r="F3136" s="92"/>
      <c r="G3136" s="92"/>
      <c r="H3136" s="92"/>
      <c r="I3136" s="92"/>
      <c r="J3136" s="92"/>
      <c r="K3136" s="92"/>
      <c r="L3136" s="92"/>
      <c r="M3136" s="92"/>
      <c r="N3136" s="94"/>
      <c r="AG3136" s="100"/>
      <c r="AH3136" s="101"/>
      <c r="AI3136" s="101"/>
      <c r="AJ3136" s="101"/>
      <c r="AK3136" s="100"/>
      <c r="AL3136" s="100"/>
      <c r="AM3136" s="100"/>
      <c r="AN3136" s="100"/>
      <c r="AO3136" s="100"/>
      <c r="AP3136" s="100"/>
      <c r="AQ3136" s="100"/>
      <c r="AR3136" s="100"/>
      <c r="AS3136" s="100"/>
      <c r="AT3136" s="102"/>
    </row>
    <row r="3137" spans="1:63" x14ac:dyDescent="0.25">
      <c r="A3137" s="92"/>
      <c r="B3137" s="93"/>
      <c r="C3137" s="93"/>
      <c r="D3137" s="92"/>
      <c r="E3137" s="92"/>
      <c r="F3137" s="92"/>
      <c r="G3137" s="92"/>
      <c r="H3137" s="92"/>
      <c r="I3137" s="92"/>
      <c r="J3137" s="92"/>
      <c r="K3137" s="92"/>
      <c r="L3137" s="92"/>
      <c r="M3137" s="92"/>
      <c r="N3137" s="94"/>
      <c r="AG3137" s="100"/>
      <c r="AH3137" s="100"/>
      <c r="AI3137" s="100"/>
      <c r="AJ3137" s="101"/>
      <c r="AK3137" s="100"/>
      <c r="AL3137" s="100"/>
      <c r="AM3137" s="100"/>
      <c r="AN3137" s="100"/>
      <c r="AO3137" s="100"/>
      <c r="AP3137" s="100"/>
      <c r="AQ3137" s="100"/>
      <c r="AR3137" s="100"/>
      <c r="AS3137" s="100"/>
      <c r="AT3137" s="100"/>
      <c r="AZ3137" s="117"/>
      <c r="BK3137" s="39"/>
    </row>
    <row r="3138" spans="1:63" x14ac:dyDescent="0.25">
      <c r="A3138" s="92"/>
      <c r="B3138" s="93"/>
      <c r="C3138" s="93"/>
      <c r="D3138" s="92"/>
      <c r="E3138" s="92"/>
      <c r="F3138" s="92"/>
      <c r="G3138" s="92"/>
      <c r="H3138" s="92"/>
      <c r="I3138" s="92"/>
      <c r="J3138" s="92"/>
      <c r="K3138" s="92"/>
      <c r="L3138" s="92"/>
      <c r="M3138" s="92"/>
      <c r="N3138" s="94"/>
      <c r="AG3138" s="100"/>
      <c r="AH3138" s="101"/>
      <c r="AI3138" s="101"/>
      <c r="AJ3138" s="101"/>
      <c r="AK3138" s="100"/>
      <c r="AL3138" s="100"/>
      <c r="AM3138" s="100"/>
      <c r="AN3138" s="100"/>
      <c r="AO3138" s="100"/>
      <c r="AP3138" s="100"/>
      <c r="AQ3138" s="100"/>
      <c r="AR3138" s="100"/>
      <c r="AS3138" s="100"/>
      <c r="AT3138" s="102"/>
      <c r="AZ3138" s="117"/>
      <c r="BK3138" s="39"/>
    </row>
    <row r="3139" spans="1:63" x14ac:dyDescent="0.25">
      <c r="A3139" s="92"/>
      <c r="B3139" s="93"/>
      <c r="C3139" s="93"/>
      <c r="D3139" s="92"/>
      <c r="E3139" s="92"/>
      <c r="F3139" s="92"/>
      <c r="G3139" s="92"/>
      <c r="H3139" s="92"/>
      <c r="I3139" s="92"/>
      <c r="J3139" s="92"/>
      <c r="K3139" s="92"/>
      <c r="L3139" s="92"/>
      <c r="M3139" s="92"/>
      <c r="N3139" s="94"/>
      <c r="AG3139" s="100"/>
      <c r="AH3139" s="101"/>
      <c r="AI3139" s="101"/>
      <c r="AJ3139" s="101"/>
      <c r="AK3139" s="100"/>
      <c r="AL3139" s="100"/>
      <c r="AM3139" s="100"/>
      <c r="AN3139" s="100"/>
      <c r="AO3139" s="100"/>
      <c r="AP3139" s="100"/>
      <c r="AQ3139" s="100"/>
      <c r="AR3139" s="100"/>
      <c r="AS3139" s="100"/>
      <c r="AT3139" s="102"/>
      <c r="AZ3139" s="117"/>
      <c r="BK3139" s="39"/>
    </row>
    <row r="3140" spans="1:63" x14ac:dyDescent="0.25">
      <c r="A3140" s="92"/>
      <c r="B3140" s="93"/>
      <c r="C3140" s="93"/>
      <c r="D3140" s="93"/>
      <c r="E3140" s="92"/>
      <c r="F3140" s="92"/>
      <c r="G3140" s="92"/>
      <c r="H3140" s="92"/>
      <c r="I3140" s="92"/>
      <c r="J3140" s="92"/>
      <c r="K3140" s="92"/>
      <c r="L3140" s="92"/>
      <c r="M3140" s="92"/>
      <c r="N3140" s="94"/>
      <c r="AG3140" s="100"/>
      <c r="AH3140" s="101"/>
      <c r="AI3140" s="101"/>
      <c r="AJ3140" s="101"/>
      <c r="AK3140" s="100"/>
      <c r="AL3140" s="100"/>
      <c r="AM3140" s="100"/>
      <c r="AN3140" s="100"/>
      <c r="AO3140" s="100"/>
      <c r="AP3140" s="100"/>
      <c r="AQ3140" s="100"/>
      <c r="AR3140" s="100"/>
      <c r="AS3140" s="100"/>
      <c r="AT3140" s="102"/>
      <c r="AZ3140" s="117"/>
      <c r="BK3140" s="39"/>
    </row>
    <row r="3141" spans="1:63" x14ac:dyDescent="0.25">
      <c r="A3141" s="92"/>
      <c r="B3141" s="92"/>
      <c r="C3141" s="92"/>
      <c r="D3141" s="92"/>
      <c r="E3141" s="92"/>
      <c r="F3141" s="92"/>
      <c r="G3141" s="92"/>
      <c r="H3141" s="92"/>
      <c r="I3141" s="92"/>
      <c r="J3141" s="92"/>
      <c r="K3141" s="92"/>
      <c r="L3141" s="92"/>
      <c r="M3141" s="92"/>
      <c r="N3141" s="92"/>
      <c r="AG3141" s="100"/>
      <c r="AH3141" s="101"/>
      <c r="AI3141" s="101"/>
      <c r="AJ3141" s="101"/>
      <c r="AK3141" s="100"/>
      <c r="AL3141" s="100"/>
      <c r="AM3141" s="100"/>
      <c r="AN3141" s="100"/>
      <c r="AO3141" s="100"/>
      <c r="AP3141" s="100"/>
      <c r="AQ3141" s="100"/>
      <c r="AR3141" s="100"/>
      <c r="AS3141" s="100"/>
      <c r="AT3141" s="102"/>
    </row>
    <row r="3142" spans="1:63" x14ac:dyDescent="0.25">
      <c r="A3142" s="92"/>
      <c r="B3142" s="92"/>
      <c r="C3142" s="92"/>
      <c r="D3142" s="92"/>
      <c r="E3142" s="92"/>
      <c r="F3142" s="92"/>
      <c r="G3142" s="92"/>
      <c r="H3142" s="92"/>
      <c r="I3142" s="92"/>
      <c r="J3142" s="92"/>
      <c r="K3142" s="92"/>
      <c r="L3142" s="92"/>
      <c r="M3142" s="92"/>
      <c r="N3142" s="92"/>
      <c r="AG3142" s="100"/>
      <c r="AH3142" s="101"/>
      <c r="AI3142" s="101"/>
      <c r="AJ3142" s="101"/>
      <c r="AK3142" s="100"/>
      <c r="AL3142" s="100"/>
      <c r="AM3142" s="100"/>
      <c r="AN3142" s="100"/>
      <c r="AO3142" s="100"/>
      <c r="AP3142" s="100"/>
      <c r="AQ3142" s="100"/>
      <c r="AR3142" s="100"/>
      <c r="AS3142" s="100"/>
      <c r="AT3142" s="102"/>
      <c r="AZ3142" s="117"/>
      <c r="BK3142" s="39"/>
    </row>
    <row r="3143" spans="1:63" x14ac:dyDescent="0.25">
      <c r="A3143" s="92"/>
      <c r="B3143" s="92"/>
      <c r="C3143" s="92"/>
      <c r="D3143" s="92"/>
      <c r="E3143" s="92"/>
      <c r="F3143" s="92"/>
      <c r="G3143" s="92"/>
      <c r="H3143" s="92"/>
      <c r="I3143" s="92"/>
      <c r="J3143" s="92"/>
      <c r="K3143" s="92"/>
      <c r="L3143" s="92"/>
      <c r="M3143" s="92"/>
      <c r="N3143" s="92"/>
      <c r="AG3143" s="100"/>
      <c r="AH3143" s="101"/>
      <c r="AI3143" s="101"/>
      <c r="AJ3143" s="101"/>
      <c r="AK3143" s="100"/>
      <c r="AL3143" s="100"/>
      <c r="AM3143" s="100"/>
      <c r="AN3143" s="100"/>
      <c r="AO3143" s="100"/>
      <c r="AP3143" s="100"/>
      <c r="AQ3143" s="100"/>
      <c r="AR3143" s="100"/>
      <c r="AS3143" s="100"/>
      <c r="AT3143" s="102"/>
      <c r="AZ3143" s="117"/>
      <c r="BK3143" s="39"/>
    </row>
    <row r="3144" spans="1:63" x14ac:dyDescent="0.25">
      <c r="A3144" s="92"/>
      <c r="B3144" s="92"/>
      <c r="C3144" s="92"/>
      <c r="D3144" s="92"/>
      <c r="E3144" s="92"/>
      <c r="F3144" s="92"/>
      <c r="G3144" s="92"/>
      <c r="H3144" s="92"/>
      <c r="I3144" s="92"/>
      <c r="J3144" s="92"/>
      <c r="K3144" s="92"/>
      <c r="L3144" s="92"/>
      <c r="M3144" s="92"/>
      <c r="N3144" s="92"/>
      <c r="AG3144" s="100"/>
      <c r="AH3144" s="101"/>
      <c r="AI3144" s="101"/>
      <c r="AJ3144" s="101"/>
      <c r="AK3144" s="100"/>
      <c r="AL3144" s="100"/>
      <c r="AM3144" s="100"/>
      <c r="AN3144" s="100"/>
      <c r="AO3144" s="100"/>
      <c r="AP3144" s="100"/>
      <c r="AQ3144" s="100"/>
      <c r="AR3144" s="100"/>
      <c r="AS3144" s="100"/>
      <c r="AT3144" s="102"/>
    </row>
    <row r="3145" spans="1:63" x14ac:dyDescent="0.25">
      <c r="A3145" s="92"/>
      <c r="B3145" s="92"/>
      <c r="C3145" s="92"/>
      <c r="D3145" s="92"/>
      <c r="E3145" s="92"/>
      <c r="F3145" s="92"/>
      <c r="G3145" s="92"/>
      <c r="H3145" s="92"/>
      <c r="I3145" s="92"/>
      <c r="J3145" s="92"/>
      <c r="K3145" s="92"/>
      <c r="L3145" s="92"/>
      <c r="M3145" s="92"/>
      <c r="N3145" s="92"/>
      <c r="AG3145" s="100"/>
      <c r="AH3145" s="101"/>
      <c r="AI3145" s="101"/>
      <c r="AJ3145" s="101"/>
      <c r="AK3145" s="100"/>
      <c r="AL3145" s="100"/>
      <c r="AM3145" s="100"/>
      <c r="AN3145" s="100"/>
      <c r="AO3145" s="100"/>
      <c r="AP3145" s="100"/>
      <c r="AQ3145" s="100"/>
      <c r="AR3145" s="100"/>
      <c r="AS3145" s="100"/>
      <c r="AT3145" s="102"/>
      <c r="AZ3145" s="117"/>
      <c r="BK3145" s="39"/>
    </row>
    <row r="3146" spans="1:63" x14ac:dyDescent="0.25">
      <c r="A3146" s="92"/>
      <c r="B3146" s="92"/>
      <c r="C3146" s="92"/>
      <c r="D3146" s="92"/>
      <c r="E3146" s="92"/>
      <c r="F3146" s="92"/>
      <c r="G3146" s="92"/>
      <c r="H3146" s="92"/>
      <c r="I3146" s="92"/>
      <c r="J3146" s="92"/>
      <c r="K3146" s="92"/>
      <c r="L3146" s="92"/>
      <c r="M3146" s="92"/>
      <c r="N3146" s="92"/>
      <c r="AG3146" s="100"/>
      <c r="AH3146" s="101"/>
      <c r="AI3146" s="101"/>
      <c r="AJ3146" s="101"/>
      <c r="AK3146" s="100"/>
      <c r="AL3146" s="100"/>
      <c r="AM3146" s="100"/>
      <c r="AN3146" s="100"/>
      <c r="AO3146" s="100"/>
      <c r="AP3146" s="100"/>
      <c r="AQ3146" s="100"/>
      <c r="AR3146" s="100"/>
      <c r="AS3146" s="100"/>
      <c r="AT3146" s="102"/>
      <c r="AZ3146" s="117"/>
      <c r="BK3146" s="39"/>
    </row>
    <row r="3147" spans="1:63" x14ac:dyDescent="0.25">
      <c r="A3147" s="92"/>
      <c r="B3147" s="92"/>
      <c r="C3147" s="92"/>
      <c r="D3147" s="92"/>
      <c r="E3147" s="92"/>
      <c r="F3147" s="92"/>
      <c r="G3147" s="92"/>
      <c r="H3147" s="92"/>
      <c r="I3147" s="92"/>
      <c r="J3147" s="92"/>
      <c r="K3147" s="92"/>
      <c r="L3147" s="92"/>
      <c r="M3147" s="92"/>
      <c r="N3147" s="92"/>
      <c r="AG3147" s="100"/>
      <c r="AH3147" s="101"/>
      <c r="AI3147" s="101"/>
      <c r="AJ3147" s="101"/>
      <c r="AK3147" s="100"/>
      <c r="AL3147" s="100"/>
      <c r="AM3147" s="100"/>
      <c r="AN3147" s="100"/>
      <c r="AO3147" s="100"/>
      <c r="AP3147" s="100"/>
      <c r="AQ3147" s="100"/>
      <c r="AR3147" s="100"/>
      <c r="AS3147" s="100"/>
      <c r="AT3147" s="102"/>
      <c r="AZ3147" s="117"/>
      <c r="BK3147" s="39"/>
    </row>
    <row r="3148" spans="1:63" x14ac:dyDescent="0.25">
      <c r="A3148" s="92"/>
      <c r="B3148" s="93"/>
      <c r="C3148" s="93"/>
      <c r="D3148" s="92"/>
      <c r="E3148" s="92"/>
      <c r="F3148" s="92"/>
      <c r="G3148" s="92"/>
      <c r="H3148" s="92"/>
      <c r="I3148" s="92"/>
      <c r="J3148" s="92"/>
      <c r="K3148" s="92"/>
      <c r="L3148" s="92"/>
      <c r="M3148" s="92"/>
      <c r="N3148" s="94"/>
      <c r="AG3148" s="100"/>
      <c r="AH3148" s="100"/>
      <c r="AI3148" s="100"/>
      <c r="AJ3148" s="101"/>
      <c r="AK3148" s="100"/>
      <c r="AL3148" s="100"/>
      <c r="AM3148" s="100"/>
      <c r="AN3148" s="100"/>
      <c r="AO3148" s="100"/>
      <c r="AP3148" s="100"/>
      <c r="AQ3148" s="100"/>
      <c r="AR3148" s="100"/>
      <c r="AS3148" s="100"/>
      <c r="AT3148" s="100"/>
      <c r="AZ3148" s="117"/>
      <c r="BK3148" s="39"/>
    </row>
    <row r="3149" spans="1:63" x14ac:dyDescent="0.25">
      <c r="A3149" s="92"/>
      <c r="B3149" s="93"/>
      <c r="C3149" s="93"/>
      <c r="D3149" s="92"/>
      <c r="E3149" s="92"/>
      <c r="F3149" s="92"/>
      <c r="G3149" s="92"/>
      <c r="H3149" s="92"/>
      <c r="I3149" s="92"/>
      <c r="J3149" s="92"/>
      <c r="K3149" s="92"/>
      <c r="L3149" s="92"/>
      <c r="M3149" s="92"/>
      <c r="N3149" s="94"/>
      <c r="AG3149" s="100"/>
      <c r="AH3149" s="100"/>
      <c r="AI3149" s="100"/>
      <c r="AJ3149" s="101"/>
      <c r="AK3149" s="100"/>
      <c r="AL3149" s="100"/>
      <c r="AM3149" s="100"/>
      <c r="AN3149" s="100"/>
      <c r="AO3149" s="100"/>
      <c r="AP3149" s="100"/>
      <c r="AQ3149" s="100"/>
      <c r="AR3149" s="100"/>
      <c r="AS3149" s="100"/>
      <c r="AT3149" s="100"/>
      <c r="AZ3149" s="117"/>
      <c r="BK3149" s="39"/>
    </row>
    <row r="3150" spans="1:63" x14ac:dyDescent="0.25">
      <c r="A3150" s="92"/>
      <c r="B3150" s="93"/>
      <c r="C3150" s="93"/>
      <c r="D3150" s="92"/>
      <c r="E3150" s="92"/>
      <c r="F3150" s="92"/>
      <c r="G3150" s="92"/>
      <c r="H3150" s="92"/>
      <c r="I3150" s="92"/>
      <c r="J3150" s="92"/>
      <c r="K3150" s="92"/>
      <c r="L3150" s="92"/>
      <c r="M3150" s="92"/>
      <c r="N3150" s="94"/>
      <c r="AG3150" s="100"/>
      <c r="AH3150" s="101"/>
      <c r="AI3150" s="101"/>
      <c r="AJ3150" s="101"/>
      <c r="AK3150" s="100"/>
      <c r="AL3150" s="100"/>
      <c r="AM3150" s="100"/>
      <c r="AN3150" s="100"/>
      <c r="AO3150" s="100"/>
      <c r="AP3150" s="100"/>
      <c r="AQ3150" s="100"/>
      <c r="AR3150" s="100"/>
      <c r="AS3150" s="100"/>
      <c r="AT3150" s="102"/>
      <c r="AZ3150" s="117"/>
      <c r="BK3150" s="39"/>
    </row>
    <row r="3151" spans="1:63" x14ac:dyDescent="0.25">
      <c r="A3151" s="92"/>
      <c r="B3151" s="93"/>
      <c r="C3151" s="93"/>
      <c r="D3151" s="92"/>
      <c r="E3151" s="92"/>
      <c r="F3151" s="92"/>
      <c r="G3151" s="92"/>
      <c r="H3151" s="92"/>
      <c r="I3151" s="92"/>
      <c r="J3151" s="92"/>
      <c r="K3151" s="92"/>
      <c r="L3151" s="92"/>
      <c r="M3151" s="92"/>
      <c r="N3151" s="94"/>
      <c r="AG3151" s="100"/>
      <c r="AH3151" s="100"/>
      <c r="AI3151" s="100"/>
      <c r="AJ3151" s="101"/>
      <c r="AK3151" s="100"/>
      <c r="AL3151" s="100"/>
      <c r="AM3151" s="100"/>
      <c r="AN3151" s="100"/>
      <c r="AO3151" s="100"/>
      <c r="AP3151" s="100"/>
      <c r="AQ3151" s="100"/>
      <c r="AR3151" s="100"/>
      <c r="AS3151" s="100"/>
      <c r="AT3151" s="100"/>
      <c r="AZ3151" s="117"/>
      <c r="BK3151" s="39"/>
    </row>
    <row r="3152" spans="1:63" x14ac:dyDescent="0.25">
      <c r="A3152" s="92"/>
      <c r="B3152" s="92"/>
      <c r="C3152" s="92"/>
      <c r="D3152" s="92"/>
      <c r="E3152" s="92"/>
      <c r="F3152" s="92"/>
      <c r="G3152" s="92"/>
      <c r="H3152" s="92"/>
      <c r="I3152" s="92"/>
      <c r="J3152" s="92"/>
      <c r="K3152" s="92"/>
      <c r="L3152" s="92"/>
      <c r="M3152" s="92"/>
      <c r="N3152" s="92"/>
      <c r="AG3152" s="100"/>
      <c r="AH3152" s="100"/>
      <c r="AI3152" s="100"/>
      <c r="AJ3152" s="101"/>
      <c r="AK3152" s="100"/>
      <c r="AL3152" s="100"/>
      <c r="AM3152" s="100"/>
      <c r="AN3152" s="100"/>
      <c r="AO3152" s="100"/>
      <c r="AP3152" s="100"/>
      <c r="AQ3152" s="100"/>
      <c r="AR3152" s="100"/>
      <c r="AS3152" s="100"/>
      <c r="AT3152" s="100"/>
      <c r="AZ3152" s="117"/>
      <c r="BK3152" s="39"/>
    </row>
    <row r="3153" spans="1:63" x14ac:dyDescent="0.25">
      <c r="A3153" s="92"/>
      <c r="B3153" s="93"/>
      <c r="C3153" s="93"/>
      <c r="D3153" s="92"/>
      <c r="E3153" s="92"/>
      <c r="F3153" s="92"/>
      <c r="G3153" s="92"/>
      <c r="H3153" s="92"/>
      <c r="I3153" s="92"/>
      <c r="J3153" s="92"/>
      <c r="K3153" s="92"/>
      <c r="L3153" s="92"/>
      <c r="M3153" s="92"/>
      <c r="N3153" s="94"/>
      <c r="AG3153" s="100"/>
      <c r="AH3153" s="101"/>
      <c r="AI3153" s="101"/>
      <c r="AJ3153" s="101"/>
      <c r="AK3153" s="100"/>
      <c r="AL3153" s="100"/>
      <c r="AM3153" s="100"/>
      <c r="AN3153" s="100"/>
      <c r="AO3153" s="100"/>
      <c r="AP3153" s="100"/>
      <c r="AQ3153" s="100"/>
      <c r="AR3153" s="100"/>
      <c r="AS3153" s="100"/>
      <c r="AT3153" s="102"/>
      <c r="AZ3153" s="117"/>
      <c r="BK3153" s="39"/>
    </row>
    <row r="3154" spans="1:63" x14ac:dyDescent="0.25">
      <c r="A3154" s="92"/>
      <c r="B3154" s="93"/>
      <c r="C3154" s="93"/>
      <c r="D3154" s="92"/>
      <c r="E3154" s="92"/>
      <c r="F3154" s="92"/>
      <c r="G3154" s="92"/>
      <c r="H3154" s="92"/>
      <c r="I3154" s="92"/>
      <c r="J3154" s="92"/>
      <c r="K3154" s="92"/>
      <c r="L3154" s="92"/>
      <c r="M3154" s="92"/>
      <c r="N3154" s="94"/>
      <c r="AG3154" s="100"/>
      <c r="AH3154" s="100"/>
      <c r="AI3154" s="100"/>
      <c r="AJ3154" s="101"/>
      <c r="AK3154" s="100"/>
      <c r="AL3154" s="100"/>
      <c r="AM3154" s="100"/>
      <c r="AN3154" s="100"/>
      <c r="AO3154" s="100"/>
      <c r="AP3154" s="100"/>
      <c r="AQ3154" s="100"/>
      <c r="AR3154" s="100"/>
      <c r="AS3154" s="100"/>
      <c r="AT3154" s="100"/>
      <c r="AZ3154" s="117"/>
      <c r="BA3154" s="117"/>
      <c r="BK3154" s="39"/>
    </row>
    <row r="3155" spans="1:63" x14ac:dyDescent="0.25">
      <c r="A3155" s="92"/>
      <c r="B3155" s="92"/>
      <c r="C3155" s="92"/>
      <c r="D3155" s="92"/>
      <c r="E3155" s="92"/>
      <c r="F3155" s="92"/>
      <c r="G3155" s="92"/>
      <c r="H3155" s="92"/>
      <c r="I3155" s="92"/>
      <c r="J3155" s="92"/>
      <c r="K3155" s="92"/>
      <c r="L3155" s="92"/>
      <c r="M3155" s="92"/>
      <c r="N3155" s="92"/>
      <c r="AG3155" s="100"/>
      <c r="AH3155" s="100"/>
      <c r="AI3155" s="100"/>
      <c r="AJ3155" s="101"/>
      <c r="AK3155" s="100"/>
      <c r="AL3155" s="100"/>
      <c r="AM3155" s="100"/>
      <c r="AN3155" s="100"/>
      <c r="AO3155" s="100"/>
      <c r="AP3155" s="100"/>
      <c r="AQ3155" s="100"/>
      <c r="AR3155" s="100"/>
      <c r="AS3155" s="100"/>
      <c r="AT3155" s="100"/>
    </row>
    <row r="3156" spans="1:63" x14ac:dyDescent="0.25">
      <c r="A3156" s="92"/>
      <c r="B3156" s="93"/>
      <c r="C3156" s="93"/>
      <c r="D3156" s="92"/>
      <c r="E3156" s="92"/>
      <c r="F3156" s="92"/>
      <c r="G3156" s="92"/>
      <c r="H3156" s="92"/>
      <c r="I3156" s="92"/>
      <c r="J3156" s="92"/>
      <c r="K3156" s="92"/>
      <c r="L3156" s="92"/>
      <c r="M3156" s="92"/>
      <c r="N3156" s="94"/>
      <c r="AG3156" s="100"/>
      <c r="AH3156" s="101"/>
      <c r="AI3156" s="101"/>
      <c r="AJ3156" s="101"/>
      <c r="AK3156" s="100"/>
      <c r="AL3156" s="100"/>
      <c r="AM3156" s="100"/>
      <c r="AN3156" s="100"/>
      <c r="AO3156" s="100"/>
      <c r="AP3156" s="100"/>
      <c r="AQ3156" s="100"/>
      <c r="AR3156" s="100"/>
      <c r="AS3156" s="100"/>
      <c r="AT3156" s="102"/>
    </row>
    <row r="3157" spans="1:63" x14ac:dyDescent="0.25">
      <c r="A3157" s="92"/>
      <c r="B3157" s="93"/>
      <c r="C3157" s="93"/>
      <c r="D3157" s="92"/>
      <c r="E3157" s="92"/>
      <c r="F3157" s="92"/>
      <c r="G3157" s="92"/>
      <c r="H3157" s="92"/>
      <c r="I3157" s="92"/>
      <c r="J3157" s="92"/>
      <c r="K3157" s="92"/>
      <c r="L3157" s="92"/>
      <c r="M3157" s="92"/>
      <c r="N3157" s="94"/>
      <c r="AG3157" s="100"/>
      <c r="AH3157" s="101"/>
      <c r="AI3157" s="101"/>
      <c r="AJ3157" s="101"/>
      <c r="AK3157" s="100"/>
      <c r="AL3157" s="100"/>
      <c r="AM3157" s="100"/>
      <c r="AN3157" s="100"/>
      <c r="AO3157" s="100"/>
      <c r="AP3157" s="100"/>
      <c r="AQ3157" s="100"/>
      <c r="AR3157" s="100"/>
      <c r="AS3157" s="100"/>
      <c r="AT3157" s="102"/>
    </row>
    <row r="3158" spans="1:63" x14ac:dyDescent="0.25">
      <c r="A3158" s="92"/>
      <c r="B3158" s="93"/>
      <c r="C3158" s="93"/>
      <c r="D3158" s="92"/>
      <c r="E3158" s="92"/>
      <c r="F3158" s="92"/>
      <c r="G3158" s="92"/>
      <c r="H3158" s="92"/>
      <c r="I3158" s="92"/>
      <c r="J3158" s="92"/>
      <c r="K3158" s="92"/>
      <c r="L3158" s="92"/>
      <c r="M3158" s="92"/>
      <c r="N3158" s="94"/>
      <c r="AG3158" s="100"/>
      <c r="AH3158" s="101"/>
      <c r="AI3158" s="101"/>
      <c r="AJ3158" s="101"/>
      <c r="AK3158" s="100"/>
      <c r="AL3158" s="100"/>
      <c r="AM3158" s="100"/>
      <c r="AN3158" s="100"/>
      <c r="AO3158" s="100"/>
      <c r="AP3158" s="100"/>
      <c r="AQ3158" s="100"/>
      <c r="AR3158" s="100"/>
      <c r="AS3158" s="100"/>
      <c r="AT3158" s="102"/>
    </row>
    <row r="3159" spans="1:63" x14ac:dyDescent="0.25">
      <c r="A3159" s="92"/>
      <c r="B3159" s="93"/>
      <c r="C3159" s="93"/>
      <c r="D3159" s="92"/>
      <c r="E3159" s="92"/>
      <c r="F3159" s="92"/>
      <c r="G3159" s="92"/>
      <c r="H3159" s="92"/>
      <c r="I3159" s="92"/>
      <c r="J3159" s="92"/>
      <c r="K3159" s="92"/>
      <c r="L3159" s="92"/>
      <c r="M3159" s="92"/>
      <c r="N3159" s="94"/>
      <c r="AG3159" s="100"/>
      <c r="AH3159" s="101"/>
      <c r="AI3159" s="101"/>
      <c r="AJ3159" s="101"/>
      <c r="AK3159" s="100"/>
      <c r="AL3159" s="100"/>
      <c r="AM3159" s="100"/>
      <c r="AN3159" s="100"/>
      <c r="AO3159" s="100"/>
      <c r="AP3159" s="100"/>
      <c r="AQ3159" s="100"/>
      <c r="AR3159" s="100"/>
      <c r="AS3159" s="100"/>
      <c r="AT3159" s="102"/>
      <c r="AZ3159" s="117"/>
      <c r="BK3159" s="39"/>
    </row>
    <row r="3160" spans="1:63" x14ac:dyDescent="0.25">
      <c r="A3160" s="92"/>
      <c r="B3160" s="93"/>
      <c r="C3160" s="93"/>
      <c r="D3160" s="92"/>
      <c r="E3160" s="92"/>
      <c r="F3160" s="92"/>
      <c r="G3160" s="92"/>
      <c r="H3160" s="92"/>
      <c r="I3160" s="92"/>
      <c r="J3160" s="92"/>
      <c r="K3160" s="92"/>
      <c r="L3160" s="92"/>
      <c r="M3160" s="92"/>
      <c r="N3160" s="94"/>
      <c r="AG3160" s="100"/>
      <c r="AH3160" s="100"/>
      <c r="AI3160" s="100"/>
      <c r="AJ3160" s="101"/>
      <c r="AK3160" s="100"/>
      <c r="AL3160" s="100"/>
      <c r="AM3160" s="100"/>
      <c r="AN3160" s="100"/>
      <c r="AO3160" s="100"/>
      <c r="AP3160" s="100"/>
      <c r="AQ3160" s="100"/>
      <c r="AR3160" s="100"/>
      <c r="AS3160" s="100"/>
      <c r="AT3160" s="100"/>
      <c r="AZ3160" s="117"/>
      <c r="BK3160" s="39"/>
    </row>
    <row r="3161" spans="1:63" x14ac:dyDescent="0.25">
      <c r="A3161" s="92"/>
      <c r="B3161" s="93"/>
      <c r="C3161" s="93"/>
      <c r="D3161" s="92"/>
      <c r="E3161" s="92"/>
      <c r="F3161" s="92"/>
      <c r="G3161" s="92"/>
      <c r="H3161" s="92"/>
      <c r="I3161" s="92"/>
      <c r="J3161" s="92"/>
      <c r="K3161" s="92"/>
      <c r="L3161" s="92"/>
      <c r="M3161" s="92"/>
      <c r="N3161" s="94"/>
      <c r="AG3161" s="100"/>
      <c r="AH3161" s="100"/>
      <c r="AI3161" s="100"/>
      <c r="AJ3161" s="101"/>
      <c r="AK3161" s="100"/>
      <c r="AL3161" s="100"/>
      <c r="AM3161" s="100"/>
      <c r="AN3161" s="100"/>
      <c r="AO3161" s="100"/>
      <c r="AP3161" s="100"/>
      <c r="AQ3161" s="100"/>
      <c r="AR3161" s="100"/>
      <c r="AS3161" s="100"/>
      <c r="AT3161" s="100"/>
      <c r="AZ3161" s="117"/>
      <c r="BK3161" s="39"/>
    </row>
    <row r="3162" spans="1:63" x14ac:dyDescent="0.25">
      <c r="A3162" s="92"/>
      <c r="B3162" s="93"/>
      <c r="C3162" s="93"/>
      <c r="D3162" s="92"/>
      <c r="E3162" s="92"/>
      <c r="F3162" s="92"/>
      <c r="G3162" s="92"/>
      <c r="H3162" s="92"/>
      <c r="I3162" s="92"/>
      <c r="J3162" s="92"/>
      <c r="K3162" s="92"/>
      <c r="L3162" s="92"/>
      <c r="M3162" s="92"/>
      <c r="N3162" s="94"/>
      <c r="AG3162" s="100"/>
      <c r="AH3162" s="100"/>
      <c r="AI3162" s="100"/>
      <c r="AJ3162" s="101"/>
      <c r="AK3162" s="100"/>
      <c r="AL3162" s="100"/>
      <c r="AM3162" s="100"/>
      <c r="AN3162" s="100"/>
      <c r="AO3162" s="100"/>
      <c r="AP3162" s="100"/>
      <c r="AQ3162" s="100"/>
      <c r="AR3162" s="100"/>
      <c r="AS3162" s="100"/>
      <c r="AT3162" s="100"/>
    </row>
    <row r="3163" spans="1:63" x14ac:dyDescent="0.25">
      <c r="A3163" s="92"/>
      <c r="B3163" s="93"/>
      <c r="C3163" s="93"/>
      <c r="D3163" s="92"/>
      <c r="E3163" s="92"/>
      <c r="F3163" s="92"/>
      <c r="G3163" s="92"/>
      <c r="H3163" s="92"/>
      <c r="I3163" s="92"/>
      <c r="J3163" s="92"/>
      <c r="K3163" s="92"/>
      <c r="L3163" s="92"/>
      <c r="M3163" s="92"/>
      <c r="N3163" s="94"/>
      <c r="AG3163" s="100"/>
      <c r="AH3163" s="101"/>
      <c r="AI3163" s="101"/>
      <c r="AJ3163" s="101"/>
      <c r="AK3163" s="100"/>
      <c r="AL3163" s="100"/>
      <c r="AM3163" s="100"/>
      <c r="AN3163" s="100"/>
      <c r="AO3163" s="100"/>
      <c r="AP3163" s="100"/>
      <c r="AQ3163" s="100"/>
      <c r="AR3163" s="100"/>
      <c r="AS3163" s="100"/>
      <c r="AT3163" s="102"/>
    </row>
    <row r="3164" spans="1:63" x14ac:dyDescent="0.25">
      <c r="A3164" s="92"/>
      <c r="B3164" s="93"/>
      <c r="C3164" s="93"/>
      <c r="D3164" s="92"/>
      <c r="E3164" s="92"/>
      <c r="F3164" s="92"/>
      <c r="G3164" s="92"/>
      <c r="H3164" s="92"/>
      <c r="I3164" s="92"/>
      <c r="J3164" s="92"/>
      <c r="K3164" s="92"/>
      <c r="L3164" s="92"/>
      <c r="M3164" s="92"/>
      <c r="N3164" s="94"/>
      <c r="AG3164" s="100"/>
      <c r="AH3164" s="100"/>
      <c r="AI3164" s="100"/>
      <c r="AJ3164" s="101"/>
      <c r="AK3164" s="100"/>
      <c r="AL3164" s="100"/>
      <c r="AM3164" s="100"/>
      <c r="AN3164" s="100"/>
      <c r="AO3164" s="100"/>
      <c r="AP3164" s="100"/>
      <c r="AQ3164" s="100"/>
      <c r="AR3164" s="100"/>
      <c r="AS3164" s="100"/>
      <c r="AT3164" s="100"/>
    </row>
    <row r="3165" spans="1:63" x14ac:dyDescent="0.25">
      <c r="A3165" s="92"/>
      <c r="B3165" s="93"/>
      <c r="C3165" s="93"/>
      <c r="D3165" s="93"/>
      <c r="E3165" s="92"/>
      <c r="F3165" s="92"/>
      <c r="G3165" s="92"/>
      <c r="H3165" s="92"/>
      <c r="I3165" s="92"/>
      <c r="J3165" s="92"/>
      <c r="K3165" s="92"/>
      <c r="L3165" s="92"/>
      <c r="M3165" s="92"/>
      <c r="N3165" s="94"/>
      <c r="AG3165" s="100"/>
      <c r="AH3165" s="100"/>
      <c r="AI3165" s="100"/>
      <c r="AJ3165" s="101"/>
      <c r="AK3165" s="100"/>
      <c r="AL3165" s="100"/>
      <c r="AM3165" s="100"/>
      <c r="AN3165" s="100"/>
      <c r="AO3165" s="100"/>
      <c r="AP3165" s="100"/>
      <c r="AQ3165" s="100"/>
      <c r="AR3165" s="100"/>
      <c r="AS3165" s="100"/>
      <c r="AT3165" s="100"/>
    </row>
    <row r="3166" spans="1:63" x14ac:dyDescent="0.25">
      <c r="A3166" s="92"/>
      <c r="B3166" s="92"/>
      <c r="C3166" s="92"/>
      <c r="D3166" s="92"/>
      <c r="E3166" s="92"/>
      <c r="F3166" s="92"/>
      <c r="G3166" s="92"/>
      <c r="H3166" s="92"/>
      <c r="I3166" s="92"/>
      <c r="J3166" s="92"/>
      <c r="K3166" s="92"/>
      <c r="L3166" s="92"/>
      <c r="M3166" s="92"/>
      <c r="N3166" s="92"/>
      <c r="AG3166" s="100"/>
      <c r="AH3166" s="101"/>
      <c r="AI3166" s="101"/>
      <c r="AJ3166" s="101"/>
      <c r="AK3166" s="100"/>
      <c r="AL3166" s="100"/>
      <c r="AM3166" s="100"/>
      <c r="AN3166" s="100"/>
      <c r="AO3166" s="100"/>
      <c r="AP3166" s="100"/>
      <c r="AQ3166" s="100"/>
      <c r="AR3166" s="100"/>
      <c r="AS3166" s="100"/>
      <c r="AT3166" s="102"/>
    </row>
    <row r="3167" spans="1:63" x14ac:dyDescent="0.25">
      <c r="A3167" s="92"/>
      <c r="B3167" s="92"/>
      <c r="C3167" s="92"/>
      <c r="D3167" s="92"/>
      <c r="E3167" s="92"/>
      <c r="F3167" s="92"/>
      <c r="G3167" s="92"/>
      <c r="H3167" s="92"/>
      <c r="I3167" s="92"/>
      <c r="J3167" s="92"/>
      <c r="K3167" s="92"/>
      <c r="L3167" s="92"/>
      <c r="M3167" s="92"/>
      <c r="N3167" s="92"/>
      <c r="AG3167" s="100"/>
      <c r="AH3167" s="101"/>
      <c r="AI3167" s="101"/>
      <c r="AJ3167" s="101"/>
      <c r="AK3167" s="100"/>
      <c r="AL3167" s="100"/>
      <c r="AM3167" s="100"/>
      <c r="AN3167" s="100"/>
      <c r="AO3167" s="100"/>
      <c r="AP3167" s="100"/>
      <c r="AQ3167" s="100"/>
      <c r="AR3167" s="100"/>
      <c r="AS3167" s="100"/>
      <c r="AT3167" s="102"/>
    </row>
    <row r="3168" spans="1:63" x14ac:dyDescent="0.25">
      <c r="A3168" s="92"/>
      <c r="B3168" s="92"/>
      <c r="C3168" s="92"/>
      <c r="D3168" s="92"/>
      <c r="E3168" s="92"/>
      <c r="F3168" s="92"/>
      <c r="G3168" s="92"/>
      <c r="H3168" s="92"/>
      <c r="I3168" s="92"/>
      <c r="J3168" s="92"/>
      <c r="K3168" s="92"/>
      <c r="L3168" s="92"/>
      <c r="M3168" s="92"/>
      <c r="N3168" s="92"/>
      <c r="AG3168" s="100"/>
      <c r="AH3168" s="101"/>
      <c r="AI3168" s="101"/>
      <c r="AJ3168" s="101"/>
      <c r="AK3168" s="100"/>
      <c r="AL3168" s="100"/>
      <c r="AM3168" s="100"/>
      <c r="AN3168" s="100"/>
      <c r="AO3168" s="100"/>
      <c r="AP3168" s="100"/>
      <c r="AQ3168" s="100"/>
      <c r="AR3168" s="100"/>
      <c r="AS3168" s="100"/>
      <c r="AT3168" s="102"/>
    </row>
    <row r="3169" spans="1:63" x14ac:dyDescent="0.25">
      <c r="A3169" s="92"/>
      <c r="B3169" s="92"/>
      <c r="C3169" s="92"/>
      <c r="D3169" s="92"/>
      <c r="E3169" s="92"/>
      <c r="F3169" s="92"/>
      <c r="G3169" s="92"/>
      <c r="H3169" s="92"/>
      <c r="I3169" s="92"/>
      <c r="J3169" s="92"/>
      <c r="K3169" s="92"/>
      <c r="L3169" s="92"/>
      <c r="M3169" s="92"/>
      <c r="N3169" s="92"/>
      <c r="AG3169" s="100"/>
      <c r="AH3169" s="101"/>
      <c r="AI3169" s="101"/>
      <c r="AJ3169" s="101"/>
      <c r="AK3169" s="100"/>
      <c r="AL3169" s="100"/>
      <c r="AM3169" s="100"/>
      <c r="AN3169" s="100"/>
      <c r="AO3169" s="100"/>
      <c r="AP3169" s="100"/>
      <c r="AQ3169" s="100"/>
      <c r="AR3169" s="100"/>
      <c r="AS3169" s="100"/>
      <c r="AT3169" s="102"/>
    </row>
    <row r="3170" spans="1:63" x14ac:dyDescent="0.25">
      <c r="A3170" s="92"/>
      <c r="B3170" s="93"/>
      <c r="C3170" s="93"/>
      <c r="D3170" s="92"/>
      <c r="E3170" s="92"/>
      <c r="F3170" s="92"/>
      <c r="G3170" s="92"/>
      <c r="H3170" s="92"/>
      <c r="I3170" s="92"/>
      <c r="J3170" s="92"/>
      <c r="K3170" s="92"/>
      <c r="L3170" s="92"/>
      <c r="M3170" s="92"/>
      <c r="N3170" s="94"/>
      <c r="AG3170" s="100"/>
      <c r="AH3170" s="100"/>
      <c r="AI3170" s="100"/>
      <c r="AJ3170" s="101"/>
      <c r="AK3170" s="100"/>
      <c r="AL3170" s="100"/>
      <c r="AM3170" s="100"/>
      <c r="AN3170" s="100"/>
      <c r="AO3170" s="100"/>
      <c r="AP3170" s="100"/>
      <c r="AQ3170" s="100"/>
      <c r="AR3170" s="100"/>
      <c r="AS3170" s="100"/>
      <c r="AT3170" s="100"/>
    </row>
    <row r="3171" spans="1:63" x14ac:dyDescent="0.25">
      <c r="A3171" s="92"/>
      <c r="B3171" s="93"/>
      <c r="C3171" s="93"/>
      <c r="D3171" s="92"/>
      <c r="E3171" s="92"/>
      <c r="F3171" s="92"/>
      <c r="G3171" s="92"/>
      <c r="H3171" s="92"/>
      <c r="I3171" s="92"/>
      <c r="J3171" s="92"/>
      <c r="K3171" s="92"/>
      <c r="L3171" s="92"/>
      <c r="M3171" s="92"/>
      <c r="N3171" s="94"/>
      <c r="AG3171" s="100"/>
      <c r="AH3171" s="101"/>
      <c r="AI3171" s="101"/>
      <c r="AJ3171" s="101"/>
      <c r="AK3171" s="100"/>
      <c r="AL3171" s="100"/>
      <c r="AM3171" s="100"/>
      <c r="AN3171" s="100"/>
      <c r="AO3171" s="100"/>
      <c r="AP3171" s="100"/>
      <c r="AQ3171" s="100"/>
      <c r="AR3171" s="100"/>
      <c r="AS3171" s="100"/>
      <c r="AT3171" s="102"/>
    </row>
    <row r="3172" spans="1:63" x14ac:dyDescent="0.25">
      <c r="A3172" s="92"/>
      <c r="B3172" s="93"/>
      <c r="C3172" s="93"/>
      <c r="D3172" s="92"/>
      <c r="E3172" s="92"/>
      <c r="F3172" s="92"/>
      <c r="G3172" s="92"/>
      <c r="H3172" s="92"/>
      <c r="I3172" s="92"/>
      <c r="J3172" s="92"/>
      <c r="K3172" s="92"/>
      <c r="L3172" s="92"/>
      <c r="M3172" s="92"/>
      <c r="N3172" s="94"/>
      <c r="AG3172" s="100"/>
      <c r="AH3172" s="101"/>
      <c r="AI3172" s="101"/>
      <c r="AJ3172" s="101"/>
      <c r="AK3172" s="100"/>
      <c r="AL3172" s="100"/>
      <c r="AM3172" s="100"/>
      <c r="AN3172" s="100"/>
      <c r="AO3172" s="100"/>
      <c r="AP3172" s="100"/>
      <c r="AQ3172" s="100"/>
      <c r="AR3172" s="100"/>
      <c r="AS3172" s="100"/>
      <c r="AT3172" s="102"/>
    </row>
    <row r="3173" spans="1:63" x14ac:dyDescent="0.25">
      <c r="A3173" s="92"/>
      <c r="B3173" s="92"/>
      <c r="C3173" s="92"/>
      <c r="D3173" s="92"/>
      <c r="E3173" s="92"/>
      <c r="F3173" s="92"/>
      <c r="G3173" s="92"/>
      <c r="H3173" s="92"/>
      <c r="I3173" s="92"/>
      <c r="J3173" s="92"/>
      <c r="K3173" s="92"/>
      <c r="L3173" s="92"/>
      <c r="M3173" s="92"/>
      <c r="N3173" s="92"/>
      <c r="AG3173" s="100"/>
      <c r="AH3173" s="100"/>
      <c r="AI3173" s="100"/>
      <c r="AJ3173" s="101"/>
      <c r="AK3173" s="100"/>
      <c r="AL3173" s="100"/>
      <c r="AM3173" s="100"/>
      <c r="AN3173" s="100"/>
      <c r="AO3173" s="100"/>
      <c r="AP3173" s="100"/>
      <c r="AQ3173" s="100"/>
      <c r="AR3173" s="100"/>
      <c r="AS3173" s="100"/>
      <c r="AT3173" s="100"/>
      <c r="AZ3173" s="117"/>
      <c r="BK3173" s="39"/>
    </row>
    <row r="3174" spans="1:63" x14ac:dyDescent="0.25">
      <c r="A3174" s="92"/>
      <c r="B3174" s="92"/>
      <c r="C3174" s="92"/>
      <c r="D3174" s="92"/>
      <c r="E3174" s="92"/>
      <c r="F3174" s="92"/>
      <c r="G3174" s="92"/>
      <c r="H3174" s="92"/>
      <c r="I3174" s="92"/>
      <c r="J3174" s="92"/>
      <c r="K3174" s="92"/>
      <c r="L3174" s="92"/>
      <c r="M3174" s="92"/>
      <c r="N3174" s="92"/>
      <c r="AG3174" s="100"/>
      <c r="AH3174" s="100"/>
      <c r="AI3174" s="100"/>
      <c r="AJ3174" s="101"/>
      <c r="AK3174" s="100"/>
      <c r="AL3174" s="100"/>
      <c r="AM3174" s="100"/>
      <c r="AN3174" s="100"/>
      <c r="AO3174" s="100"/>
      <c r="AP3174" s="100"/>
      <c r="AQ3174" s="100"/>
      <c r="AR3174" s="100"/>
      <c r="AS3174" s="100"/>
      <c r="AT3174" s="100"/>
    </row>
    <row r="3175" spans="1:63" x14ac:dyDescent="0.25">
      <c r="A3175" s="92"/>
      <c r="B3175" s="92"/>
      <c r="C3175" s="92"/>
      <c r="D3175" s="92"/>
      <c r="E3175" s="92"/>
      <c r="F3175" s="92"/>
      <c r="G3175" s="92"/>
      <c r="H3175" s="92"/>
      <c r="I3175" s="92"/>
      <c r="J3175" s="92"/>
      <c r="K3175" s="92"/>
      <c r="L3175" s="92"/>
      <c r="M3175" s="92"/>
      <c r="N3175" s="92"/>
      <c r="AG3175" s="100"/>
      <c r="AH3175" s="100"/>
      <c r="AI3175" s="100"/>
      <c r="AJ3175" s="101"/>
      <c r="AK3175" s="100"/>
      <c r="AL3175" s="100"/>
      <c r="AM3175" s="100"/>
      <c r="AN3175" s="100"/>
      <c r="AO3175" s="100"/>
      <c r="AP3175" s="100"/>
      <c r="AQ3175" s="100"/>
      <c r="AR3175" s="100"/>
      <c r="AS3175" s="100"/>
      <c r="AT3175" s="100"/>
    </row>
    <row r="3176" spans="1:63" x14ac:dyDescent="0.25">
      <c r="A3176" s="92"/>
      <c r="B3176" s="92"/>
      <c r="C3176" s="92"/>
      <c r="D3176" s="92"/>
      <c r="E3176" s="92"/>
      <c r="F3176" s="92"/>
      <c r="G3176" s="92"/>
      <c r="H3176" s="92"/>
      <c r="I3176" s="92"/>
      <c r="J3176" s="92"/>
      <c r="K3176" s="92"/>
      <c r="L3176" s="92"/>
      <c r="M3176" s="92"/>
      <c r="N3176" s="92"/>
      <c r="AG3176" s="100"/>
      <c r="AH3176" s="100"/>
      <c r="AI3176" s="100"/>
      <c r="AJ3176" s="101"/>
      <c r="AK3176" s="100"/>
      <c r="AL3176" s="100"/>
      <c r="AM3176" s="100"/>
      <c r="AN3176" s="100"/>
      <c r="AO3176" s="100"/>
      <c r="AP3176" s="100"/>
      <c r="AQ3176" s="100"/>
      <c r="AR3176" s="100"/>
      <c r="AS3176" s="100"/>
      <c r="AT3176" s="100"/>
    </row>
    <row r="3177" spans="1:63" x14ac:dyDescent="0.25">
      <c r="A3177" s="92"/>
      <c r="B3177" s="92"/>
      <c r="C3177" s="92"/>
      <c r="D3177" s="92"/>
      <c r="E3177" s="92"/>
      <c r="F3177" s="92"/>
      <c r="G3177" s="92"/>
      <c r="H3177" s="92"/>
      <c r="I3177" s="92"/>
      <c r="J3177" s="92"/>
      <c r="K3177" s="92"/>
      <c r="L3177" s="92"/>
      <c r="M3177" s="92"/>
      <c r="N3177" s="92"/>
      <c r="AG3177" s="100"/>
      <c r="AH3177" s="101"/>
      <c r="AI3177" s="101"/>
      <c r="AJ3177" s="101"/>
      <c r="AK3177" s="100"/>
      <c r="AL3177" s="100"/>
      <c r="AM3177" s="100"/>
      <c r="AN3177" s="100"/>
      <c r="AO3177" s="100"/>
      <c r="AP3177" s="100"/>
      <c r="AQ3177" s="100"/>
      <c r="AR3177" s="100"/>
      <c r="AS3177" s="100"/>
      <c r="AT3177" s="102"/>
    </row>
    <row r="3178" spans="1:63" x14ac:dyDescent="0.25">
      <c r="A3178" s="92"/>
      <c r="B3178" s="92"/>
      <c r="C3178" s="92"/>
      <c r="D3178" s="92"/>
      <c r="E3178" s="92"/>
      <c r="F3178" s="92"/>
      <c r="G3178" s="92"/>
      <c r="H3178" s="92"/>
      <c r="I3178" s="92"/>
      <c r="J3178" s="92"/>
      <c r="K3178" s="92"/>
      <c r="L3178" s="92"/>
      <c r="M3178" s="92"/>
      <c r="N3178" s="92"/>
      <c r="AG3178" s="100"/>
      <c r="AH3178" s="101"/>
      <c r="AI3178" s="101"/>
      <c r="AJ3178" s="101"/>
      <c r="AK3178" s="100"/>
      <c r="AL3178" s="100"/>
      <c r="AM3178" s="100"/>
      <c r="AN3178" s="100"/>
      <c r="AO3178" s="100"/>
      <c r="AP3178" s="100"/>
      <c r="AQ3178" s="100"/>
      <c r="AR3178" s="100"/>
      <c r="AS3178" s="100"/>
      <c r="AT3178" s="102"/>
      <c r="AZ3178" s="117"/>
      <c r="BK3178" s="39"/>
    </row>
    <row r="3179" spans="1:63" x14ac:dyDescent="0.25">
      <c r="A3179" s="92"/>
      <c r="B3179" s="92"/>
      <c r="C3179" s="92"/>
      <c r="D3179" s="92"/>
      <c r="E3179" s="92"/>
      <c r="F3179" s="92"/>
      <c r="G3179" s="92"/>
      <c r="H3179" s="92"/>
      <c r="I3179" s="92"/>
      <c r="J3179" s="92"/>
      <c r="K3179" s="92"/>
      <c r="L3179" s="92"/>
      <c r="M3179" s="92"/>
      <c r="N3179" s="92"/>
      <c r="AG3179" s="100"/>
      <c r="AH3179" s="101"/>
      <c r="AI3179" s="101"/>
      <c r="AJ3179" s="101"/>
      <c r="AK3179" s="100"/>
      <c r="AL3179" s="100"/>
      <c r="AM3179" s="100"/>
      <c r="AN3179" s="100"/>
      <c r="AO3179" s="100"/>
      <c r="AP3179" s="100"/>
      <c r="AQ3179" s="100"/>
      <c r="AR3179" s="100"/>
      <c r="AS3179" s="100"/>
      <c r="AT3179" s="102"/>
    </row>
    <row r="3180" spans="1:63" x14ac:dyDescent="0.25">
      <c r="A3180" s="92"/>
      <c r="B3180" s="92"/>
      <c r="C3180" s="92"/>
      <c r="D3180" s="92"/>
      <c r="E3180" s="92"/>
      <c r="F3180" s="92"/>
      <c r="G3180" s="92"/>
      <c r="H3180" s="92"/>
      <c r="I3180" s="92"/>
      <c r="J3180" s="92"/>
      <c r="K3180" s="92"/>
      <c r="L3180" s="92"/>
      <c r="M3180" s="92"/>
      <c r="N3180" s="92"/>
      <c r="AG3180" s="100"/>
      <c r="AH3180" s="101"/>
      <c r="AI3180" s="101"/>
      <c r="AJ3180" s="101"/>
      <c r="AK3180" s="100"/>
      <c r="AL3180" s="100"/>
      <c r="AM3180" s="100"/>
      <c r="AN3180" s="100"/>
      <c r="AO3180" s="100"/>
      <c r="AP3180" s="100"/>
      <c r="AQ3180" s="100"/>
      <c r="AR3180" s="100"/>
      <c r="AS3180" s="100"/>
      <c r="AT3180" s="102"/>
      <c r="AZ3180" s="117"/>
      <c r="BK3180" s="39"/>
    </row>
    <row r="3181" spans="1:63" x14ac:dyDescent="0.25">
      <c r="A3181" s="92"/>
      <c r="B3181" s="92"/>
      <c r="C3181" s="92"/>
      <c r="D3181" s="92"/>
      <c r="E3181" s="92"/>
      <c r="F3181" s="92"/>
      <c r="G3181" s="92"/>
      <c r="H3181" s="92"/>
      <c r="I3181" s="92"/>
      <c r="J3181" s="92"/>
      <c r="K3181" s="92"/>
      <c r="L3181" s="92"/>
      <c r="M3181" s="92"/>
      <c r="N3181" s="92"/>
      <c r="AG3181" s="100"/>
      <c r="AH3181" s="101"/>
      <c r="AI3181" s="101"/>
      <c r="AJ3181" s="101"/>
      <c r="AK3181" s="100"/>
      <c r="AL3181" s="100"/>
      <c r="AM3181" s="100"/>
      <c r="AN3181" s="100"/>
      <c r="AO3181" s="100"/>
      <c r="AP3181" s="100"/>
      <c r="AQ3181" s="100"/>
      <c r="AR3181" s="100"/>
      <c r="AS3181" s="100"/>
      <c r="AT3181" s="102"/>
      <c r="AZ3181" s="117"/>
      <c r="BA3181" s="117"/>
      <c r="BK3181" s="39"/>
    </row>
    <row r="3182" spans="1:63" x14ac:dyDescent="0.25">
      <c r="A3182" s="92"/>
      <c r="B3182" s="92"/>
      <c r="C3182" s="92"/>
      <c r="D3182" s="92"/>
      <c r="E3182" s="92"/>
      <c r="F3182" s="92"/>
      <c r="G3182" s="92"/>
      <c r="H3182" s="92"/>
      <c r="I3182" s="92"/>
      <c r="J3182" s="92"/>
      <c r="K3182" s="92"/>
      <c r="L3182" s="92"/>
      <c r="M3182" s="92"/>
      <c r="N3182" s="92"/>
      <c r="AG3182" s="100"/>
      <c r="AH3182" s="101"/>
      <c r="AI3182" s="101"/>
      <c r="AJ3182" s="101"/>
      <c r="AK3182" s="100"/>
      <c r="AL3182" s="100"/>
      <c r="AM3182" s="100"/>
      <c r="AN3182" s="100"/>
      <c r="AO3182" s="100"/>
      <c r="AP3182" s="100"/>
      <c r="AQ3182" s="100"/>
      <c r="AR3182" s="100"/>
      <c r="AS3182" s="100"/>
      <c r="AT3182" s="102"/>
      <c r="AZ3182" s="117"/>
      <c r="BA3182" s="117"/>
      <c r="BK3182" s="39"/>
    </row>
    <row r="3183" spans="1:63" x14ac:dyDescent="0.25">
      <c r="A3183" s="92"/>
      <c r="B3183" s="92"/>
      <c r="C3183" s="92"/>
      <c r="D3183" s="92"/>
      <c r="E3183" s="92"/>
      <c r="F3183" s="92"/>
      <c r="G3183" s="92"/>
      <c r="H3183" s="92"/>
      <c r="I3183" s="92"/>
      <c r="J3183" s="92"/>
      <c r="K3183" s="92"/>
      <c r="L3183" s="92"/>
      <c r="M3183" s="92"/>
      <c r="N3183" s="92"/>
      <c r="AG3183" s="100"/>
      <c r="AH3183" s="101"/>
      <c r="AI3183" s="101"/>
      <c r="AJ3183" s="101"/>
      <c r="AK3183" s="100"/>
      <c r="AL3183" s="100"/>
      <c r="AM3183" s="100"/>
      <c r="AN3183" s="100"/>
      <c r="AO3183" s="100"/>
      <c r="AP3183" s="100"/>
      <c r="AQ3183" s="100"/>
      <c r="AR3183" s="100"/>
      <c r="AS3183" s="100"/>
      <c r="AT3183" s="102"/>
      <c r="AZ3183" s="117"/>
      <c r="BK3183" s="39"/>
    </row>
    <row r="3184" spans="1:63" x14ac:dyDescent="0.25">
      <c r="A3184" s="92"/>
      <c r="B3184" s="93"/>
      <c r="C3184" s="93"/>
      <c r="D3184" s="92"/>
      <c r="E3184" s="92"/>
      <c r="F3184" s="92"/>
      <c r="G3184" s="92"/>
      <c r="H3184" s="92"/>
      <c r="I3184" s="92"/>
      <c r="J3184" s="92"/>
      <c r="K3184" s="92"/>
      <c r="L3184" s="92"/>
      <c r="M3184" s="92"/>
      <c r="N3184" s="94"/>
      <c r="AG3184" s="100"/>
      <c r="AH3184" s="101"/>
      <c r="AI3184" s="101"/>
      <c r="AJ3184" s="101"/>
      <c r="AK3184" s="100"/>
      <c r="AL3184" s="100"/>
      <c r="AM3184" s="100"/>
      <c r="AN3184" s="100"/>
      <c r="AO3184" s="100"/>
      <c r="AP3184" s="100"/>
      <c r="AQ3184" s="100"/>
      <c r="AR3184" s="100"/>
      <c r="AS3184" s="100"/>
      <c r="AT3184" s="102"/>
    </row>
    <row r="3185" spans="1:63" x14ac:dyDescent="0.25">
      <c r="A3185" s="92"/>
      <c r="B3185" s="92"/>
      <c r="C3185" s="92"/>
      <c r="D3185" s="92"/>
      <c r="E3185" s="92"/>
      <c r="F3185" s="92"/>
      <c r="G3185" s="92"/>
      <c r="H3185" s="92"/>
      <c r="I3185" s="92"/>
      <c r="J3185" s="92"/>
      <c r="K3185" s="92"/>
      <c r="L3185" s="92"/>
      <c r="M3185" s="92"/>
      <c r="N3185" s="92"/>
      <c r="AG3185" s="100"/>
      <c r="AH3185" s="101"/>
      <c r="AI3185" s="101"/>
      <c r="AJ3185" s="101"/>
      <c r="AK3185" s="100"/>
      <c r="AL3185" s="100"/>
      <c r="AM3185" s="100"/>
      <c r="AN3185" s="100"/>
      <c r="AO3185" s="100"/>
      <c r="AP3185" s="100"/>
      <c r="AQ3185" s="100"/>
      <c r="AR3185" s="100"/>
      <c r="AS3185" s="100"/>
      <c r="AT3185" s="102"/>
      <c r="AZ3185" s="117"/>
      <c r="BK3185" s="39"/>
    </row>
    <row r="3186" spans="1:63" x14ac:dyDescent="0.25">
      <c r="A3186" s="92"/>
      <c r="B3186" s="92"/>
      <c r="C3186" s="92"/>
      <c r="D3186" s="92"/>
      <c r="E3186" s="92"/>
      <c r="F3186" s="92"/>
      <c r="G3186" s="92"/>
      <c r="H3186" s="92"/>
      <c r="I3186" s="92"/>
      <c r="J3186" s="92"/>
      <c r="K3186" s="92"/>
      <c r="L3186" s="92"/>
      <c r="M3186" s="92"/>
      <c r="N3186" s="92"/>
      <c r="AG3186" s="100"/>
      <c r="AH3186" s="101"/>
      <c r="AI3186" s="101"/>
      <c r="AJ3186" s="101"/>
      <c r="AK3186" s="100"/>
      <c r="AL3186" s="100"/>
      <c r="AM3186" s="100"/>
      <c r="AN3186" s="100"/>
      <c r="AO3186" s="100"/>
      <c r="AP3186" s="100"/>
      <c r="AQ3186" s="100"/>
      <c r="AR3186" s="100"/>
      <c r="AS3186" s="100"/>
      <c r="AT3186" s="102"/>
    </row>
    <row r="3187" spans="1:63" x14ac:dyDescent="0.25">
      <c r="A3187" s="92"/>
      <c r="B3187" s="92"/>
      <c r="C3187" s="92"/>
      <c r="D3187" s="92"/>
      <c r="E3187" s="92"/>
      <c r="F3187" s="92"/>
      <c r="G3187" s="92"/>
      <c r="H3187" s="92"/>
      <c r="I3187" s="92"/>
      <c r="J3187" s="92"/>
      <c r="K3187" s="92"/>
      <c r="L3187" s="92"/>
      <c r="M3187" s="92"/>
      <c r="N3187" s="92"/>
      <c r="AG3187" s="100"/>
      <c r="AH3187" s="101"/>
      <c r="AI3187" s="101"/>
      <c r="AJ3187" s="101"/>
      <c r="AK3187" s="100"/>
      <c r="AL3187" s="100"/>
      <c r="AM3187" s="100"/>
      <c r="AN3187" s="100"/>
      <c r="AO3187" s="100"/>
      <c r="AP3187" s="100"/>
      <c r="AQ3187" s="100"/>
      <c r="AR3187" s="100"/>
      <c r="AS3187" s="100"/>
      <c r="AT3187" s="102"/>
      <c r="AZ3187" s="117"/>
      <c r="BK3187" s="39"/>
    </row>
    <row r="3188" spans="1:63" x14ac:dyDescent="0.25">
      <c r="A3188" s="92"/>
      <c r="B3188" s="92"/>
      <c r="C3188" s="92"/>
      <c r="D3188" s="92"/>
      <c r="E3188" s="92"/>
      <c r="F3188" s="92"/>
      <c r="G3188" s="92"/>
      <c r="H3188" s="92"/>
      <c r="I3188" s="92"/>
      <c r="J3188" s="92"/>
      <c r="K3188" s="92"/>
      <c r="L3188" s="92"/>
      <c r="M3188" s="92"/>
      <c r="N3188" s="92"/>
      <c r="AG3188" s="100"/>
      <c r="AH3188" s="101"/>
      <c r="AI3188" s="101"/>
      <c r="AJ3188" s="101"/>
      <c r="AK3188" s="100"/>
      <c r="AL3188" s="100"/>
      <c r="AM3188" s="100"/>
      <c r="AN3188" s="100"/>
      <c r="AO3188" s="100"/>
      <c r="AP3188" s="100"/>
      <c r="AQ3188" s="100"/>
      <c r="AR3188" s="100"/>
      <c r="AS3188" s="100"/>
      <c r="AT3188" s="102"/>
      <c r="AZ3188" s="117"/>
      <c r="BK3188" s="39"/>
    </row>
    <row r="3189" spans="1:63" x14ac:dyDescent="0.25">
      <c r="A3189" s="92"/>
      <c r="B3189" s="93"/>
      <c r="C3189" s="93"/>
      <c r="D3189" s="92"/>
      <c r="E3189" s="92"/>
      <c r="F3189" s="92"/>
      <c r="G3189" s="92"/>
      <c r="H3189" s="92"/>
      <c r="I3189" s="92"/>
      <c r="J3189" s="92"/>
      <c r="K3189" s="92"/>
      <c r="L3189" s="92"/>
      <c r="M3189" s="92"/>
      <c r="N3189" s="94"/>
      <c r="AG3189" s="100"/>
      <c r="AH3189" s="101"/>
      <c r="AI3189" s="101"/>
      <c r="AJ3189" s="101"/>
      <c r="AK3189" s="100"/>
      <c r="AL3189" s="100"/>
      <c r="AM3189" s="100"/>
      <c r="AN3189" s="100"/>
      <c r="AO3189" s="100"/>
      <c r="AP3189" s="100"/>
      <c r="AQ3189" s="100"/>
      <c r="AR3189" s="100"/>
      <c r="AS3189" s="100"/>
      <c r="AT3189" s="102"/>
      <c r="AZ3189" s="117"/>
      <c r="BK3189" s="39"/>
    </row>
    <row r="3190" spans="1:63" x14ac:dyDescent="0.25">
      <c r="A3190" s="92"/>
      <c r="B3190" s="92"/>
      <c r="C3190" s="92"/>
      <c r="D3190" s="92"/>
      <c r="E3190" s="92"/>
      <c r="F3190" s="92"/>
      <c r="G3190" s="92"/>
      <c r="H3190" s="92"/>
      <c r="I3190" s="92"/>
      <c r="J3190" s="92"/>
      <c r="K3190" s="92"/>
      <c r="L3190" s="92"/>
      <c r="M3190" s="92"/>
      <c r="N3190" s="92"/>
      <c r="AG3190" s="100"/>
      <c r="AH3190" s="100"/>
      <c r="AI3190" s="100"/>
      <c r="AJ3190" s="101"/>
      <c r="AK3190" s="100"/>
      <c r="AL3190" s="100"/>
      <c r="AM3190" s="100"/>
      <c r="AN3190" s="100"/>
      <c r="AO3190" s="100"/>
      <c r="AP3190" s="100"/>
      <c r="AQ3190" s="100"/>
      <c r="AR3190" s="100"/>
      <c r="AS3190" s="100"/>
      <c r="AT3190" s="100"/>
      <c r="AZ3190" s="117"/>
      <c r="BK3190" s="39"/>
    </row>
    <row r="3191" spans="1:63" x14ac:dyDescent="0.25">
      <c r="A3191" s="92"/>
      <c r="B3191" s="93"/>
      <c r="C3191" s="93"/>
      <c r="D3191" s="92"/>
      <c r="E3191" s="92"/>
      <c r="F3191" s="92"/>
      <c r="G3191" s="92"/>
      <c r="H3191" s="92"/>
      <c r="I3191" s="92"/>
      <c r="J3191" s="92"/>
      <c r="K3191" s="92"/>
      <c r="L3191" s="92"/>
      <c r="M3191" s="92"/>
      <c r="N3191" s="94"/>
      <c r="AG3191" s="100"/>
      <c r="AH3191" s="101"/>
      <c r="AI3191" s="101"/>
      <c r="AJ3191" s="101"/>
      <c r="AK3191" s="100"/>
      <c r="AL3191" s="100"/>
      <c r="AM3191" s="100"/>
      <c r="AN3191" s="100"/>
      <c r="AO3191" s="100"/>
      <c r="AP3191" s="100"/>
      <c r="AQ3191" s="100"/>
      <c r="AR3191" s="100"/>
      <c r="AS3191" s="100"/>
      <c r="AT3191" s="102"/>
    </row>
    <row r="3192" spans="1:63" x14ac:dyDescent="0.25">
      <c r="A3192" s="92"/>
      <c r="B3192" s="93"/>
      <c r="C3192" s="93"/>
      <c r="D3192" s="93"/>
      <c r="E3192" s="92"/>
      <c r="F3192" s="92"/>
      <c r="G3192" s="92"/>
      <c r="H3192" s="92"/>
      <c r="I3192" s="92"/>
      <c r="J3192" s="92"/>
      <c r="K3192" s="92"/>
      <c r="L3192" s="92"/>
      <c r="M3192" s="92"/>
      <c r="N3192" s="94"/>
      <c r="AG3192" s="100"/>
      <c r="AH3192" s="100"/>
      <c r="AI3192" s="100"/>
      <c r="AJ3192" s="101"/>
      <c r="AK3192" s="100"/>
      <c r="AL3192" s="100"/>
      <c r="AM3192" s="100"/>
      <c r="AN3192" s="100"/>
      <c r="AO3192" s="100"/>
      <c r="AP3192" s="100"/>
      <c r="AQ3192" s="100"/>
      <c r="AR3192" s="100"/>
      <c r="AS3192" s="100"/>
      <c r="AT3192" s="100"/>
      <c r="AZ3192" s="117"/>
      <c r="BK3192" s="39"/>
    </row>
    <row r="3193" spans="1:63" x14ac:dyDescent="0.25">
      <c r="A3193" s="92"/>
      <c r="B3193" s="93"/>
      <c r="C3193" s="93"/>
      <c r="D3193" s="93"/>
      <c r="E3193" s="92"/>
      <c r="F3193" s="92"/>
      <c r="G3193" s="92"/>
      <c r="H3193" s="92"/>
      <c r="I3193" s="92"/>
      <c r="J3193" s="92"/>
      <c r="K3193" s="92"/>
      <c r="L3193" s="92"/>
      <c r="M3193" s="92"/>
      <c r="N3193" s="94"/>
      <c r="AG3193" s="100"/>
      <c r="AH3193" s="100"/>
      <c r="AI3193" s="100"/>
      <c r="AJ3193" s="101"/>
      <c r="AK3193" s="100"/>
      <c r="AL3193" s="100"/>
      <c r="AM3193" s="100"/>
      <c r="AN3193" s="100"/>
      <c r="AO3193" s="100"/>
      <c r="AP3193" s="100"/>
      <c r="AQ3193" s="100"/>
      <c r="AR3193" s="100"/>
      <c r="AS3193" s="100"/>
      <c r="AT3193" s="100"/>
      <c r="AZ3193" s="117"/>
      <c r="BK3193" s="39"/>
    </row>
    <row r="3194" spans="1:63" x14ac:dyDescent="0.25">
      <c r="A3194" s="92"/>
      <c r="B3194" s="93"/>
      <c r="C3194" s="93"/>
      <c r="D3194" s="92"/>
      <c r="E3194" s="92"/>
      <c r="F3194" s="92"/>
      <c r="G3194" s="92"/>
      <c r="H3194" s="92"/>
      <c r="I3194" s="92"/>
      <c r="J3194" s="92"/>
      <c r="K3194" s="92"/>
      <c r="L3194" s="92"/>
      <c r="M3194" s="92"/>
      <c r="N3194" s="94"/>
      <c r="AG3194" s="100"/>
      <c r="AH3194" s="101"/>
      <c r="AI3194" s="101"/>
      <c r="AJ3194" s="101"/>
      <c r="AK3194" s="100"/>
      <c r="AL3194" s="100"/>
      <c r="AM3194" s="100"/>
      <c r="AN3194" s="100"/>
      <c r="AO3194" s="100"/>
      <c r="AP3194" s="100"/>
      <c r="AQ3194" s="100"/>
      <c r="AR3194" s="100"/>
      <c r="AS3194" s="100"/>
      <c r="AT3194" s="102"/>
      <c r="AZ3194" s="117"/>
      <c r="BK3194" s="39"/>
    </row>
    <row r="3195" spans="1:63" x14ac:dyDescent="0.25">
      <c r="A3195" s="92"/>
      <c r="B3195" s="92"/>
      <c r="C3195" s="92"/>
      <c r="D3195" s="92"/>
      <c r="E3195" s="92"/>
      <c r="F3195" s="92"/>
      <c r="G3195" s="92"/>
      <c r="H3195" s="92"/>
      <c r="I3195" s="92"/>
      <c r="J3195" s="92"/>
      <c r="K3195" s="92"/>
      <c r="L3195" s="92"/>
      <c r="M3195" s="92"/>
      <c r="N3195" s="92"/>
      <c r="AG3195" s="100"/>
      <c r="AH3195" s="101"/>
      <c r="AI3195" s="101"/>
      <c r="AJ3195" s="101"/>
      <c r="AK3195" s="100"/>
      <c r="AL3195" s="100"/>
      <c r="AM3195" s="100"/>
      <c r="AN3195" s="100"/>
      <c r="AO3195" s="100"/>
      <c r="AP3195" s="100"/>
      <c r="AQ3195" s="100"/>
      <c r="AR3195" s="100"/>
      <c r="AS3195" s="100"/>
      <c r="AT3195" s="102"/>
      <c r="AZ3195" s="117"/>
      <c r="BA3195" s="117"/>
      <c r="BK3195" s="39"/>
    </row>
    <row r="3196" spans="1:63" x14ac:dyDescent="0.25">
      <c r="A3196" s="92"/>
      <c r="B3196" s="93"/>
      <c r="C3196" s="93"/>
      <c r="D3196" s="92"/>
      <c r="E3196" s="92"/>
      <c r="F3196" s="92"/>
      <c r="G3196" s="92"/>
      <c r="H3196" s="92"/>
      <c r="I3196" s="92"/>
      <c r="J3196" s="92"/>
      <c r="K3196" s="92"/>
      <c r="L3196" s="92"/>
      <c r="M3196" s="92"/>
      <c r="N3196" s="94"/>
      <c r="AG3196" s="100"/>
      <c r="AH3196" s="101"/>
      <c r="AI3196" s="101"/>
      <c r="AJ3196" s="101"/>
      <c r="AK3196" s="100"/>
      <c r="AL3196" s="100"/>
      <c r="AM3196" s="100"/>
      <c r="AN3196" s="100"/>
      <c r="AO3196" s="100"/>
      <c r="AP3196" s="100"/>
      <c r="AQ3196" s="100"/>
      <c r="AR3196" s="100"/>
      <c r="AS3196" s="100"/>
      <c r="AT3196" s="102"/>
      <c r="AZ3196" s="117"/>
      <c r="BK3196" s="39"/>
    </row>
    <row r="3197" spans="1:63" x14ac:dyDescent="0.25">
      <c r="A3197" s="92"/>
      <c r="B3197" s="92"/>
      <c r="C3197" s="92"/>
      <c r="D3197" s="92"/>
      <c r="E3197" s="92"/>
      <c r="F3197" s="92"/>
      <c r="G3197" s="92"/>
      <c r="H3197" s="92"/>
      <c r="I3197" s="92"/>
      <c r="J3197" s="92"/>
      <c r="K3197" s="92"/>
      <c r="L3197" s="92"/>
      <c r="M3197" s="92"/>
      <c r="N3197" s="92"/>
      <c r="AG3197" s="100"/>
      <c r="AH3197" s="101"/>
      <c r="AI3197" s="101"/>
      <c r="AJ3197" s="101"/>
      <c r="AK3197" s="100"/>
      <c r="AL3197" s="100"/>
      <c r="AM3197" s="100"/>
      <c r="AN3197" s="100"/>
      <c r="AO3197" s="100"/>
      <c r="AP3197" s="100"/>
      <c r="AQ3197" s="100"/>
      <c r="AR3197" s="100"/>
      <c r="AS3197" s="100"/>
      <c r="AT3197" s="102"/>
      <c r="AZ3197" s="117"/>
      <c r="BK3197" s="39"/>
    </row>
    <row r="3198" spans="1:63" x14ac:dyDescent="0.25">
      <c r="A3198" s="92"/>
      <c r="B3198" s="93"/>
      <c r="C3198" s="93"/>
      <c r="D3198" s="92"/>
      <c r="E3198" s="92"/>
      <c r="F3198" s="92"/>
      <c r="G3198" s="92"/>
      <c r="H3198" s="92"/>
      <c r="I3198" s="92"/>
      <c r="J3198" s="92"/>
      <c r="K3198" s="92"/>
      <c r="L3198" s="92"/>
      <c r="M3198" s="92"/>
      <c r="N3198" s="94"/>
      <c r="AG3198" s="100"/>
      <c r="AH3198" s="101"/>
      <c r="AI3198" s="101"/>
      <c r="AJ3198" s="101"/>
      <c r="AK3198" s="100"/>
      <c r="AL3198" s="100"/>
      <c r="AM3198" s="100"/>
      <c r="AN3198" s="100"/>
      <c r="AO3198" s="100"/>
      <c r="AP3198" s="100"/>
      <c r="AQ3198" s="100"/>
      <c r="AR3198" s="100"/>
      <c r="AS3198" s="100"/>
      <c r="AT3198" s="102"/>
      <c r="AZ3198" s="117"/>
      <c r="BK3198" s="39"/>
    </row>
    <row r="3199" spans="1:63" x14ac:dyDescent="0.25">
      <c r="A3199" s="92"/>
      <c r="B3199" s="93"/>
      <c r="C3199" s="93"/>
      <c r="D3199" s="92"/>
      <c r="E3199" s="92"/>
      <c r="F3199" s="92"/>
      <c r="G3199" s="92"/>
      <c r="H3199" s="92"/>
      <c r="I3199" s="92"/>
      <c r="J3199" s="92"/>
      <c r="K3199" s="92"/>
      <c r="L3199" s="92"/>
      <c r="M3199" s="92"/>
      <c r="N3199" s="94"/>
      <c r="AG3199" s="100"/>
      <c r="AH3199" s="101"/>
      <c r="AI3199" s="101"/>
      <c r="AJ3199" s="101"/>
      <c r="AK3199" s="100"/>
      <c r="AL3199" s="100"/>
      <c r="AM3199" s="100"/>
      <c r="AN3199" s="100"/>
      <c r="AO3199" s="100"/>
      <c r="AP3199" s="100"/>
      <c r="AQ3199" s="100"/>
      <c r="AR3199" s="100"/>
      <c r="AS3199" s="100"/>
      <c r="AT3199" s="102"/>
      <c r="AZ3199" s="117"/>
      <c r="BK3199" s="39"/>
    </row>
    <row r="3200" spans="1:63" x14ac:dyDescent="0.25">
      <c r="A3200" s="92"/>
      <c r="B3200" s="93"/>
      <c r="C3200" s="93"/>
      <c r="D3200" s="92"/>
      <c r="E3200" s="92"/>
      <c r="F3200" s="92"/>
      <c r="G3200" s="92"/>
      <c r="H3200" s="92"/>
      <c r="I3200" s="92"/>
      <c r="J3200" s="92"/>
      <c r="K3200" s="92"/>
      <c r="L3200" s="92"/>
      <c r="M3200" s="92"/>
      <c r="N3200" s="94"/>
      <c r="AG3200" s="100"/>
      <c r="AH3200" s="101"/>
      <c r="AI3200" s="101"/>
      <c r="AJ3200" s="101"/>
      <c r="AK3200" s="100"/>
      <c r="AL3200" s="100"/>
      <c r="AM3200" s="100"/>
      <c r="AN3200" s="100"/>
      <c r="AO3200" s="100"/>
      <c r="AP3200" s="100"/>
      <c r="AQ3200" s="100"/>
      <c r="AR3200" s="100"/>
      <c r="AS3200" s="100"/>
      <c r="AT3200" s="102"/>
      <c r="AZ3200" s="117"/>
      <c r="BK3200" s="39"/>
    </row>
    <row r="3201" spans="1:63" x14ac:dyDescent="0.25">
      <c r="A3201" s="92"/>
      <c r="B3201" s="93"/>
      <c r="C3201" s="93"/>
      <c r="D3201" s="92"/>
      <c r="E3201" s="92"/>
      <c r="F3201" s="92"/>
      <c r="G3201" s="92"/>
      <c r="H3201" s="92"/>
      <c r="I3201" s="92"/>
      <c r="J3201" s="92"/>
      <c r="K3201" s="92"/>
      <c r="L3201" s="92"/>
      <c r="M3201" s="92"/>
      <c r="N3201" s="94"/>
      <c r="AG3201" s="100"/>
      <c r="AH3201" s="101"/>
      <c r="AI3201" s="101"/>
      <c r="AJ3201" s="101"/>
      <c r="AK3201" s="100"/>
      <c r="AL3201" s="100"/>
      <c r="AM3201" s="100"/>
      <c r="AN3201" s="100"/>
      <c r="AO3201" s="100"/>
      <c r="AP3201" s="100"/>
      <c r="AQ3201" s="100"/>
      <c r="AR3201" s="100"/>
      <c r="AS3201" s="100"/>
      <c r="AT3201" s="102"/>
      <c r="AZ3201" s="117"/>
      <c r="BK3201" s="39"/>
    </row>
    <row r="3202" spans="1:63" x14ac:dyDescent="0.25">
      <c r="A3202" s="92"/>
      <c r="B3202" s="92"/>
      <c r="C3202" s="92"/>
      <c r="D3202" s="92"/>
      <c r="E3202" s="92"/>
      <c r="F3202" s="92"/>
      <c r="G3202" s="92"/>
      <c r="H3202" s="92"/>
      <c r="I3202" s="92"/>
      <c r="J3202" s="92"/>
      <c r="K3202" s="92"/>
      <c r="L3202" s="92"/>
      <c r="M3202" s="92"/>
      <c r="N3202" s="92"/>
      <c r="AG3202" s="100"/>
      <c r="AH3202" s="101"/>
      <c r="AI3202" s="101"/>
      <c r="AJ3202" s="101"/>
      <c r="AK3202" s="100"/>
      <c r="AL3202" s="100"/>
      <c r="AM3202" s="100"/>
      <c r="AN3202" s="100"/>
      <c r="AO3202" s="100"/>
      <c r="AP3202" s="100"/>
      <c r="AQ3202" s="100"/>
      <c r="AR3202" s="100"/>
      <c r="AS3202" s="100"/>
      <c r="AT3202" s="102"/>
      <c r="AZ3202" s="117"/>
      <c r="BK3202" s="39"/>
    </row>
    <row r="3203" spans="1:63" x14ac:dyDescent="0.25">
      <c r="A3203" s="92"/>
      <c r="B3203" s="93"/>
      <c r="C3203" s="93"/>
      <c r="D3203" s="92"/>
      <c r="E3203" s="92"/>
      <c r="F3203" s="92"/>
      <c r="G3203" s="92"/>
      <c r="H3203" s="92"/>
      <c r="I3203" s="92"/>
      <c r="J3203" s="92"/>
      <c r="K3203" s="92"/>
      <c r="L3203" s="92"/>
      <c r="M3203" s="92"/>
      <c r="N3203" s="94"/>
      <c r="AG3203" s="100"/>
      <c r="AH3203" s="100"/>
      <c r="AI3203" s="100"/>
      <c r="AJ3203" s="101"/>
      <c r="AK3203" s="100"/>
      <c r="AL3203" s="100"/>
      <c r="AM3203" s="100"/>
      <c r="AN3203" s="100"/>
      <c r="AO3203" s="100"/>
      <c r="AP3203" s="100"/>
      <c r="AQ3203" s="100"/>
      <c r="AR3203" s="100"/>
      <c r="AS3203" s="100"/>
      <c r="AT3203" s="100"/>
      <c r="AZ3203" s="117"/>
      <c r="BK3203" s="39"/>
    </row>
    <row r="3204" spans="1:63" x14ac:dyDescent="0.25">
      <c r="A3204" s="92"/>
      <c r="B3204" s="93"/>
      <c r="C3204" s="93"/>
      <c r="D3204" s="92"/>
      <c r="E3204" s="92"/>
      <c r="F3204" s="92"/>
      <c r="G3204" s="92"/>
      <c r="H3204" s="92"/>
      <c r="I3204" s="92"/>
      <c r="J3204" s="92"/>
      <c r="K3204" s="92"/>
      <c r="L3204" s="92"/>
      <c r="M3204" s="92"/>
      <c r="N3204" s="94"/>
      <c r="AG3204" s="100"/>
      <c r="AH3204" s="100"/>
      <c r="AI3204" s="100"/>
      <c r="AJ3204" s="101"/>
      <c r="AK3204" s="100"/>
      <c r="AL3204" s="100"/>
      <c r="AM3204" s="100"/>
      <c r="AN3204" s="100"/>
      <c r="AO3204" s="100"/>
      <c r="AP3204" s="100"/>
      <c r="AQ3204" s="100"/>
      <c r="AR3204" s="100"/>
      <c r="AS3204" s="100"/>
      <c r="AT3204" s="100"/>
      <c r="AZ3204" s="117"/>
      <c r="BK3204" s="39"/>
    </row>
    <row r="3205" spans="1:63" x14ac:dyDescent="0.25">
      <c r="A3205" s="92"/>
      <c r="B3205" s="93"/>
      <c r="C3205" s="93"/>
      <c r="D3205" s="92"/>
      <c r="E3205" s="92"/>
      <c r="F3205" s="92"/>
      <c r="G3205" s="92"/>
      <c r="H3205" s="92"/>
      <c r="I3205" s="92"/>
      <c r="J3205" s="92"/>
      <c r="K3205" s="92"/>
      <c r="L3205" s="92"/>
      <c r="M3205" s="92"/>
      <c r="N3205" s="94"/>
      <c r="AG3205" s="100"/>
      <c r="AH3205" s="101"/>
      <c r="AI3205" s="101"/>
      <c r="AJ3205" s="101"/>
      <c r="AK3205" s="100"/>
      <c r="AL3205" s="100"/>
      <c r="AM3205" s="100"/>
      <c r="AN3205" s="100"/>
      <c r="AO3205" s="100"/>
      <c r="AP3205" s="100"/>
      <c r="AQ3205" s="100"/>
      <c r="AR3205" s="100"/>
      <c r="AS3205" s="100"/>
      <c r="AT3205" s="102"/>
      <c r="AZ3205" s="117"/>
      <c r="BK3205" s="39"/>
    </row>
    <row r="3206" spans="1:63" x14ac:dyDescent="0.25">
      <c r="A3206" s="92"/>
      <c r="B3206" s="93"/>
      <c r="C3206" s="93"/>
      <c r="D3206" s="93"/>
      <c r="E3206" s="92"/>
      <c r="F3206" s="92"/>
      <c r="G3206" s="92"/>
      <c r="H3206" s="92"/>
      <c r="I3206" s="92"/>
      <c r="J3206" s="92"/>
      <c r="K3206" s="92"/>
      <c r="L3206" s="92"/>
      <c r="M3206" s="92"/>
      <c r="N3206" s="94"/>
      <c r="AG3206" s="100"/>
      <c r="AH3206" s="101"/>
      <c r="AI3206" s="101"/>
      <c r="AJ3206" s="101"/>
      <c r="AK3206" s="100"/>
      <c r="AL3206" s="100"/>
      <c r="AM3206" s="100"/>
      <c r="AN3206" s="100"/>
      <c r="AO3206" s="100"/>
      <c r="AP3206" s="100"/>
      <c r="AQ3206" s="100"/>
      <c r="AR3206" s="100"/>
      <c r="AS3206" s="100"/>
      <c r="AT3206" s="102"/>
      <c r="AZ3206" s="117"/>
      <c r="BK3206" s="39"/>
    </row>
    <row r="3207" spans="1:63" x14ac:dyDescent="0.25">
      <c r="A3207" s="92"/>
      <c r="B3207" s="93"/>
      <c r="C3207" s="93"/>
      <c r="D3207" s="92"/>
      <c r="E3207" s="92"/>
      <c r="F3207" s="92"/>
      <c r="G3207" s="92"/>
      <c r="H3207" s="92"/>
      <c r="I3207" s="92"/>
      <c r="J3207" s="92"/>
      <c r="K3207" s="92"/>
      <c r="L3207" s="92"/>
      <c r="M3207" s="92"/>
      <c r="N3207" s="94"/>
      <c r="AG3207" s="100"/>
      <c r="AH3207" s="101"/>
      <c r="AI3207" s="101"/>
      <c r="AJ3207" s="101"/>
      <c r="AK3207" s="100"/>
      <c r="AL3207" s="100"/>
      <c r="AM3207" s="100"/>
      <c r="AN3207" s="100"/>
      <c r="AO3207" s="100"/>
      <c r="AP3207" s="100"/>
      <c r="AQ3207" s="100"/>
      <c r="AR3207" s="100"/>
      <c r="AS3207" s="100"/>
      <c r="AT3207" s="102"/>
      <c r="AZ3207" s="117"/>
      <c r="BK3207" s="39"/>
    </row>
    <row r="3208" spans="1:63" x14ac:dyDescent="0.25">
      <c r="A3208" s="92"/>
      <c r="B3208" s="93"/>
      <c r="C3208" s="93"/>
      <c r="D3208" s="92"/>
      <c r="E3208" s="92"/>
      <c r="F3208" s="92"/>
      <c r="G3208" s="92"/>
      <c r="H3208" s="92"/>
      <c r="I3208" s="92"/>
      <c r="J3208" s="92"/>
      <c r="K3208" s="92"/>
      <c r="L3208" s="92"/>
      <c r="M3208" s="92"/>
      <c r="N3208" s="94"/>
      <c r="AG3208" s="100"/>
      <c r="AH3208" s="100"/>
      <c r="AI3208" s="100"/>
      <c r="AJ3208" s="101"/>
      <c r="AK3208" s="100"/>
      <c r="AL3208" s="100"/>
      <c r="AM3208" s="100"/>
      <c r="AN3208" s="100"/>
      <c r="AO3208" s="100"/>
      <c r="AP3208" s="100"/>
      <c r="AQ3208" s="100"/>
      <c r="AR3208" s="100"/>
      <c r="AS3208" s="100"/>
      <c r="AT3208" s="100"/>
      <c r="AZ3208" s="117"/>
      <c r="BK3208" s="39"/>
    </row>
    <row r="3209" spans="1:63" x14ac:dyDescent="0.25">
      <c r="A3209" s="92"/>
      <c r="B3209" s="93"/>
      <c r="C3209" s="93"/>
      <c r="D3209" s="92"/>
      <c r="E3209" s="92"/>
      <c r="F3209" s="92"/>
      <c r="G3209" s="92"/>
      <c r="H3209" s="92"/>
      <c r="I3209" s="92"/>
      <c r="J3209" s="92"/>
      <c r="K3209" s="92"/>
      <c r="L3209" s="92"/>
      <c r="M3209" s="92"/>
      <c r="N3209" s="94"/>
      <c r="AG3209" s="100"/>
      <c r="AH3209" s="100"/>
      <c r="AI3209" s="100"/>
      <c r="AJ3209" s="101"/>
      <c r="AK3209" s="100"/>
      <c r="AL3209" s="100"/>
      <c r="AM3209" s="100"/>
      <c r="AN3209" s="100"/>
      <c r="AO3209" s="100"/>
      <c r="AP3209" s="100"/>
      <c r="AQ3209" s="100"/>
      <c r="AR3209" s="100"/>
      <c r="AS3209" s="100"/>
      <c r="AT3209" s="100"/>
      <c r="AZ3209" s="117"/>
      <c r="BK3209" s="39"/>
    </row>
    <row r="3210" spans="1:63" x14ac:dyDescent="0.25">
      <c r="A3210" s="92"/>
      <c r="B3210" s="93"/>
      <c r="C3210" s="93"/>
      <c r="D3210" s="92"/>
      <c r="E3210" s="92"/>
      <c r="F3210" s="92"/>
      <c r="G3210" s="92"/>
      <c r="H3210" s="92"/>
      <c r="I3210" s="92"/>
      <c r="J3210" s="92"/>
      <c r="K3210" s="92"/>
      <c r="L3210" s="92"/>
      <c r="M3210" s="92"/>
      <c r="N3210" s="94"/>
      <c r="AG3210" s="100"/>
      <c r="AH3210" s="101"/>
      <c r="AI3210" s="101"/>
      <c r="AJ3210" s="101"/>
      <c r="AK3210" s="100"/>
      <c r="AL3210" s="100"/>
      <c r="AM3210" s="100"/>
      <c r="AN3210" s="100"/>
      <c r="AO3210" s="100"/>
      <c r="AP3210" s="100"/>
      <c r="AQ3210" s="100"/>
      <c r="AR3210" s="100"/>
      <c r="AS3210" s="100"/>
      <c r="AT3210" s="102"/>
      <c r="AZ3210" s="117"/>
      <c r="BK3210" s="39"/>
    </row>
    <row r="3211" spans="1:63" x14ac:dyDescent="0.25">
      <c r="A3211" s="92"/>
      <c r="B3211" s="93"/>
      <c r="C3211" s="93"/>
      <c r="D3211" s="92"/>
      <c r="E3211" s="92"/>
      <c r="F3211" s="92"/>
      <c r="G3211" s="92"/>
      <c r="H3211" s="92"/>
      <c r="I3211" s="92"/>
      <c r="J3211" s="92"/>
      <c r="K3211" s="92"/>
      <c r="L3211" s="92"/>
      <c r="M3211" s="92"/>
      <c r="N3211" s="94"/>
      <c r="AG3211" s="100"/>
      <c r="AH3211" s="101"/>
      <c r="AI3211" s="101"/>
      <c r="AJ3211" s="101"/>
      <c r="AK3211" s="100"/>
      <c r="AL3211" s="100"/>
      <c r="AM3211" s="100"/>
      <c r="AN3211" s="100"/>
      <c r="AO3211" s="100"/>
      <c r="AP3211" s="100"/>
      <c r="AQ3211" s="100"/>
      <c r="AR3211" s="100"/>
      <c r="AS3211" s="100"/>
      <c r="AT3211" s="102"/>
      <c r="AZ3211" s="117"/>
      <c r="BK3211" s="39"/>
    </row>
    <row r="3212" spans="1:63" x14ac:dyDescent="0.25">
      <c r="A3212" s="92"/>
      <c r="B3212" s="93"/>
      <c r="C3212" s="93"/>
      <c r="D3212" s="92"/>
      <c r="E3212" s="92"/>
      <c r="F3212" s="92"/>
      <c r="G3212" s="92"/>
      <c r="H3212" s="92"/>
      <c r="I3212" s="92"/>
      <c r="J3212" s="92"/>
      <c r="K3212" s="92"/>
      <c r="L3212" s="92"/>
      <c r="M3212" s="92"/>
      <c r="N3212" s="94"/>
      <c r="AG3212" s="100"/>
      <c r="AH3212" s="101"/>
      <c r="AI3212" s="101"/>
      <c r="AJ3212" s="101"/>
      <c r="AK3212" s="100"/>
      <c r="AL3212" s="100"/>
      <c r="AM3212" s="100"/>
      <c r="AN3212" s="100"/>
      <c r="AO3212" s="100"/>
      <c r="AP3212" s="100"/>
      <c r="AQ3212" s="100"/>
      <c r="AR3212" s="100"/>
      <c r="AS3212" s="100"/>
      <c r="AT3212" s="102"/>
      <c r="AZ3212" s="117"/>
      <c r="BK3212" s="39"/>
    </row>
    <row r="3213" spans="1:63" x14ac:dyDescent="0.25">
      <c r="A3213" s="92"/>
      <c r="B3213" s="93"/>
      <c r="C3213" s="93"/>
      <c r="D3213" s="92"/>
      <c r="E3213" s="92"/>
      <c r="F3213" s="92"/>
      <c r="G3213" s="92"/>
      <c r="H3213" s="92"/>
      <c r="I3213" s="92"/>
      <c r="J3213" s="92"/>
      <c r="K3213" s="92"/>
      <c r="L3213" s="92"/>
      <c r="M3213" s="92"/>
      <c r="N3213" s="94"/>
      <c r="AG3213" s="100"/>
      <c r="AH3213" s="101"/>
      <c r="AI3213" s="101"/>
      <c r="AJ3213" s="101"/>
      <c r="AK3213" s="100"/>
      <c r="AL3213" s="100"/>
      <c r="AM3213" s="100"/>
      <c r="AN3213" s="100"/>
      <c r="AO3213" s="100"/>
      <c r="AP3213" s="100"/>
      <c r="AQ3213" s="100"/>
      <c r="AR3213" s="100"/>
      <c r="AS3213" s="100"/>
      <c r="AT3213" s="102"/>
      <c r="AZ3213" s="117"/>
      <c r="BA3213" s="117"/>
      <c r="BK3213" s="39"/>
    </row>
    <row r="3214" spans="1:63" x14ac:dyDescent="0.25">
      <c r="A3214" s="92"/>
      <c r="B3214" s="93"/>
      <c r="C3214" s="93"/>
      <c r="D3214" s="92"/>
      <c r="E3214" s="92"/>
      <c r="F3214" s="92"/>
      <c r="G3214" s="92"/>
      <c r="H3214" s="92"/>
      <c r="I3214" s="92"/>
      <c r="J3214" s="92"/>
      <c r="K3214" s="92"/>
      <c r="L3214" s="92"/>
      <c r="M3214" s="92"/>
      <c r="N3214" s="94"/>
      <c r="AG3214" s="100"/>
      <c r="AH3214" s="101"/>
      <c r="AI3214" s="101"/>
      <c r="AJ3214" s="101"/>
      <c r="AK3214" s="100"/>
      <c r="AL3214" s="100"/>
      <c r="AM3214" s="100"/>
      <c r="AN3214" s="100"/>
      <c r="AO3214" s="100"/>
      <c r="AP3214" s="100"/>
      <c r="AQ3214" s="100"/>
      <c r="AR3214" s="100"/>
      <c r="AS3214" s="100"/>
      <c r="AT3214" s="102"/>
      <c r="AZ3214" s="117"/>
      <c r="BA3214" s="117"/>
      <c r="BK3214" s="39"/>
    </row>
    <row r="3215" spans="1:63" x14ac:dyDescent="0.25">
      <c r="A3215" s="92"/>
      <c r="B3215" s="93"/>
      <c r="C3215" s="93"/>
      <c r="D3215" s="92"/>
      <c r="E3215" s="92"/>
      <c r="F3215" s="92"/>
      <c r="G3215" s="92"/>
      <c r="H3215" s="92"/>
      <c r="I3215" s="92"/>
      <c r="J3215" s="92"/>
      <c r="K3215" s="92"/>
      <c r="L3215" s="92"/>
      <c r="M3215" s="92"/>
      <c r="N3215" s="94"/>
      <c r="AG3215" s="100"/>
      <c r="AH3215" s="101"/>
      <c r="AI3215" s="101"/>
      <c r="AJ3215" s="101"/>
      <c r="AK3215" s="100"/>
      <c r="AL3215" s="100"/>
      <c r="AM3215" s="100"/>
      <c r="AN3215" s="100"/>
      <c r="AO3215" s="100"/>
      <c r="AP3215" s="100"/>
      <c r="AQ3215" s="100"/>
      <c r="AR3215" s="100"/>
      <c r="AS3215" s="100"/>
      <c r="AT3215" s="102"/>
      <c r="BA3215" s="117"/>
    </row>
    <row r="3216" spans="1:63" x14ac:dyDescent="0.25">
      <c r="A3216" s="92"/>
      <c r="B3216" s="93"/>
      <c r="C3216" s="93"/>
      <c r="D3216" s="92"/>
      <c r="E3216" s="92"/>
      <c r="F3216" s="92"/>
      <c r="G3216" s="92"/>
      <c r="H3216" s="92"/>
      <c r="I3216" s="92"/>
      <c r="J3216" s="92"/>
      <c r="K3216" s="92"/>
      <c r="L3216" s="92"/>
      <c r="M3216" s="92"/>
      <c r="N3216" s="94"/>
      <c r="AG3216" s="100"/>
      <c r="AH3216" s="101"/>
      <c r="AI3216" s="101"/>
      <c r="AJ3216" s="101"/>
      <c r="AK3216" s="100"/>
      <c r="AL3216" s="100"/>
      <c r="AM3216" s="100"/>
      <c r="AN3216" s="100"/>
      <c r="AO3216" s="100"/>
      <c r="AP3216" s="100"/>
      <c r="AQ3216" s="100"/>
      <c r="AR3216" s="100"/>
      <c r="AS3216" s="100"/>
      <c r="AT3216" s="102"/>
      <c r="BA3216" s="117"/>
    </row>
    <row r="3217" spans="1:63" x14ac:dyDescent="0.25">
      <c r="A3217" s="92"/>
      <c r="B3217" s="93"/>
      <c r="C3217" s="93"/>
      <c r="D3217" s="92"/>
      <c r="E3217" s="92"/>
      <c r="F3217" s="92"/>
      <c r="G3217" s="92"/>
      <c r="H3217" s="92"/>
      <c r="I3217" s="92"/>
      <c r="J3217" s="92"/>
      <c r="K3217" s="92"/>
      <c r="L3217" s="92"/>
      <c r="M3217" s="92"/>
      <c r="N3217" s="94"/>
      <c r="AG3217" s="100"/>
      <c r="AH3217" s="100"/>
      <c r="AI3217" s="100"/>
      <c r="AJ3217" s="101"/>
      <c r="AK3217" s="100"/>
      <c r="AL3217" s="100"/>
      <c r="AM3217" s="100"/>
      <c r="AN3217" s="100"/>
      <c r="AO3217" s="100"/>
      <c r="AP3217" s="100"/>
      <c r="AQ3217" s="100"/>
      <c r="AR3217" s="100"/>
      <c r="AS3217" s="100"/>
      <c r="AT3217" s="100"/>
      <c r="BA3217" s="117"/>
    </row>
    <row r="3218" spans="1:63" x14ac:dyDescent="0.25">
      <c r="A3218" s="92"/>
      <c r="B3218" s="93"/>
      <c r="C3218" s="93"/>
      <c r="D3218" s="92"/>
      <c r="E3218" s="92"/>
      <c r="F3218" s="92"/>
      <c r="G3218" s="92"/>
      <c r="H3218" s="92"/>
      <c r="I3218" s="92"/>
      <c r="J3218" s="92"/>
      <c r="K3218" s="92"/>
      <c r="L3218" s="92"/>
      <c r="M3218" s="92"/>
      <c r="N3218" s="94"/>
      <c r="AG3218" s="100"/>
      <c r="AH3218" s="100"/>
      <c r="AI3218" s="100"/>
      <c r="AJ3218" s="101"/>
      <c r="AK3218" s="100"/>
      <c r="AL3218" s="100"/>
      <c r="AM3218" s="100"/>
      <c r="AN3218" s="100"/>
      <c r="AO3218" s="100"/>
      <c r="AP3218" s="100"/>
      <c r="AQ3218" s="100"/>
      <c r="AR3218" s="100"/>
      <c r="AS3218" s="100"/>
      <c r="AT3218" s="100"/>
      <c r="AZ3218" s="117"/>
      <c r="BK3218" s="39"/>
    </row>
    <row r="3219" spans="1:63" x14ac:dyDescent="0.25">
      <c r="A3219" s="92"/>
      <c r="B3219" s="93"/>
      <c r="C3219" s="93"/>
      <c r="D3219" s="92"/>
      <c r="E3219" s="92"/>
      <c r="F3219" s="92"/>
      <c r="G3219" s="92"/>
      <c r="H3219" s="92"/>
      <c r="I3219" s="92"/>
      <c r="J3219" s="92"/>
      <c r="K3219" s="92"/>
      <c r="L3219" s="92"/>
      <c r="M3219" s="92"/>
      <c r="N3219" s="94"/>
      <c r="AG3219" s="100"/>
      <c r="AH3219" s="100"/>
      <c r="AI3219" s="100"/>
      <c r="AJ3219" s="101"/>
      <c r="AK3219" s="100"/>
      <c r="AL3219" s="100"/>
      <c r="AM3219" s="100"/>
      <c r="AN3219" s="100"/>
      <c r="AO3219" s="100"/>
      <c r="AP3219" s="100"/>
      <c r="AQ3219" s="100"/>
      <c r="AR3219" s="100"/>
      <c r="AS3219" s="100"/>
      <c r="AT3219" s="100"/>
      <c r="AZ3219" s="117"/>
      <c r="BK3219" s="39"/>
    </row>
    <row r="3220" spans="1:63" x14ac:dyDescent="0.25">
      <c r="A3220" s="92"/>
      <c r="B3220" s="93"/>
      <c r="C3220" s="93"/>
      <c r="D3220" s="92"/>
      <c r="E3220" s="92"/>
      <c r="F3220" s="92"/>
      <c r="G3220" s="92"/>
      <c r="H3220" s="92"/>
      <c r="I3220" s="92"/>
      <c r="J3220" s="92"/>
      <c r="K3220" s="92"/>
      <c r="L3220" s="92"/>
      <c r="M3220" s="92"/>
      <c r="N3220" s="94"/>
      <c r="AG3220" s="100"/>
      <c r="AH3220" s="100"/>
      <c r="AI3220" s="100"/>
      <c r="AJ3220" s="101"/>
      <c r="AK3220" s="100"/>
      <c r="AL3220" s="100"/>
      <c r="AM3220" s="100"/>
      <c r="AN3220" s="100"/>
      <c r="AO3220" s="100"/>
      <c r="AP3220" s="100"/>
      <c r="AQ3220" s="100"/>
      <c r="AR3220" s="100"/>
      <c r="AS3220" s="100"/>
      <c r="AT3220" s="100"/>
      <c r="AZ3220" s="117"/>
      <c r="BK3220" s="39"/>
    </row>
    <row r="3221" spans="1:63" x14ac:dyDescent="0.25">
      <c r="A3221" s="92"/>
      <c r="B3221" s="93"/>
      <c r="C3221" s="93"/>
      <c r="D3221" s="92"/>
      <c r="E3221" s="92"/>
      <c r="F3221" s="92"/>
      <c r="G3221" s="92"/>
      <c r="H3221" s="92"/>
      <c r="I3221" s="92"/>
      <c r="J3221" s="92"/>
      <c r="K3221" s="92"/>
      <c r="L3221" s="92"/>
      <c r="M3221" s="92"/>
      <c r="N3221" s="94"/>
      <c r="AG3221" s="100"/>
      <c r="AH3221" s="101"/>
      <c r="AI3221" s="101"/>
      <c r="AJ3221" s="101"/>
      <c r="AK3221" s="100"/>
      <c r="AL3221" s="100"/>
      <c r="AM3221" s="100"/>
      <c r="AN3221" s="100"/>
      <c r="AO3221" s="100"/>
      <c r="AP3221" s="100"/>
      <c r="AQ3221" s="100"/>
      <c r="AR3221" s="100"/>
      <c r="AS3221" s="100"/>
      <c r="AT3221" s="102"/>
      <c r="AZ3221" s="117"/>
      <c r="BK3221" s="39"/>
    </row>
    <row r="3222" spans="1:63" x14ac:dyDescent="0.25">
      <c r="A3222" s="92"/>
      <c r="B3222" s="93"/>
      <c r="C3222" s="93"/>
      <c r="D3222" s="92"/>
      <c r="E3222" s="92"/>
      <c r="F3222" s="92"/>
      <c r="G3222" s="92"/>
      <c r="H3222" s="92"/>
      <c r="I3222" s="92"/>
      <c r="J3222" s="92"/>
      <c r="K3222" s="92"/>
      <c r="L3222" s="92"/>
      <c r="M3222" s="92"/>
      <c r="N3222" s="94"/>
      <c r="AG3222" s="100"/>
      <c r="AH3222" s="101"/>
      <c r="AI3222" s="101"/>
      <c r="AJ3222" s="101"/>
      <c r="AK3222" s="100"/>
      <c r="AL3222" s="100"/>
      <c r="AM3222" s="100"/>
      <c r="AN3222" s="100"/>
      <c r="AO3222" s="100"/>
      <c r="AP3222" s="100"/>
      <c r="AQ3222" s="100"/>
      <c r="AR3222" s="100"/>
      <c r="AS3222" s="100"/>
      <c r="AT3222" s="102"/>
      <c r="AZ3222" s="117"/>
      <c r="BA3222" s="117"/>
      <c r="BK3222" s="39"/>
    </row>
    <row r="3223" spans="1:63" x14ac:dyDescent="0.25">
      <c r="A3223" s="92"/>
      <c r="B3223" s="93"/>
      <c r="C3223" s="93"/>
      <c r="D3223" s="92"/>
      <c r="E3223" s="92"/>
      <c r="F3223" s="92"/>
      <c r="G3223" s="92"/>
      <c r="H3223" s="92"/>
      <c r="I3223" s="92"/>
      <c r="J3223" s="92"/>
      <c r="K3223" s="92"/>
      <c r="L3223" s="92"/>
      <c r="M3223" s="92"/>
      <c r="N3223" s="94"/>
      <c r="AG3223" s="100"/>
      <c r="AH3223" s="101"/>
      <c r="AI3223" s="101"/>
      <c r="AJ3223" s="101"/>
      <c r="AK3223" s="100"/>
      <c r="AL3223" s="100"/>
      <c r="AM3223" s="100"/>
      <c r="AN3223" s="100"/>
      <c r="AO3223" s="100"/>
      <c r="AP3223" s="100"/>
      <c r="AQ3223" s="100"/>
      <c r="AR3223" s="100"/>
      <c r="AS3223" s="100"/>
      <c r="AT3223" s="102"/>
    </row>
    <row r="3224" spans="1:63" x14ac:dyDescent="0.25">
      <c r="A3224" s="92"/>
      <c r="B3224" s="93"/>
      <c r="C3224" s="93"/>
      <c r="D3224" s="93"/>
      <c r="E3224" s="92"/>
      <c r="F3224" s="92"/>
      <c r="G3224" s="92"/>
      <c r="H3224" s="92"/>
      <c r="I3224" s="92"/>
      <c r="J3224" s="92"/>
      <c r="K3224" s="92"/>
      <c r="L3224" s="92"/>
      <c r="M3224" s="92"/>
      <c r="N3224" s="94"/>
      <c r="AG3224" s="100"/>
      <c r="AH3224" s="101"/>
      <c r="AI3224" s="101"/>
      <c r="AJ3224" s="101"/>
      <c r="AK3224" s="100"/>
      <c r="AL3224" s="100"/>
      <c r="AM3224" s="100"/>
      <c r="AN3224" s="100"/>
      <c r="AO3224" s="100"/>
      <c r="AP3224" s="100"/>
      <c r="AQ3224" s="100"/>
      <c r="AR3224" s="100"/>
      <c r="AS3224" s="100"/>
      <c r="AT3224" s="102"/>
      <c r="AZ3224" s="117"/>
      <c r="BK3224" s="39"/>
    </row>
    <row r="3225" spans="1:63" x14ac:dyDescent="0.25">
      <c r="A3225" s="92"/>
      <c r="B3225" s="93"/>
      <c r="C3225" s="93"/>
      <c r="D3225" s="93"/>
      <c r="E3225" s="92"/>
      <c r="F3225" s="92"/>
      <c r="G3225" s="92"/>
      <c r="H3225" s="92"/>
      <c r="I3225" s="92"/>
      <c r="J3225" s="92"/>
      <c r="K3225" s="92"/>
      <c r="L3225" s="92"/>
      <c r="M3225" s="92"/>
      <c r="N3225" s="94"/>
      <c r="AG3225" s="100"/>
      <c r="AH3225" s="101"/>
      <c r="AI3225" s="101"/>
      <c r="AJ3225" s="101"/>
      <c r="AK3225" s="100"/>
      <c r="AL3225" s="100"/>
      <c r="AM3225" s="100"/>
      <c r="AN3225" s="100"/>
      <c r="AO3225" s="100"/>
      <c r="AP3225" s="100"/>
      <c r="AQ3225" s="100"/>
      <c r="AR3225" s="100"/>
      <c r="AS3225" s="100"/>
      <c r="AT3225" s="102"/>
      <c r="AZ3225" s="117"/>
      <c r="BK3225" s="39"/>
    </row>
    <row r="3226" spans="1:63" x14ac:dyDescent="0.25">
      <c r="A3226" s="92"/>
      <c r="B3226" s="92"/>
      <c r="C3226" s="92"/>
      <c r="D3226" s="93"/>
      <c r="E3226" s="92"/>
      <c r="F3226" s="92"/>
      <c r="G3226" s="92"/>
      <c r="H3226" s="92"/>
      <c r="I3226" s="92"/>
      <c r="J3226" s="92"/>
      <c r="K3226" s="92"/>
      <c r="L3226" s="92"/>
      <c r="M3226" s="92"/>
      <c r="N3226" s="92"/>
      <c r="AG3226" s="100"/>
      <c r="AH3226" s="101"/>
      <c r="AI3226" s="100"/>
      <c r="AJ3226" s="101"/>
      <c r="AK3226" s="100"/>
      <c r="AL3226" s="100"/>
      <c r="AM3226" s="100"/>
      <c r="AN3226" s="100"/>
      <c r="AO3226" s="100"/>
      <c r="AP3226" s="100"/>
      <c r="AQ3226" s="100"/>
      <c r="AR3226" s="100"/>
      <c r="AS3226" s="100"/>
      <c r="AT3226" s="102"/>
      <c r="AZ3226" s="117"/>
      <c r="BA3226" s="117"/>
      <c r="BK3226" s="39"/>
    </row>
    <row r="3227" spans="1:63" x14ac:dyDescent="0.25">
      <c r="A3227" s="92"/>
      <c r="B3227" s="92"/>
      <c r="C3227" s="92"/>
      <c r="D3227" s="93"/>
      <c r="E3227" s="92"/>
      <c r="F3227" s="92"/>
      <c r="G3227" s="92"/>
      <c r="H3227" s="92"/>
      <c r="I3227" s="92"/>
      <c r="J3227" s="92"/>
      <c r="K3227" s="92"/>
      <c r="L3227" s="92"/>
      <c r="M3227" s="92"/>
      <c r="N3227" s="92"/>
      <c r="AG3227" s="100"/>
      <c r="AH3227" s="101"/>
      <c r="AI3227" s="101"/>
      <c r="AJ3227" s="101"/>
      <c r="AK3227" s="100"/>
      <c r="AL3227" s="100"/>
      <c r="AM3227" s="100"/>
      <c r="AN3227" s="100"/>
      <c r="AO3227" s="100"/>
      <c r="AP3227" s="100"/>
      <c r="AQ3227" s="100"/>
      <c r="AR3227" s="100"/>
      <c r="AS3227" s="100"/>
      <c r="AT3227" s="102"/>
      <c r="BA3227" s="117"/>
    </row>
    <row r="3228" spans="1:63" x14ac:dyDescent="0.25">
      <c r="A3228" s="92"/>
      <c r="B3228" s="92"/>
      <c r="C3228" s="92"/>
      <c r="D3228" s="93"/>
      <c r="E3228" s="92"/>
      <c r="F3228" s="92"/>
      <c r="G3228" s="92"/>
      <c r="H3228" s="92"/>
      <c r="I3228" s="92"/>
      <c r="J3228" s="92"/>
      <c r="K3228" s="92"/>
      <c r="L3228" s="92"/>
      <c r="M3228" s="92"/>
      <c r="N3228" s="92"/>
      <c r="AG3228" s="100"/>
      <c r="AH3228" s="101"/>
      <c r="AI3228" s="101"/>
      <c r="AJ3228" s="101"/>
      <c r="AK3228" s="100"/>
      <c r="AL3228" s="100"/>
      <c r="AM3228" s="100"/>
      <c r="AN3228" s="100"/>
      <c r="AO3228" s="100"/>
      <c r="AP3228" s="100"/>
      <c r="AQ3228" s="100"/>
      <c r="AR3228" s="100"/>
      <c r="AS3228" s="100"/>
      <c r="AT3228" s="102"/>
      <c r="BA3228" s="117"/>
    </row>
    <row r="3229" spans="1:63" x14ac:dyDescent="0.25">
      <c r="A3229" s="92"/>
      <c r="B3229" s="92"/>
      <c r="C3229" s="92"/>
      <c r="D3229" s="93"/>
      <c r="E3229" s="92"/>
      <c r="F3229" s="92"/>
      <c r="G3229" s="92"/>
      <c r="H3229" s="92"/>
      <c r="I3229" s="92"/>
      <c r="J3229" s="92"/>
      <c r="K3229" s="92"/>
      <c r="L3229" s="92"/>
      <c r="M3229" s="92"/>
      <c r="N3229" s="92"/>
      <c r="AG3229" s="100"/>
      <c r="AH3229" s="100"/>
      <c r="AI3229" s="100"/>
      <c r="AJ3229" s="101"/>
      <c r="AK3229" s="100"/>
      <c r="AL3229" s="100"/>
      <c r="AM3229" s="100"/>
      <c r="AN3229" s="100"/>
      <c r="AO3229" s="100"/>
      <c r="AP3229" s="100"/>
      <c r="AQ3229" s="100"/>
      <c r="AR3229" s="100"/>
      <c r="AS3229" s="100"/>
      <c r="AT3229" s="100"/>
      <c r="AZ3229" s="117"/>
      <c r="BK3229" s="39"/>
    </row>
    <row r="3230" spans="1:63" x14ac:dyDescent="0.25">
      <c r="A3230" s="92"/>
      <c r="B3230" s="93"/>
      <c r="C3230" s="93"/>
      <c r="D3230" s="92"/>
      <c r="E3230" s="92"/>
      <c r="F3230" s="92"/>
      <c r="G3230" s="92"/>
      <c r="H3230" s="92"/>
      <c r="I3230" s="92"/>
      <c r="J3230" s="92"/>
      <c r="K3230" s="92"/>
      <c r="L3230" s="92"/>
      <c r="M3230" s="92"/>
      <c r="N3230" s="94"/>
      <c r="AG3230" s="100"/>
      <c r="AH3230" s="100"/>
      <c r="AI3230" s="100"/>
      <c r="AJ3230" s="101"/>
      <c r="AK3230" s="100"/>
      <c r="AL3230" s="100"/>
      <c r="AM3230" s="100"/>
      <c r="AN3230" s="100"/>
      <c r="AO3230" s="100"/>
      <c r="AP3230" s="100"/>
      <c r="AQ3230" s="100"/>
      <c r="AR3230" s="100"/>
      <c r="AS3230" s="100"/>
      <c r="AT3230" s="100"/>
      <c r="AZ3230" s="117"/>
      <c r="BK3230" s="39"/>
    </row>
    <row r="3231" spans="1:63" x14ac:dyDescent="0.25">
      <c r="A3231" s="92"/>
      <c r="B3231" s="93"/>
      <c r="C3231" s="93"/>
      <c r="D3231" s="92"/>
      <c r="E3231" s="92"/>
      <c r="F3231" s="92"/>
      <c r="G3231" s="92"/>
      <c r="H3231" s="92"/>
      <c r="I3231" s="92"/>
      <c r="J3231" s="92"/>
      <c r="K3231" s="92"/>
      <c r="L3231" s="92"/>
      <c r="M3231" s="92"/>
      <c r="N3231" s="94"/>
      <c r="AG3231" s="100"/>
      <c r="AH3231" s="101"/>
      <c r="AI3231" s="101"/>
      <c r="AJ3231" s="101"/>
      <c r="AK3231" s="100"/>
      <c r="AL3231" s="100"/>
      <c r="AM3231" s="100"/>
      <c r="AN3231" s="100"/>
      <c r="AO3231" s="100"/>
      <c r="AP3231" s="100"/>
      <c r="AQ3231" s="100"/>
      <c r="AR3231" s="100"/>
      <c r="AS3231" s="100"/>
      <c r="AT3231" s="102"/>
    </row>
    <row r="3232" spans="1:63" x14ac:dyDescent="0.25">
      <c r="A3232" s="92"/>
      <c r="B3232" s="93"/>
      <c r="C3232" s="93"/>
      <c r="D3232" s="92"/>
      <c r="E3232" s="92"/>
      <c r="F3232" s="92"/>
      <c r="G3232" s="92"/>
      <c r="H3232" s="92"/>
      <c r="I3232" s="92"/>
      <c r="J3232" s="92"/>
      <c r="K3232" s="92"/>
      <c r="L3232" s="92"/>
      <c r="M3232" s="92"/>
      <c r="N3232" s="94"/>
      <c r="AG3232" s="100"/>
      <c r="AH3232" s="101"/>
      <c r="AI3232" s="101"/>
      <c r="AJ3232" s="101"/>
      <c r="AK3232" s="100"/>
      <c r="AL3232" s="100"/>
      <c r="AM3232" s="100"/>
      <c r="AN3232" s="100"/>
      <c r="AO3232" s="100"/>
      <c r="AP3232" s="100"/>
      <c r="AQ3232" s="100"/>
      <c r="AR3232" s="100"/>
      <c r="AS3232" s="100"/>
      <c r="AT3232" s="102"/>
    </row>
    <row r="3233" spans="1:63" x14ac:dyDescent="0.25">
      <c r="A3233" s="92"/>
      <c r="B3233" s="93"/>
      <c r="C3233" s="93"/>
      <c r="D3233" s="92"/>
      <c r="E3233" s="92"/>
      <c r="F3233" s="92"/>
      <c r="G3233" s="92"/>
      <c r="H3233" s="92"/>
      <c r="I3233" s="92"/>
      <c r="J3233" s="92"/>
      <c r="K3233" s="92"/>
      <c r="L3233" s="92"/>
      <c r="M3233" s="92"/>
      <c r="N3233" s="94"/>
      <c r="AG3233" s="100"/>
      <c r="AH3233" s="101"/>
      <c r="AI3233" s="101"/>
      <c r="AJ3233" s="101"/>
      <c r="AK3233" s="100"/>
      <c r="AL3233" s="100"/>
      <c r="AM3233" s="100"/>
      <c r="AN3233" s="100"/>
      <c r="AO3233" s="100"/>
      <c r="AP3233" s="100"/>
      <c r="AQ3233" s="100"/>
      <c r="AR3233" s="100"/>
      <c r="AS3233" s="100"/>
      <c r="AT3233" s="102"/>
      <c r="AZ3233" s="117"/>
      <c r="BK3233" s="39"/>
    </row>
    <row r="3234" spans="1:63" x14ac:dyDescent="0.25">
      <c r="A3234" s="92"/>
      <c r="B3234" s="93"/>
      <c r="C3234" s="93"/>
      <c r="D3234" s="93"/>
      <c r="E3234" s="92"/>
      <c r="F3234" s="92"/>
      <c r="G3234" s="92"/>
      <c r="H3234" s="92"/>
      <c r="I3234" s="92"/>
      <c r="J3234" s="92"/>
      <c r="K3234" s="92"/>
      <c r="L3234" s="92"/>
      <c r="M3234" s="92"/>
      <c r="N3234" s="94"/>
      <c r="AG3234" s="100"/>
      <c r="AH3234" s="101"/>
      <c r="AI3234" s="101"/>
      <c r="AJ3234" s="101"/>
      <c r="AK3234" s="100"/>
      <c r="AL3234" s="100"/>
      <c r="AM3234" s="100"/>
      <c r="AN3234" s="100"/>
      <c r="AO3234" s="100"/>
      <c r="AP3234" s="100"/>
      <c r="AQ3234" s="100"/>
      <c r="AR3234" s="100"/>
      <c r="AS3234" s="100"/>
      <c r="AT3234" s="102"/>
      <c r="AZ3234" s="117"/>
      <c r="BK3234" s="39"/>
    </row>
    <row r="3235" spans="1:63" x14ac:dyDescent="0.25">
      <c r="A3235" s="92"/>
      <c r="B3235" s="92"/>
      <c r="C3235" s="92"/>
      <c r="D3235" s="92"/>
      <c r="E3235" s="92"/>
      <c r="F3235" s="92"/>
      <c r="G3235" s="92"/>
      <c r="H3235" s="92"/>
      <c r="I3235" s="92"/>
      <c r="J3235" s="92"/>
      <c r="K3235" s="92"/>
      <c r="L3235" s="92"/>
      <c r="M3235" s="92"/>
      <c r="N3235" s="92"/>
      <c r="AG3235" s="100"/>
      <c r="AH3235" s="101"/>
      <c r="AI3235" s="101"/>
      <c r="AJ3235" s="101"/>
      <c r="AK3235" s="100"/>
      <c r="AL3235" s="100"/>
      <c r="AM3235" s="100"/>
      <c r="AN3235" s="100"/>
      <c r="AO3235" s="100"/>
      <c r="AP3235" s="100"/>
      <c r="AQ3235" s="100"/>
      <c r="AR3235" s="100"/>
      <c r="AS3235" s="100"/>
      <c r="AT3235" s="102"/>
      <c r="AZ3235" s="117"/>
      <c r="BK3235" s="39"/>
    </row>
    <row r="3236" spans="1:63" x14ac:dyDescent="0.25">
      <c r="A3236" s="92"/>
      <c r="B3236" s="93"/>
      <c r="C3236" s="93"/>
      <c r="D3236" s="92"/>
      <c r="E3236" s="92"/>
      <c r="F3236" s="92"/>
      <c r="G3236" s="92"/>
      <c r="H3236" s="92"/>
      <c r="I3236" s="92"/>
      <c r="J3236" s="92"/>
      <c r="K3236" s="92"/>
      <c r="L3236" s="92"/>
      <c r="M3236" s="92"/>
      <c r="N3236" s="94"/>
      <c r="AG3236" s="100"/>
      <c r="AH3236" s="101"/>
      <c r="AI3236" s="101"/>
      <c r="AJ3236" s="101"/>
      <c r="AK3236" s="100"/>
      <c r="AL3236" s="100"/>
      <c r="AM3236" s="100"/>
      <c r="AN3236" s="100"/>
      <c r="AO3236" s="100"/>
      <c r="AP3236" s="100"/>
      <c r="AQ3236" s="100"/>
      <c r="AR3236" s="100"/>
      <c r="AS3236" s="100"/>
      <c r="AT3236" s="102"/>
    </row>
    <row r="3237" spans="1:63" x14ac:dyDescent="0.25">
      <c r="A3237" s="92"/>
      <c r="B3237" s="93"/>
      <c r="C3237" s="93"/>
      <c r="D3237" s="92"/>
      <c r="E3237" s="92"/>
      <c r="F3237" s="92"/>
      <c r="G3237" s="92"/>
      <c r="H3237" s="92"/>
      <c r="I3237" s="92"/>
      <c r="J3237" s="92"/>
      <c r="K3237" s="92"/>
      <c r="L3237" s="92"/>
      <c r="M3237" s="92"/>
      <c r="N3237" s="94"/>
      <c r="AG3237" s="100"/>
      <c r="AH3237" s="101"/>
      <c r="AI3237" s="101"/>
      <c r="AJ3237" s="101"/>
      <c r="AK3237" s="100"/>
      <c r="AL3237" s="100"/>
      <c r="AM3237" s="100"/>
      <c r="AN3237" s="100"/>
      <c r="AO3237" s="100"/>
      <c r="AP3237" s="100"/>
      <c r="AQ3237" s="100"/>
      <c r="AR3237" s="100"/>
      <c r="AS3237" s="100"/>
      <c r="AT3237" s="102"/>
      <c r="AZ3237" s="117"/>
      <c r="BA3237" s="117"/>
      <c r="BK3237" s="39"/>
    </row>
    <row r="3238" spans="1:63" x14ac:dyDescent="0.25">
      <c r="A3238" s="92"/>
      <c r="B3238" s="93"/>
      <c r="C3238" s="93"/>
      <c r="D3238" s="93"/>
      <c r="E3238" s="92"/>
      <c r="F3238" s="92"/>
      <c r="G3238" s="92"/>
      <c r="H3238" s="92"/>
      <c r="I3238" s="92"/>
      <c r="J3238" s="92"/>
      <c r="K3238" s="92"/>
      <c r="L3238" s="92"/>
      <c r="M3238" s="92"/>
      <c r="N3238" s="94"/>
      <c r="AG3238" s="100"/>
      <c r="AH3238" s="100"/>
      <c r="AI3238" s="100"/>
      <c r="AJ3238" s="101"/>
      <c r="AK3238" s="100"/>
      <c r="AL3238" s="100"/>
      <c r="AM3238" s="100"/>
      <c r="AN3238" s="100"/>
      <c r="AO3238" s="100"/>
      <c r="AP3238" s="100"/>
      <c r="AQ3238" s="100"/>
      <c r="AR3238" s="100"/>
      <c r="AS3238" s="100"/>
      <c r="AT3238" s="100"/>
      <c r="AZ3238" s="117"/>
      <c r="BK3238" s="39"/>
    </row>
    <row r="3239" spans="1:63" x14ac:dyDescent="0.25">
      <c r="A3239" s="92"/>
      <c r="B3239" s="92"/>
      <c r="C3239" s="92"/>
      <c r="D3239" s="93"/>
      <c r="E3239" s="92"/>
      <c r="F3239" s="92"/>
      <c r="G3239" s="92"/>
      <c r="H3239" s="92"/>
      <c r="I3239" s="92"/>
      <c r="J3239" s="92"/>
      <c r="K3239" s="92"/>
      <c r="L3239" s="92"/>
      <c r="M3239" s="92"/>
      <c r="N3239" s="92"/>
      <c r="AG3239" s="100"/>
      <c r="AH3239" s="101"/>
      <c r="AI3239" s="101"/>
      <c r="AJ3239" s="101"/>
      <c r="AK3239" s="100"/>
      <c r="AL3239" s="100"/>
      <c r="AM3239" s="100"/>
      <c r="AN3239" s="100"/>
      <c r="AO3239" s="100"/>
      <c r="AP3239" s="100"/>
      <c r="AQ3239" s="100"/>
      <c r="AR3239" s="100"/>
      <c r="AS3239" s="100"/>
      <c r="AT3239" s="102"/>
      <c r="AZ3239" s="117"/>
      <c r="BK3239" s="39"/>
    </row>
    <row r="3240" spans="1:63" x14ac:dyDescent="0.25">
      <c r="A3240" s="92"/>
      <c r="B3240" s="92"/>
      <c r="C3240" s="92"/>
      <c r="D3240" s="93"/>
      <c r="E3240" s="92"/>
      <c r="F3240" s="92"/>
      <c r="G3240" s="92"/>
      <c r="H3240" s="92"/>
      <c r="I3240" s="92"/>
      <c r="J3240" s="92"/>
      <c r="K3240" s="92"/>
      <c r="L3240" s="92"/>
      <c r="M3240" s="92"/>
      <c r="N3240" s="92"/>
      <c r="AG3240" s="100"/>
      <c r="AH3240" s="101"/>
      <c r="AI3240" s="101"/>
      <c r="AJ3240" s="101"/>
      <c r="AK3240" s="100"/>
      <c r="AL3240" s="100"/>
      <c r="AM3240" s="100"/>
      <c r="AN3240" s="100"/>
      <c r="AO3240" s="100"/>
      <c r="AP3240" s="100"/>
      <c r="AQ3240" s="100"/>
      <c r="AR3240" s="100"/>
      <c r="AS3240" s="100"/>
      <c r="AT3240" s="102"/>
      <c r="AZ3240" s="117"/>
      <c r="BA3240" s="117"/>
      <c r="BK3240" s="39"/>
    </row>
    <row r="3241" spans="1:63" x14ac:dyDescent="0.25">
      <c r="A3241" s="92"/>
      <c r="B3241" s="93"/>
      <c r="C3241" s="93"/>
      <c r="D3241" s="92"/>
      <c r="E3241" s="92"/>
      <c r="F3241" s="92"/>
      <c r="G3241" s="92"/>
      <c r="H3241" s="92"/>
      <c r="I3241" s="92"/>
      <c r="J3241" s="92"/>
      <c r="K3241" s="92"/>
      <c r="L3241" s="92"/>
      <c r="M3241" s="92"/>
      <c r="N3241" s="94"/>
      <c r="AG3241" s="100"/>
      <c r="AH3241" s="101"/>
      <c r="AI3241" s="101"/>
      <c r="AJ3241" s="101"/>
      <c r="AK3241" s="100"/>
      <c r="AL3241" s="100"/>
      <c r="AM3241" s="100"/>
      <c r="AN3241" s="100"/>
      <c r="AO3241" s="100"/>
      <c r="AP3241" s="100"/>
      <c r="AQ3241" s="100"/>
      <c r="AR3241" s="100"/>
      <c r="AS3241" s="100"/>
      <c r="AT3241" s="102"/>
      <c r="AZ3241" s="117"/>
      <c r="BK3241" s="39"/>
    </row>
    <row r="3242" spans="1:63" x14ac:dyDescent="0.25">
      <c r="A3242" s="92"/>
      <c r="B3242" s="93"/>
      <c r="C3242" s="93"/>
      <c r="D3242" s="92"/>
      <c r="E3242" s="92"/>
      <c r="F3242" s="92"/>
      <c r="G3242" s="92"/>
      <c r="H3242" s="92"/>
      <c r="I3242" s="92"/>
      <c r="J3242" s="92"/>
      <c r="K3242" s="92"/>
      <c r="L3242" s="92"/>
      <c r="M3242" s="92"/>
      <c r="N3242" s="94"/>
      <c r="AG3242" s="100"/>
      <c r="AH3242" s="101"/>
      <c r="AI3242" s="101"/>
      <c r="AJ3242" s="101"/>
      <c r="AK3242" s="100"/>
      <c r="AL3242" s="100"/>
      <c r="AM3242" s="100"/>
      <c r="AN3242" s="100"/>
      <c r="AO3242" s="100"/>
      <c r="AP3242" s="100"/>
      <c r="AQ3242" s="100"/>
      <c r="AR3242" s="100"/>
      <c r="AS3242" s="100"/>
      <c r="AT3242" s="102"/>
      <c r="AZ3242" s="117"/>
      <c r="BK3242" s="39"/>
    </row>
    <row r="3243" spans="1:63" x14ac:dyDescent="0.25">
      <c r="A3243" s="92"/>
      <c r="B3243" s="92"/>
      <c r="C3243" s="92"/>
      <c r="D3243" s="92"/>
      <c r="E3243" s="92"/>
      <c r="F3243" s="92"/>
      <c r="G3243" s="92"/>
      <c r="H3243" s="92"/>
      <c r="I3243" s="92"/>
      <c r="J3243" s="92"/>
      <c r="K3243" s="92"/>
      <c r="L3243" s="92"/>
      <c r="M3243" s="92"/>
      <c r="N3243" s="92"/>
      <c r="AG3243" s="100"/>
      <c r="AH3243" s="101"/>
      <c r="AI3243" s="101"/>
      <c r="AJ3243" s="101"/>
      <c r="AK3243" s="100"/>
      <c r="AL3243" s="100"/>
      <c r="AM3243" s="100"/>
      <c r="AN3243" s="100"/>
      <c r="AO3243" s="100"/>
      <c r="AP3243" s="100"/>
      <c r="AQ3243" s="100"/>
      <c r="AR3243" s="100"/>
      <c r="AS3243" s="100"/>
      <c r="AT3243" s="102"/>
      <c r="AZ3243" s="117"/>
      <c r="BK3243" s="39"/>
    </row>
    <row r="3244" spans="1:63" x14ac:dyDescent="0.25">
      <c r="A3244" s="92"/>
      <c r="B3244" s="92"/>
      <c r="C3244" s="92"/>
      <c r="D3244" s="92"/>
      <c r="E3244" s="92"/>
      <c r="F3244" s="92"/>
      <c r="G3244" s="92"/>
      <c r="H3244" s="92"/>
      <c r="I3244" s="92"/>
      <c r="J3244" s="92"/>
      <c r="K3244" s="92"/>
      <c r="L3244" s="92"/>
      <c r="M3244" s="92"/>
      <c r="N3244" s="92"/>
      <c r="AG3244" s="100"/>
      <c r="AH3244" s="101"/>
      <c r="AI3244" s="101"/>
      <c r="AJ3244" s="101"/>
      <c r="AK3244" s="100"/>
      <c r="AL3244" s="100"/>
      <c r="AM3244" s="100"/>
      <c r="AN3244" s="100"/>
      <c r="AO3244" s="100"/>
      <c r="AP3244" s="100"/>
      <c r="AQ3244" s="100"/>
      <c r="AR3244" s="100"/>
      <c r="AS3244" s="100"/>
      <c r="AT3244" s="102"/>
      <c r="AZ3244" s="117"/>
      <c r="BK3244" s="39"/>
    </row>
    <row r="3245" spans="1:63" x14ac:dyDescent="0.25">
      <c r="A3245" s="92"/>
      <c r="B3245" s="93"/>
      <c r="C3245" s="93"/>
      <c r="D3245" s="92"/>
      <c r="E3245" s="92"/>
      <c r="F3245" s="92"/>
      <c r="G3245" s="92"/>
      <c r="H3245" s="92"/>
      <c r="I3245" s="92"/>
      <c r="J3245" s="92"/>
      <c r="K3245" s="92"/>
      <c r="L3245" s="92"/>
      <c r="M3245" s="92"/>
      <c r="N3245" s="94"/>
      <c r="AG3245" s="100"/>
      <c r="AH3245" s="100"/>
      <c r="AI3245" s="100"/>
      <c r="AJ3245" s="101"/>
      <c r="AK3245" s="100"/>
      <c r="AL3245" s="100"/>
      <c r="AM3245" s="100"/>
      <c r="AN3245" s="100"/>
      <c r="AO3245" s="100"/>
      <c r="AP3245" s="100"/>
      <c r="AQ3245" s="100"/>
      <c r="AR3245" s="100"/>
      <c r="AS3245" s="100"/>
      <c r="AT3245" s="100"/>
      <c r="AZ3245" s="117"/>
      <c r="BK3245" s="39"/>
    </row>
    <row r="3246" spans="1:63" x14ac:dyDescent="0.25">
      <c r="A3246" s="92"/>
      <c r="B3246" s="93"/>
      <c r="C3246" s="93"/>
      <c r="D3246" s="92"/>
      <c r="E3246" s="92"/>
      <c r="F3246" s="92"/>
      <c r="G3246" s="92"/>
      <c r="H3246" s="92"/>
      <c r="I3246" s="92"/>
      <c r="J3246" s="92"/>
      <c r="K3246" s="92"/>
      <c r="L3246" s="92"/>
      <c r="M3246" s="92"/>
      <c r="N3246" s="94"/>
      <c r="AG3246" s="100"/>
      <c r="AH3246" s="100"/>
      <c r="AI3246" s="100"/>
      <c r="AJ3246" s="101"/>
      <c r="AK3246" s="100"/>
      <c r="AL3246" s="100"/>
      <c r="AM3246" s="100"/>
      <c r="AN3246" s="100"/>
      <c r="AO3246" s="100"/>
      <c r="AP3246" s="100"/>
      <c r="AQ3246" s="100"/>
      <c r="AR3246" s="100"/>
      <c r="AS3246" s="100"/>
      <c r="AT3246" s="100"/>
      <c r="AZ3246" s="117"/>
      <c r="BK3246" s="39"/>
    </row>
    <row r="3247" spans="1:63" x14ac:dyDescent="0.25">
      <c r="A3247" s="92"/>
      <c r="B3247" s="93"/>
      <c r="C3247" s="93"/>
      <c r="D3247" s="92"/>
      <c r="E3247" s="92"/>
      <c r="F3247" s="92"/>
      <c r="G3247" s="92"/>
      <c r="H3247" s="92"/>
      <c r="I3247" s="92"/>
      <c r="J3247" s="92"/>
      <c r="K3247" s="92"/>
      <c r="L3247" s="92"/>
      <c r="M3247" s="92"/>
      <c r="N3247" s="94"/>
      <c r="AG3247" s="100"/>
      <c r="AH3247" s="100"/>
      <c r="AI3247" s="100"/>
      <c r="AJ3247" s="101"/>
      <c r="AK3247" s="100"/>
      <c r="AL3247" s="100"/>
      <c r="AM3247" s="100"/>
      <c r="AN3247" s="100"/>
      <c r="AO3247" s="100"/>
      <c r="AP3247" s="100"/>
      <c r="AQ3247" s="100"/>
      <c r="AR3247" s="100"/>
      <c r="AS3247" s="100"/>
      <c r="AT3247" s="100"/>
      <c r="AZ3247" s="117"/>
      <c r="BK3247" s="39"/>
    </row>
    <row r="3248" spans="1:63" x14ac:dyDescent="0.25">
      <c r="A3248" s="92"/>
      <c r="B3248" s="92"/>
      <c r="C3248" s="92"/>
      <c r="D3248" s="92"/>
      <c r="E3248" s="92"/>
      <c r="F3248" s="92"/>
      <c r="G3248" s="92"/>
      <c r="H3248" s="92"/>
      <c r="I3248" s="92"/>
      <c r="J3248" s="92"/>
      <c r="K3248" s="92"/>
      <c r="L3248" s="92"/>
      <c r="M3248" s="92"/>
      <c r="N3248" s="92"/>
      <c r="AG3248" s="100"/>
      <c r="AH3248" s="100"/>
      <c r="AI3248" s="100"/>
      <c r="AJ3248" s="101"/>
      <c r="AK3248" s="100"/>
      <c r="AL3248" s="100"/>
      <c r="AM3248" s="100"/>
      <c r="AN3248" s="100"/>
      <c r="AO3248" s="100"/>
      <c r="AP3248" s="100"/>
      <c r="AQ3248" s="100"/>
      <c r="AR3248" s="100"/>
      <c r="AS3248" s="100"/>
      <c r="AT3248" s="100"/>
      <c r="AZ3248" s="117"/>
      <c r="BK3248" s="39"/>
    </row>
    <row r="3249" spans="1:63" x14ac:dyDescent="0.25">
      <c r="A3249" s="92"/>
      <c r="B3249" s="93"/>
      <c r="C3249" s="93"/>
      <c r="D3249" s="93"/>
      <c r="E3249" s="92"/>
      <c r="F3249" s="92"/>
      <c r="G3249" s="92"/>
      <c r="H3249" s="92"/>
      <c r="I3249" s="92"/>
      <c r="J3249" s="92"/>
      <c r="K3249" s="92"/>
      <c r="L3249" s="92"/>
      <c r="M3249" s="92"/>
      <c r="N3249" s="94"/>
      <c r="AG3249" s="100"/>
      <c r="AH3249" s="101"/>
      <c r="AI3249" s="101"/>
      <c r="AJ3249" s="101"/>
      <c r="AK3249" s="100"/>
      <c r="AL3249" s="100"/>
      <c r="AM3249" s="100"/>
      <c r="AN3249" s="100"/>
      <c r="AO3249" s="100"/>
      <c r="AP3249" s="100"/>
      <c r="AQ3249" s="100"/>
      <c r="AR3249" s="100"/>
      <c r="AS3249" s="100"/>
      <c r="AT3249" s="102"/>
      <c r="AZ3249" s="117"/>
      <c r="BA3249" s="117"/>
      <c r="BK3249" s="39"/>
    </row>
    <row r="3250" spans="1:63" x14ac:dyDescent="0.25">
      <c r="A3250" s="92"/>
      <c r="B3250" s="93"/>
      <c r="C3250" s="93"/>
      <c r="D3250" s="92"/>
      <c r="E3250" s="92"/>
      <c r="F3250" s="92"/>
      <c r="G3250" s="92"/>
      <c r="H3250" s="92"/>
      <c r="I3250" s="92"/>
      <c r="J3250" s="92"/>
      <c r="K3250" s="92"/>
      <c r="L3250" s="92"/>
      <c r="M3250" s="92"/>
      <c r="N3250" s="94"/>
      <c r="AG3250" s="100"/>
      <c r="AH3250" s="101"/>
      <c r="AI3250" s="101"/>
      <c r="AJ3250" s="101"/>
      <c r="AK3250" s="100"/>
      <c r="AL3250" s="100"/>
      <c r="AM3250" s="100"/>
      <c r="AN3250" s="100"/>
      <c r="AO3250" s="100"/>
      <c r="AP3250" s="100"/>
      <c r="AQ3250" s="100"/>
      <c r="AR3250" s="100"/>
      <c r="AS3250" s="100"/>
      <c r="AT3250" s="102"/>
      <c r="AZ3250" s="117"/>
      <c r="BK3250" s="39"/>
    </row>
    <row r="3251" spans="1:63" x14ac:dyDescent="0.25">
      <c r="A3251" s="92"/>
      <c r="B3251" s="93"/>
      <c r="C3251" s="93"/>
      <c r="D3251" s="92"/>
      <c r="E3251" s="92"/>
      <c r="F3251" s="92"/>
      <c r="G3251" s="92"/>
      <c r="H3251" s="92"/>
      <c r="I3251" s="92"/>
      <c r="J3251" s="92"/>
      <c r="K3251" s="92"/>
      <c r="L3251" s="92"/>
      <c r="M3251" s="92"/>
      <c r="N3251" s="94"/>
      <c r="AG3251" s="100"/>
      <c r="AH3251" s="101"/>
      <c r="AI3251" s="101"/>
      <c r="AJ3251" s="101"/>
      <c r="AK3251" s="100"/>
      <c r="AL3251" s="100"/>
      <c r="AM3251" s="100"/>
      <c r="AN3251" s="100"/>
      <c r="AO3251" s="100"/>
      <c r="AP3251" s="100"/>
      <c r="AQ3251" s="100"/>
      <c r="AR3251" s="100"/>
      <c r="AS3251" s="100"/>
      <c r="AT3251" s="102"/>
      <c r="AZ3251" s="117"/>
      <c r="BK3251" s="39"/>
    </row>
    <row r="3252" spans="1:63" x14ac:dyDescent="0.25">
      <c r="A3252" s="92"/>
      <c r="B3252" s="93"/>
      <c r="C3252" s="93"/>
      <c r="D3252" s="93"/>
      <c r="E3252" s="92"/>
      <c r="F3252" s="92"/>
      <c r="G3252" s="92"/>
      <c r="H3252" s="92"/>
      <c r="I3252" s="92"/>
      <c r="J3252" s="92"/>
      <c r="K3252" s="92"/>
      <c r="L3252" s="92"/>
      <c r="M3252" s="92"/>
      <c r="N3252" s="94"/>
      <c r="AG3252" s="100"/>
      <c r="AH3252" s="101"/>
      <c r="AI3252" s="101"/>
      <c r="AJ3252" s="101"/>
      <c r="AK3252" s="100"/>
      <c r="AL3252" s="100"/>
      <c r="AM3252" s="100"/>
      <c r="AN3252" s="100"/>
      <c r="AO3252" s="100"/>
      <c r="AP3252" s="100"/>
      <c r="AQ3252" s="100"/>
      <c r="AR3252" s="100"/>
      <c r="AS3252" s="100"/>
      <c r="AT3252" s="102"/>
    </row>
    <row r="3253" spans="1:63" x14ac:dyDescent="0.25">
      <c r="A3253" s="92"/>
      <c r="B3253" s="93"/>
      <c r="C3253" s="93"/>
      <c r="D3253" s="92"/>
      <c r="E3253" s="92"/>
      <c r="F3253" s="92"/>
      <c r="G3253" s="92"/>
      <c r="H3253" s="92"/>
      <c r="I3253" s="92"/>
      <c r="J3253" s="92"/>
      <c r="K3253" s="92"/>
      <c r="L3253" s="92"/>
      <c r="M3253" s="92"/>
      <c r="N3253" s="94"/>
      <c r="AG3253" s="100"/>
      <c r="AH3253" s="101"/>
      <c r="AI3253" s="101"/>
      <c r="AJ3253" s="101"/>
      <c r="AK3253" s="100"/>
      <c r="AL3253" s="100"/>
      <c r="AM3253" s="100"/>
      <c r="AN3253" s="100"/>
      <c r="AO3253" s="100"/>
      <c r="AP3253" s="100"/>
      <c r="AQ3253" s="100"/>
      <c r="AR3253" s="100"/>
      <c r="AS3253" s="100"/>
      <c r="AT3253" s="102"/>
      <c r="AZ3253" s="117"/>
      <c r="BK3253" s="39"/>
    </row>
    <row r="3254" spans="1:63" x14ac:dyDescent="0.25">
      <c r="A3254" s="92"/>
      <c r="B3254" s="93"/>
      <c r="C3254" s="93"/>
      <c r="D3254" s="92"/>
      <c r="E3254" s="92"/>
      <c r="F3254" s="92"/>
      <c r="G3254" s="92"/>
      <c r="H3254" s="92"/>
      <c r="I3254" s="92"/>
      <c r="J3254" s="92"/>
      <c r="K3254" s="92"/>
      <c r="L3254" s="92"/>
      <c r="M3254" s="92"/>
      <c r="N3254" s="94"/>
      <c r="AG3254" s="100"/>
      <c r="AH3254" s="101"/>
      <c r="AI3254" s="100"/>
      <c r="AJ3254" s="101"/>
      <c r="AK3254" s="100"/>
      <c r="AL3254" s="100"/>
      <c r="AM3254" s="100"/>
      <c r="AN3254" s="100"/>
      <c r="AO3254" s="100"/>
      <c r="AP3254" s="100"/>
      <c r="AQ3254" s="100"/>
      <c r="AR3254" s="100"/>
      <c r="AS3254" s="100"/>
      <c r="AT3254" s="102"/>
    </row>
    <row r="3255" spans="1:63" x14ac:dyDescent="0.25">
      <c r="A3255" s="92"/>
      <c r="B3255" s="93"/>
      <c r="C3255" s="93"/>
      <c r="D3255" s="92"/>
      <c r="E3255" s="92"/>
      <c r="F3255" s="92"/>
      <c r="G3255" s="92"/>
      <c r="H3255" s="92"/>
      <c r="I3255" s="92"/>
      <c r="J3255" s="92"/>
      <c r="K3255" s="92"/>
      <c r="L3255" s="92"/>
      <c r="M3255" s="92"/>
      <c r="N3255" s="94"/>
      <c r="AG3255" s="100"/>
      <c r="AH3255" s="101"/>
      <c r="AI3255" s="100"/>
      <c r="AJ3255" s="101"/>
      <c r="AK3255" s="100"/>
      <c r="AL3255" s="100"/>
      <c r="AM3255" s="100"/>
      <c r="AN3255" s="100"/>
      <c r="AO3255" s="100"/>
      <c r="AP3255" s="100"/>
      <c r="AQ3255" s="100"/>
      <c r="AR3255" s="100"/>
      <c r="AS3255" s="100"/>
      <c r="AT3255" s="102"/>
    </row>
    <row r="3256" spans="1:63" x14ac:dyDescent="0.25">
      <c r="A3256" s="92"/>
      <c r="B3256" s="93"/>
      <c r="C3256" s="93"/>
      <c r="D3256" s="92"/>
      <c r="E3256" s="92"/>
      <c r="F3256" s="92"/>
      <c r="G3256" s="92"/>
      <c r="H3256" s="92"/>
      <c r="I3256" s="92"/>
      <c r="J3256" s="92"/>
      <c r="K3256" s="92"/>
      <c r="L3256" s="92"/>
      <c r="M3256" s="92"/>
      <c r="N3256" s="94"/>
      <c r="AG3256" s="100"/>
      <c r="AH3256" s="100"/>
      <c r="AI3256" s="100"/>
      <c r="AJ3256" s="101"/>
      <c r="AK3256" s="100"/>
      <c r="AL3256" s="100"/>
      <c r="AM3256" s="100"/>
      <c r="AN3256" s="100"/>
      <c r="AO3256" s="100"/>
      <c r="AP3256" s="100"/>
      <c r="AQ3256" s="100"/>
      <c r="AR3256" s="100"/>
      <c r="AS3256" s="100"/>
      <c r="AT3256" s="100"/>
      <c r="AZ3256" s="117"/>
      <c r="BK3256" s="39"/>
    </row>
    <row r="3257" spans="1:63" x14ac:dyDescent="0.25">
      <c r="A3257" s="92"/>
      <c r="B3257" s="93"/>
      <c r="C3257" s="93"/>
      <c r="D3257" s="92"/>
      <c r="E3257" s="92"/>
      <c r="F3257" s="92"/>
      <c r="G3257" s="92"/>
      <c r="H3257" s="92"/>
      <c r="I3257" s="92"/>
      <c r="J3257" s="92"/>
      <c r="K3257" s="92"/>
      <c r="L3257" s="92"/>
      <c r="M3257" s="92"/>
      <c r="N3257" s="94"/>
      <c r="AG3257" s="100"/>
      <c r="AH3257" s="101"/>
      <c r="AI3257" s="100"/>
      <c r="AJ3257" s="101"/>
      <c r="AK3257" s="100"/>
      <c r="AL3257" s="100"/>
      <c r="AM3257" s="100"/>
      <c r="AN3257" s="100"/>
      <c r="AO3257" s="100"/>
      <c r="AP3257" s="100"/>
      <c r="AQ3257" s="100"/>
      <c r="AR3257" s="100"/>
      <c r="AS3257" s="100"/>
      <c r="AT3257" s="102"/>
      <c r="AZ3257" s="117"/>
      <c r="BK3257" s="39"/>
    </row>
    <row r="3258" spans="1:63" x14ac:dyDescent="0.25">
      <c r="A3258" s="92"/>
      <c r="B3258" s="93"/>
      <c r="C3258" s="93"/>
      <c r="D3258" s="92"/>
      <c r="E3258" s="92"/>
      <c r="F3258" s="92"/>
      <c r="G3258" s="92"/>
      <c r="H3258" s="92"/>
      <c r="I3258" s="92"/>
      <c r="J3258" s="92"/>
      <c r="K3258" s="92"/>
      <c r="L3258" s="92"/>
      <c r="M3258" s="92"/>
      <c r="N3258" s="94"/>
      <c r="AG3258" s="100"/>
      <c r="AH3258" s="101"/>
      <c r="AI3258" s="100"/>
      <c r="AJ3258" s="101"/>
      <c r="AK3258" s="100"/>
      <c r="AL3258" s="100"/>
      <c r="AM3258" s="100"/>
      <c r="AN3258" s="100"/>
      <c r="AO3258" s="100"/>
      <c r="AP3258" s="100"/>
      <c r="AQ3258" s="100"/>
      <c r="AR3258" s="100"/>
      <c r="AS3258" s="100"/>
      <c r="AT3258" s="102"/>
    </row>
    <row r="3259" spans="1:63" x14ac:dyDescent="0.25">
      <c r="A3259" s="92"/>
      <c r="B3259" s="93"/>
      <c r="C3259" s="93"/>
      <c r="D3259" s="92"/>
      <c r="E3259" s="92"/>
      <c r="F3259" s="92"/>
      <c r="G3259" s="92"/>
      <c r="H3259" s="92"/>
      <c r="I3259" s="92"/>
      <c r="J3259" s="92"/>
      <c r="K3259" s="92"/>
      <c r="L3259" s="92"/>
      <c r="M3259" s="92"/>
      <c r="N3259" s="94"/>
      <c r="AG3259" s="100"/>
      <c r="AH3259" s="101"/>
      <c r="AI3259" s="100"/>
      <c r="AJ3259" s="101"/>
      <c r="AK3259" s="100"/>
      <c r="AL3259" s="100"/>
      <c r="AM3259" s="100"/>
      <c r="AN3259" s="100"/>
      <c r="AO3259" s="100"/>
      <c r="AP3259" s="100"/>
      <c r="AQ3259" s="100"/>
      <c r="AR3259" s="100"/>
      <c r="AS3259" s="100"/>
      <c r="AT3259" s="102"/>
    </row>
    <row r="3260" spans="1:63" x14ac:dyDescent="0.25">
      <c r="A3260" s="92"/>
      <c r="B3260" s="93"/>
      <c r="C3260" s="93"/>
      <c r="D3260" s="92"/>
      <c r="E3260" s="92"/>
      <c r="F3260" s="92"/>
      <c r="G3260" s="92"/>
      <c r="H3260" s="92"/>
      <c r="I3260" s="92"/>
      <c r="J3260" s="92"/>
      <c r="K3260" s="92"/>
      <c r="L3260" s="92"/>
      <c r="M3260" s="92"/>
      <c r="N3260" s="94"/>
      <c r="AG3260" s="100"/>
      <c r="AH3260" s="101"/>
      <c r="AI3260" s="100"/>
      <c r="AJ3260" s="101"/>
      <c r="AK3260" s="100"/>
      <c r="AL3260" s="100"/>
      <c r="AM3260" s="100"/>
      <c r="AN3260" s="100"/>
      <c r="AO3260" s="100"/>
      <c r="AP3260" s="100"/>
      <c r="AQ3260" s="100"/>
      <c r="AR3260" s="100"/>
      <c r="AS3260" s="100"/>
      <c r="AT3260" s="102"/>
    </row>
    <row r="3261" spans="1:63" x14ac:dyDescent="0.25">
      <c r="A3261" s="92"/>
      <c r="B3261" s="93"/>
      <c r="C3261" s="93"/>
      <c r="D3261" s="93"/>
      <c r="E3261" s="92"/>
      <c r="F3261" s="92"/>
      <c r="G3261" s="92"/>
      <c r="H3261" s="92"/>
      <c r="I3261" s="92"/>
      <c r="J3261" s="92"/>
      <c r="K3261" s="92"/>
      <c r="L3261" s="92"/>
      <c r="M3261" s="92"/>
      <c r="N3261" s="94"/>
      <c r="AG3261" s="100"/>
      <c r="AH3261" s="101"/>
      <c r="AI3261" s="100"/>
      <c r="AJ3261" s="101"/>
      <c r="AK3261" s="100"/>
      <c r="AL3261" s="100"/>
      <c r="AM3261" s="100"/>
      <c r="AN3261" s="100"/>
      <c r="AO3261" s="100"/>
      <c r="AP3261" s="100"/>
      <c r="AQ3261" s="100"/>
      <c r="AR3261" s="100"/>
      <c r="AS3261" s="100"/>
      <c r="AT3261" s="102"/>
    </row>
    <row r="3262" spans="1:63" x14ac:dyDescent="0.25">
      <c r="A3262" s="92"/>
      <c r="B3262" s="93"/>
      <c r="C3262" s="93"/>
      <c r="D3262" s="92"/>
      <c r="E3262" s="92"/>
      <c r="F3262" s="92"/>
      <c r="G3262" s="92"/>
      <c r="H3262" s="92"/>
      <c r="I3262" s="92"/>
      <c r="J3262" s="92"/>
      <c r="K3262" s="92"/>
      <c r="L3262" s="92"/>
      <c r="M3262" s="92"/>
      <c r="N3262" s="94"/>
      <c r="AG3262" s="100"/>
      <c r="AH3262" s="101"/>
      <c r="AI3262" s="100"/>
      <c r="AJ3262" s="101"/>
      <c r="AK3262" s="100"/>
      <c r="AL3262" s="100"/>
      <c r="AM3262" s="100"/>
      <c r="AN3262" s="100"/>
      <c r="AO3262" s="100"/>
      <c r="AP3262" s="100"/>
      <c r="AQ3262" s="100"/>
      <c r="AR3262" s="100"/>
      <c r="AS3262" s="100"/>
      <c r="AT3262" s="102"/>
    </row>
    <row r="3263" spans="1:63" x14ac:dyDescent="0.25">
      <c r="A3263" s="92"/>
      <c r="B3263" s="93"/>
      <c r="C3263" s="93"/>
      <c r="D3263" s="92"/>
      <c r="E3263" s="92"/>
      <c r="F3263" s="92"/>
      <c r="G3263" s="92"/>
      <c r="H3263" s="92"/>
      <c r="I3263" s="92"/>
      <c r="J3263" s="92"/>
      <c r="K3263" s="92"/>
      <c r="L3263" s="92"/>
      <c r="M3263" s="92"/>
      <c r="N3263" s="94"/>
      <c r="AG3263" s="100"/>
      <c r="AH3263" s="101"/>
      <c r="AI3263" s="100"/>
      <c r="AJ3263" s="101"/>
      <c r="AK3263" s="100"/>
      <c r="AL3263" s="100"/>
      <c r="AM3263" s="100"/>
      <c r="AN3263" s="100"/>
      <c r="AO3263" s="100"/>
      <c r="AP3263" s="100"/>
      <c r="AQ3263" s="100"/>
      <c r="AR3263" s="100"/>
      <c r="AS3263" s="100"/>
      <c r="AT3263" s="102"/>
      <c r="AZ3263" s="117"/>
      <c r="BK3263" s="39"/>
    </row>
    <row r="3264" spans="1:63" x14ac:dyDescent="0.25">
      <c r="A3264" s="92"/>
      <c r="B3264" s="92"/>
      <c r="C3264" s="92"/>
      <c r="D3264" s="92"/>
      <c r="E3264" s="92"/>
      <c r="F3264" s="92"/>
      <c r="G3264" s="92"/>
      <c r="H3264" s="92"/>
      <c r="I3264" s="92"/>
      <c r="J3264" s="92"/>
      <c r="K3264" s="92"/>
      <c r="L3264" s="92"/>
      <c r="M3264" s="92"/>
      <c r="N3264" s="92"/>
      <c r="AG3264" s="100"/>
      <c r="AH3264" s="100"/>
      <c r="AI3264" s="100"/>
      <c r="AJ3264" s="101"/>
      <c r="AK3264" s="100"/>
      <c r="AL3264" s="100"/>
      <c r="AM3264" s="100"/>
      <c r="AN3264" s="100"/>
      <c r="AO3264" s="100"/>
      <c r="AP3264" s="100"/>
      <c r="AQ3264" s="100"/>
      <c r="AR3264" s="100"/>
      <c r="AS3264" s="100"/>
      <c r="AT3264" s="100"/>
      <c r="AZ3264" s="117"/>
      <c r="BK3264" s="39"/>
    </row>
    <row r="3265" spans="1:63" x14ac:dyDescent="0.25">
      <c r="A3265" s="92"/>
      <c r="B3265" s="93"/>
      <c r="C3265" s="93"/>
      <c r="D3265" s="92"/>
      <c r="E3265" s="92"/>
      <c r="F3265" s="92"/>
      <c r="G3265" s="92"/>
      <c r="H3265" s="92"/>
      <c r="I3265" s="92"/>
      <c r="J3265" s="92"/>
      <c r="K3265" s="92"/>
      <c r="L3265" s="92"/>
      <c r="M3265" s="92"/>
      <c r="N3265" s="94"/>
      <c r="AG3265" s="100"/>
      <c r="AH3265" s="101"/>
      <c r="AI3265" s="100"/>
      <c r="AJ3265" s="101"/>
      <c r="AK3265" s="100"/>
      <c r="AL3265" s="100"/>
      <c r="AM3265" s="100"/>
      <c r="AN3265" s="100"/>
      <c r="AO3265" s="100"/>
      <c r="AP3265" s="100"/>
      <c r="AQ3265" s="100"/>
      <c r="AR3265" s="100"/>
      <c r="AS3265" s="100"/>
      <c r="AT3265" s="102"/>
      <c r="AZ3265" s="117"/>
      <c r="BK3265" s="39"/>
    </row>
    <row r="3266" spans="1:63" x14ac:dyDescent="0.25">
      <c r="A3266" s="92"/>
      <c r="B3266" s="92"/>
      <c r="C3266" s="92"/>
      <c r="D3266" s="92"/>
      <c r="E3266" s="92"/>
      <c r="F3266" s="92"/>
      <c r="G3266" s="92"/>
      <c r="H3266" s="92"/>
      <c r="I3266" s="92"/>
      <c r="J3266" s="92"/>
      <c r="K3266" s="92"/>
      <c r="L3266" s="92"/>
      <c r="M3266" s="92"/>
      <c r="N3266" s="92"/>
      <c r="AG3266" s="100"/>
      <c r="AH3266" s="101"/>
      <c r="AI3266" s="100"/>
      <c r="AJ3266" s="101"/>
      <c r="AK3266" s="100"/>
      <c r="AL3266" s="100"/>
      <c r="AM3266" s="100"/>
      <c r="AN3266" s="100"/>
      <c r="AO3266" s="100"/>
      <c r="AP3266" s="100"/>
      <c r="AQ3266" s="100"/>
      <c r="AR3266" s="100"/>
      <c r="AS3266" s="100"/>
      <c r="AT3266" s="102"/>
      <c r="AZ3266" s="117"/>
      <c r="BA3266" s="117"/>
      <c r="BK3266" s="39"/>
    </row>
    <row r="3267" spans="1:63" x14ac:dyDescent="0.25">
      <c r="A3267" s="92"/>
      <c r="B3267" s="92"/>
      <c r="C3267" s="92"/>
      <c r="D3267" s="92"/>
      <c r="E3267" s="92"/>
      <c r="F3267" s="92"/>
      <c r="G3267" s="92"/>
      <c r="H3267" s="92"/>
      <c r="I3267" s="92"/>
      <c r="J3267" s="92"/>
      <c r="K3267" s="92"/>
      <c r="L3267" s="92"/>
      <c r="M3267" s="92"/>
      <c r="N3267" s="92"/>
      <c r="AG3267" s="100"/>
      <c r="AH3267" s="101"/>
      <c r="AI3267" s="101"/>
      <c r="AJ3267" s="101"/>
      <c r="AK3267" s="100"/>
      <c r="AL3267" s="100"/>
      <c r="AM3267" s="100"/>
      <c r="AN3267" s="100"/>
      <c r="AO3267" s="100"/>
      <c r="AP3267" s="100"/>
      <c r="AQ3267" s="100"/>
      <c r="AR3267" s="100"/>
      <c r="AS3267" s="100"/>
      <c r="AT3267" s="102"/>
    </row>
    <row r="3268" spans="1:63" x14ac:dyDescent="0.25">
      <c r="A3268" s="92"/>
      <c r="B3268" s="93"/>
      <c r="C3268" s="93"/>
      <c r="D3268" s="92"/>
      <c r="E3268" s="92"/>
      <c r="F3268" s="92"/>
      <c r="G3268" s="92"/>
      <c r="H3268" s="92"/>
      <c r="I3268" s="92"/>
      <c r="J3268" s="92"/>
      <c r="K3268" s="92"/>
      <c r="L3268" s="92"/>
      <c r="M3268" s="92"/>
      <c r="N3268" s="94"/>
      <c r="AG3268" s="100"/>
      <c r="AH3268" s="100"/>
      <c r="AI3268" s="100"/>
      <c r="AJ3268" s="101"/>
      <c r="AK3268" s="100"/>
      <c r="AL3268" s="100"/>
      <c r="AM3268" s="100"/>
      <c r="AN3268" s="100"/>
      <c r="AO3268" s="100"/>
      <c r="AP3268" s="100"/>
      <c r="AQ3268" s="100"/>
      <c r="AR3268" s="100"/>
      <c r="AS3268" s="100"/>
      <c r="AT3268" s="100"/>
    </row>
    <row r="3269" spans="1:63" x14ac:dyDescent="0.25">
      <c r="A3269" s="92"/>
      <c r="B3269" s="93"/>
      <c r="C3269" s="93"/>
      <c r="D3269" s="92"/>
      <c r="E3269" s="92"/>
      <c r="F3269" s="92"/>
      <c r="G3269" s="92"/>
      <c r="H3269" s="92"/>
      <c r="I3269" s="92"/>
      <c r="J3269" s="92"/>
      <c r="K3269" s="92"/>
      <c r="L3269" s="92"/>
      <c r="M3269" s="92"/>
      <c r="N3269" s="94"/>
      <c r="AG3269" s="100"/>
      <c r="AH3269" s="101"/>
      <c r="AI3269" s="100"/>
      <c r="AJ3269" s="101"/>
      <c r="AK3269" s="100"/>
      <c r="AL3269" s="100"/>
      <c r="AM3269" s="100"/>
      <c r="AN3269" s="100"/>
      <c r="AO3269" s="100"/>
      <c r="AP3269" s="100"/>
      <c r="AQ3269" s="100"/>
      <c r="AR3269" s="100"/>
      <c r="AS3269" s="100"/>
      <c r="AT3269" s="102"/>
    </row>
    <row r="3270" spans="1:63" x14ac:dyDescent="0.25">
      <c r="A3270" s="92"/>
      <c r="B3270" s="92"/>
      <c r="C3270" s="92"/>
      <c r="D3270" s="92"/>
      <c r="E3270" s="92"/>
      <c r="F3270" s="92"/>
      <c r="G3270" s="92"/>
      <c r="H3270" s="92"/>
      <c r="I3270" s="92"/>
      <c r="J3270" s="92"/>
      <c r="K3270" s="92"/>
      <c r="L3270" s="92"/>
      <c r="M3270" s="92"/>
      <c r="N3270" s="92"/>
      <c r="AG3270" s="100"/>
      <c r="AH3270" s="101"/>
      <c r="AI3270" s="100"/>
      <c r="AJ3270" s="101"/>
      <c r="AK3270" s="100"/>
      <c r="AL3270" s="100"/>
      <c r="AM3270" s="100"/>
      <c r="AN3270" s="100"/>
      <c r="AO3270" s="100"/>
      <c r="AP3270" s="100"/>
      <c r="AQ3270" s="100"/>
      <c r="AR3270" s="100"/>
      <c r="AS3270" s="100"/>
      <c r="AT3270" s="102"/>
      <c r="BA3270" s="117"/>
      <c r="BK3270" s="39"/>
    </row>
    <row r="3271" spans="1:63" x14ac:dyDescent="0.25">
      <c r="A3271" s="92"/>
      <c r="B3271" s="92"/>
      <c r="C3271" s="92"/>
      <c r="D3271" s="92"/>
      <c r="E3271" s="92"/>
      <c r="F3271" s="92"/>
      <c r="G3271" s="92"/>
      <c r="H3271" s="92"/>
      <c r="I3271" s="92"/>
      <c r="J3271" s="92"/>
      <c r="K3271" s="92"/>
      <c r="L3271" s="92"/>
      <c r="M3271" s="92"/>
      <c r="N3271" s="92"/>
      <c r="AG3271" s="100"/>
      <c r="AH3271" s="101"/>
      <c r="AI3271" s="100"/>
      <c r="AJ3271" s="101"/>
      <c r="AK3271" s="100"/>
      <c r="AL3271" s="100"/>
      <c r="AM3271" s="100"/>
      <c r="AN3271" s="100"/>
      <c r="AO3271" s="100"/>
      <c r="AP3271" s="100"/>
      <c r="AQ3271" s="100"/>
      <c r="AR3271" s="100"/>
      <c r="AS3271" s="100"/>
      <c r="AT3271" s="102"/>
      <c r="BA3271" s="117"/>
      <c r="BK3271" s="39"/>
    </row>
    <row r="3272" spans="1:63" x14ac:dyDescent="0.25">
      <c r="A3272" s="92"/>
      <c r="B3272" s="92"/>
      <c r="C3272" s="92"/>
      <c r="D3272" s="92"/>
      <c r="E3272" s="92"/>
      <c r="F3272" s="92"/>
      <c r="G3272" s="92"/>
      <c r="H3272" s="92"/>
      <c r="I3272" s="92"/>
      <c r="J3272" s="92"/>
      <c r="K3272" s="92"/>
      <c r="L3272" s="92"/>
      <c r="M3272" s="92"/>
      <c r="N3272" s="92"/>
      <c r="AG3272" s="100"/>
      <c r="AH3272" s="100"/>
      <c r="AI3272" s="100"/>
      <c r="AJ3272" s="101"/>
      <c r="AK3272" s="100"/>
      <c r="AL3272" s="100"/>
      <c r="AM3272" s="100"/>
      <c r="AN3272" s="100"/>
      <c r="AO3272" s="100"/>
      <c r="AP3272" s="100"/>
      <c r="AQ3272" s="100"/>
      <c r="AR3272" s="100"/>
      <c r="AS3272" s="100"/>
      <c r="AT3272" s="100"/>
      <c r="BA3272" s="117"/>
    </row>
    <row r="3273" spans="1:63" x14ac:dyDescent="0.25">
      <c r="A3273" s="92"/>
      <c r="B3273" s="92"/>
      <c r="C3273" s="92"/>
      <c r="D3273" s="92"/>
      <c r="E3273" s="92"/>
      <c r="F3273" s="92"/>
      <c r="G3273" s="92"/>
      <c r="H3273" s="92"/>
      <c r="I3273" s="92"/>
      <c r="J3273" s="92"/>
      <c r="K3273" s="92"/>
      <c r="L3273" s="92"/>
      <c r="M3273" s="92"/>
      <c r="N3273" s="92"/>
      <c r="AG3273" s="100"/>
      <c r="AH3273" s="101"/>
      <c r="AI3273" s="100"/>
      <c r="AJ3273" s="101"/>
      <c r="AK3273" s="100"/>
      <c r="AL3273" s="100"/>
      <c r="AM3273" s="100"/>
      <c r="AN3273" s="100"/>
      <c r="AO3273" s="100"/>
      <c r="AP3273" s="100"/>
      <c r="AQ3273" s="100"/>
      <c r="AR3273" s="100"/>
      <c r="AS3273" s="100"/>
      <c r="AT3273" s="102"/>
      <c r="BA3273" s="117"/>
    </row>
    <row r="3274" spans="1:63" x14ac:dyDescent="0.25">
      <c r="A3274" s="92"/>
      <c r="B3274" s="92"/>
      <c r="C3274" s="92"/>
      <c r="D3274" s="92"/>
      <c r="E3274" s="92"/>
      <c r="F3274" s="92"/>
      <c r="G3274" s="92"/>
      <c r="H3274" s="92"/>
      <c r="I3274" s="92"/>
      <c r="J3274" s="92"/>
      <c r="K3274" s="92"/>
      <c r="L3274" s="92"/>
      <c r="M3274" s="92"/>
      <c r="N3274" s="92"/>
      <c r="AG3274" s="100"/>
      <c r="AH3274" s="101"/>
      <c r="AI3274" s="100"/>
      <c r="AJ3274" s="101"/>
      <c r="AK3274" s="100"/>
      <c r="AL3274" s="100"/>
      <c r="AM3274" s="100"/>
      <c r="AN3274" s="100"/>
      <c r="AO3274" s="100"/>
      <c r="AP3274" s="100"/>
      <c r="AQ3274" s="100"/>
      <c r="AR3274" s="100"/>
      <c r="AS3274" s="100"/>
      <c r="AT3274" s="102"/>
      <c r="BA3274" s="117"/>
    </row>
    <row r="3275" spans="1:63" x14ac:dyDescent="0.25">
      <c r="A3275" s="92"/>
      <c r="B3275" s="93"/>
      <c r="C3275" s="93"/>
      <c r="D3275" s="92"/>
      <c r="E3275" s="92"/>
      <c r="F3275" s="92"/>
      <c r="G3275" s="92"/>
      <c r="H3275" s="92"/>
      <c r="I3275" s="92"/>
      <c r="J3275" s="92"/>
      <c r="K3275" s="92"/>
      <c r="L3275" s="92"/>
      <c r="M3275" s="92"/>
      <c r="N3275" s="94"/>
      <c r="AG3275" s="100"/>
      <c r="AH3275" s="101"/>
      <c r="AI3275" s="100"/>
      <c r="AJ3275" s="101"/>
      <c r="AK3275" s="100"/>
      <c r="AL3275" s="100"/>
      <c r="AM3275" s="100"/>
      <c r="AN3275" s="100"/>
      <c r="AO3275" s="100"/>
      <c r="AP3275" s="100"/>
      <c r="AQ3275" s="100"/>
      <c r="AR3275" s="100"/>
      <c r="AS3275" s="100"/>
      <c r="AT3275" s="102"/>
      <c r="BA3275" s="117"/>
      <c r="BK3275" s="39"/>
    </row>
    <row r="3276" spans="1:63" x14ac:dyDescent="0.25">
      <c r="A3276" s="92"/>
      <c r="B3276" s="93"/>
      <c r="C3276" s="93"/>
      <c r="D3276" s="92"/>
      <c r="E3276" s="92"/>
      <c r="F3276" s="92"/>
      <c r="G3276" s="92"/>
      <c r="H3276" s="92"/>
      <c r="I3276" s="92"/>
      <c r="J3276" s="92"/>
      <c r="K3276" s="92"/>
      <c r="L3276" s="92"/>
      <c r="M3276" s="92"/>
      <c r="N3276" s="94"/>
      <c r="AG3276" s="100"/>
      <c r="AH3276" s="101"/>
      <c r="AI3276" s="100"/>
      <c r="AJ3276" s="101"/>
      <c r="AK3276" s="100"/>
      <c r="AL3276" s="100"/>
      <c r="AM3276" s="100"/>
      <c r="AN3276" s="100"/>
      <c r="AO3276" s="100"/>
      <c r="AP3276" s="100"/>
      <c r="AQ3276" s="100"/>
      <c r="AR3276" s="100"/>
      <c r="AS3276" s="100"/>
      <c r="AT3276" s="102"/>
      <c r="BA3276" s="117"/>
    </row>
    <row r="3277" spans="1:63" x14ac:dyDescent="0.25">
      <c r="A3277" s="92"/>
      <c r="B3277" s="93"/>
      <c r="C3277" s="93"/>
      <c r="D3277" s="92"/>
      <c r="E3277" s="92"/>
      <c r="F3277" s="92"/>
      <c r="G3277" s="92"/>
      <c r="H3277" s="92"/>
      <c r="I3277" s="92"/>
      <c r="J3277" s="92"/>
      <c r="K3277" s="92"/>
      <c r="L3277" s="92"/>
      <c r="M3277" s="92"/>
      <c r="N3277" s="94"/>
      <c r="AG3277" s="100"/>
      <c r="AH3277" s="100"/>
      <c r="AI3277" s="100"/>
      <c r="AJ3277" s="101"/>
      <c r="AK3277" s="100"/>
      <c r="AL3277" s="100"/>
      <c r="AM3277" s="100"/>
      <c r="AN3277" s="100"/>
      <c r="AO3277" s="100"/>
      <c r="AP3277" s="100"/>
      <c r="AQ3277" s="100"/>
      <c r="AR3277" s="100"/>
      <c r="AS3277" s="100"/>
      <c r="AT3277" s="100"/>
    </row>
    <row r="3278" spans="1:63" x14ac:dyDescent="0.25">
      <c r="A3278" s="92"/>
      <c r="B3278" s="93"/>
      <c r="C3278" s="93"/>
      <c r="D3278" s="93"/>
      <c r="E3278" s="92"/>
      <c r="F3278" s="92"/>
      <c r="G3278" s="92"/>
      <c r="H3278" s="92"/>
      <c r="I3278" s="92"/>
      <c r="J3278" s="92"/>
      <c r="K3278" s="92"/>
      <c r="L3278" s="92"/>
      <c r="M3278" s="92"/>
      <c r="N3278" s="94"/>
      <c r="AG3278" s="100"/>
      <c r="AH3278" s="101"/>
      <c r="AI3278" s="100"/>
      <c r="AJ3278" s="101"/>
      <c r="AK3278" s="100"/>
      <c r="AL3278" s="100"/>
      <c r="AM3278" s="100"/>
      <c r="AN3278" s="100"/>
      <c r="AO3278" s="100"/>
      <c r="AP3278" s="100"/>
      <c r="AQ3278" s="100"/>
      <c r="AR3278" s="100"/>
      <c r="AS3278" s="100"/>
      <c r="AT3278" s="102"/>
    </row>
    <row r="3279" spans="1:63" x14ac:dyDescent="0.25">
      <c r="A3279" s="92"/>
      <c r="B3279" s="92"/>
      <c r="C3279" s="92"/>
      <c r="D3279" s="92"/>
      <c r="E3279" s="92"/>
      <c r="F3279" s="92"/>
      <c r="G3279" s="92"/>
      <c r="H3279" s="92"/>
      <c r="I3279" s="92"/>
      <c r="J3279" s="92"/>
      <c r="K3279" s="92"/>
      <c r="L3279" s="92"/>
      <c r="M3279" s="92"/>
      <c r="N3279" s="92"/>
      <c r="AG3279" s="100"/>
      <c r="AH3279" s="101"/>
      <c r="AI3279" s="100"/>
      <c r="AJ3279" s="101"/>
      <c r="AK3279" s="100"/>
      <c r="AL3279" s="100"/>
      <c r="AM3279" s="100"/>
      <c r="AN3279" s="100"/>
      <c r="AO3279" s="100"/>
      <c r="AP3279" s="100"/>
      <c r="AQ3279" s="100"/>
      <c r="AR3279" s="100"/>
      <c r="AS3279" s="100"/>
      <c r="AT3279" s="102"/>
      <c r="AZ3279" s="117"/>
      <c r="BK3279" s="39"/>
    </row>
    <row r="3280" spans="1:63" x14ac:dyDescent="0.25">
      <c r="A3280" s="92"/>
      <c r="B3280" s="92"/>
      <c r="C3280" s="92"/>
      <c r="D3280" s="92"/>
      <c r="E3280" s="92"/>
      <c r="F3280" s="92"/>
      <c r="G3280" s="92"/>
      <c r="H3280" s="92"/>
      <c r="I3280" s="92"/>
      <c r="J3280" s="92"/>
      <c r="K3280" s="92"/>
      <c r="L3280" s="92"/>
      <c r="M3280" s="92"/>
      <c r="N3280" s="92"/>
      <c r="AG3280" s="100"/>
      <c r="AH3280" s="101"/>
      <c r="AI3280" s="100"/>
      <c r="AJ3280" s="101"/>
      <c r="AK3280" s="100"/>
      <c r="AL3280" s="100"/>
      <c r="AM3280" s="100"/>
      <c r="AN3280" s="100"/>
      <c r="AO3280" s="100"/>
      <c r="AP3280" s="100"/>
      <c r="AQ3280" s="100"/>
      <c r="AR3280" s="100"/>
      <c r="AS3280" s="100"/>
      <c r="AT3280" s="102"/>
    </row>
    <row r="3281" spans="1:63" x14ac:dyDescent="0.25">
      <c r="A3281" s="92"/>
      <c r="B3281" s="92"/>
      <c r="C3281" s="92"/>
      <c r="D3281" s="92"/>
      <c r="E3281" s="92"/>
      <c r="F3281" s="92"/>
      <c r="G3281" s="92"/>
      <c r="H3281" s="92"/>
      <c r="I3281" s="92"/>
      <c r="J3281" s="92"/>
      <c r="K3281" s="92"/>
      <c r="L3281" s="92"/>
      <c r="M3281" s="92"/>
      <c r="N3281" s="92"/>
      <c r="AG3281" s="100"/>
      <c r="AH3281" s="100"/>
      <c r="AI3281" s="100"/>
      <c r="AJ3281" s="101"/>
      <c r="AK3281" s="100"/>
      <c r="AL3281" s="100"/>
      <c r="AM3281" s="100"/>
      <c r="AN3281" s="100"/>
      <c r="AO3281" s="100"/>
      <c r="AP3281" s="100"/>
      <c r="AQ3281" s="100"/>
      <c r="AR3281" s="100"/>
      <c r="AS3281" s="100"/>
      <c r="AT3281" s="100"/>
      <c r="AZ3281" s="117"/>
      <c r="BK3281" s="39"/>
    </row>
    <row r="3282" spans="1:63" x14ac:dyDescent="0.25">
      <c r="A3282" s="92"/>
      <c r="B3282" s="93"/>
      <c r="C3282" s="92"/>
      <c r="D3282" s="93"/>
      <c r="E3282" s="92"/>
      <c r="F3282" s="92"/>
      <c r="G3282" s="92"/>
      <c r="H3282" s="92"/>
      <c r="I3282" s="92"/>
      <c r="J3282" s="92"/>
      <c r="K3282" s="92"/>
      <c r="L3282" s="92"/>
      <c r="M3282" s="92"/>
      <c r="N3282" s="94"/>
      <c r="AG3282" s="100"/>
      <c r="AH3282" s="101"/>
      <c r="AI3282" s="100"/>
      <c r="AJ3282" s="101"/>
      <c r="AK3282" s="100"/>
      <c r="AL3282" s="100"/>
      <c r="AM3282" s="100"/>
      <c r="AN3282" s="100"/>
      <c r="AO3282" s="100"/>
      <c r="AP3282" s="100"/>
      <c r="AQ3282" s="100"/>
      <c r="AR3282" s="100"/>
      <c r="AS3282" s="100"/>
      <c r="AT3282" s="102"/>
      <c r="AZ3282" s="117"/>
      <c r="BK3282" s="39"/>
    </row>
    <row r="3283" spans="1:63" x14ac:dyDescent="0.25">
      <c r="A3283" s="92"/>
      <c r="B3283" s="93"/>
      <c r="C3283" s="92"/>
      <c r="D3283" s="93"/>
      <c r="E3283" s="92"/>
      <c r="F3283" s="92"/>
      <c r="G3283" s="92"/>
      <c r="H3283" s="92"/>
      <c r="I3283" s="92"/>
      <c r="J3283" s="92"/>
      <c r="K3283" s="92"/>
      <c r="L3283" s="92"/>
      <c r="M3283" s="92"/>
      <c r="N3283" s="94"/>
      <c r="AG3283" s="100"/>
      <c r="AH3283" s="101"/>
      <c r="AI3283" s="100"/>
      <c r="AJ3283" s="101"/>
      <c r="AK3283" s="100"/>
      <c r="AL3283" s="100"/>
      <c r="AM3283" s="100"/>
      <c r="AN3283" s="100"/>
      <c r="AO3283" s="100"/>
      <c r="AP3283" s="100"/>
      <c r="AQ3283" s="100"/>
      <c r="AR3283" s="100"/>
      <c r="AS3283" s="100"/>
      <c r="AT3283" s="102"/>
      <c r="AZ3283" s="117"/>
      <c r="BK3283" s="39"/>
    </row>
    <row r="3284" spans="1:63" x14ac:dyDescent="0.25">
      <c r="A3284" s="92"/>
      <c r="B3284" s="92"/>
      <c r="C3284" s="92"/>
      <c r="D3284" s="93"/>
      <c r="E3284" s="92"/>
      <c r="F3284" s="92"/>
      <c r="G3284" s="92"/>
      <c r="H3284" s="92"/>
      <c r="I3284" s="92"/>
      <c r="J3284" s="92"/>
      <c r="K3284" s="92"/>
      <c r="L3284" s="92"/>
      <c r="M3284" s="92"/>
      <c r="N3284" s="92"/>
      <c r="AG3284" s="100"/>
      <c r="AH3284" s="101"/>
      <c r="AI3284" s="100"/>
      <c r="AJ3284" s="101"/>
      <c r="AK3284" s="100"/>
      <c r="AL3284" s="100"/>
      <c r="AM3284" s="100"/>
      <c r="AN3284" s="100"/>
      <c r="AO3284" s="100"/>
      <c r="AP3284" s="100"/>
      <c r="AQ3284" s="100"/>
      <c r="AR3284" s="100"/>
      <c r="AS3284" s="100"/>
      <c r="AT3284" s="102"/>
    </row>
    <row r="3285" spans="1:63" x14ac:dyDescent="0.25">
      <c r="A3285" s="92"/>
      <c r="B3285" s="92"/>
      <c r="C3285" s="92"/>
      <c r="D3285" s="93"/>
      <c r="E3285" s="92"/>
      <c r="F3285" s="92"/>
      <c r="G3285" s="92"/>
      <c r="H3285" s="92"/>
      <c r="I3285" s="92"/>
      <c r="J3285" s="92"/>
      <c r="K3285" s="92"/>
      <c r="L3285" s="92"/>
      <c r="M3285" s="92"/>
      <c r="N3285" s="92"/>
      <c r="AG3285" s="100"/>
      <c r="AH3285" s="101"/>
      <c r="AI3285" s="100"/>
      <c r="AJ3285" s="101"/>
      <c r="AK3285" s="100"/>
      <c r="AL3285" s="100"/>
      <c r="AM3285" s="100"/>
      <c r="AN3285" s="100"/>
      <c r="AO3285" s="100"/>
      <c r="AP3285" s="100"/>
      <c r="AQ3285" s="100"/>
      <c r="AR3285" s="100"/>
      <c r="AS3285" s="100"/>
      <c r="AT3285" s="102"/>
      <c r="AZ3285" s="117"/>
      <c r="BK3285" s="39"/>
    </row>
    <row r="3286" spans="1:63" x14ac:dyDescent="0.25">
      <c r="A3286" s="92"/>
      <c r="B3286" s="92"/>
      <c r="C3286" s="92"/>
      <c r="D3286" s="93"/>
      <c r="E3286" s="92"/>
      <c r="F3286" s="92"/>
      <c r="G3286" s="92"/>
      <c r="H3286" s="92"/>
      <c r="I3286" s="92"/>
      <c r="J3286" s="92"/>
      <c r="K3286" s="92"/>
      <c r="L3286" s="92"/>
      <c r="M3286" s="92"/>
      <c r="N3286" s="92"/>
      <c r="AG3286" s="100"/>
      <c r="AH3286" s="101"/>
      <c r="AI3286" s="100"/>
      <c r="AJ3286" s="101"/>
      <c r="AK3286" s="100"/>
      <c r="AL3286" s="100"/>
      <c r="AM3286" s="100"/>
      <c r="AN3286" s="100"/>
      <c r="AO3286" s="100"/>
      <c r="AP3286" s="100"/>
      <c r="AQ3286" s="100"/>
      <c r="AR3286" s="100"/>
      <c r="AS3286" s="100"/>
      <c r="AT3286" s="102"/>
      <c r="AZ3286" s="117"/>
      <c r="BK3286" s="39"/>
    </row>
    <row r="3287" spans="1:63" x14ac:dyDescent="0.25">
      <c r="A3287" s="92"/>
      <c r="B3287" s="93"/>
      <c r="C3287" s="92"/>
      <c r="D3287" s="93"/>
      <c r="E3287" s="92"/>
      <c r="F3287" s="92"/>
      <c r="G3287" s="92"/>
      <c r="H3287" s="92"/>
      <c r="I3287" s="92"/>
      <c r="J3287" s="92"/>
      <c r="K3287" s="92"/>
      <c r="L3287" s="92"/>
      <c r="M3287" s="92"/>
      <c r="N3287" s="94"/>
      <c r="AG3287" s="100"/>
      <c r="AH3287" s="101"/>
      <c r="AI3287" s="100"/>
      <c r="AJ3287" s="101"/>
      <c r="AK3287" s="100"/>
      <c r="AL3287" s="100"/>
      <c r="AM3287" s="100"/>
      <c r="AN3287" s="100"/>
      <c r="AO3287" s="100"/>
      <c r="AP3287" s="100"/>
      <c r="AQ3287" s="100"/>
      <c r="AR3287" s="100"/>
      <c r="AS3287" s="100"/>
      <c r="AT3287" s="102"/>
    </row>
    <row r="3288" spans="1:63" x14ac:dyDescent="0.25">
      <c r="A3288" s="92"/>
      <c r="B3288" s="92"/>
      <c r="C3288" s="92"/>
      <c r="D3288" s="93"/>
      <c r="E3288" s="92"/>
      <c r="F3288" s="92"/>
      <c r="G3288" s="92"/>
      <c r="H3288" s="92"/>
      <c r="I3288" s="92"/>
      <c r="J3288" s="92"/>
      <c r="K3288" s="92"/>
      <c r="L3288" s="92"/>
      <c r="M3288" s="92"/>
      <c r="N3288" s="92"/>
      <c r="AG3288" s="100"/>
      <c r="AH3288" s="101"/>
      <c r="AI3288" s="100"/>
      <c r="AJ3288" s="101"/>
      <c r="AK3288" s="100"/>
      <c r="AL3288" s="100"/>
      <c r="AM3288" s="100"/>
      <c r="AN3288" s="100"/>
      <c r="AO3288" s="100"/>
      <c r="AP3288" s="100"/>
      <c r="AQ3288" s="100"/>
      <c r="AR3288" s="100"/>
      <c r="AS3288" s="100"/>
      <c r="AT3288" s="102"/>
    </row>
    <row r="3289" spans="1:63" x14ac:dyDescent="0.25">
      <c r="A3289" s="92"/>
      <c r="B3289" s="92"/>
      <c r="C3289" s="92"/>
      <c r="D3289" s="92"/>
      <c r="E3289" s="92"/>
      <c r="F3289" s="92"/>
      <c r="G3289" s="92"/>
      <c r="H3289" s="92"/>
      <c r="I3289" s="92"/>
      <c r="J3289" s="92"/>
      <c r="K3289" s="92"/>
      <c r="L3289" s="92"/>
      <c r="M3289" s="92"/>
      <c r="N3289" s="92"/>
      <c r="AG3289" s="100"/>
      <c r="AH3289" s="101"/>
      <c r="AI3289" s="100"/>
      <c r="AJ3289" s="101"/>
      <c r="AK3289" s="100"/>
      <c r="AL3289" s="100"/>
      <c r="AM3289" s="100"/>
      <c r="AN3289" s="100"/>
      <c r="AO3289" s="100"/>
      <c r="AP3289" s="100"/>
      <c r="AQ3289" s="100"/>
      <c r="AR3289" s="100"/>
      <c r="AS3289" s="100"/>
      <c r="AT3289" s="102"/>
    </row>
    <row r="3290" spans="1:63" x14ac:dyDescent="0.25">
      <c r="A3290" s="92"/>
      <c r="B3290" s="92"/>
      <c r="C3290" s="92"/>
      <c r="D3290" s="92"/>
      <c r="E3290" s="92"/>
      <c r="F3290" s="92"/>
      <c r="G3290" s="92"/>
      <c r="H3290" s="92"/>
      <c r="I3290" s="92"/>
      <c r="J3290" s="92"/>
      <c r="K3290" s="92"/>
      <c r="L3290" s="92"/>
      <c r="M3290" s="92"/>
      <c r="N3290" s="92"/>
      <c r="AG3290" s="100"/>
      <c r="AH3290" s="101"/>
      <c r="AI3290" s="100"/>
      <c r="AJ3290" s="101"/>
      <c r="AK3290" s="100"/>
      <c r="AL3290" s="100"/>
      <c r="AM3290" s="100"/>
      <c r="AN3290" s="100"/>
      <c r="AO3290" s="100"/>
      <c r="AP3290" s="100"/>
      <c r="AQ3290" s="100"/>
      <c r="AR3290" s="100"/>
      <c r="AS3290" s="100"/>
      <c r="AT3290" s="102"/>
    </row>
    <row r="3291" spans="1:63" x14ac:dyDescent="0.25">
      <c r="A3291" s="92"/>
      <c r="B3291" s="93"/>
      <c r="C3291" s="93"/>
      <c r="D3291" s="92"/>
      <c r="E3291" s="92"/>
      <c r="F3291" s="92"/>
      <c r="G3291" s="92"/>
      <c r="H3291" s="92"/>
      <c r="I3291" s="92"/>
      <c r="J3291" s="92"/>
      <c r="K3291" s="92"/>
      <c r="L3291" s="92"/>
      <c r="M3291" s="92"/>
      <c r="N3291" s="94"/>
      <c r="AG3291" s="100"/>
      <c r="AH3291" s="101"/>
      <c r="AI3291" s="100"/>
      <c r="AJ3291" s="101"/>
      <c r="AK3291" s="100"/>
      <c r="AL3291" s="100"/>
      <c r="AM3291" s="100"/>
      <c r="AN3291" s="100"/>
      <c r="AO3291" s="100"/>
      <c r="AP3291" s="100"/>
      <c r="AQ3291" s="100"/>
      <c r="AR3291" s="100"/>
      <c r="AS3291" s="100"/>
      <c r="AT3291" s="102"/>
      <c r="AZ3291" s="117"/>
      <c r="BA3291" s="117"/>
      <c r="BK3291" s="39"/>
    </row>
    <row r="3292" spans="1:63" x14ac:dyDescent="0.25">
      <c r="A3292" s="92"/>
      <c r="B3292" s="92"/>
      <c r="C3292" s="92"/>
      <c r="D3292" s="92"/>
      <c r="E3292" s="92"/>
      <c r="F3292" s="92"/>
      <c r="G3292" s="92"/>
      <c r="H3292" s="92"/>
      <c r="I3292" s="92"/>
      <c r="J3292" s="92"/>
      <c r="K3292" s="92"/>
      <c r="L3292" s="92"/>
      <c r="M3292" s="92"/>
      <c r="N3292" s="92"/>
      <c r="AG3292" s="100"/>
      <c r="AH3292" s="101"/>
      <c r="AI3292" s="100"/>
      <c r="AJ3292" s="101"/>
      <c r="AK3292" s="100"/>
      <c r="AL3292" s="100"/>
      <c r="AM3292" s="100"/>
      <c r="AN3292" s="100"/>
      <c r="AO3292" s="100"/>
      <c r="AP3292" s="100"/>
      <c r="AQ3292" s="100"/>
      <c r="AR3292" s="100"/>
      <c r="AS3292" s="100"/>
      <c r="AT3292" s="102"/>
      <c r="AZ3292" s="117"/>
      <c r="BK3292" s="39"/>
    </row>
    <row r="3293" spans="1:63" x14ac:dyDescent="0.25">
      <c r="A3293" s="92"/>
      <c r="B3293" s="93"/>
      <c r="C3293" s="93"/>
      <c r="D3293" s="92"/>
      <c r="E3293" s="92"/>
      <c r="F3293" s="92"/>
      <c r="G3293" s="92"/>
      <c r="H3293" s="92"/>
      <c r="I3293" s="92"/>
      <c r="J3293" s="92"/>
      <c r="K3293" s="92"/>
      <c r="L3293" s="92"/>
      <c r="M3293" s="92"/>
      <c r="N3293" s="94"/>
      <c r="AG3293" s="100"/>
      <c r="AH3293" s="101"/>
      <c r="AI3293" s="100"/>
      <c r="AJ3293" s="101"/>
      <c r="AK3293" s="100"/>
      <c r="AL3293" s="100"/>
      <c r="AM3293" s="100"/>
      <c r="AN3293" s="100"/>
      <c r="AO3293" s="100"/>
      <c r="AP3293" s="100"/>
      <c r="AQ3293" s="100"/>
      <c r="AR3293" s="100"/>
      <c r="AS3293" s="100"/>
      <c r="AT3293" s="102"/>
      <c r="AZ3293" s="117"/>
      <c r="BK3293" s="39"/>
    </row>
    <row r="3294" spans="1:63" x14ac:dyDescent="0.25">
      <c r="A3294" s="92"/>
      <c r="B3294" s="93"/>
      <c r="C3294" s="93"/>
      <c r="D3294" s="92"/>
      <c r="E3294" s="92"/>
      <c r="F3294" s="92"/>
      <c r="G3294" s="92"/>
      <c r="H3294" s="92"/>
      <c r="I3294" s="92"/>
      <c r="J3294" s="92"/>
      <c r="K3294" s="92"/>
      <c r="L3294" s="92"/>
      <c r="M3294" s="92"/>
      <c r="N3294" s="94"/>
      <c r="AG3294" s="100"/>
      <c r="AH3294" s="101"/>
      <c r="AI3294" s="100"/>
      <c r="AJ3294" s="101"/>
      <c r="AK3294" s="100"/>
      <c r="AL3294" s="100"/>
      <c r="AM3294" s="100"/>
      <c r="AN3294" s="100"/>
      <c r="AO3294" s="100"/>
      <c r="AP3294" s="100"/>
      <c r="AQ3294" s="100"/>
      <c r="AR3294" s="100"/>
      <c r="AS3294" s="100"/>
      <c r="AT3294" s="102"/>
      <c r="AZ3294" s="117"/>
      <c r="BK3294" s="39"/>
    </row>
    <row r="3295" spans="1:63" x14ac:dyDescent="0.25">
      <c r="A3295" s="92"/>
      <c r="B3295" s="93"/>
      <c r="C3295" s="93"/>
      <c r="D3295" s="93"/>
      <c r="E3295" s="92"/>
      <c r="F3295" s="92"/>
      <c r="G3295" s="92"/>
      <c r="H3295" s="92"/>
      <c r="I3295" s="92"/>
      <c r="J3295" s="92"/>
      <c r="K3295" s="92"/>
      <c r="L3295" s="92"/>
      <c r="M3295" s="92"/>
      <c r="N3295" s="94"/>
      <c r="AG3295" s="100"/>
      <c r="AH3295" s="101"/>
      <c r="AI3295" s="100"/>
      <c r="AJ3295" s="101"/>
      <c r="AK3295" s="100"/>
      <c r="AL3295" s="100"/>
      <c r="AM3295" s="100"/>
      <c r="AN3295" s="100"/>
      <c r="AO3295" s="100"/>
      <c r="AP3295" s="100"/>
      <c r="AQ3295" s="100"/>
      <c r="AR3295" s="100"/>
      <c r="AS3295" s="100"/>
      <c r="AT3295" s="102"/>
      <c r="AZ3295" s="117"/>
      <c r="BK3295" s="39"/>
    </row>
    <row r="3296" spans="1:63" x14ac:dyDescent="0.25">
      <c r="A3296" s="92"/>
      <c r="B3296" s="92"/>
      <c r="C3296" s="92"/>
      <c r="D3296" s="92"/>
      <c r="E3296" s="92"/>
      <c r="F3296" s="92"/>
      <c r="G3296" s="92"/>
      <c r="H3296" s="92"/>
      <c r="I3296" s="92"/>
      <c r="J3296" s="92"/>
      <c r="K3296" s="92"/>
      <c r="L3296" s="92"/>
      <c r="M3296" s="92"/>
      <c r="N3296" s="92"/>
      <c r="AG3296" s="100"/>
      <c r="AH3296" s="101"/>
      <c r="AI3296" s="100"/>
      <c r="AJ3296" s="101"/>
      <c r="AK3296" s="100"/>
      <c r="AL3296" s="100"/>
      <c r="AM3296" s="100"/>
      <c r="AN3296" s="100"/>
      <c r="AO3296" s="100"/>
      <c r="AP3296" s="100"/>
      <c r="AQ3296" s="100"/>
      <c r="AR3296" s="100"/>
      <c r="AS3296" s="100"/>
      <c r="AT3296" s="102"/>
      <c r="AZ3296" s="117"/>
      <c r="BK3296" s="39"/>
    </row>
    <row r="3297" spans="1:63" x14ac:dyDescent="0.25">
      <c r="A3297" s="92"/>
      <c r="B3297" s="93"/>
      <c r="C3297" s="93"/>
      <c r="D3297" s="92"/>
      <c r="E3297" s="92"/>
      <c r="F3297" s="92"/>
      <c r="G3297" s="92"/>
      <c r="H3297" s="92"/>
      <c r="I3297" s="92"/>
      <c r="J3297" s="92"/>
      <c r="K3297" s="92"/>
      <c r="L3297" s="92"/>
      <c r="M3297" s="92"/>
      <c r="N3297" s="94"/>
      <c r="AG3297" s="100"/>
      <c r="AH3297" s="101"/>
      <c r="AI3297" s="100"/>
      <c r="AJ3297" s="101"/>
      <c r="AK3297" s="100"/>
      <c r="AL3297" s="100"/>
      <c r="AM3297" s="100"/>
      <c r="AN3297" s="100"/>
      <c r="AO3297" s="100"/>
      <c r="AP3297" s="100"/>
      <c r="AQ3297" s="100"/>
      <c r="AR3297" s="100"/>
      <c r="AS3297" s="100"/>
      <c r="AT3297" s="102"/>
      <c r="AZ3297" s="117"/>
      <c r="BK3297" s="39"/>
    </row>
    <row r="3298" spans="1:63" x14ac:dyDescent="0.25">
      <c r="A3298" s="92"/>
      <c r="B3298" s="93"/>
      <c r="C3298" s="93"/>
      <c r="D3298" s="92"/>
      <c r="E3298" s="92"/>
      <c r="F3298" s="92"/>
      <c r="G3298" s="92"/>
      <c r="H3298" s="92"/>
      <c r="I3298" s="92"/>
      <c r="J3298" s="92"/>
      <c r="K3298" s="92"/>
      <c r="L3298" s="92"/>
      <c r="M3298" s="92"/>
      <c r="N3298" s="94"/>
      <c r="AG3298" s="100"/>
      <c r="AH3298" s="101"/>
      <c r="AI3298" s="100"/>
      <c r="AJ3298" s="101"/>
      <c r="AK3298" s="100"/>
      <c r="AL3298" s="100"/>
      <c r="AM3298" s="100"/>
      <c r="AN3298" s="100"/>
      <c r="AO3298" s="100"/>
      <c r="AP3298" s="100"/>
      <c r="AQ3298" s="100"/>
      <c r="AR3298" s="100"/>
      <c r="AS3298" s="100"/>
      <c r="AT3298" s="102"/>
    </row>
    <row r="3299" spans="1:63" x14ac:dyDescent="0.25">
      <c r="A3299" s="92"/>
      <c r="B3299" s="92"/>
      <c r="C3299" s="92"/>
      <c r="D3299" s="92"/>
      <c r="E3299" s="92"/>
      <c r="F3299" s="92"/>
      <c r="G3299" s="92"/>
      <c r="H3299" s="92"/>
      <c r="I3299" s="92"/>
      <c r="J3299" s="92"/>
      <c r="K3299" s="92"/>
      <c r="L3299" s="92"/>
      <c r="M3299" s="92"/>
      <c r="N3299" s="92"/>
      <c r="AG3299" s="100"/>
      <c r="AH3299" s="101"/>
      <c r="AI3299" s="100"/>
      <c r="AJ3299" s="101"/>
      <c r="AK3299" s="100"/>
      <c r="AL3299" s="100"/>
      <c r="AM3299" s="100"/>
      <c r="AN3299" s="100"/>
      <c r="AO3299" s="100"/>
      <c r="AP3299" s="100"/>
      <c r="AQ3299" s="100"/>
      <c r="AR3299" s="100"/>
      <c r="AS3299" s="100"/>
      <c r="AT3299" s="102"/>
    </row>
    <row r="3300" spans="1:63" x14ac:dyDescent="0.25">
      <c r="A3300" s="92"/>
      <c r="B3300" s="92"/>
      <c r="C3300" s="92"/>
      <c r="D3300" s="92"/>
      <c r="E3300" s="92"/>
      <c r="F3300" s="92"/>
      <c r="G3300" s="92"/>
      <c r="H3300" s="92"/>
      <c r="I3300" s="92"/>
      <c r="J3300" s="92"/>
      <c r="K3300" s="92"/>
      <c r="L3300" s="92"/>
      <c r="M3300" s="92"/>
      <c r="N3300" s="92"/>
      <c r="AG3300" s="100"/>
      <c r="AH3300" s="101"/>
      <c r="AI3300" s="100"/>
      <c r="AJ3300" s="101"/>
      <c r="AK3300" s="100"/>
      <c r="AL3300" s="100"/>
      <c r="AM3300" s="100"/>
      <c r="AN3300" s="100"/>
      <c r="AO3300" s="100"/>
      <c r="AP3300" s="100"/>
      <c r="AQ3300" s="100"/>
      <c r="AR3300" s="100"/>
      <c r="AS3300" s="100"/>
      <c r="AT3300" s="102"/>
    </row>
    <row r="3301" spans="1:63" x14ac:dyDescent="0.25">
      <c r="A3301" s="92"/>
      <c r="B3301" s="92"/>
      <c r="C3301" s="92"/>
      <c r="D3301" s="92"/>
      <c r="E3301" s="92"/>
      <c r="F3301" s="92"/>
      <c r="G3301" s="92"/>
      <c r="H3301" s="92"/>
      <c r="I3301" s="92"/>
      <c r="J3301" s="92"/>
      <c r="K3301" s="92"/>
      <c r="L3301" s="92"/>
      <c r="M3301" s="92"/>
      <c r="N3301" s="92"/>
      <c r="AG3301" s="100"/>
      <c r="AH3301" s="101"/>
      <c r="AI3301" s="100"/>
      <c r="AJ3301" s="101"/>
      <c r="AK3301" s="100"/>
      <c r="AL3301" s="100"/>
      <c r="AM3301" s="100"/>
      <c r="AN3301" s="100"/>
      <c r="AO3301" s="100"/>
      <c r="AP3301" s="100"/>
      <c r="AQ3301" s="100"/>
      <c r="AR3301" s="100"/>
      <c r="AS3301" s="100"/>
      <c r="AT3301" s="102"/>
    </row>
    <row r="3302" spans="1:63" x14ac:dyDescent="0.25">
      <c r="A3302" s="92"/>
      <c r="B3302" s="92"/>
      <c r="C3302" s="92"/>
      <c r="D3302" s="92"/>
      <c r="E3302" s="92"/>
      <c r="F3302" s="92"/>
      <c r="G3302" s="92"/>
      <c r="H3302" s="92"/>
      <c r="I3302" s="92"/>
      <c r="J3302" s="92"/>
      <c r="K3302" s="92"/>
      <c r="L3302" s="92"/>
      <c r="M3302" s="92"/>
      <c r="N3302" s="92"/>
      <c r="AG3302" s="100"/>
      <c r="AH3302" s="101"/>
      <c r="AI3302" s="100"/>
      <c r="AJ3302" s="101"/>
      <c r="AK3302" s="100"/>
      <c r="AL3302" s="100"/>
      <c r="AM3302" s="100"/>
      <c r="AN3302" s="100"/>
      <c r="AO3302" s="100"/>
      <c r="AP3302" s="100"/>
      <c r="AQ3302" s="100"/>
      <c r="AR3302" s="100"/>
      <c r="AS3302" s="100"/>
      <c r="AT3302" s="102"/>
    </row>
    <row r="3303" spans="1:63" x14ac:dyDescent="0.25">
      <c r="A3303" s="92"/>
      <c r="B3303" s="93"/>
      <c r="C3303" s="93"/>
      <c r="D3303" s="93"/>
      <c r="E3303" s="92"/>
      <c r="F3303" s="92"/>
      <c r="G3303" s="92"/>
      <c r="H3303" s="92"/>
      <c r="I3303" s="92"/>
      <c r="J3303" s="92"/>
      <c r="K3303" s="92"/>
      <c r="L3303" s="92"/>
      <c r="M3303" s="92"/>
      <c r="N3303" s="94"/>
      <c r="AG3303" s="100"/>
      <c r="AH3303" s="101"/>
      <c r="AI3303" s="100"/>
      <c r="AJ3303" s="101"/>
      <c r="AK3303" s="100"/>
      <c r="AL3303" s="100"/>
      <c r="AM3303" s="100"/>
      <c r="AN3303" s="100"/>
      <c r="AO3303" s="100"/>
      <c r="AP3303" s="100"/>
      <c r="AQ3303" s="100"/>
      <c r="AR3303" s="100"/>
      <c r="AS3303" s="100"/>
      <c r="AT3303" s="102"/>
    </row>
    <row r="3304" spans="1:63" x14ac:dyDescent="0.25">
      <c r="A3304" s="92"/>
      <c r="B3304" s="93"/>
      <c r="C3304" s="93"/>
      <c r="D3304" s="92"/>
      <c r="E3304" s="92"/>
      <c r="F3304" s="92"/>
      <c r="G3304" s="92"/>
      <c r="H3304" s="92"/>
      <c r="I3304" s="92"/>
      <c r="J3304" s="92"/>
      <c r="K3304" s="92"/>
      <c r="L3304" s="92"/>
      <c r="M3304" s="92"/>
      <c r="N3304" s="94"/>
      <c r="AG3304" s="100"/>
      <c r="AH3304" s="101"/>
      <c r="AI3304" s="100"/>
      <c r="AJ3304" s="101"/>
      <c r="AK3304" s="100"/>
      <c r="AL3304" s="100"/>
      <c r="AM3304" s="100"/>
      <c r="AN3304" s="100"/>
      <c r="AO3304" s="100"/>
      <c r="AP3304" s="100"/>
      <c r="AQ3304" s="100"/>
      <c r="AR3304" s="100"/>
      <c r="AS3304" s="100"/>
      <c r="AT3304" s="102"/>
    </row>
    <row r="3305" spans="1:63" x14ac:dyDescent="0.25">
      <c r="A3305" s="92"/>
      <c r="B3305" s="93"/>
      <c r="C3305" s="93"/>
      <c r="D3305" s="92"/>
      <c r="E3305" s="92"/>
      <c r="F3305" s="92"/>
      <c r="G3305" s="92"/>
      <c r="H3305" s="92"/>
      <c r="I3305" s="92"/>
      <c r="J3305" s="92"/>
      <c r="K3305" s="92"/>
      <c r="L3305" s="92"/>
      <c r="M3305" s="92"/>
      <c r="N3305" s="94"/>
      <c r="AG3305" s="100"/>
      <c r="AH3305" s="101"/>
      <c r="AI3305" s="100"/>
      <c r="AJ3305" s="101"/>
      <c r="AK3305" s="100"/>
      <c r="AL3305" s="100"/>
      <c r="AM3305" s="100"/>
      <c r="AN3305" s="100"/>
      <c r="AO3305" s="100"/>
      <c r="AP3305" s="100"/>
      <c r="AQ3305" s="100"/>
      <c r="AR3305" s="100"/>
      <c r="AS3305" s="100"/>
      <c r="AT3305" s="102"/>
    </row>
    <row r="3306" spans="1:63" x14ac:dyDescent="0.25">
      <c r="A3306" s="92"/>
      <c r="B3306" s="93"/>
      <c r="C3306" s="93"/>
      <c r="D3306" s="92"/>
      <c r="E3306" s="92"/>
      <c r="F3306" s="92"/>
      <c r="G3306" s="92"/>
      <c r="H3306" s="92"/>
      <c r="I3306" s="92"/>
      <c r="J3306" s="92"/>
      <c r="K3306" s="92"/>
      <c r="L3306" s="92"/>
      <c r="M3306" s="92"/>
      <c r="N3306" s="94"/>
      <c r="AG3306" s="100"/>
      <c r="AH3306" s="101"/>
      <c r="AI3306" s="100"/>
      <c r="AJ3306" s="101"/>
      <c r="AK3306" s="100"/>
      <c r="AL3306" s="100"/>
      <c r="AM3306" s="100"/>
      <c r="AN3306" s="100"/>
      <c r="AO3306" s="100"/>
      <c r="AP3306" s="100"/>
      <c r="AQ3306" s="100"/>
      <c r="AR3306" s="100"/>
      <c r="AS3306" s="100"/>
      <c r="AT3306" s="102"/>
    </row>
    <row r="3307" spans="1:63" x14ac:dyDescent="0.25">
      <c r="A3307" s="92"/>
      <c r="B3307" s="93"/>
      <c r="C3307" s="93"/>
      <c r="D3307" s="92"/>
      <c r="E3307" s="92"/>
      <c r="F3307" s="92"/>
      <c r="G3307" s="92"/>
      <c r="H3307" s="92"/>
      <c r="I3307" s="92"/>
      <c r="J3307" s="92"/>
      <c r="K3307" s="92"/>
      <c r="L3307" s="92"/>
      <c r="M3307" s="92"/>
      <c r="N3307" s="94"/>
      <c r="AG3307" s="100"/>
      <c r="AH3307" s="100"/>
      <c r="AI3307" s="100"/>
      <c r="AJ3307" s="101"/>
      <c r="AK3307" s="100"/>
      <c r="AL3307" s="100"/>
      <c r="AM3307" s="100"/>
      <c r="AN3307" s="100"/>
      <c r="AO3307" s="100"/>
      <c r="AP3307" s="100"/>
      <c r="AQ3307" s="100"/>
      <c r="AR3307" s="100"/>
      <c r="AS3307" s="100"/>
      <c r="AT3307" s="100"/>
    </row>
    <row r="3308" spans="1:63" x14ac:dyDescent="0.25">
      <c r="A3308" s="92"/>
      <c r="B3308" s="93"/>
      <c r="C3308" s="93"/>
      <c r="D3308" s="92"/>
      <c r="E3308" s="92"/>
      <c r="F3308" s="92"/>
      <c r="G3308" s="92"/>
      <c r="H3308" s="92"/>
      <c r="I3308" s="92"/>
      <c r="J3308" s="92"/>
      <c r="K3308" s="92"/>
      <c r="L3308" s="92"/>
      <c r="M3308" s="92"/>
      <c r="N3308" s="94"/>
      <c r="AG3308" s="100"/>
      <c r="AH3308" s="101"/>
      <c r="AI3308" s="100"/>
      <c r="AJ3308" s="101"/>
      <c r="AK3308" s="100"/>
      <c r="AL3308" s="100"/>
      <c r="AM3308" s="100"/>
      <c r="AN3308" s="100"/>
      <c r="AO3308" s="100"/>
      <c r="AP3308" s="100"/>
      <c r="AQ3308" s="100"/>
      <c r="AR3308" s="100"/>
      <c r="AS3308" s="100"/>
      <c r="AT3308" s="102"/>
    </row>
    <row r="3309" spans="1:63" x14ac:dyDescent="0.25">
      <c r="A3309" s="92"/>
      <c r="B3309" s="93"/>
      <c r="C3309" s="93"/>
      <c r="D3309" s="92"/>
      <c r="E3309" s="92"/>
      <c r="F3309" s="92"/>
      <c r="G3309" s="92"/>
      <c r="H3309" s="92"/>
      <c r="I3309" s="92"/>
      <c r="J3309" s="92"/>
      <c r="K3309" s="92"/>
      <c r="L3309" s="92"/>
      <c r="M3309" s="92"/>
      <c r="N3309" s="94"/>
      <c r="AG3309" s="100"/>
      <c r="AH3309" s="101"/>
      <c r="AI3309" s="100"/>
      <c r="AJ3309" s="101"/>
      <c r="AK3309" s="100"/>
      <c r="AL3309" s="100"/>
      <c r="AM3309" s="100"/>
      <c r="AN3309" s="100"/>
      <c r="AO3309" s="100"/>
      <c r="AP3309" s="100"/>
      <c r="AQ3309" s="100"/>
      <c r="AR3309" s="100"/>
      <c r="AS3309" s="100"/>
      <c r="AT3309" s="102"/>
    </row>
    <row r="3310" spans="1:63" x14ac:dyDescent="0.25">
      <c r="A3310" s="92"/>
      <c r="B3310" s="92"/>
      <c r="C3310" s="92"/>
      <c r="D3310" s="92"/>
      <c r="E3310" s="92"/>
      <c r="F3310" s="92"/>
      <c r="G3310" s="92"/>
      <c r="H3310" s="92"/>
      <c r="I3310" s="92"/>
      <c r="J3310" s="92"/>
      <c r="K3310" s="92"/>
      <c r="L3310" s="92"/>
      <c r="M3310" s="92"/>
      <c r="N3310" s="92"/>
      <c r="AG3310" s="100"/>
      <c r="AH3310" s="101"/>
      <c r="AI3310" s="100"/>
      <c r="AJ3310" s="101"/>
      <c r="AK3310" s="100"/>
      <c r="AL3310" s="100"/>
      <c r="AM3310" s="100"/>
      <c r="AN3310" s="100"/>
      <c r="AO3310" s="100"/>
      <c r="AP3310" s="100"/>
      <c r="AQ3310" s="100"/>
      <c r="AR3310" s="100"/>
      <c r="AS3310" s="100"/>
      <c r="AT3310" s="102"/>
    </row>
    <row r="3311" spans="1:63" x14ac:dyDescent="0.25">
      <c r="A3311" s="92"/>
      <c r="B3311" s="92"/>
      <c r="C3311" s="92"/>
      <c r="D3311" s="92"/>
      <c r="E3311" s="92"/>
      <c r="F3311" s="92"/>
      <c r="G3311" s="92"/>
      <c r="H3311" s="92"/>
      <c r="I3311" s="92"/>
      <c r="J3311" s="92"/>
      <c r="K3311" s="92"/>
      <c r="L3311" s="92"/>
      <c r="M3311" s="92"/>
      <c r="N3311" s="92"/>
      <c r="AG3311" s="100"/>
      <c r="AH3311" s="100"/>
      <c r="AI3311" s="100"/>
      <c r="AJ3311" s="101"/>
      <c r="AK3311" s="100"/>
      <c r="AL3311" s="100"/>
      <c r="AM3311" s="100"/>
      <c r="AN3311" s="100"/>
      <c r="AO3311" s="100"/>
      <c r="AP3311" s="100"/>
      <c r="AQ3311" s="100"/>
      <c r="AR3311" s="100"/>
      <c r="AS3311" s="100"/>
      <c r="AT3311" s="100"/>
      <c r="AZ3311" s="117"/>
      <c r="BK3311" s="39"/>
    </row>
    <row r="3312" spans="1:63" x14ac:dyDescent="0.25">
      <c r="A3312" s="92"/>
      <c r="B3312" s="92"/>
      <c r="C3312" s="92"/>
      <c r="D3312" s="92"/>
      <c r="E3312" s="92"/>
      <c r="F3312" s="92"/>
      <c r="G3312" s="92"/>
      <c r="H3312" s="92"/>
      <c r="I3312" s="92"/>
      <c r="J3312" s="92"/>
      <c r="K3312" s="92"/>
      <c r="L3312" s="92"/>
      <c r="M3312" s="92"/>
      <c r="N3312" s="92"/>
      <c r="AG3312" s="100"/>
      <c r="AH3312" s="101"/>
      <c r="AI3312" s="100"/>
      <c r="AJ3312" s="101"/>
      <c r="AK3312" s="100"/>
      <c r="AL3312" s="100"/>
      <c r="AM3312" s="100"/>
      <c r="AN3312" s="100"/>
      <c r="AO3312" s="100"/>
      <c r="AP3312" s="100"/>
      <c r="AQ3312" s="100"/>
      <c r="AR3312" s="100"/>
      <c r="AS3312" s="100"/>
      <c r="AT3312" s="102"/>
      <c r="AZ3312" s="117"/>
      <c r="BK3312" s="39"/>
    </row>
    <row r="3313" spans="1:63" x14ac:dyDescent="0.25">
      <c r="A3313" s="92"/>
      <c r="B3313" s="92"/>
      <c r="C3313" s="92"/>
      <c r="D3313" s="92"/>
      <c r="E3313" s="92"/>
      <c r="F3313" s="92"/>
      <c r="G3313" s="92"/>
      <c r="H3313" s="92"/>
      <c r="I3313" s="92"/>
      <c r="J3313" s="92"/>
      <c r="K3313" s="92"/>
      <c r="L3313" s="92"/>
      <c r="M3313" s="92"/>
      <c r="N3313" s="92"/>
      <c r="AG3313" s="100"/>
      <c r="AH3313" s="101"/>
      <c r="AI3313" s="100"/>
      <c r="AJ3313" s="101"/>
      <c r="AK3313" s="100"/>
      <c r="AL3313" s="100"/>
      <c r="AM3313" s="100"/>
      <c r="AN3313" s="100"/>
      <c r="AO3313" s="100"/>
      <c r="AP3313" s="100"/>
      <c r="AQ3313" s="100"/>
      <c r="AR3313" s="100"/>
      <c r="AS3313" s="100"/>
      <c r="AT3313" s="102"/>
      <c r="AZ3313" s="117"/>
      <c r="BK3313" s="39"/>
    </row>
    <row r="3314" spans="1:63" x14ac:dyDescent="0.25">
      <c r="A3314" s="92"/>
      <c r="B3314" s="92"/>
      <c r="C3314" s="92"/>
      <c r="D3314" s="92"/>
      <c r="E3314" s="92"/>
      <c r="F3314" s="92"/>
      <c r="G3314" s="92"/>
      <c r="H3314" s="92"/>
      <c r="I3314" s="92"/>
      <c r="J3314" s="92"/>
      <c r="K3314" s="92"/>
      <c r="L3314" s="92"/>
      <c r="M3314" s="92"/>
      <c r="N3314" s="92"/>
      <c r="AG3314" s="100"/>
      <c r="AH3314" s="101"/>
      <c r="AI3314" s="100"/>
      <c r="AJ3314" s="101"/>
      <c r="AK3314" s="100"/>
      <c r="AL3314" s="100"/>
      <c r="AM3314" s="100"/>
      <c r="AN3314" s="100"/>
      <c r="AO3314" s="100"/>
      <c r="AP3314" s="100"/>
      <c r="AQ3314" s="100"/>
      <c r="AR3314" s="100"/>
      <c r="AS3314" s="100"/>
      <c r="AT3314" s="102"/>
      <c r="AZ3314" s="117"/>
      <c r="BK3314" s="39"/>
    </row>
    <row r="3315" spans="1:63" x14ac:dyDescent="0.25">
      <c r="A3315" s="92"/>
      <c r="B3315" s="92"/>
      <c r="C3315" s="92"/>
      <c r="D3315" s="92"/>
      <c r="E3315" s="92"/>
      <c r="F3315" s="92"/>
      <c r="G3315" s="92"/>
      <c r="H3315" s="92"/>
      <c r="I3315" s="92"/>
      <c r="J3315" s="92"/>
      <c r="K3315" s="92"/>
      <c r="L3315" s="92"/>
      <c r="M3315" s="92"/>
      <c r="N3315" s="92"/>
      <c r="AG3315" s="100"/>
      <c r="AH3315" s="101"/>
      <c r="AI3315" s="100"/>
      <c r="AJ3315" s="101"/>
      <c r="AK3315" s="100"/>
      <c r="AL3315" s="100"/>
      <c r="AM3315" s="100"/>
      <c r="AN3315" s="100"/>
      <c r="AO3315" s="100"/>
      <c r="AP3315" s="100"/>
      <c r="AQ3315" s="100"/>
      <c r="AR3315" s="100"/>
      <c r="AS3315" s="100"/>
      <c r="AT3315" s="102"/>
      <c r="AZ3315" s="117"/>
      <c r="BK3315" s="39"/>
    </row>
    <row r="3316" spans="1:63" x14ac:dyDescent="0.25">
      <c r="A3316" s="92"/>
      <c r="B3316" s="92"/>
      <c r="C3316" s="92"/>
      <c r="D3316" s="92"/>
      <c r="E3316" s="92"/>
      <c r="F3316" s="92"/>
      <c r="G3316" s="92"/>
      <c r="H3316" s="92"/>
      <c r="I3316" s="92"/>
      <c r="J3316" s="92"/>
      <c r="K3316" s="92"/>
      <c r="L3316" s="92"/>
      <c r="M3316" s="92"/>
      <c r="N3316" s="92"/>
      <c r="AG3316" s="100"/>
      <c r="AH3316" s="101"/>
      <c r="AI3316" s="100"/>
      <c r="AJ3316" s="101"/>
      <c r="AK3316" s="100"/>
      <c r="AL3316" s="100"/>
      <c r="AM3316" s="100"/>
      <c r="AN3316" s="100"/>
      <c r="AO3316" s="100"/>
      <c r="AP3316" s="100"/>
      <c r="AQ3316" s="100"/>
      <c r="AR3316" s="100"/>
      <c r="AS3316" s="100"/>
      <c r="AT3316" s="102"/>
      <c r="AZ3316" s="117"/>
      <c r="BA3316" s="117"/>
      <c r="BK3316" s="39"/>
    </row>
    <row r="3317" spans="1:63" x14ac:dyDescent="0.25">
      <c r="A3317" s="92"/>
      <c r="B3317" s="92"/>
      <c r="C3317" s="92"/>
      <c r="D3317" s="92"/>
      <c r="E3317" s="92"/>
      <c r="F3317" s="92"/>
      <c r="G3317" s="92"/>
      <c r="H3317" s="92"/>
      <c r="I3317" s="92"/>
      <c r="J3317" s="92"/>
      <c r="K3317" s="92"/>
      <c r="L3317" s="92"/>
      <c r="M3317" s="92"/>
      <c r="N3317" s="92"/>
      <c r="AG3317" s="100"/>
      <c r="AH3317" s="101"/>
      <c r="AI3317" s="100"/>
      <c r="AJ3317" s="101"/>
      <c r="AK3317" s="100"/>
      <c r="AL3317" s="100"/>
      <c r="AM3317" s="100"/>
      <c r="AN3317" s="100"/>
      <c r="AO3317" s="100"/>
      <c r="AP3317" s="100"/>
      <c r="AQ3317" s="100"/>
      <c r="AR3317" s="100"/>
      <c r="AS3317" s="100"/>
      <c r="AT3317" s="102"/>
      <c r="BA3317" s="117"/>
    </row>
    <row r="3318" spans="1:63" x14ac:dyDescent="0.25">
      <c r="A3318" s="92"/>
      <c r="B3318" s="92"/>
      <c r="C3318" s="92"/>
      <c r="D3318" s="92"/>
      <c r="E3318" s="92"/>
      <c r="F3318" s="92"/>
      <c r="G3318" s="92"/>
      <c r="H3318" s="92"/>
      <c r="I3318" s="92"/>
      <c r="J3318" s="92"/>
      <c r="K3318" s="92"/>
      <c r="L3318" s="92"/>
      <c r="M3318" s="92"/>
      <c r="N3318" s="92"/>
      <c r="AG3318" s="100"/>
      <c r="AH3318" s="101"/>
      <c r="AI3318" s="100"/>
      <c r="AJ3318" s="101"/>
      <c r="AK3318" s="100"/>
      <c r="AL3318" s="100"/>
      <c r="AM3318" s="100"/>
      <c r="AN3318" s="100"/>
      <c r="AO3318" s="100"/>
      <c r="AP3318" s="100"/>
      <c r="AQ3318" s="100"/>
      <c r="AR3318" s="100"/>
      <c r="AS3318" s="100"/>
      <c r="AT3318" s="102"/>
    </row>
    <row r="3319" spans="1:63" x14ac:dyDescent="0.25">
      <c r="A3319" s="92"/>
      <c r="B3319" s="92"/>
      <c r="C3319" s="92"/>
      <c r="D3319" s="92"/>
      <c r="E3319" s="92"/>
      <c r="F3319" s="92"/>
      <c r="G3319" s="92"/>
      <c r="H3319" s="92"/>
      <c r="I3319" s="92"/>
      <c r="J3319" s="92"/>
      <c r="K3319" s="92"/>
      <c r="L3319" s="92"/>
      <c r="M3319" s="92"/>
      <c r="N3319" s="92"/>
      <c r="AG3319" s="100"/>
      <c r="AH3319" s="101"/>
      <c r="AI3319" s="100"/>
      <c r="AJ3319" s="101"/>
      <c r="AK3319" s="100"/>
      <c r="AL3319" s="100"/>
      <c r="AM3319" s="100"/>
      <c r="AN3319" s="100"/>
      <c r="AO3319" s="100"/>
      <c r="AP3319" s="100"/>
      <c r="AQ3319" s="100"/>
      <c r="AR3319" s="100"/>
      <c r="AS3319" s="100"/>
      <c r="AT3319" s="102"/>
      <c r="AZ3319" s="117"/>
      <c r="BK3319" s="39"/>
    </row>
    <row r="3320" spans="1:63" x14ac:dyDescent="0.25">
      <c r="A3320" s="92"/>
      <c r="B3320" s="92"/>
      <c r="C3320" s="92"/>
      <c r="D3320" s="92"/>
      <c r="E3320" s="92"/>
      <c r="F3320" s="92"/>
      <c r="G3320" s="92"/>
      <c r="H3320" s="92"/>
      <c r="I3320" s="92"/>
      <c r="J3320" s="92"/>
      <c r="K3320" s="92"/>
      <c r="L3320" s="92"/>
      <c r="M3320" s="92"/>
      <c r="N3320" s="92"/>
      <c r="AG3320" s="100"/>
      <c r="AH3320" s="101"/>
      <c r="AI3320" s="100"/>
      <c r="AJ3320" s="101"/>
      <c r="AK3320" s="100"/>
      <c r="AL3320" s="100"/>
      <c r="AM3320" s="100"/>
      <c r="AN3320" s="100"/>
      <c r="AO3320" s="100"/>
      <c r="AP3320" s="100"/>
      <c r="AQ3320" s="100"/>
      <c r="AR3320" s="100"/>
      <c r="AS3320" s="100"/>
      <c r="AT3320" s="102"/>
      <c r="AZ3320" s="117"/>
      <c r="BK3320" s="39"/>
    </row>
    <row r="3321" spans="1:63" x14ac:dyDescent="0.25">
      <c r="A3321" s="92"/>
      <c r="B3321" s="92"/>
      <c r="C3321" s="92"/>
      <c r="D3321" s="92"/>
      <c r="E3321" s="92"/>
      <c r="F3321" s="92"/>
      <c r="G3321" s="92"/>
      <c r="H3321" s="92"/>
      <c r="I3321" s="92"/>
      <c r="J3321" s="92"/>
      <c r="K3321" s="92"/>
      <c r="L3321" s="92"/>
      <c r="M3321" s="92"/>
      <c r="N3321" s="92"/>
      <c r="AG3321" s="100"/>
      <c r="AH3321" s="100"/>
      <c r="AI3321" s="100"/>
      <c r="AJ3321" s="101"/>
      <c r="AK3321" s="100"/>
      <c r="AL3321" s="100"/>
      <c r="AM3321" s="100"/>
      <c r="AN3321" s="100"/>
      <c r="AO3321" s="100"/>
      <c r="AP3321" s="100"/>
      <c r="AQ3321" s="100"/>
      <c r="AR3321" s="100"/>
      <c r="AS3321" s="100"/>
      <c r="AT3321" s="100"/>
      <c r="AZ3321" s="117"/>
      <c r="BK3321" s="39"/>
    </row>
    <row r="3322" spans="1:63" x14ac:dyDescent="0.25">
      <c r="A3322" s="92"/>
      <c r="B3322" s="92"/>
      <c r="C3322" s="92"/>
      <c r="D3322" s="92"/>
      <c r="E3322" s="92"/>
      <c r="F3322" s="92"/>
      <c r="G3322" s="92"/>
      <c r="H3322" s="92"/>
      <c r="I3322" s="92"/>
      <c r="J3322" s="92"/>
      <c r="K3322" s="92"/>
      <c r="L3322" s="92"/>
      <c r="M3322" s="92"/>
      <c r="N3322" s="92"/>
      <c r="AG3322" s="100"/>
      <c r="AH3322" s="101"/>
      <c r="AI3322" s="100"/>
      <c r="AJ3322" s="101"/>
      <c r="AK3322" s="100"/>
      <c r="AL3322" s="100"/>
      <c r="AM3322" s="100"/>
      <c r="AN3322" s="100"/>
      <c r="AO3322" s="100"/>
      <c r="AP3322" s="100"/>
      <c r="AQ3322" s="100"/>
      <c r="AR3322" s="100"/>
      <c r="AS3322" s="100"/>
      <c r="AT3322" s="102"/>
      <c r="AZ3322" s="117"/>
      <c r="BK3322" s="39"/>
    </row>
    <row r="3323" spans="1:63" x14ac:dyDescent="0.25">
      <c r="A3323" s="92"/>
      <c r="B3323" s="93"/>
      <c r="C3323" s="93"/>
      <c r="D3323" s="92"/>
      <c r="E3323" s="92"/>
      <c r="F3323" s="92"/>
      <c r="G3323" s="92"/>
      <c r="H3323" s="92"/>
      <c r="I3323" s="92"/>
      <c r="J3323" s="92"/>
      <c r="K3323" s="92"/>
      <c r="L3323" s="92"/>
      <c r="M3323" s="92"/>
      <c r="N3323" s="94"/>
      <c r="AG3323" s="100"/>
      <c r="AH3323" s="101"/>
      <c r="AI3323" s="100"/>
      <c r="AJ3323" s="101"/>
      <c r="AK3323" s="100"/>
      <c r="AL3323" s="100"/>
      <c r="AM3323" s="100"/>
      <c r="AN3323" s="100"/>
      <c r="AO3323" s="100"/>
      <c r="AP3323" s="100"/>
      <c r="AQ3323" s="100"/>
      <c r="AR3323" s="100"/>
      <c r="AS3323" s="100"/>
      <c r="AT3323" s="102"/>
      <c r="AZ3323" s="117"/>
      <c r="BK3323" s="39"/>
    </row>
    <row r="3324" spans="1:63" x14ac:dyDescent="0.25">
      <c r="A3324" s="92"/>
      <c r="B3324" s="93"/>
      <c r="C3324" s="93"/>
      <c r="D3324" s="92"/>
      <c r="E3324" s="92"/>
      <c r="F3324" s="92"/>
      <c r="G3324" s="92"/>
      <c r="H3324" s="92"/>
      <c r="I3324" s="92"/>
      <c r="J3324" s="92"/>
      <c r="K3324" s="92"/>
      <c r="L3324" s="92"/>
      <c r="M3324" s="92"/>
      <c r="N3324" s="94"/>
      <c r="AG3324" s="100"/>
      <c r="AH3324" s="101"/>
      <c r="AI3324" s="100"/>
      <c r="AJ3324" s="101"/>
      <c r="AK3324" s="100"/>
      <c r="AL3324" s="100"/>
      <c r="AM3324" s="100"/>
      <c r="AN3324" s="100"/>
      <c r="AO3324" s="100"/>
      <c r="AP3324" s="100"/>
      <c r="AQ3324" s="100"/>
      <c r="AR3324" s="100"/>
      <c r="AS3324" s="100"/>
      <c r="AT3324" s="102"/>
    </row>
    <row r="3325" spans="1:63" x14ac:dyDescent="0.25">
      <c r="A3325" s="92"/>
      <c r="B3325" s="93"/>
      <c r="C3325" s="93"/>
      <c r="D3325" s="92"/>
      <c r="E3325" s="92"/>
      <c r="F3325" s="92"/>
      <c r="G3325" s="92"/>
      <c r="H3325" s="92"/>
      <c r="I3325" s="92"/>
      <c r="J3325" s="92"/>
      <c r="K3325" s="92"/>
      <c r="L3325" s="92"/>
      <c r="M3325" s="92"/>
      <c r="N3325" s="94"/>
      <c r="AG3325" s="100"/>
      <c r="AH3325" s="101"/>
      <c r="AI3325" s="100"/>
      <c r="AJ3325" s="101"/>
      <c r="AK3325" s="100"/>
      <c r="AL3325" s="100"/>
      <c r="AM3325" s="100"/>
      <c r="AN3325" s="100"/>
      <c r="AO3325" s="100"/>
      <c r="AP3325" s="100"/>
      <c r="AQ3325" s="100"/>
      <c r="AR3325" s="100"/>
      <c r="AS3325" s="100"/>
      <c r="AT3325" s="102"/>
    </row>
    <row r="3326" spans="1:63" x14ac:dyDescent="0.25">
      <c r="A3326" s="92"/>
      <c r="B3326" s="93"/>
      <c r="C3326" s="93"/>
      <c r="D3326" s="92"/>
      <c r="E3326" s="92"/>
      <c r="F3326" s="92"/>
      <c r="G3326" s="92"/>
      <c r="H3326" s="92"/>
      <c r="I3326" s="92"/>
      <c r="J3326" s="92"/>
      <c r="K3326" s="92"/>
      <c r="L3326" s="92"/>
      <c r="M3326" s="92"/>
      <c r="N3326" s="94"/>
      <c r="AG3326" s="100"/>
      <c r="AH3326" s="101"/>
      <c r="AI3326" s="100"/>
      <c r="AJ3326" s="101"/>
      <c r="AK3326" s="100"/>
      <c r="AL3326" s="100"/>
      <c r="AM3326" s="100"/>
      <c r="AN3326" s="100"/>
      <c r="AO3326" s="100"/>
      <c r="AP3326" s="100"/>
      <c r="AQ3326" s="100"/>
      <c r="AR3326" s="100"/>
      <c r="AS3326" s="100"/>
      <c r="AT3326" s="102"/>
      <c r="AZ3326" s="117"/>
      <c r="BK3326" s="39"/>
    </row>
    <row r="3327" spans="1:63" x14ac:dyDescent="0.25">
      <c r="A3327" s="92"/>
      <c r="B3327" s="93"/>
      <c r="C3327" s="93"/>
      <c r="D3327" s="92"/>
      <c r="E3327" s="92"/>
      <c r="F3327" s="92"/>
      <c r="G3327" s="92"/>
      <c r="H3327" s="92"/>
      <c r="I3327" s="92"/>
      <c r="J3327" s="92"/>
      <c r="K3327" s="92"/>
      <c r="L3327" s="92"/>
      <c r="M3327" s="92"/>
      <c r="N3327" s="94"/>
      <c r="AG3327" s="100"/>
      <c r="AH3327" s="101"/>
      <c r="AI3327" s="100"/>
      <c r="AJ3327" s="101"/>
      <c r="AK3327" s="100"/>
      <c r="AL3327" s="100"/>
      <c r="AM3327" s="100"/>
      <c r="AN3327" s="100"/>
      <c r="AO3327" s="100"/>
      <c r="AP3327" s="100"/>
      <c r="AQ3327" s="100"/>
      <c r="AR3327" s="100"/>
      <c r="AS3327" s="100"/>
      <c r="AT3327" s="102"/>
      <c r="AZ3327" s="117"/>
      <c r="BK3327" s="39"/>
    </row>
    <row r="3328" spans="1:63" x14ac:dyDescent="0.25">
      <c r="A3328" s="92"/>
      <c r="B3328" s="93"/>
      <c r="C3328" s="93"/>
      <c r="D3328" s="93"/>
      <c r="E3328" s="92"/>
      <c r="F3328" s="92"/>
      <c r="G3328" s="92"/>
      <c r="H3328" s="92"/>
      <c r="I3328" s="92"/>
      <c r="J3328" s="92"/>
      <c r="K3328" s="92"/>
      <c r="L3328" s="92"/>
      <c r="M3328" s="92"/>
      <c r="N3328" s="94"/>
      <c r="AG3328" s="100"/>
      <c r="AH3328" s="101"/>
      <c r="AI3328" s="100"/>
      <c r="AJ3328" s="101"/>
      <c r="AK3328" s="100"/>
      <c r="AL3328" s="100"/>
      <c r="AM3328" s="100"/>
      <c r="AN3328" s="100"/>
      <c r="AO3328" s="100"/>
      <c r="AP3328" s="100"/>
      <c r="AQ3328" s="100"/>
      <c r="AR3328" s="100"/>
      <c r="AS3328" s="100"/>
      <c r="AT3328" s="102"/>
      <c r="AZ3328" s="117"/>
      <c r="BK3328" s="39"/>
    </row>
    <row r="3329" spans="1:63" x14ac:dyDescent="0.25">
      <c r="A3329" s="92"/>
      <c r="B3329" s="92"/>
      <c r="C3329" s="92"/>
      <c r="D3329" s="93"/>
      <c r="E3329" s="92"/>
      <c r="F3329" s="92"/>
      <c r="G3329" s="92"/>
      <c r="H3329" s="92"/>
      <c r="I3329" s="92"/>
      <c r="J3329" s="92"/>
      <c r="K3329" s="92"/>
      <c r="L3329" s="92"/>
      <c r="M3329" s="92"/>
      <c r="N3329" s="92"/>
      <c r="AG3329" s="100"/>
      <c r="AH3329" s="101"/>
      <c r="AI3329" s="100"/>
      <c r="AJ3329" s="101"/>
      <c r="AK3329" s="100"/>
      <c r="AL3329" s="100"/>
      <c r="AM3329" s="100"/>
      <c r="AN3329" s="100"/>
      <c r="AO3329" s="100"/>
      <c r="AP3329" s="100"/>
      <c r="AQ3329" s="100"/>
      <c r="AR3329" s="100"/>
      <c r="AS3329" s="100"/>
      <c r="AT3329" s="102"/>
    </row>
    <row r="3330" spans="1:63" x14ac:dyDescent="0.25">
      <c r="A3330" s="92"/>
      <c r="B3330" s="92"/>
      <c r="C3330" s="92"/>
      <c r="D3330" s="92"/>
      <c r="E3330" s="92"/>
      <c r="F3330" s="92"/>
      <c r="G3330" s="92"/>
      <c r="H3330" s="92"/>
      <c r="I3330" s="92"/>
      <c r="J3330" s="92"/>
      <c r="K3330" s="92"/>
      <c r="L3330" s="92"/>
      <c r="M3330" s="92"/>
      <c r="N3330" s="92"/>
      <c r="AG3330" s="100"/>
      <c r="AH3330" s="101"/>
      <c r="AI3330" s="100"/>
      <c r="AJ3330" s="101"/>
      <c r="AK3330" s="100"/>
      <c r="AL3330" s="100"/>
      <c r="AM3330" s="100"/>
      <c r="AN3330" s="100"/>
      <c r="AO3330" s="100"/>
      <c r="AP3330" s="100"/>
      <c r="AQ3330" s="100"/>
      <c r="AR3330" s="100"/>
      <c r="AS3330" s="100"/>
      <c r="AT3330" s="102"/>
    </row>
    <row r="3331" spans="1:63" x14ac:dyDescent="0.25">
      <c r="A3331" s="92"/>
      <c r="B3331" s="93"/>
      <c r="C3331" s="93"/>
      <c r="D3331" s="92"/>
      <c r="E3331" s="92"/>
      <c r="F3331" s="92"/>
      <c r="G3331" s="92"/>
      <c r="H3331" s="92"/>
      <c r="I3331" s="92"/>
      <c r="J3331" s="92"/>
      <c r="K3331" s="92"/>
      <c r="L3331" s="92"/>
      <c r="M3331" s="92"/>
      <c r="N3331" s="94"/>
      <c r="AG3331" s="100"/>
      <c r="AH3331" s="101"/>
      <c r="AI3331" s="100"/>
      <c r="AJ3331" s="101"/>
      <c r="AK3331" s="100"/>
      <c r="AL3331" s="100"/>
      <c r="AM3331" s="100"/>
      <c r="AN3331" s="100"/>
      <c r="AO3331" s="100"/>
      <c r="AP3331" s="100"/>
      <c r="AQ3331" s="100"/>
      <c r="AR3331" s="100"/>
      <c r="AS3331" s="100"/>
      <c r="AT3331" s="102"/>
      <c r="AZ3331" s="117"/>
      <c r="BK3331" s="39"/>
    </row>
    <row r="3332" spans="1:63" x14ac:dyDescent="0.25">
      <c r="A3332" s="92"/>
      <c r="B3332" s="93"/>
      <c r="C3332" s="93"/>
      <c r="D3332" s="92"/>
      <c r="E3332" s="92"/>
      <c r="F3332" s="92"/>
      <c r="G3332" s="92"/>
      <c r="H3332" s="92"/>
      <c r="I3332" s="92"/>
      <c r="J3332" s="92"/>
      <c r="K3332" s="92"/>
      <c r="L3332" s="92"/>
      <c r="M3332" s="92"/>
      <c r="N3332" s="94"/>
      <c r="AG3332" s="100"/>
      <c r="AH3332" s="101"/>
      <c r="AI3332" s="100"/>
      <c r="AJ3332" s="101"/>
      <c r="AK3332" s="100"/>
      <c r="AL3332" s="100"/>
      <c r="AM3332" s="100"/>
      <c r="AN3332" s="100"/>
      <c r="AO3332" s="100"/>
      <c r="AP3332" s="100"/>
      <c r="AQ3332" s="100"/>
      <c r="AR3332" s="100"/>
      <c r="AS3332" s="100"/>
      <c r="AT3332" s="102"/>
    </row>
    <row r="3333" spans="1:63" x14ac:dyDescent="0.25">
      <c r="A3333" s="92"/>
      <c r="B3333" s="93"/>
      <c r="C3333" s="93"/>
      <c r="D3333" s="92"/>
      <c r="E3333" s="92"/>
      <c r="F3333" s="92"/>
      <c r="G3333" s="92"/>
      <c r="H3333" s="92"/>
      <c r="I3333" s="92"/>
      <c r="J3333" s="92"/>
      <c r="K3333" s="92"/>
      <c r="L3333" s="92"/>
      <c r="M3333" s="92"/>
      <c r="N3333" s="94"/>
      <c r="AG3333" s="100"/>
      <c r="AH3333" s="101"/>
      <c r="AI3333" s="100"/>
      <c r="AJ3333" s="101"/>
      <c r="AK3333" s="100"/>
      <c r="AL3333" s="100"/>
      <c r="AM3333" s="100"/>
      <c r="AN3333" s="100"/>
      <c r="AO3333" s="100"/>
      <c r="AP3333" s="100"/>
      <c r="AQ3333" s="100"/>
      <c r="AR3333" s="100"/>
      <c r="AS3333" s="100"/>
      <c r="AT3333" s="102"/>
    </row>
    <row r="3334" spans="1:63" x14ac:dyDescent="0.25">
      <c r="A3334" s="92"/>
      <c r="B3334" s="93"/>
      <c r="C3334" s="93"/>
      <c r="D3334" s="92"/>
      <c r="E3334" s="92"/>
      <c r="F3334" s="92"/>
      <c r="G3334" s="92"/>
      <c r="H3334" s="92"/>
      <c r="I3334" s="92"/>
      <c r="J3334" s="92"/>
      <c r="K3334" s="92"/>
      <c r="L3334" s="92"/>
      <c r="M3334" s="92"/>
      <c r="N3334" s="94"/>
      <c r="AG3334" s="100"/>
      <c r="AH3334" s="100"/>
      <c r="AI3334" s="100"/>
      <c r="AJ3334" s="101"/>
      <c r="AK3334" s="100"/>
      <c r="AL3334" s="100"/>
      <c r="AM3334" s="100"/>
      <c r="AN3334" s="100"/>
      <c r="AO3334" s="100"/>
      <c r="AP3334" s="100"/>
      <c r="AQ3334" s="100"/>
      <c r="AR3334" s="100"/>
      <c r="AS3334" s="100"/>
      <c r="AT3334" s="100"/>
      <c r="AZ3334" s="117"/>
      <c r="BK3334" s="39"/>
    </row>
    <row r="3335" spans="1:63" x14ac:dyDescent="0.25">
      <c r="A3335" s="92"/>
      <c r="B3335" s="93"/>
      <c r="C3335" s="93"/>
      <c r="D3335" s="92"/>
      <c r="E3335" s="92"/>
      <c r="F3335" s="92"/>
      <c r="G3335" s="92"/>
      <c r="H3335" s="92"/>
      <c r="I3335" s="92"/>
      <c r="J3335" s="92"/>
      <c r="K3335" s="92"/>
      <c r="L3335" s="92"/>
      <c r="M3335" s="92"/>
      <c r="N3335" s="94"/>
      <c r="AG3335" s="100"/>
      <c r="AH3335" s="101"/>
      <c r="AI3335" s="100"/>
      <c r="AJ3335" s="101"/>
      <c r="AK3335" s="100"/>
      <c r="AL3335" s="100"/>
      <c r="AM3335" s="100"/>
      <c r="AN3335" s="100"/>
      <c r="AO3335" s="100"/>
      <c r="AP3335" s="100"/>
      <c r="AQ3335" s="100"/>
      <c r="AR3335" s="100"/>
      <c r="AS3335" s="100"/>
      <c r="AT3335" s="102"/>
      <c r="AZ3335" s="117"/>
      <c r="BA3335" s="117"/>
      <c r="BK3335" s="39"/>
    </row>
    <row r="3336" spans="1:63" x14ac:dyDescent="0.25">
      <c r="A3336" s="92"/>
      <c r="B3336" s="92"/>
      <c r="C3336" s="92"/>
      <c r="D3336" s="92"/>
      <c r="E3336" s="92"/>
      <c r="F3336" s="92"/>
      <c r="G3336" s="92"/>
      <c r="H3336" s="92"/>
      <c r="I3336" s="92"/>
      <c r="J3336" s="92"/>
      <c r="K3336" s="92"/>
      <c r="L3336" s="92"/>
      <c r="M3336" s="92"/>
      <c r="N3336" s="92"/>
      <c r="AG3336" s="100"/>
      <c r="AH3336" s="101"/>
      <c r="AI3336" s="100"/>
      <c r="AJ3336" s="101"/>
      <c r="AK3336" s="100"/>
      <c r="AL3336" s="100"/>
      <c r="AM3336" s="100"/>
      <c r="AN3336" s="100"/>
      <c r="AO3336" s="100"/>
      <c r="AP3336" s="100"/>
      <c r="AQ3336" s="100"/>
      <c r="AR3336" s="100"/>
      <c r="AS3336" s="100"/>
      <c r="AT3336" s="102"/>
      <c r="BA3336" s="117"/>
    </row>
    <row r="3337" spans="1:63" x14ac:dyDescent="0.25">
      <c r="A3337" s="92"/>
      <c r="B3337" s="92"/>
      <c r="C3337" s="92"/>
      <c r="D3337" s="92"/>
      <c r="E3337" s="92"/>
      <c r="F3337" s="92"/>
      <c r="G3337" s="92"/>
      <c r="H3337" s="92"/>
      <c r="I3337" s="92"/>
      <c r="J3337" s="92"/>
      <c r="K3337" s="92"/>
      <c r="L3337" s="92"/>
      <c r="M3337" s="92"/>
      <c r="N3337" s="92"/>
      <c r="AG3337" s="100"/>
      <c r="AH3337" s="101"/>
      <c r="AI3337" s="100"/>
      <c r="AJ3337" s="101"/>
      <c r="AK3337" s="100"/>
      <c r="AL3337" s="100"/>
      <c r="AM3337" s="100"/>
      <c r="AN3337" s="100"/>
      <c r="AO3337" s="100"/>
      <c r="AP3337" s="100"/>
      <c r="AQ3337" s="100"/>
      <c r="AR3337" s="100"/>
      <c r="AS3337" s="100"/>
      <c r="AT3337" s="102"/>
    </row>
    <row r="3338" spans="1:63" x14ac:dyDescent="0.25">
      <c r="A3338" s="92"/>
      <c r="B3338" s="93"/>
      <c r="C3338" s="93"/>
      <c r="D3338" s="92"/>
      <c r="E3338" s="92"/>
      <c r="F3338" s="92"/>
      <c r="G3338" s="92"/>
      <c r="H3338" s="92"/>
      <c r="I3338" s="92"/>
      <c r="J3338" s="92"/>
      <c r="K3338" s="92"/>
      <c r="L3338" s="92"/>
      <c r="M3338" s="92"/>
      <c r="N3338" s="94"/>
      <c r="AG3338" s="100"/>
      <c r="AH3338" s="101"/>
      <c r="AI3338" s="100"/>
      <c r="AJ3338" s="101"/>
      <c r="AK3338" s="100"/>
      <c r="AL3338" s="100"/>
      <c r="AM3338" s="100"/>
      <c r="AN3338" s="100"/>
      <c r="AO3338" s="100"/>
      <c r="AP3338" s="100"/>
      <c r="AQ3338" s="100"/>
      <c r="AR3338" s="100"/>
      <c r="AS3338" s="100"/>
      <c r="AT3338" s="102"/>
    </row>
    <row r="3339" spans="1:63" x14ac:dyDescent="0.25">
      <c r="A3339" s="92"/>
      <c r="B3339" s="93"/>
      <c r="C3339" s="93"/>
      <c r="D3339" s="92"/>
      <c r="E3339" s="92"/>
      <c r="F3339" s="92"/>
      <c r="G3339" s="92"/>
      <c r="H3339" s="92"/>
      <c r="I3339" s="92"/>
      <c r="J3339" s="92"/>
      <c r="K3339" s="92"/>
      <c r="L3339" s="92"/>
      <c r="M3339" s="92"/>
      <c r="N3339" s="94"/>
      <c r="AG3339" s="100"/>
      <c r="AH3339" s="101"/>
      <c r="AI3339" s="101"/>
      <c r="AJ3339" s="101"/>
      <c r="AK3339" s="100"/>
      <c r="AL3339" s="100"/>
      <c r="AM3339" s="100"/>
      <c r="AN3339" s="100"/>
      <c r="AO3339" s="100"/>
      <c r="AP3339" s="100"/>
      <c r="AQ3339" s="100"/>
      <c r="AR3339" s="100"/>
      <c r="AS3339" s="100"/>
      <c r="AT3339" s="102"/>
      <c r="AZ3339" s="117"/>
      <c r="BA3339" s="117"/>
      <c r="BK3339" s="39"/>
    </row>
    <row r="3340" spans="1:63" x14ac:dyDescent="0.25">
      <c r="A3340" s="92"/>
      <c r="B3340" s="93"/>
      <c r="C3340" s="93"/>
      <c r="D3340" s="92"/>
      <c r="E3340" s="92"/>
      <c r="F3340" s="92"/>
      <c r="G3340" s="92"/>
      <c r="H3340" s="92"/>
      <c r="I3340" s="92"/>
      <c r="J3340" s="92"/>
      <c r="K3340" s="92"/>
      <c r="L3340" s="92"/>
      <c r="M3340" s="92"/>
      <c r="N3340" s="94"/>
      <c r="AG3340" s="100"/>
      <c r="AH3340" s="100"/>
      <c r="AI3340" s="100"/>
      <c r="AJ3340" s="101"/>
      <c r="AK3340" s="100"/>
      <c r="AL3340" s="100"/>
      <c r="AM3340" s="100"/>
      <c r="AN3340" s="100"/>
      <c r="AO3340" s="100"/>
      <c r="AP3340" s="100"/>
      <c r="AQ3340" s="100"/>
      <c r="AR3340" s="100"/>
      <c r="AS3340" s="100"/>
      <c r="AT3340" s="100"/>
      <c r="BA3340" s="117"/>
    </row>
    <row r="3341" spans="1:63" x14ac:dyDescent="0.25">
      <c r="A3341" s="92"/>
      <c r="B3341" s="92"/>
      <c r="C3341" s="92"/>
      <c r="D3341" s="92"/>
      <c r="E3341" s="92"/>
      <c r="F3341" s="92"/>
      <c r="G3341" s="92"/>
      <c r="H3341" s="92"/>
      <c r="I3341" s="92"/>
      <c r="J3341" s="92"/>
      <c r="K3341" s="92"/>
      <c r="L3341" s="92"/>
      <c r="M3341" s="92"/>
      <c r="N3341" s="92"/>
      <c r="AG3341" s="100"/>
      <c r="AH3341" s="101"/>
      <c r="AI3341" s="100"/>
      <c r="AJ3341" s="101"/>
      <c r="AK3341" s="100"/>
      <c r="AL3341" s="100"/>
      <c r="AM3341" s="100"/>
      <c r="AN3341" s="100"/>
      <c r="AO3341" s="100"/>
      <c r="AP3341" s="100"/>
      <c r="AQ3341" s="100"/>
      <c r="AR3341" s="100"/>
      <c r="AS3341" s="100"/>
      <c r="AT3341" s="102"/>
      <c r="BA3341" s="117"/>
    </row>
    <row r="3342" spans="1:63" x14ac:dyDescent="0.25">
      <c r="A3342" s="92"/>
      <c r="B3342" s="92"/>
      <c r="C3342" s="92"/>
      <c r="D3342" s="92"/>
      <c r="E3342" s="92"/>
      <c r="F3342" s="92"/>
      <c r="G3342" s="92"/>
      <c r="H3342" s="92"/>
      <c r="I3342" s="92"/>
      <c r="J3342" s="92"/>
      <c r="K3342" s="92"/>
      <c r="L3342" s="92"/>
      <c r="M3342" s="92"/>
      <c r="N3342" s="92"/>
      <c r="AG3342" s="100"/>
      <c r="AH3342" s="101"/>
      <c r="AI3342" s="100"/>
      <c r="AJ3342" s="101"/>
      <c r="AK3342" s="100"/>
      <c r="AL3342" s="100"/>
      <c r="AM3342" s="100"/>
      <c r="AN3342" s="100"/>
      <c r="AO3342" s="100"/>
      <c r="AP3342" s="100"/>
      <c r="AQ3342" s="100"/>
      <c r="AR3342" s="100"/>
      <c r="AS3342" s="100"/>
      <c r="AT3342" s="102"/>
      <c r="AZ3342" s="117"/>
      <c r="BK3342" s="39"/>
    </row>
    <row r="3343" spans="1:63" x14ac:dyDescent="0.25">
      <c r="A3343" s="92"/>
      <c r="B3343" s="93"/>
      <c r="C3343" s="93"/>
      <c r="D3343" s="92"/>
      <c r="E3343" s="92"/>
      <c r="F3343" s="92"/>
      <c r="G3343" s="92"/>
      <c r="H3343" s="92"/>
      <c r="I3343" s="92"/>
      <c r="J3343" s="92"/>
      <c r="K3343" s="92"/>
      <c r="L3343" s="92"/>
      <c r="M3343" s="92"/>
      <c r="N3343" s="94"/>
      <c r="AG3343" s="100"/>
      <c r="AH3343" s="101"/>
      <c r="AI3343" s="101"/>
      <c r="AJ3343" s="101"/>
      <c r="AK3343" s="100"/>
      <c r="AL3343" s="100"/>
      <c r="AM3343" s="100"/>
      <c r="AN3343" s="100"/>
      <c r="AO3343" s="100"/>
      <c r="AP3343" s="100"/>
      <c r="AQ3343" s="100"/>
      <c r="AR3343" s="100"/>
      <c r="AS3343" s="100"/>
      <c r="AT3343" s="102"/>
      <c r="AZ3343" s="117"/>
      <c r="BK3343" s="39"/>
    </row>
    <row r="3344" spans="1:63" x14ac:dyDescent="0.25">
      <c r="A3344" s="92"/>
      <c r="B3344" s="92"/>
      <c r="C3344" s="92"/>
      <c r="D3344" s="92"/>
      <c r="E3344" s="92"/>
      <c r="F3344" s="92"/>
      <c r="G3344" s="92"/>
      <c r="H3344" s="92"/>
      <c r="I3344" s="92"/>
      <c r="J3344" s="92"/>
      <c r="K3344" s="92"/>
      <c r="L3344" s="92"/>
      <c r="M3344" s="92"/>
      <c r="N3344" s="92"/>
      <c r="AG3344" s="100"/>
      <c r="AH3344" s="100"/>
      <c r="AI3344" s="100"/>
      <c r="AJ3344" s="101"/>
      <c r="AK3344" s="100"/>
      <c r="AL3344" s="100"/>
      <c r="AM3344" s="100"/>
      <c r="AN3344" s="100"/>
      <c r="AO3344" s="100"/>
      <c r="AP3344" s="100"/>
      <c r="AQ3344" s="100"/>
      <c r="AR3344" s="100"/>
      <c r="AS3344" s="100"/>
      <c r="AT3344" s="100"/>
      <c r="AZ3344" s="117"/>
      <c r="BK3344" s="39"/>
    </row>
    <row r="3345" spans="1:63" x14ac:dyDescent="0.25">
      <c r="A3345" s="92"/>
      <c r="B3345" s="92"/>
      <c r="C3345" s="92"/>
      <c r="D3345" s="92"/>
      <c r="E3345" s="92"/>
      <c r="F3345" s="92"/>
      <c r="G3345" s="92"/>
      <c r="H3345" s="92"/>
      <c r="I3345" s="92"/>
      <c r="J3345" s="92"/>
      <c r="K3345" s="92"/>
      <c r="L3345" s="92"/>
      <c r="M3345" s="92"/>
      <c r="N3345" s="92"/>
      <c r="AG3345" s="100"/>
      <c r="AH3345" s="101"/>
      <c r="AI3345" s="100"/>
      <c r="AJ3345" s="101"/>
      <c r="AK3345" s="100"/>
      <c r="AL3345" s="100"/>
      <c r="AM3345" s="100"/>
      <c r="AN3345" s="100"/>
      <c r="AO3345" s="100"/>
      <c r="AP3345" s="100"/>
      <c r="AQ3345" s="100"/>
      <c r="AR3345" s="100"/>
      <c r="AS3345" s="100"/>
      <c r="AT3345" s="102"/>
    </row>
    <row r="3346" spans="1:63" x14ac:dyDescent="0.25">
      <c r="A3346" s="92"/>
      <c r="B3346" s="93"/>
      <c r="C3346" s="93"/>
      <c r="D3346" s="92"/>
      <c r="E3346" s="92"/>
      <c r="F3346" s="92"/>
      <c r="G3346" s="92"/>
      <c r="H3346" s="92"/>
      <c r="I3346" s="92"/>
      <c r="J3346" s="92"/>
      <c r="K3346" s="92"/>
      <c r="L3346" s="92"/>
      <c r="M3346" s="92"/>
      <c r="N3346" s="94"/>
      <c r="AG3346" s="100"/>
      <c r="AH3346" s="101"/>
      <c r="AI3346" s="100"/>
      <c r="AJ3346" s="101"/>
      <c r="AK3346" s="100"/>
      <c r="AL3346" s="100"/>
      <c r="AM3346" s="100"/>
      <c r="AN3346" s="100"/>
      <c r="AO3346" s="100"/>
      <c r="AP3346" s="100"/>
      <c r="AQ3346" s="100"/>
      <c r="AR3346" s="100"/>
      <c r="AS3346" s="100"/>
      <c r="AT3346" s="102"/>
      <c r="AZ3346" s="117"/>
      <c r="BK3346" s="39"/>
    </row>
    <row r="3347" spans="1:63" x14ac:dyDescent="0.25">
      <c r="A3347" s="92"/>
      <c r="B3347" s="93"/>
      <c r="C3347" s="93"/>
      <c r="D3347" s="93"/>
      <c r="E3347" s="92"/>
      <c r="F3347" s="92"/>
      <c r="G3347" s="92"/>
      <c r="H3347" s="92"/>
      <c r="I3347" s="92"/>
      <c r="J3347" s="92"/>
      <c r="K3347" s="92"/>
      <c r="L3347" s="92"/>
      <c r="M3347" s="92"/>
      <c r="N3347" s="94"/>
      <c r="AG3347" s="100"/>
      <c r="AH3347" s="101"/>
      <c r="AI3347" s="100"/>
      <c r="AJ3347" s="101"/>
      <c r="AK3347" s="100"/>
      <c r="AL3347" s="100"/>
      <c r="AM3347" s="100"/>
      <c r="AN3347" s="100"/>
      <c r="AO3347" s="100"/>
      <c r="AP3347" s="100"/>
      <c r="AQ3347" s="100"/>
      <c r="AR3347" s="100"/>
      <c r="AS3347" s="100"/>
      <c r="AT3347" s="102"/>
      <c r="AZ3347" s="117"/>
      <c r="BK3347" s="39"/>
    </row>
    <row r="3348" spans="1:63" x14ac:dyDescent="0.25">
      <c r="A3348" s="92"/>
      <c r="B3348" s="92"/>
      <c r="C3348" s="92"/>
      <c r="D3348" s="93"/>
      <c r="E3348" s="92"/>
      <c r="F3348" s="92"/>
      <c r="G3348" s="92"/>
      <c r="H3348" s="92"/>
      <c r="I3348" s="92"/>
      <c r="J3348" s="92"/>
      <c r="K3348" s="92"/>
      <c r="L3348" s="92"/>
      <c r="M3348" s="92"/>
      <c r="N3348" s="92"/>
      <c r="AG3348" s="100"/>
      <c r="AH3348" s="101"/>
      <c r="AI3348" s="101"/>
      <c r="AJ3348" s="101"/>
      <c r="AK3348" s="100"/>
      <c r="AL3348" s="100"/>
      <c r="AM3348" s="100"/>
      <c r="AN3348" s="100"/>
      <c r="AO3348" s="100"/>
      <c r="AP3348" s="100"/>
      <c r="AQ3348" s="100"/>
      <c r="AR3348" s="100"/>
      <c r="AS3348" s="100"/>
      <c r="AT3348" s="102"/>
      <c r="AZ3348" s="117"/>
      <c r="BK3348" s="39"/>
    </row>
    <row r="3349" spans="1:63" x14ac:dyDescent="0.25">
      <c r="A3349" s="92"/>
      <c r="B3349" s="92"/>
      <c r="C3349" s="92"/>
      <c r="D3349" s="92"/>
      <c r="E3349" s="92"/>
      <c r="F3349" s="92"/>
      <c r="G3349" s="92"/>
      <c r="H3349" s="92"/>
      <c r="I3349" s="92"/>
      <c r="J3349" s="92"/>
      <c r="K3349" s="92"/>
      <c r="L3349" s="92"/>
      <c r="M3349" s="92"/>
      <c r="N3349" s="92"/>
      <c r="AG3349" s="100"/>
      <c r="AH3349" s="100"/>
      <c r="AI3349" s="100"/>
      <c r="AJ3349" s="101"/>
      <c r="AK3349" s="100"/>
      <c r="AL3349" s="100"/>
      <c r="AM3349" s="100"/>
      <c r="AN3349" s="100"/>
      <c r="AO3349" s="100"/>
      <c r="AP3349" s="100"/>
      <c r="AQ3349" s="100"/>
      <c r="AR3349" s="100"/>
      <c r="AS3349" s="100"/>
      <c r="AT3349" s="100"/>
    </row>
    <row r="3350" spans="1:63" x14ac:dyDescent="0.25">
      <c r="A3350" s="92"/>
      <c r="B3350" s="92"/>
      <c r="C3350" s="92"/>
      <c r="D3350" s="92"/>
      <c r="E3350" s="92"/>
      <c r="F3350" s="92"/>
      <c r="G3350" s="92"/>
      <c r="H3350" s="92"/>
      <c r="I3350" s="92"/>
      <c r="J3350" s="92"/>
      <c r="K3350" s="92"/>
      <c r="L3350" s="92"/>
      <c r="M3350" s="92"/>
      <c r="N3350" s="92"/>
      <c r="AG3350" s="100"/>
      <c r="AH3350" s="100"/>
      <c r="AI3350" s="100"/>
      <c r="AJ3350" s="101"/>
      <c r="AK3350" s="100"/>
      <c r="AL3350" s="100"/>
      <c r="AM3350" s="100"/>
      <c r="AN3350" s="100"/>
      <c r="AO3350" s="100"/>
      <c r="AP3350" s="100"/>
      <c r="AQ3350" s="100"/>
      <c r="AR3350" s="100"/>
      <c r="AS3350" s="100"/>
      <c r="AT3350" s="100"/>
    </row>
    <row r="3351" spans="1:63" x14ac:dyDescent="0.25">
      <c r="A3351" s="92"/>
      <c r="B3351" s="93"/>
      <c r="C3351" s="93"/>
      <c r="D3351" s="93"/>
      <c r="E3351" s="92"/>
      <c r="F3351" s="92"/>
      <c r="G3351" s="92"/>
      <c r="H3351" s="92"/>
      <c r="I3351" s="92"/>
      <c r="J3351" s="92"/>
      <c r="K3351" s="92"/>
      <c r="L3351" s="92"/>
      <c r="M3351" s="92"/>
      <c r="N3351" s="94"/>
      <c r="AG3351" s="100"/>
      <c r="AH3351" s="100"/>
      <c r="AI3351" s="100"/>
      <c r="AJ3351" s="101"/>
      <c r="AK3351" s="100"/>
      <c r="AL3351" s="100"/>
      <c r="AM3351" s="100"/>
      <c r="AN3351" s="100"/>
      <c r="AO3351" s="100"/>
      <c r="AP3351" s="100"/>
      <c r="AQ3351" s="100"/>
      <c r="AR3351" s="100"/>
      <c r="AS3351" s="100"/>
      <c r="AT3351" s="100"/>
    </row>
    <row r="3352" spans="1:63" x14ac:dyDescent="0.25">
      <c r="A3352" s="92"/>
      <c r="B3352" s="92"/>
      <c r="C3352" s="92"/>
      <c r="D3352" s="93"/>
      <c r="E3352" s="92"/>
      <c r="F3352" s="92"/>
      <c r="G3352" s="92"/>
      <c r="H3352" s="92"/>
      <c r="I3352" s="92"/>
      <c r="J3352" s="92"/>
      <c r="K3352" s="92"/>
      <c r="L3352" s="92"/>
      <c r="M3352" s="92"/>
      <c r="N3352" s="92"/>
      <c r="AG3352" s="100"/>
      <c r="AH3352" s="101"/>
      <c r="AI3352" s="100"/>
      <c r="AJ3352" s="101"/>
      <c r="AK3352" s="100"/>
      <c r="AL3352" s="100"/>
      <c r="AM3352" s="100"/>
      <c r="AN3352" s="100"/>
      <c r="AO3352" s="100"/>
      <c r="AP3352" s="100"/>
      <c r="AQ3352" s="100"/>
      <c r="AR3352" s="100"/>
      <c r="AS3352" s="100"/>
      <c r="AT3352" s="102"/>
      <c r="AZ3352" s="117"/>
      <c r="BK3352" s="39"/>
    </row>
    <row r="3353" spans="1:63" x14ac:dyDescent="0.25">
      <c r="A3353" s="92"/>
      <c r="B3353" s="92"/>
      <c r="C3353" s="92"/>
      <c r="D3353" s="93"/>
      <c r="E3353" s="92"/>
      <c r="F3353" s="92"/>
      <c r="G3353" s="92"/>
      <c r="H3353" s="92"/>
      <c r="I3353" s="92"/>
      <c r="J3353" s="92"/>
      <c r="K3353" s="92"/>
      <c r="L3353" s="92"/>
      <c r="M3353" s="92"/>
      <c r="N3353" s="92"/>
      <c r="AG3353" s="100"/>
      <c r="AH3353" s="101"/>
      <c r="AI3353" s="100"/>
      <c r="AJ3353" s="101"/>
      <c r="AK3353" s="100"/>
      <c r="AL3353" s="100"/>
      <c r="AM3353" s="100"/>
      <c r="AN3353" s="100"/>
      <c r="AO3353" s="100"/>
      <c r="AP3353" s="100"/>
      <c r="AQ3353" s="100"/>
      <c r="AR3353" s="100"/>
      <c r="AS3353" s="100"/>
      <c r="AT3353" s="102"/>
      <c r="AZ3353" s="117"/>
      <c r="BK3353" s="39"/>
    </row>
    <row r="3354" spans="1:63" x14ac:dyDescent="0.25">
      <c r="A3354" s="92"/>
      <c r="B3354" s="92"/>
      <c r="C3354" s="92"/>
      <c r="D3354" s="93"/>
      <c r="E3354" s="92"/>
      <c r="F3354" s="92"/>
      <c r="G3354" s="92"/>
      <c r="H3354" s="92"/>
      <c r="I3354" s="92"/>
      <c r="J3354" s="92"/>
      <c r="K3354" s="92"/>
      <c r="L3354" s="92"/>
      <c r="M3354" s="92"/>
      <c r="N3354" s="92"/>
      <c r="AG3354" s="100"/>
      <c r="AH3354" s="101"/>
      <c r="AI3354" s="100"/>
      <c r="AJ3354" s="101"/>
      <c r="AK3354" s="100"/>
      <c r="AL3354" s="100"/>
      <c r="AM3354" s="100"/>
      <c r="AN3354" s="100"/>
      <c r="AO3354" s="100"/>
      <c r="AP3354" s="100"/>
      <c r="AQ3354" s="100"/>
      <c r="AR3354" s="100"/>
      <c r="AS3354" s="100"/>
      <c r="AT3354" s="102"/>
    </row>
    <row r="3355" spans="1:63" x14ac:dyDescent="0.25">
      <c r="A3355" s="92"/>
      <c r="B3355" s="92"/>
      <c r="C3355" s="92"/>
      <c r="D3355" s="93"/>
      <c r="E3355" s="92"/>
      <c r="F3355" s="92"/>
      <c r="G3355" s="92"/>
      <c r="H3355" s="92"/>
      <c r="I3355" s="92"/>
      <c r="J3355" s="92"/>
      <c r="K3355" s="92"/>
      <c r="L3355" s="92"/>
      <c r="M3355" s="92"/>
      <c r="N3355" s="92"/>
      <c r="AG3355" s="100"/>
      <c r="AH3355" s="101"/>
      <c r="AI3355" s="101"/>
      <c r="AJ3355" s="101"/>
      <c r="AK3355" s="100"/>
      <c r="AL3355" s="100"/>
      <c r="AM3355" s="100"/>
      <c r="AN3355" s="100"/>
      <c r="AO3355" s="100"/>
      <c r="AP3355" s="100"/>
      <c r="AQ3355" s="100"/>
      <c r="AR3355" s="100"/>
      <c r="AS3355" s="100"/>
      <c r="AT3355" s="102"/>
    </row>
    <row r="3356" spans="1:63" x14ac:dyDescent="0.25">
      <c r="A3356" s="92"/>
      <c r="B3356" s="93"/>
      <c r="C3356" s="93"/>
      <c r="D3356" s="92"/>
      <c r="E3356" s="92"/>
      <c r="F3356" s="92"/>
      <c r="G3356" s="92"/>
      <c r="H3356" s="92"/>
      <c r="I3356" s="92"/>
      <c r="J3356" s="92"/>
      <c r="K3356" s="92"/>
      <c r="L3356" s="92"/>
      <c r="M3356" s="92"/>
      <c r="N3356" s="94"/>
      <c r="AG3356" s="100"/>
      <c r="AH3356" s="100"/>
      <c r="AI3356" s="100"/>
      <c r="AJ3356" s="101"/>
      <c r="AK3356" s="100"/>
      <c r="AL3356" s="100"/>
      <c r="AM3356" s="100"/>
      <c r="AN3356" s="100"/>
      <c r="AO3356" s="100"/>
      <c r="AP3356" s="100"/>
      <c r="AQ3356" s="100"/>
      <c r="AR3356" s="100"/>
      <c r="AS3356" s="100"/>
      <c r="AT3356" s="100"/>
      <c r="AZ3356" s="117"/>
      <c r="BA3356" s="117"/>
      <c r="BK3356" s="39"/>
    </row>
    <row r="3357" spans="1:63" x14ac:dyDescent="0.25">
      <c r="A3357" s="92"/>
      <c r="B3357" s="93"/>
      <c r="C3357" s="93"/>
      <c r="D3357" s="92"/>
      <c r="E3357" s="92"/>
      <c r="F3357" s="92"/>
      <c r="G3357" s="92"/>
      <c r="H3357" s="92"/>
      <c r="I3357" s="92"/>
      <c r="J3357" s="92"/>
      <c r="K3357" s="92"/>
      <c r="L3357" s="92"/>
      <c r="M3357" s="92"/>
      <c r="N3357" s="94"/>
      <c r="AG3357" s="100"/>
      <c r="AH3357" s="100"/>
      <c r="AI3357" s="100"/>
      <c r="AJ3357" s="101"/>
      <c r="AK3357" s="100"/>
      <c r="AL3357" s="100"/>
      <c r="AM3357" s="100"/>
      <c r="AN3357" s="100"/>
      <c r="AO3357" s="100"/>
      <c r="AP3357" s="100"/>
      <c r="AQ3357" s="100"/>
      <c r="AR3357" s="100"/>
      <c r="AS3357" s="100"/>
      <c r="AT3357" s="100"/>
      <c r="AZ3357" s="117"/>
      <c r="BK3357" s="39"/>
    </row>
    <row r="3358" spans="1:63" x14ac:dyDescent="0.25">
      <c r="A3358" s="92"/>
      <c r="B3358" s="93"/>
      <c r="C3358" s="93"/>
      <c r="D3358" s="92"/>
      <c r="E3358" s="92"/>
      <c r="F3358" s="92"/>
      <c r="G3358" s="92"/>
      <c r="H3358" s="92"/>
      <c r="I3358" s="92"/>
      <c r="J3358" s="92"/>
      <c r="K3358" s="92"/>
      <c r="L3358" s="92"/>
      <c r="M3358" s="92"/>
      <c r="N3358" s="94"/>
      <c r="AG3358" s="100"/>
      <c r="AH3358" s="100"/>
      <c r="AI3358" s="100"/>
      <c r="AJ3358" s="101"/>
      <c r="AK3358" s="100"/>
      <c r="AL3358" s="100"/>
      <c r="AM3358" s="100"/>
      <c r="AN3358" s="100"/>
      <c r="AO3358" s="100"/>
      <c r="AP3358" s="100"/>
      <c r="AQ3358" s="100"/>
      <c r="AR3358" s="100"/>
      <c r="AS3358" s="100"/>
      <c r="AT3358" s="100"/>
      <c r="AZ3358" s="117"/>
      <c r="BK3358" s="39"/>
    </row>
    <row r="3359" spans="1:63" x14ac:dyDescent="0.25">
      <c r="A3359" s="92"/>
      <c r="B3359" s="92"/>
      <c r="C3359" s="92"/>
      <c r="D3359" s="92"/>
      <c r="E3359" s="92"/>
      <c r="F3359" s="92"/>
      <c r="G3359" s="92"/>
      <c r="H3359" s="92"/>
      <c r="I3359" s="92"/>
      <c r="J3359" s="92"/>
      <c r="K3359" s="92"/>
      <c r="L3359" s="92"/>
      <c r="M3359" s="92"/>
      <c r="N3359" s="92"/>
      <c r="AG3359" s="100"/>
      <c r="AH3359" s="100"/>
      <c r="AI3359" s="100"/>
      <c r="AJ3359" s="101"/>
      <c r="AK3359" s="100"/>
      <c r="AL3359" s="100"/>
      <c r="AM3359" s="100"/>
      <c r="AN3359" s="100"/>
      <c r="AO3359" s="100"/>
      <c r="AP3359" s="100"/>
      <c r="AQ3359" s="100"/>
      <c r="AR3359" s="100"/>
      <c r="AS3359" s="100"/>
      <c r="AT3359" s="100"/>
      <c r="AZ3359" s="117"/>
      <c r="BK3359" s="39"/>
    </row>
    <row r="3360" spans="1:63" x14ac:dyDescent="0.25">
      <c r="A3360" s="92"/>
      <c r="B3360" s="93"/>
      <c r="C3360" s="93"/>
      <c r="D3360" s="92"/>
      <c r="E3360" s="92"/>
      <c r="F3360" s="92"/>
      <c r="G3360" s="92"/>
      <c r="H3360" s="92"/>
      <c r="I3360" s="92"/>
      <c r="J3360" s="92"/>
      <c r="K3360" s="92"/>
      <c r="L3360" s="92"/>
      <c r="M3360" s="92"/>
      <c r="N3360" s="94"/>
      <c r="AG3360" s="100"/>
      <c r="AH3360" s="101"/>
      <c r="AI3360" s="100"/>
      <c r="AJ3360" s="101"/>
      <c r="AK3360" s="100"/>
      <c r="AL3360" s="100"/>
      <c r="AM3360" s="100"/>
      <c r="AN3360" s="100"/>
      <c r="AO3360" s="100"/>
      <c r="AP3360" s="100"/>
      <c r="AQ3360" s="100"/>
      <c r="AR3360" s="100"/>
      <c r="AS3360" s="100"/>
      <c r="AT3360" s="102"/>
      <c r="AZ3360" s="117"/>
      <c r="BK3360" s="39"/>
    </row>
    <row r="3361" spans="1:63" x14ac:dyDescent="0.25">
      <c r="A3361" s="92"/>
      <c r="B3361" s="93"/>
      <c r="C3361" s="93"/>
      <c r="D3361" s="92"/>
      <c r="E3361" s="92"/>
      <c r="F3361" s="92"/>
      <c r="G3361" s="92"/>
      <c r="H3361" s="92"/>
      <c r="I3361" s="92"/>
      <c r="J3361" s="92"/>
      <c r="K3361" s="92"/>
      <c r="L3361" s="92"/>
      <c r="M3361" s="92"/>
      <c r="N3361" s="94"/>
      <c r="AG3361" s="100"/>
      <c r="AH3361" s="101"/>
      <c r="AI3361" s="100"/>
      <c r="AJ3361" s="101"/>
      <c r="AK3361" s="100"/>
      <c r="AL3361" s="100"/>
      <c r="AM3361" s="100"/>
      <c r="AN3361" s="100"/>
      <c r="AO3361" s="100"/>
      <c r="AP3361" s="100"/>
      <c r="AQ3361" s="100"/>
      <c r="AR3361" s="100"/>
      <c r="AS3361" s="100"/>
      <c r="AT3361" s="102"/>
      <c r="AZ3361" s="117"/>
      <c r="BK3361" s="39"/>
    </row>
    <row r="3362" spans="1:63" x14ac:dyDescent="0.25">
      <c r="A3362" s="92"/>
      <c r="B3362" s="93"/>
      <c r="C3362" s="93"/>
      <c r="D3362" s="93"/>
      <c r="E3362" s="92"/>
      <c r="F3362" s="92"/>
      <c r="G3362" s="92"/>
      <c r="H3362" s="92"/>
      <c r="I3362" s="92"/>
      <c r="J3362" s="92"/>
      <c r="K3362" s="92"/>
      <c r="L3362" s="92"/>
      <c r="M3362" s="92"/>
      <c r="N3362" s="94"/>
      <c r="AG3362" s="100"/>
      <c r="AH3362" s="101"/>
      <c r="AI3362" s="100"/>
      <c r="AJ3362" s="101"/>
      <c r="AK3362" s="100"/>
      <c r="AL3362" s="100"/>
      <c r="AM3362" s="100"/>
      <c r="AN3362" s="100"/>
      <c r="AO3362" s="100"/>
      <c r="AP3362" s="100"/>
      <c r="AQ3362" s="100"/>
      <c r="AR3362" s="100"/>
      <c r="AS3362" s="100"/>
      <c r="AT3362" s="102"/>
      <c r="AZ3362" s="117"/>
      <c r="BK3362" s="39"/>
    </row>
    <row r="3363" spans="1:63" x14ac:dyDescent="0.25">
      <c r="A3363" s="92"/>
      <c r="B3363" s="92"/>
      <c r="C3363" s="92"/>
      <c r="D3363" s="92"/>
      <c r="E3363" s="92"/>
      <c r="F3363" s="92"/>
      <c r="G3363" s="92"/>
      <c r="H3363" s="92"/>
      <c r="I3363" s="92"/>
      <c r="J3363" s="92"/>
      <c r="K3363" s="92"/>
      <c r="L3363" s="92"/>
      <c r="M3363" s="92"/>
      <c r="N3363" s="92"/>
      <c r="AG3363" s="100"/>
      <c r="AH3363" s="101"/>
      <c r="AI3363" s="100"/>
      <c r="AJ3363" s="101"/>
      <c r="AK3363" s="100"/>
      <c r="AL3363" s="100"/>
      <c r="AM3363" s="100"/>
      <c r="AN3363" s="100"/>
      <c r="AO3363" s="100"/>
      <c r="AP3363" s="100"/>
      <c r="AQ3363" s="100"/>
      <c r="AR3363" s="100"/>
      <c r="AS3363" s="100"/>
      <c r="AT3363" s="102"/>
      <c r="AZ3363" s="117"/>
      <c r="BK3363" s="39"/>
    </row>
    <row r="3364" spans="1:63" x14ac:dyDescent="0.25">
      <c r="A3364" s="92"/>
      <c r="B3364" s="92"/>
      <c r="C3364" s="92"/>
      <c r="D3364" s="92"/>
      <c r="E3364" s="92"/>
      <c r="F3364" s="92"/>
      <c r="G3364" s="92"/>
      <c r="H3364" s="92"/>
      <c r="I3364" s="92"/>
      <c r="J3364" s="92"/>
      <c r="K3364" s="92"/>
      <c r="L3364" s="92"/>
      <c r="M3364" s="92"/>
      <c r="N3364" s="92"/>
      <c r="AG3364" s="100"/>
      <c r="AH3364" s="100"/>
      <c r="AI3364" s="100"/>
      <c r="AJ3364" s="101"/>
      <c r="AK3364" s="100"/>
      <c r="AL3364" s="100"/>
      <c r="AM3364" s="100"/>
      <c r="AN3364" s="100"/>
      <c r="AO3364" s="100"/>
      <c r="AP3364" s="100"/>
      <c r="AQ3364" s="100"/>
      <c r="AR3364" s="100"/>
      <c r="AS3364" s="100"/>
      <c r="AT3364" s="100"/>
      <c r="AZ3364" s="117"/>
      <c r="BK3364" s="39"/>
    </row>
    <row r="3365" spans="1:63" x14ac:dyDescent="0.25">
      <c r="A3365" s="92"/>
      <c r="B3365" s="92"/>
      <c r="C3365" s="92"/>
      <c r="D3365" s="92"/>
      <c r="E3365" s="92"/>
      <c r="F3365" s="92"/>
      <c r="G3365" s="92"/>
      <c r="H3365" s="92"/>
      <c r="I3365" s="92"/>
      <c r="J3365" s="92"/>
      <c r="K3365" s="92"/>
      <c r="L3365" s="92"/>
      <c r="M3365" s="92"/>
      <c r="N3365" s="92"/>
      <c r="AG3365" s="100"/>
      <c r="AH3365" s="101"/>
      <c r="AI3365" s="100"/>
      <c r="AJ3365" s="101"/>
      <c r="AK3365" s="100"/>
      <c r="AL3365" s="100"/>
      <c r="AM3365" s="100"/>
      <c r="AN3365" s="100"/>
      <c r="AO3365" s="100"/>
      <c r="AP3365" s="100"/>
      <c r="AQ3365" s="100"/>
      <c r="AR3365" s="100"/>
      <c r="AS3365" s="100"/>
      <c r="AT3365" s="102"/>
      <c r="AZ3365" s="117"/>
      <c r="BA3365" s="117"/>
      <c r="BK3365" s="39"/>
    </row>
    <row r="3366" spans="1:63" x14ac:dyDescent="0.25">
      <c r="A3366" s="92"/>
      <c r="B3366" s="93"/>
      <c r="C3366" s="93"/>
      <c r="D3366" s="92"/>
      <c r="E3366" s="92"/>
      <c r="F3366" s="92"/>
      <c r="G3366" s="92"/>
      <c r="H3366" s="92"/>
      <c r="I3366" s="92"/>
      <c r="J3366" s="92"/>
      <c r="K3366" s="92"/>
      <c r="L3366" s="92"/>
      <c r="M3366" s="92"/>
      <c r="N3366" s="94"/>
      <c r="AG3366" s="100"/>
      <c r="AH3366" s="100"/>
      <c r="AI3366" s="100"/>
      <c r="AJ3366" s="101"/>
      <c r="AK3366" s="100"/>
      <c r="AL3366" s="100"/>
      <c r="AM3366" s="100"/>
      <c r="AN3366" s="100"/>
      <c r="AO3366" s="100"/>
      <c r="AP3366" s="100"/>
      <c r="AQ3366" s="100"/>
      <c r="AR3366" s="100"/>
      <c r="AS3366" s="100"/>
      <c r="AT3366" s="100"/>
    </row>
    <row r="3367" spans="1:63" x14ac:dyDescent="0.25">
      <c r="A3367" s="92"/>
      <c r="B3367" s="93"/>
      <c r="C3367" s="93"/>
      <c r="D3367" s="92"/>
      <c r="E3367" s="92"/>
      <c r="F3367" s="92"/>
      <c r="G3367" s="92"/>
      <c r="H3367" s="92"/>
      <c r="I3367" s="92"/>
      <c r="J3367" s="92"/>
      <c r="K3367" s="92"/>
      <c r="L3367" s="92"/>
      <c r="M3367" s="92"/>
      <c r="N3367" s="94"/>
      <c r="AG3367" s="100"/>
      <c r="AH3367" s="101"/>
      <c r="AI3367" s="100"/>
      <c r="AJ3367" s="101"/>
      <c r="AK3367" s="100"/>
      <c r="AL3367" s="100"/>
      <c r="AM3367" s="100"/>
      <c r="AN3367" s="100"/>
      <c r="AO3367" s="100"/>
      <c r="AP3367" s="100"/>
      <c r="AQ3367" s="100"/>
      <c r="AR3367" s="100"/>
      <c r="AS3367" s="100"/>
      <c r="AT3367" s="102"/>
    </row>
    <row r="3368" spans="1:63" x14ac:dyDescent="0.25">
      <c r="A3368" s="92"/>
      <c r="B3368" s="92"/>
      <c r="C3368" s="92"/>
      <c r="D3368" s="92"/>
      <c r="E3368" s="92"/>
      <c r="F3368" s="92"/>
      <c r="G3368" s="92"/>
      <c r="H3368" s="92"/>
      <c r="I3368" s="92"/>
      <c r="J3368" s="92"/>
      <c r="K3368" s="92"/>
      <c r="L3368" s="92"/>
      <c r="M3368" s="92"/>
      <c r="N3368" s="92"/>
      <c r="AG3368" s="100"/>
      <c r="AH3368" s="101"/>
      <c r="AI3368" s="100"/>
      <c r="AJ3368" s="101"/>
      <c r="AK3368" s="100"/>
      <c r="AL3368" s="100"/>
      <c r="AM3368" s="100"/>
      <c r="AN3368" s="100"/>
      <c r="AO3368" s="100"/>
      <c r="AP3368" s="100"/>
      <c r="AQ3368" s="100"/>
      <c r="AR3368" s="100"/>
      <c r="AS3368" s="100"/>
      <c r="AT3368" s="102"/>
    </row>
    <row r="3369" spans="1:63" x14ac:dyDescent="0.25">
      <c r="A3369" s="92"/>
      <c r="B3369" s="92"/>
      <c r="C3369" s="92"/>
      <c r="D3369" s="92"/>
      <c r="E3369" s="92"/>
      <c r="F3369" s="92"/>
      <c r="G3369" s="92"/>
      <c r="H3369" s="92"/>
      <c r="I3369" s="92"/>
      <c r="J3369" s="92"/>
      <c r="K3369" s="92"/>
      <c r="L3369" s="92"/>
      <c r="M3369" s="92"/>
      <c r="N3369" s="92"/>
      <c r="AG3369" s="100"/>
      <c r="AH3369" s="101"/>
      <c r="AI3369" s="100"/>
      <c r="AJ3369" s="101"/>
      <c r="AK3369" s="100"/>
      <c r="AL3369" s="100"/>
      <c r="AM3369" s="100"/>
      <c r="AN3369" s="100"/>
      <c r="AO3369" s="100"/>
      <c r="AP3369" s="100"/>
      <c r="AQ3369" s="100"/>
      <c r="AR3369" s="100"/>
      <c r="AS3369" s="100"/>
      <c r="AT3369" s="102"/>
    </row>
    <row r="3370" spans="1:63" x14ac:dyDescent="0.25">
      <c r="A3370" s="92"/>
      <c r="B3370" s="93"/>
      <c r="C3370" s="93"/>
      <c r="D3370" s="93"/>
      <c r="E3370" s="92"/>
      <c r="F3370" s="92"/>
      <c r="G3370" s="92"/>
      <c r="H3370" s="92"/>
      <c r="I3370" s="92"/>
      <c r="J3370" s="92"/>
      <c r="K3370" s="92"/>
      <c r="L3370" s="92"/>
      <c r="M3370" s="92"/>
      <c r="N3370" s="94"/>
      <c r="AG3370" s="100"/>
      <c r="AH3370" s="101"/>
      <c r="AI3370" s="100"/>
      <c r="AJ3370" s="101"/>
      <c r="AK3370" s="100"/>
      <c r="AL3370" s="100"/>
      <c r="AM3370" s="100"/>
      <c r="AN3370" s="100"/>
      <c r="AO3370" s="100"/>
      <c r="AP3370" s="100"/>
      <c r="AQ3370" s="100"/>
      <c r="AR3370" s="100"/>
      <c r="AS3370" s="100"/>
      <c r="AT3370" s="102"/>
      <c r="AZ3370" s="117"/>
      <c r="BK3370" s="39"/>
    </row>
    <row r="3371" spans="1:63" x14ac:dyDescent="0.25">
      <c r="A3371" s="92"/>
      <c r="B3371" s="93"/>
      <c r="C3371" s="93"/>
      <c r="D3371" s="92"/>
      <c r="E3371" s="92"/>
      <c r="F3371" s="92"/>
      <c r="G3371" s="92"/>
      <c r="H3371" s="92"/>
      <c r="I3371" s="92"/>
      <c r="J3371" s="92"/>
      <c r="K3371" s="92"/>
      <c r="L3371" s="92"/>
      <c r="M3371" s="92"/>
      <c r="N3371" s="94"/>
      <c r="AG3371" s="100"/>
      <c r="AH3371" s="101"/>
      <c r="AI3371" s="100"/>
      <c r="AJ3371" s="101"/>
      <c r="AK3371" s="100"/>
      <c r="AL3371" s="100"/>
      <c r="AM3371" s="100"/>
      <c r="AN3371" s="100"/>
      <c r="AO3371" s="100"/>
      <c r="AP3371" s="100"/>
      <c r="AQ3371" s="100"/>
      <c r="AR3371" s="100"/>
      <c r="AS3371" s="100"/>
      <c r="AT3371" s="102"/>
      <c r="AZ3371" s="117"/>
      <c r="BK3371" s="39"/>
    </row>
    <row r="3372" spans="1:63" x14ac:dyDescent="0.25">
      <c r="A3372" s="92"/>
      <c r="B3372" s="93"/>
      <c r="C3372" s="93"/>
      <c r="D3372" s="92"/>
      <c r="E3372" s="92"/>
      <c r="F3372" s="92"/>
      <c r="G3372" s="92"/>
      <c r="H3372" s="92"/>
      <c r="I3372" s="92"/>
      <c r="J3372" s="92"/>
      <c r="K3372" s="92"/>
      <c r="L3372" s="92"/>
      <c r="M3372" s="92"/>
      <c r="N3372" s="94"/>
      <c r="AG3372" s="100"/>
      <c r="AH3372" s="101"/>
      <c r="AI3372" s="100"/>
      <c r="AJ3372" s="101"/>
      <c r="AK3372" s="100"/>
      <c r="AL3372" s="100"/>
      <c r="AM3372" s="100"/>
      <c r="AN3372" s="100"/>
      <c r="AO3372" s="100"/>
      <c r="AP3372" s="100"/>
      <c r="AQ3372" s="100"/>
      <c r="AR3372" s="100"/>
      <c r="AS3372" s="100"/>
      <c r="AT3372" s="102"/>
      <c r="AZ3372" s="117"/>
      <c r="BK3372" s="39"/>
    </row>
    <row r="3373" spans="1:63" x14ac:dyDescent="0.25">
      <c r="A3373" s="92"/>
      <c r="B3373" s="93"/>
      <c r="C3373" s="93"/>
      <c r="D3373" s="92"/>
      <c r="E3373" s="92"/>
      <c r="F3373" s="92"/>
      <c r="G3373" s="92"/>
      <c r="H3373" s="92"/>
      <c r="I3373" s="92"/>
      <c r="J3373" s="92"/>
      <c r="K3373" s="92"/>
      <c r="L3373" s="92"/>
      <c r="M3373" s="92"/>
      <c r="N3373" s="94"/>
      <c r="AG3373" s="100"/>
      <c r="AH3373" s="101"/>
      <c r="AI3373" s="100"/>
      <c r="AJ3373" s="101"/>
      <c r="AK3373" s="100"/>
      <c r="AL3373" s="100"/>
      <c r="AM3373" s="100"/>
      <c r="AN3373" s="100"/>
      <c r="AO3373" s="100"/>
      <c r="AP3373" s="100"/>
      <c r="AQ3373" s="100"/>
      <c r="AR3373" s="100"/>
      <c r="AS3373" s="100"/>
      <c r="AT3373" s="102"/>
    </row>
    <row r="3374" spans="1:63" x14ac:dyDescent="0.25">
      <c r="A3374" s="92"/>
      <c r="B3374" s="93"/>
      <c r="C3374" s="93"/>
      <c r="D3374" s="92"/>
      <c r="E3374" s="92"/>
      <c r="F3374" s="92"/>
      <c r="G3374" s="92"/>
      <c r="H3374" s="92"/>
      <c r="I3374" s="92"/>
      <c r="J3374" s="92"/>
      <c r="K3374" s="92"/>
      <c r="L3374" s="92"/>
      <c r="M3374" s="92"/>
      <c r="N3374" s="94"/>
      <c r="AG3374" s="100"/>
      <c r="AH3374" s="101"/>
      <c r="AI3374" s="100"/>
      <c r="AJ3374" s="101"/>
      <c r="AK3374" s="100"/>
      <c r="AL3374" s="100"/>
      <c r="AM3374" s="100"/>
      <c r="AN3374" s="100"/>
      <c r="AO3374" s="100"/>
      <c r="AP3374" s="100"/>
      <c r="AQ3374" s="100"/>
      <c r="AR3374" s="100"/>
      <c r="AS3374" s="100"/>
      <c r="AT3374" s="102"/>
      <c r="AZ3374" s="117"/>
      <c r="BK3374" s="39"/>
    </row>
    <row r="3375" spans="1:63" x14ac:dyDescent="0.25">
      <c r="A3375" s="92"/>
      <c r="B3375" s="93"/>
      <c r="C3375" s="93"/>
      <c r="D3375" s="92"/>
      <c r="E3375" s="92"/>
      <c r="F3375" s="92"/>
      <c r="G3375" s="92"/>
      <c r="H3375" s="92"/>
      <c r="I3375" s="92"/>
      <c r="J3375" s="92"/>
      <c r="K3375" s="92"/>
      <c r="L3375" s="92"/>
      <c r="M3375" s="92"/>
      <c r="N3375" s="94"/>
      <c r="AG3375" s="100"/>
      <c r="AH3375" s="101"/>
      <c r="AI3375" s="100"/>
      <c r="AJ3375" s="101"/>
      <c r="AK3375" s="100"/>
      <c r="AL3375" s="100"/>
      <c r="AM3375" s="100"/>
      <c r="AN3375" s="100"/>
      <c r="AO3375" s="100"/>
      <c r="AP3375" s="100"/>
      <c r="AQ3375" s="100"/>
      <c r="AR3375" s="100"/>
      <c r="AS3375" s="100"/>
      <c r="AT3375" s="102"/>
    </row>
    <row r="3376" spans="1:63" x14ac:dyDescent="0.25">
      <c r="A3376" s="92"/>
      <c r="B3376" s="93"/>
      <c r="C3376" s="93"/>
      <c r="D3376" s="92"/>
      <c r="E3376" s="92"/>
      <c r="F3376" s="92"/>
      <c r="G3376" s="92"/>
      <c r="H3376" s="92"/>
      <c r="I3376" s="92"/>
      <c r="J3376" s="92"/>
      <c r="K3376" s="92"/>
      <c r="L3376" s="92"/>
      <c r="M3376" s="92"/>
      <c r="N3376" s="94"/>
      <c r="AG3376" s="100"/>
      <c r="AH3376" s="101"/>
      <c r="AI3376" s="100"/>
      <c r="AJ3376" s="101"/>
      <c r="AK3376" s="100"/>
      <c r="AL3376" s="100"/>
      <c r="AM3376" s="100"/>
      <c r="AN3376" s="100"/>
      <c r="AO3376" s="100"/>
      <c r="AP3376" s="100"/>
      <c r="AQ3376" s="100"/>
      <c r="AR3376" s="100"/>
      <c r="AS3376" s="100"/>
      <c r="AT3376" s="102"/>
      <c r="AZ3376" s="117"/>
      <c r="BK3376" s="39"/>
    </row>
    <row r="3377" spans="1:63" x14ac:dyDescent="0.25">
      <c r="A3377" s="92"/>
      <c r="B3377" s="93"/>
      <c r="C3377" s="93"/>
      <c r="D3377" s="92"/>
      <c r="E3377" s="92"/>
      <c r="F3377" s="92"/>
      <c r="G3377" s="92"/>
      <c r="H3377" s="92"/>
      <c r="I3377" s="92"/>
      <c r="J3377" s="92"/>
      <c r="K3377" s="92"/>
      <c r="L3377" s="92"/>
      <c r="M3377" s="92"/>
      <c r="N3377" s="94"/>
      <c r="AG3377" s="100"/>
      <c r="AH3377" s="101"/>
      <c r="AI3377" s="100"/>
      <c r="AJ3377" s="101"/>
      <c r="AK3377" s="100"/>
      <c r="AL3377" s="100"/>
      <c r="AM3377" s="100"/>
      <c r="AN3377" s="100"/>
      <c r="AO3377" s="100"/>
      <c r="AP3377" s="100"/>
      <c r="AQ3377" s="100"/>
      <c r="AR3377" s="100"/>
      <c r="AS3377" s="100"/>
      <c r="AT3377" s="102"/>
    </row>
    <row r="3378" spans="1:63" x14ac:dyDescent="0.25">
      <c r="A3378" s="92"/>
      <c r="B3378" s="93"/>
      <c r="C3378" s="93"/>
      <c r="D3378" s="92"/>
      <c r="E3378" s="92"/>
      <c r="F3378" s="92"/>
      <c r="G3378" s="92"/>
      <c r="H3378" s="92"/>
      <c r="I3378" s="92"/>
      <c r="J3378" s="92"/>
      <c r="K3378" s="92"/>
      <c r="L3378" s="92"/>
      <c r="M3378" s="92"/>
      <c r="N3378" s="94"/>
      <c r="AG3378" s="100"/>
      <c r="AH3378" s="101"/>
      <c r="AI3378" s="100"/>
      <c r="AJ3378" s="101"/>
      <c r="AK3378" s="100"/>
      <c r="AL3378" s="100"/>
      <c r="AM3378" s="100"/>
      <c r="AN3378" s="100"/>
      <c r="AO3378" s="100"/>
      <c r="AP3378" s="100"/>
      <c r="AQ3378" s="100"/>
      <c r="AR3378" s="100"/>
      <c r="AS3378" s="100"/>
      <c r="AT3378" s="102"/>
    </row>
    <row r="3379" spans="1:63" x14ac:dyDescent="0.25">
      <c r="A3379" s="92"/>
      <c r="B3379" s="93"/>
      <c r="C3379" s="93"/>
      <c r="D3379" s="93"/>
      <c r="E3379" s="92"/>
      <c r="F3379" s="92"/>
      <c r="G3379" s="92"/>
      <c r="H3379" s="92"/>
      <c r="I3379" s="92"/>
      <c r="J3379" s="92"/>
      <c r="K3379" s="92"/>
      <c r="L3379" s="92"/>
      <c r="M3379" s="92"/>
      <c r="N3379" s="94"/>
      <c r="AG3379" s="100"/>
      <c r="AH3379" s="101"/>
      <c r="AI3379" s="100"/>
      <c r="AJ3379" s="101"/>
      <c r="AK3379" s="100"/>
      <c r="AL3379" s="100"/>
      <c r="AM3379" s="100"/>
      <c r="AN3379" s="100"/>
      <c r="AO3379" s="100"/>
      <c r="AP3379" s="100"/>
      <c r="AQ3379" s="100"/>
      <c r="AR3379" s="100"/>
      <c r="AS3379" s="100"/>
      <c r="AT3379" s="102"/>
      <c r="AZ3379" s="117"/>
      <c r="BK3379" s="39"/>
    </row>
    <row r="3380" spans="1:63" x14ac:dyDescent="0.25">
      <c r="A3380" s="92"/>
      <c r="B3380" s="92"/>
      <c r="C3380" s="92"/>
      <c r="D3380" s="92"/>
      <c r="E3380" s="92"/>
      <c r="F3380" s="92"/>
      <c r="G3380" s="92"/>
      <c r="H3380" s="92"/>
      <c r="I3380" s="92"/>
      <c r="J3380" s="92"/>
      <c r="K3380" s="92"/>
      <c r="L3380" s="92"/>
      <c r="M3380" s="92"/>
      <c r="N3380" s="92"/>
      <c r="AG3380" s="100"/>
      <c r="AH3380" s="101"/>
      <c r="AI3380" s="100"/>
      <c r="AJ3380" s="101"/>
      <c r="AK3380" s="100"/>
      <c r="AL3380" s="100"/>
      <c r="AM3380" s="100"/>
      <c r="AN3380" s="100"/>
      <c r="AO3380" s="100"/>
      <c r="AP3380" s="100"/>
      <c r="AQ3380" s="100"/>
      <c r="AR3380" s="100"/>
      <c r="AS3380" s="100"/>
      <c r="AT3380" s="102"/>
    </row>
    <row r="3381" spans="1:63" x14ac:dyDescent="0.25">
      <c r="A3381" s="92"/>
      <c r="B3381" s="92"/>
      <c r="C3381" s="92"/>
      <c r="D3381" s="92"/>
      <c r="E3381" s="92"/>
      <c r="F3381" s="92"/>
      <c r="G3381" s="92"/>
      <c r="H3381" s="92"/>
      <c r="I3381" s="92"/>
      <c r="J3381" s="92"/>
      <c r="K3381" s="92"/>
      <c r="L3381" s="92"/>
      <c r="M3381" s="92"/>
      <c r="N3381" s="92"/>
      <c r="AG3381" s="100"/>
      <c r="AH3381" s="101"/>
      <c r="AI3381" s="100"/>
      <c r="AJ3381" s="101"/>
      <c r="AK3381" s="100"/>
      <c r="AL3381" s="100"/>
      <c r="AM3381" s="100"/>
      <c r="AN3381" s="100"/>
      <c r="AO3381" s="100"/>
      <c r="AP3381" s="100"/>
      <c r="AQ3381" s="100"/>
      <c r="AR3381" s="100"/>
      <c r="AS3381" s="100"/>
      <c r="AT3381" s="102"/>
    </row>
    <row r="3382" spans="1:63" x14ac:dyDescent="0.25">
      <c r="A3382" s="92"/>
      <c r="B3382" s="92"/>
      <c r="C3382" s="92"/>
      <c r="D3382" s="92"/>
      <c r="E3382" s="92"/>
      <c r="F3382" s="92"/>
      <c r="G3382" s="92"/>
      <c r="H3382" s="92"/>
      <c r="I3382" s="92"/>
      <c r="J3382" s="92"/>
      <c r="K3382" s="92"/>
      <c r="L3382" s="92"/>
      <c r="M3382" s="92"/>
      <c r="N3382" s="92"/>
      <c r="AG3382" s="100"/>
      <c r="AH3382" s="101"/>
      <c r="AI3382" s="100"/>
      <c r="AJ3382" s="101"/>
      <c r="AK3382" s="100"/>
      <c r="AL3382" s="100"/>
      <c r="AM3382" s="100"/>
      <c r="AN3382" s="100"/>
      <c r="AO3382" s="100"/>
      <c r="AP3382" s="100"/>
      <c r="AQ3382" s="100"/>
      <c r="AR3382" s="100"/>
      <c r="AS3382" s="100"/>
      <c r="AT3382" s="102"/>
      <c r="AZ3382" s="117"/>
      <c r="BK3382" s="39"/>
    </row>
    <row r="3383" spans="1:63" x14ac:dyDescent="0.25">
      <c r="A3383" s="92"/>
      <c r="B3383" s="92"/>
      <c r="C3383" s="92"/>
      <c r="D3383" s="92"/>
      <c r="E3383" s="92"/>
      <c r="F3383" s="92"/>
      <c r="G3383" s="92"/>
      <c r="H3383" s="92"/>
      <c r="I3383" s="92"/>
      <c r="J3383" s="92"/>
      <c r="K3383" s="92"/>
      <c r="L3383" s="92"/>
      <c r="M3383" s="92"/>
      <c r="N3383" s="92"/>
      <c r="AG3383" s="100"/>
      <c r="AH3383" s="101"/>
      <c r="AI3383" s="100"/>
      <c r="AJ3383" s="101"/>
      <c r="AK3383" s="100"/>
      <c r="AL3383" s="100"/>
      <c r="AM3383" s="100"/>
      <c r="AN3383" s="100"/>
      <c r="AO3383" s="100"/>
      <c r="AP3383" s="100"/>
      <c r="AQ3383" s="100"/>
      <c r="AR3383" s="100"/>
      <c r="AS3383" s="100"/>
      <c r="AT3383" s="102"/>
      <c r="AZ3383" s="117"/>
      <c r="BA3383" s="117"/>
      <c r="BK3383" s="39"/>
    </row>
    <row r="3384" spans="1:63" x14ac:dyDescent="0.25">
      <c r="A3384" s="92"/>
      <c r="B3384" s="93"/>
      <c r="C3384" s="93"/>
      <c r="D3384" s="92"/>
      <c r="E3384" s="92"/>
      <c r="F3384" s="92"/>
      <c r="G3384" s="92"/>
      <c r="H3384" s="92"/>
      <c r="I3384" s="92"/>
      <c r="J3384" s="92"/>
      <c r="K3384" s="92"/>
      <c r="L3384" s="92"/>
      <c r="M3384" s="92"/>
      <c r="N3384" s="94"/>
      <c r="AG3384" s="100"/>
      <c r="AH3384" s="101"/>
      <c r="AI3384" s="100"/>
      <c r="AJ3384" s="101"/>
      <c r="AK3384" s="100"/>
      <c r="AL3384" s="100"/>
      <c r="AM3384" s="100"/>
      <c r="AN3384" s="100"/>
      <c r="AO3384" s="100"/>
      <c r="AP3384" s="100"/>
      <c r="AQ3384" s="100"/>
      <c r="AR3384" s="100"/>
      <c r="AS3384" s="100"/>
      <c r="AT3384" s="102"/>
    </row>
    <row r="3385" spans="1:63" x14ac:dyDescent="0.25">
      <c r="A3385" s="92"/>
      <c r="B3385" s="93"/>
      <c r="C3385" s="93"/>
      <c r="D3385" s="92"/>
      <c r="E3385" s="92"/>
      <c r="F3385" s="92"/>
      <c r="G3385" s="92"/>
      <c r="H3385" s="92"/>
      <c r="I3385" s="92"/>
      <c r="J3385" s="92"/>
      <c r="K3385" s="92"/>
      <c r="L3385" s="92"/>
      <c r="M3385" s="92"/>
      <c r="N3385" s="94"/>
      <c r="AG3385" s="100"/>
      <c r="AH3385" s="101"/>
      <c r="AI3385" s="100"/>
      <c r="AJ3385" s="101"/>
      <c r="AK3385" s="100"/>
      <c r="AL3385" s="100"/>
      <c r="AM3385" s="100"/>
      <c r="AN3385" s="100"/>
      <c r="AO3385" s="100"/>
      <c r="AP3385" s="100"/>
      <c r="AQ3385" s="100"/>
      <c r="AR3385" s="100"/>
      <c r="AS3385" s="100"/>
      <c r="AT3385" s="102"/>
    </row>
    <row r="3386" spans="1:63" x14ac:dyDescent="0.25">
      <c r="A3386" s="92"/>
      <c r="B3386" s="93"/>
      <c r="C3386" s="93"/>
      <c r="D3386" s="92"/>
      <c r="E3386" s="92"/>
      <c r="F3386" s="92"/>
      <c r="G3386" s="92"/>
      <c r="H3386" s="92"/>
      <c r="I3386" s="92"/>
      <c r="J3386" s="92"/>
      <c r="K3386" s="92"/>
      <c r="L3386" s="92"/>
      <c r="M3386" s="92"/>
      <c r="N3386" s="94"/>
      <c r="AG3386" s="100"/>
      <c r="AH3386" s="100"/>
      <c r="AI3386" s="100"/>
      <c r="AJ3386" s="101"/>
      <c r="AK3386" s="100"/>
      <c r="AL3386" s="100"/>
      <c r="AM3386" s="100"/>
      <c r="AN3386" s="100"/>
      <c r="AO3386" s="100"/>
      <c r="AP3386" s="100"/>
      <c r="AQ3386" s="100"/>
      <c r="AR3386" s="100"/>
      <c r="AS3386" s="100"/>
      <c r="AT3386" s="100"/>
    </row>
    <row r="3387" spans="1:63" x14ac:dyDescent="0.25">
      <c r="A3387" s="92"/>
      <c r="B3387" s="92"/>
      <c r="C3387" s="92"/>
      <c r="D3387" s="92"/>
      <c r="E3387" s="92"/>
      <c r="F3387" s="92"/>
      <c r="G3387" s="92"/>
      <c r="H3387" s="92"/>
      <c r="I3387" s="92"/>
      <c r="J3387" s="92"/>
      <c r="K3387" s="92"/>
      <c r="L3387" s="92"/>
      <c r="M3387" s="92"/>
      <c r="N3387" s="92"/>
      <c r="AG3387" s="100"/>
      <c r="AH3387" s="101"/>
      <c r="AI3387" s="100"/>
      <c r="AJ3387" s="101"/>
      <c r="AK3387" s="100"/>
      <c r="AL3387" s="100"/>
      <c r="AM3387" s="100"/>
      <c r="AN3387" s="100"/>
      <c r="AO3387" s="100"/>
      <c r="AP3387" s="100"/>
      <c r="AQ3387" s="100"/>
      <c r="AR3387" s="100"/>
      <c r="AS3387" s="100"/>
      <c r="AT3387" s="102"/>
    </row>
    <row r="3388" spans="1:63" x14ac:dyDescent="0.25">
      <c r="A3388" s="92"/>
      <c r="B3388" s="93"/>
      <c r="C3388" s="93"/>
      <c r="D3388" s="92"/>
      <c r="E3388" s="92"/>
      <c r="F3388" s="92"/>
      <c r="G3388" s="92"/>
      <c r="H3388" s="92"/>
      <c r="I3388" s="92"/>
      <c r="J3388" s="92"/>
      <c r="K3388" s="92"/>
      <c r="L3388" s="92"/>
      <c r="M3388" s="92"/>
      <c r="N3388" s="94"/>
      <c r="AG3388" s="100"/>
      <c r="AH3388" s="101"/>
      <c r="AI3388" s="100"/>
      <c r="AJ3388" s="101"/>
      <c r="AK3388" s="100"/>
      <c r="AL3388" s="100"/>
      <c r="AM3388" s="100"/>
      <c r="AN3388" s="100"/>
      <c r="AO3388" s="100"/>
      <c r="AP3388" s="100"/>
      <c r="AQ3388" s="100"/>
      <c r="AR3388" s="100"/>
      <c r="AS3388" s="100"/>
      <c r="AT3388" s="102"/>
    </row>
    <row r="3389" spans="1:63" x14ac:dyDescent="0.25">
      <c r="A3389" s="92"/>
      <c r="B3389" s="92"/>
      <c r="C3389" s="92"/>
      <c r="D3389" s="92"/>
      <c r="E3389" s="92"/>
      <c r="F3389" s="92"/>
      <c r="G3389" s="92"/>
      <c r="H3389" s="92"/>
      <c r="I3389" s="92"/>
      <c r="J3389" s="92"/>
      <c r="K3389" s="92"/>
      <c r="L3389" s="92"/>
      <c r="M3389" s="92"/>
      <c r="N3389" s="92"/>
      <c r="AG3389" s="100"/>
      <c r="AH3389" s="101"/>
      <c r="AI3389" s="100"/>
      <c r="AJ3389" s="101"/>
      <c r="AK3389" s="100"/>
      <c r="AL3389" s="100"/>
      <c r="AM3389" s="100"/>
      <c r="AN3389" s="100"/>
      <c r="AO3389" s="100"/>
      <c r="AP3389" s="100"/>
      <c r="AQ3389" s="100"/>
      <c r="AR3389" s="100"/>
      <c r="AS3389" s="100"/>
      <c r="AT3389" s="102"/>
    </row>
    <row r="3390" spans="1:63" x14ac:dyDescent="0.25">
      <c r="A3390" s="92"/>
      <c r="B3390" s="93"/>
      <c r="C3390" s="93"/>
      <c r="D3390" s="92"/>
      <c r="E3390" s="92"/>
      <c r="F3390" s="92"/>
      <c r="G3390" s="92"/>
      <c r="H3390" s="92"/>
      <c r="I3390" s="92"/>
      <c r="J3390" s="92"/>
      <c r="K3390" s="92"/>
      <c r="L3390" s="92"/>
      <c r="M3390" s="92"/>
      <c r="N3390" s="94"/>
      <c r="AG3390" s="100"/>
      <c r="AH3390" s="100"/>
      <c r="AI3390" s="100"/>
      <c r="AJ3390" s="101"/>
      <c r="AK3390" s="100"/>
      <c r="AL3390" s="100"/>
      <c r="AM3390" s="100"/>
      <c r="AN3390" s="100"/>
      <c r="AO3390" s="100"/>
      <c r="AP3390" s="100"/>
      <c r="AQ3390" s="100"/>
      <c r="AR3390" s="100"/>
      <c r="AS3390" s="100"/>
      <c r="AT3390" s="100"/>
    </row>
    <row r="3391" spans="1:63" x14ac:dyDescent="0.25">
      <c r="A3391" s="92"/>
      <c r="B3391" s="92"/>
      <c r="C3391" s="92"/>
      <c r="D3391" s="92"/>
      <c r="E3391" s="92"/>
      <c r="F3391" s="92"/>
      <c r="G3391" s="92"/>
      <c r="H3391" s="92"/>
      <c r="I3391" s="92"/>
      <c r="J3391" s="92"/>
      <c r="K3391" s="92"/>
      <c r="L3391" s="92"/>
      <c r="M3391" s="92"/>
      <c r="N3391" s="92"/>
      <c r="AG3391" s="100"/>
      <c r="AH3391" s="101"/>
      <c r="AI3391" s="100"/>
      <c r="AJ3391" s="101"/>
      <c r="AK3391" s="100"/>
      <c r="AL3391" s="100"/>
      <c r="AM3391" s="100"/>
      <c r="AN3391" s="100"/>
      <c r="AO3391" s="100"/>
      <c r="AP3391" s="100"/>
      <c r="AQ3391" s="100"/>
      <c r="AR3391" s="100"/>
      <c r="AS3391" s="100"/>
      <c r="AT3391" s="102"/>
    </row>
    <row r="3392" spans="1:63" x14ac:dyDescent="0.25">
      <c r="A3392" s="92"/>
      <c r="B3392" s="92"/>
      <c r="C3392" s="92"/>
      <c r="D3392" s="92"/>
      <c r="E3392" s="92"/>
      <c r="F3392" s="92"/>
      <c r="G3392" s="92"/>
      <c r="H3392" s="92"/>
      <c r="I3392" s="92"/>
      <c r="J3392" s="92"/>
      <c r="K3392" s="92"/>
      <c r="L3392" s="92"/>
      <c r="M3392" s="92"/>
      <c r="N3392" s="92"/>
      <c r="AG3392" s="100"/>
      <c r="AH3392" s="101"/>
      <c r="AI3392" s="100"/>
      <c r="AJ3392" s="101"/>
      <c r="AK3392" s="100"/>
      <c r="AL3392" s="100"/>
      <c r="AM3392" s="100"/>
      <c r="AN3392" s="100"/>
      <c r="AO3392" s="100"/>
      <c r="AP3392" s="100"/>
      <c r="AQ3392" s="100"/>
      <c r="AR3392" s="100"/>
      <c r="AS3392" s="100"/>
      <c r="AT3392" s="102"/>
    </row>
    <row r="3393" spans="1:63" x14ac:dyDescent="0.25">
      <c r="A3393" s="92"/>
      <c r="B3393" s="93"/>
      <c r="C3393" s="93"/>
      <c r="D3393" s="92"/>
      <c r="E3393" s="92"/>
      <c r="F3393" s="92"/>
      <c r="G3393" s="92"/>
      <c r="H3393" s="92"/>
      <c r="I3393" s="92"/>
      <c r="J3393" s="92"/>
      <c r="K3393" s="92"/>
      <c r="L3393" s="92"/>
      <c r="M3393" s="92"/>
      <c r="N3393" s="94"/>
      <c r="AG3393" s="100"/>
      <c r="AH3393" s="101"/>
      <c r="AI3393" s="100"/>
      <c r="AJ3393" s="101"/>
      <c r="AK3393" s="100"/>
      <c r="AL3393" s="100"/>
      <c r="AM3393" s="100"/>
      <c r="AN3393" s="100"/>
      <c r="AO3393" s="100"/>
      <c r="AP3393" s="100"/>
      <c r="AQ3393" s="100"/>
      <c r="AR3393" s="100"/>
      <c r="AS3393" s="100"/>
      <c r="AT3393" s="102"/>
    </row>
    <row r="3394" spans="1:63" x14ac:dyDescent="0.25">
      <c r="A3394" s="92"/>
      <c r="B3394" s="92"/>
      <c r="C3394" s="92"/>
      <c r="D3394" s="92"/>
      <c r="E3394" s="92"/>
      <c r="F3394" s="92"/>
      <c r="G3394" s="92"/>
      <c r="H3394" s="92"/>
      <c r="I3394" s="92"/>
      <c r="J3394" s="92"/>
      <c r="K3394" s="92"/>
      <c r="L3394" s="92"/>
      <c r="M3394" s="92"/>
      <c r="N3394" s="92"/>
      <c r="AG3394" s="100"/>
      <c r="AH3394" s="101"/>
      <c r="AI3394" s="100"/>
      <c r="AJ3394" s="101"/>
      <c r="AK3394" s="100"/>
      <c r="AL3394" s="100"/>
      <c r="AM3394" s="100"/>
      <c r="AN3394" s="100"/>
      <c r="AO3394" s="100"/>
      <c r="AP3394" s="100"/>
      <c r="AQ3394" s="100"/>
      <c r="AR3394" s="100"/>
      <c r="AS3394" s="100"/>
      <c r="AT3394" s="102"/>
    </row>
    <row r="3395" spans="1:63" x14ac:dyDescent="0.25">
      <c r="A3395" s="92"/>
      <c r="B3395" s="92"/>
      <c r="C3395" s="92"/>
      <c r="D3395" s="92"/>
      <c r="E3395" s="92"/>
      <c r="F3395" s="92"/>
      <c r="G3395" s="92"/>
      <c r="H3395" s="92"/>
      <c r="I3395" s="92"/>
      <c r="J3395" s="92"/>
      <c r="K3395" s="92"/>
      <c r="L3395" s="92"/>
      <c r="M3395" s="92"/>
      <c r="N3395" s="92"/>
      <c r="AG3395" s="100"/>
      <c r="AH3395" s="101"/>
      <c r="AI3395" s="100"/>
      <c r="AJ3395" s="101"/>
      <c r="AK3395" s="100"/>
      <c r="AL3395" s="100"/>
      <c r="AM3395" s="100"/>
      <c r="AN3395" s="100"/>
      <c r="AO3395" s="100"/>
      <c r="AP3395" s="100"/>
      <c r="AQ3395" s="100"/>
      <c r="AR3395" s="100"/>
      <c r="AS3395" s="100"/>
      <c r="AT3395" s="102"/>
    </row>
    <row r="3396" spans="1:63" x14ac:dyDescent="0.25">
      <c r="A3396" s="92"/>
      <c r="B3396" s="93"/>
      <c r="C3396" s="93"/>
      <c r="D3396" s="92"/>
      <c r="E3396" s="92"/>
      <c r="F3396" s="92"/>
      <c r="G3396" s="92"/>
      <c r="H3396" s="92"/>
      <c r="I3396" s="92"/>
      <c r="J3396" s="92"/>
      <c r="K3396" s="92"/>
      <c r="L3396" s="92"/>
      <c r="M3396" s="92"/>
      <c r="N3396" s="94"/>
      <c r="AG3396" s="100"/>
      <c r="AH3396" s="101"/>
      <c r="AI3396" s="100"/>
      <c r="AJ3396" s="101"/>
      <c r="AK3396" s="100"/>
      <c r="AL3396" s="100"/>
      <c r="AM3396" s="100"/>
      <c r="AN3396" s="100"/>
      <c r="AO3396" s="100"/>
      <c r="AP3396" s="100"/>
      <c r="AQ3396" s="100"/>
      <c r="AR3396" s="100"/>
      <c r="AS3396" s="100"/>
      <c r="AT3396" s="102"/>
      <c r="AZ3396" s="117"/>
      <c r="BA3396" s="117"/>
      <c r="BK3396" s="39"/>
    </row>
    <row r="3397" spans="1:63" x14ac:dyDescent="0.25">
      <c r="A3397" s="92"/>
      <c r="B3397" s="93"/>
      <c r="C3397" s="93"/>
      <c r="D3397" s="93"/>
      <c r="E3397" s="92"/>
      <c r="F3397" s="92"/>
      <c r="G3397" s="92"/>
      <c r="H3397" s="92"/>
      <c r="I3397" s="92"/>
      <c r="J3397" s="92"/>
      <c r="K3397" s="92"/>
      <c r="L3397" s="92"/>
      <c r="M3397" s="92"/>
      <c r="N3397" s="94"/>
      <c r="AG3397" s="100"/>
      <c r="AH3397" s="101"/>
      <c r="AI3397" s="100"/>
      <c r="AJ3397" s="101"/>
      <c r="AK3397" s="100"/>
      <c r="AL3397" s="100"/>
      <c r="AM3397" s="100"/>
      <c r="AN3397" s="100"/>
      <c r="AO3397" s="100"/>
      <c r="AP3397" s="100"/>
      <c r="AQ3397" s="100"/>
      <c r="AR3397" s="100"/>
      <c r="AS3397" s="100"/>
      <c r="AT3397" s="102"/>
    </row>
    <row r="3398" spans="1:63" x14ac:dyDescent="0.25">
      <c r="A3398" s="92"/>
      <c r="B3398" s="92"/>
      <c r="C3398" s="92"/>
      <c r="D3398" s="92"/>
      <c r="E3398" s="92"/>
      <c r="F3398" s="92"/>
      <c r="G3398" s="92"/>
      <c r="H3398" s="92"/>
      <c r="I3398" s="92"/>
      <c r="J3398" s="92"/>
      <c r="K3398" s="92"/>
      <c r="L3398" s="92"/>
      <c r="M3398" s="92"/>
      <c r="N3398" s="92"/>
      <c r="AG3398" s="100"/>
      <c r="AH3398" s="101"/>
      <c r="AI3398" s="100"/>
      <c r="AJ3398" s="101"/>
      <c r="AK3398" s="100"/>
      <c r="AL3398" s="100"/>
      <c r="AM3398" s="100"/>
      <c r="AN3398" s="100"/>
      <c r="AO3398" s="100"/>
      <c r="AP3398" s="100"/>
      <c r="AQ3398" s="100"/>
      <c r="AR3398" s="100"/>
      <c r="AS3398" s="100"/>
      <c r="AT3398" s="102"/>
      <c r="AZ3398" s="117"/>
      <c r="BK3398" s="39"/>
    </row>
    <row r="3399" spans="1:63" x14ac:dyDescent="0.25">
      <c r="A3399" s="92"/>
      <c r="B3399" s="92"/>
      <c r="C3399" s="92"/>
      <c r="D3399" s="92"/>
      <c r="E3399" s="92"/>
      <c r="F3399" s="92"/>
      <c r="G3399" s="92"/>
      <c r="H3399" s="92"/>
      <c r="I3399" s="92"/>
      <c r="J3399" s="92"/>
      <c r="K3399" s="92"/>
      <c r="L3399" s="92"/>
      <c r="M3399" s="92"/>
      <c r="N3399" s="92"/>
      <c r="AG3399" s="100"/>
      <c r="AH3399" s="101"/>
      <c r="AI3399" s="100"/>
      <c r="AJ3399" s="101"/>
      <c r="AK3399" s="100"/>
      <c r="AL3399" s="100"/>
      <c r="AM3399" s="100"/>
      <c r="AN3399" s="100"/>
      <c r="AO3399" s="100"/>
      <c r="AP3399" s="100"/>
      <c r="AQ3399" s="100"/>
      <c r="AR3399" s="100"/>
      <c r="AS3399" s="100"/>
      <c r="AT3399" s="102"/>
      <c r="AZ3399" s="117"/>
      <c r="BK3399" s="39"/>
    </row>
    <row r="3400" spans="1:63" x14ac:dyDescent="0.25">
      <c r="A3400" s="92"/>
      <c r="B3400" s="92"/>
      <c r="C3400" s="92"/>
      <c r="D3400" s="92"/>
      <c r="E3400" s="92"/>
      <c r="F3400" s="92"/>
      <c r="G3400" s="92"/>
      <c r="H3400" s="92"/>
      <c r="I3400" s="92"/>
      <c r="J3400" s="92"/>
      <c r="K3400" s="92"/>
      <c r="L3400" s="92"/>
      <c r="M3400" s="92"/>
      <c r="N3400" s="92"/>
      <c r="AG3400" s="100"/>
      <c r="AH3400" s="101"/>
      <c r="AI3400" s="100"/>
      <c r="AJ3400" s="101"/>
      <c r="AK3400" s="100"/>
      <c r="AL3400" s="100"/>
      <c r="AM3400" s="100"/>
      <c r="AN3400" s="100"/>
      <c r="AO3400" s="100"/>
      <c r="AP3400" s="100"/>
      <c r="AQ3400" s="100"/>
      <c r="AR3400" s="100"/>
      <c r="AS3400" s="100"/>
      <c r="AT3400" s="102"/>
      <c r="AZ3400" s="117"/>
      <c r="BK3400" s="39"/>
    </row>
    <row r="3401" spans="1:63" x14ac:dyDescent="0.25">
      <c r="A3401" s="92"/>
      <c r="B3401" s="92"/>
      <c r="C3401" s="92"/>
      <c r="D3401" s="92"/>
      <c r="E3401" s="92"/>
      <c r="F3401" s="92"/>
      <c r="G3401" s="92"/>
      <c r="H3401" s="92"/>
      <c r="I3401" s="92"/>
      <c r="J3401" s="92"/>
      <c r="K3401" s="92"/>
      <c r="L3401" s="92"/>
      <c r="M3401" s="92"/>
      <c r="N3401" s="92"/>
      <c r="AG3401" s="100"/>
      <c r="AH3401" s="101"/>
      <c r="AI3401" s="100"/>
      <c r="AJ3401" s="101"/>
      <c r="AK3401" s="100"/>
      <c r="AL3401" s="100"/>
      <c r="AM3401" s="100"/>
      <c r="AN3401" s="100"/>
      <c r="AO3401" s="100"/>
      <c r="AP3401" s="100"/>
      <c r="AQ3401" s="100"/>
      <c r="AR3401" s="100"/>
      <c r="AS3401" s="100"/>
      <c r="AT3401" s="102"/>
      <c r="AZ3401" s="117"/>
      <c r="BK3401" s="39"/>
    </row>
    <row r="3402" spans="1:63" x14ac:dyDescent="0.25">
      <c r="A3402" s="92"/>
      <c r="B3402" s="92"/>
      <c r="C3402" s="92"/>
      <c r="D3402" s="92"/>
      <c r="E3402" s="92"/>
      <c r="F3402" s="92"/>
      <c r="G3402" s="92"/>
      <c r="H3402" s="92"/>
      <c r="I3402" s="92"/>
      <c r="J3402" s="92"/>
      <c r="K3402" s="92"/>
      <c r="L3402" s="92"/>
      <c r="M3402" s="92"/>
      <c r="N3402" s="92"/>
      <c r="AG3402" s="100"/>
      <c r="AH3402" s="101"/>
      <c r="AI3402" s="100"/>
      <c r="AJ3402" s="101"/>
      <c r="AK3402" s="100"/>
      <c r="AL3402" s="100"/>
      <c r="AM3402" s="100"/>
      <c r="AN3402" s="100"/>
      <c r="AO3402" s="100"/>
      <c r="AP3402" s="100"/>
      <c r="AQ3402" s="100"/>
      <c r="AR3402" s="100"/>
      <c r="AS3402" s="100"/>
      <c r="AT3402" s="102"/>
      <c r="AZ3402" s="117"/>
      <c r="BK3402" s="39"/>
    </row>
    <row r="3403" spans="1:63" x14ac:dyDescent="0.25">
      <c r="A3403" s="92"/>
      <c r="B3403" s="92"/>
      <c r="C3403" s="92"/>
      <c r="D3403" s="92"/>
      <c r="E3403" s="92"/>
      <c r="F3403" s="92"/>
      <c r="G3403" s="92"/>
      <c r="H3403" s="92"/>
      <c r="I3403" s="92"/>
      <c r="J3403" s="92"/>
      <c r="K3403" s="92"/>
      <c r="L3403" s="92"/>
      <c r="M3403" s="92"/>
      <c r="N3403" s="92"/>
      <c r="AG3403" s="100"/>
      <c r="AH3403" s="100"/>
      <c r="AI3403" s="100"/>
      <c r="AJ3403" s="101"/>
      <c r="AK3403" s="100"/>
      <c r="AL3403" s="100"/>
      <c r="AM3403" s="100"/>
      <c r="AN3403" s="100"/>
      <c r="AO3403" s="100"/>
      <c r="AP3403" s="100"/>
      <c r="AQ3403" s="100"/>
      <c r="AR3403" s="100"/>
      <c r="AS3403" s="100"/>
      <c r="AT3403" s="100"/>
      <c r="AZ3403" s="117"/>
      <c r="BK3403" s="39"/>
    </row>
    <row r="3404" spans="1:63" x14ac:dyDescent="0.25">
      <c r="A3404" s="92"/>
      <c r="B3404" s="92"/>
      <c r="C3404" s="92"/>
      <c r="D3404" s="92"/>
      <c r="E3404" s="92"/>
      <c r="F3404" s="92"/>
      <c r="G3404" s="92"/>
      <c r="H3404" s="92"/>
      <c r="I3404" s="92"/>
      <c r="J3404" s="92"/>
      <c r="K3404" s="92"/>
      <c r="L3404" s="92"/>
      <c r="M3404" s="92"/>
      <c r="N3404" s="92"/>
      <c r="AG3404" s="100"/>
      <c r="AH3404" s="101"/>
      <c r="AI3404" s="100"/>
      <c r="AJ3404" s="101"/>
      <c r="AK3404" s="100"/>
      <c r="AL3404" s="100"/>
      <c r="AM3404" s="100"/>
      <c r="AN3404" s="100"/>
      <c r="AO3404" s="100"/>
      <c r="AP3404" s="100"/>
      <c r="AQ3404" s="100"/>
      <c r="AR3404" s="100"/>
      <c r="AS3404" s="100"/>
      <c r="AT3404" s="102"/>
      <c r="AZ3404" s="117"/>
      <c r="BK3404" s="39"/>
    </row>
    <row r="3405" spans="1:63" x14ac:dyDescent="0.25">
      <c r="A3405" s="92"/>
      <c r="B3405" s="92"/>
      <c r="C3405" s="92"/>
      <c r="D3405" s="92"/>
      <c r="E3405" s="92"/>
      <c r="F3405" s="92"/>
      <c r="G3405" s="92"/>
      <c r="H3405" s="92"/>
      <c r="I3405" s="92"/>
      <c r="J3405" s="92"/>
      <c r="K3405" s="92"/>
      <c r="L3405" s="92"/>
      <c r="M3405" s="92"/>
      <c r="N3405" s="92"/>
      <c r="AG3405" s="100"/>
      <c r="AH3405" s="101"/>
      <c r="AI3405" s="100"/>
      <c r="AJ3405" s="101"/>
      <c r="AK3405" s="100"/>
      <c r="AL3405" s="100"/>
      <c r="AM3405" s="100"/>
      <c r="AN3405" s="100"/>
      <c r="AO3405" s="100"/>
      <c r="AP3405" s="100"/>
      <c r="AQ3405" s="100"/>
      <c r="AR3405" s="100"/>
      <c r="AS3405" s="100"/>
      <c r="AT3405" s="102"/>
      <c r="AZ3405" s="117"/>
      <c r="BK3405" s="39"/>
    </row>
    <row r="3406" spans="1:63" x14ac:dyDescent="0.25">
      <c r="A3406" s="92"/>
      <c r="B3406" s="92"/>
      <c r="C3406" s="92"/>
      <c r="D3406" s="92"/>
      <c r="E3406" s="92"/>
      <c r="F3406" s="92"/>
      <c r="G3406" s="92"/>
      <c r="H3406" s="92"/>
      <c r="I3406" s="92"/>
      <c r="J3406" s="92"/>
      <c r="K3406" s="92"/>
      <c r="L3406" s="92"/>
      <c r="M3406" s="92"/>
      <c r="N3406" s="92"/>
      <c r="AG3406" s="100"/>
      <c r="AH3406" s="101"/>
      <c r="AI3406" s="100"/>
      <c r="AJ3406" s="101"/>
      <c r="AK3406" s="100"/>
      <c r="AL3406" s="100"/>
      <c r="AM3406" s="100"/>
      <c r="AN3406" s="100"/>
      <c r="AO3406" s="100"/>
      <c r="AP3406" s="100"/>
      <c r="AQ3406" s="100"/>
      <c r="AR3406" s="100"/>
      <c r="AS3406" s="100"/>
      <c r="AT3406" s="102"/>
      <c r="AZ3406" s="117"/>
      <c r="BK3406" s="39"/>
    </row>
    <row r="3407" spans="1:63" x14ac:dyDescent="0.25">
      <c r="A3407" s="92"/>
      <c r="B3407" s="92"/>
      <c r="C3407" s="92"/>
      <c r="D3407" s="92"/>
      <c r="E3407" s="92"/>
      <c r="F3407" s="92"/>
      <c r="G3407" s="92"/>
      <c r="H3407" s="92"/>
      <c r="I3407" s="92"/>
      <c r="J3407" s="92"/>
      <c r="K3407" s="92"/>
      <c r="L3407" s="92"/>
      <c r="M3407" s="92"/>
      <c r="N3407" s="92"/>
      <c r="AG3407" s="100"/>
      <c r="AH3407" s="101"/>
      <c r="AI3407" s="100"/>
      <c r="AJ3407" s="101"/>
      <c r="AK3407" s="100"/>
      <c r="AL3407" s="100"/>
      <c r="AM3407" s="100"/>
      <c r="AN3407" s="100"/>
      <c r="AO3407" s="100"/>
      <c r="AP3407" s="100"/>
      <c r="AQ3407" s="100"/>
      <c r="AR3407" s="100"/>
      <c r="AS3407" s="100"/>
      <c r="AT3407" s="102"/>
    </row>
    <row r="3408" spans="1:63" x14ac:dyDescent="0.25">
      <c r="A3408" s="92"/>
      <c r="B3408" s="92"/>
      <c r="C3408" s="92"/>
      <c r="D3408" s="92"/>
      <c r="E3408" s="92"/>
      <c r="F3408" s="92"/>
      <c r="G3408" s="92"/>
      <c r="H3408" s="92"/>
      <c r="I3408" s="92"/>
      <c r="J3408" s="92"/>
      <c r="K3408" s="92"/>
      <c r="L3408" s="92"/>
      <c r="M3408" s="92"/>
      <c r="N3408" s="92"/>
      <c r="AG3408" s="100"/>
      <c r="AH3408" s="101"/>
      <c r="AI3408" s="100"/>
      <c r="AJ3408" s="101"/>
      <c r="AK3408" s="100"/>
      <c r="AL3408" s="100"/>
      <c r="AM3408" s="100"/>
      <c r="AN3408" s="100"/>
      <c r="AO3408" s="100"/>
      <c r="AP3408" s="100"/>
      <c r="AQ3408" s="100"/>
      <c r="AR3408" s="100"/>
      <c r="AS3408" s="100"/>
      <c r="AT3408" s="102"/>
      <c r="AZ3408" s="117"/>
      <c r="BK3408" s="39"/>
    </row>
    <row r="3409" spans="1:63" x14ac:dyDescent="0.25">
      <c r="A3409" s="92"/>
      <c r="B3409" s="92"/>
      <c r="C3409" s="92"/>
      <c r="D3409" s="92"/>
      <c r="E3409" s="92"/>
      <c r="F3409" s="92"/>
      <c r="G3409" s="92"/>
      <c r="H3409" s="92"/>
      <c r="I3409" s="92"/>
      <c r="J3409" s="92"/>
      <c r="K3409" s="92"/>
      <c r="L3409" s="92"/>
      <c r="M3409" s="92"/>
      <c r="N3409" s="92"/>
      <c r="AG3409" s="107"/>
      <c r="AH3409" s="117"/>
      <c r="AI3409" s="117"/>
      <c r="AJ3409" s="107"/>
      <c r="AK3409" s="107"/>
      <c r="AL3409" s="107"/>
      <c r="AM3409" s="107"/>
      <c r="AN3409" s="107"/>
      <c r="AO3409" s="107"/>
      <c r="AP3409" s="107"/>
      <c r="AQ3409" s="107"/>
      <c r="AR3409" s="107"/>
      <c r="AS3409" s="107"/>
      <c r="AT3409" s="39"/>
      <c r="AZ3409" s="117"/>
      <c r="BK3409" s="39"/>
    </row>
    <row r="3410" spans="1:63" x14ac:dyDescent="0.25">
      <c r="A3410" s="92"/>
      <c r="B3410" s="93"/>
      <c r="C3410" s="93"/>
      <c r="D3410" s="93"/>
      <c r="E3410" s="92"/>
      <c r="F3410" s="92"/>
      <c r="G3410" s="92"/>
      <c r="H3410" s="92"/>
      <c r="I3410" s="92"/>
      <c r="J3410" s="92"/>
      <c r="K3410" s="92"/>
      <c r="L3410" s="92"/>
      <c r="M3410" s="92"/>
      <c r="N3410" s="94"/>
      <c r="AG3410" s="107"/>
      <c r="AH3410" s="117"/>
      <c r="AI3410" s="117"/>
      <c r="AJ3410" s="117"/>
      <c r="AK3410" s="107"/>
      <c r="AL3410" s="107"/>
      <c r="AM3410" s="107"/>
      <c r="AN3410" s="107"/>
      <c r="AO3410" s="107"/>
      <c r="AP3410" s="107"/>
      <c r="AQ3410" s="107"/>
      <c r="AR3410" s="107"/>
      <c r="AS3410" s="107"/>
      <c r="AT3410" s="39"/>
      <c r="AZ3410" s="117"/>
      <c r="BK3410" s="39"/>
    </row>
    <row r="3411" spans="1:63" x14ac:dyDescent="0.25">
      <c r="A3411" s="92"/>
      <c r="B3411" s="92"/>
      <c r="C3411" s="92"/>
      <c r="D3411" s="92"/>
      <c r="E3411" s="92"/>
      <c r="F3411" s="92"/>
      <c r="G3411" s="92"/>
      <c r="H3411" s="92"/>
      <c r="I3411" s="92"/>
      <c r="J3411" s="92"/>
      <c r="K3411" s="92"/>
      <c r="L3411" s="92"/>
      <c r="M3411" s="92"/>
      <c r="N3411" s="92"/>
      <c r="AG3411" s="107"/>
      <c r="AH3411" s="107"/>
      <c r="AI3411" s="107"/>
      <c r="AJ3411" s="107"/>
      <c r="AK3411" s="107"/>
      <c r="AL3411" s="107"/>
      <c r="AM3411" s="107"/>
      <c r="AN3411" s="107"/>
      <c r="AO3411" s="107"/>
      <c r="AP3411" s="107"/>
      <c r="AQ3411" s="107"/>
      <c r="AR3411" s="107"/>
      <c r="AS3411" s="107"/>
      <c r="AT3411" s="107"/>
      <c r="AZ3411" s="117"/>
      <c r="BK3411" s="39"/>
    </row>
    <row r="3412" spans="1:63" x14ac:dyDescent="0.25">
      <c r="A3412" s="92"/>
      <c r="B3412" s="93"/>
      <c r="C3412" s="93"/>
      <c r="D3412" s="92"/>
      <c r="E3412" s="92"/>
      <c r="F3412" s="92"/>
      <c r="G3412" s="92"/>
      <c r="H3412" s="92"/>
      <c r="I3412" s="92"/>
      <c r="J3412" s="92"/>
      <c r="K3412" s="92"/>
      <c r="L3412" s="92"/>
      <c r="M3412" s="92"/>
      <c r="N3412" s="94"/>
      <c r="AG3412" s="107"/>
      <c r="AH3412" s="107"/>
      <c r="AI3412" s="107"/>
      <c r="AJ3412" s="107"/>
      <c r="AK3412" s="107"/>
      <c r="AL3412" s="107"/>
      <c r="AM3412" s="107"/>
      <c r="AN3412" s="107"/>
      <c r="AO3412" s="107"/>
      <c r="AP3412" s="107"/>
      <c r="AQ3412" s="107"/>
      <c r="AR3412" s="107"/>
      <c r="AS3412" s="107"/>
      <c r="AT3412" s="107"/>
      <c r="AZ3412" s="117"/>
      <c r="BK3412" s="39"/>
    </row>
    <row r="3413" spans="1:63" x14ac:dyDescent="0.25">
      <c r="A3413" s="92"/>
      <c r="B3413" s="93"/>
      <c r="C3413" s="93"/>
      <c r="D3413" s="92"/>
      <c r="E3413" s="92"/>
      <c r="F3413" s="92"/>
      <c r="G3413" s="92"/>
      <c r="H3413" s="92"/>
      <c r="I3413" s="92"/>
      <c r="J3413" s="92"/>
      <c r="K3413" s="92"/>
      <c r="L3413" s="92"/>
      <c r="M3413" s="92"/>
      <c r="N3413" s="94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Z3413" s="117"/>
      <c r="BK3413" s="39"/>
    </row>
    <row r="3414" spans="1:63" x14ac:dyDescent="0.25">
      <c r="A3414" s="92"/>
      <c r="B3414" s="93"/>
      <c r="C3414" s="93"/>
      <c r="D3414" s="92"/>
      <c r="E3414" s="92"/>
      <c r="F3414" s="92"/>
      <c r="G3414" s="92"/>
      <c r="H3414" s="92"/>
      <c r="I3414" s="92"/>
      <c r="J3414" s="92"/>
      <c r="K3414" s="92"/>
      <c r="L3414" s="92"/>
      <c r="M3414" s="92"/>
      <c r="N3414" s="94"/>
      <c r="AG3414" s="107"/>
      <c r="AH3414" s="117"/>
      <c r="AI3414" s="117"/>
      <c r="AJ3414" s="117"/>
      <c r="AK3414" s="107"/>
      <c r="AL3414" s="107"/>
      <c r="AM3414" s="107"/>
      <c r="AN3414" s="107"/>
      <c r="AO3414" s="107"/>
      <c r="AP3414" s="107"/>
      <c r="AQ3414" s="107"/>
      <c r="AR3414" s="107"/>
      <c r="AS3414" s="107"/>
      <c r="AT3414" s="39"/>
    </row>
    <row r="3415" spans="1:63" x14ac:dyDescent="0.25">
      <c r="A3415" s="92"/>
      <c r="B3415" s="93"/>
      <c r="C3415" s="93"/>
      <c r="D3415" s="92"/>
      <c r="E3415" s="92"/>
      <c r="F3415" s="92"/>
      <c r="G3415" s="92"/>
      <c r="H3415" s="92"/>
      <c r="I3415" s="92"/>
      <c r="J3415" s="92"/>
      <c r="K3415" s="92"/>
      <c r="L3415" s="92"/>
      <c r="M3415" s="92"/>
      <c r="N3415" s="94"/>
      <c r="AG3415" s="107"/>
      <c r="AH3415" s="107"/>
      <c r="AI3415" s="107"/>
      <c r="AJ3415" s="117"/>
      <c r="AK3415" s="107"/>
      <c r="AL3415" s="107"/>
      <c r="AM3415" s="107"/>
      <c r="AN3415" s="107"/>
      <c r="AO3415" s="107"/>
      <c r="AP3415" s="107"/>
      <c r="AQ3415" s="107"/>
      <c r="AR3415" s="107"/>
      <c r="AS3415" s="107"/>
      <c r="AT3415" s="107"/>
    </row>
    <row r="3416" spans="1:63" x14ac:dyDescent="0.25">
      <c r="A3416" s="92"/>
      <c r="B3416" s="93"/>
      <c r="C3416" s="93"/>
      <c r="D3416" s="92"/>
      <c r="E3416" s="92"/>
      <c r="F3416" s="92"/>
      <c r="G3416" s="92"/>
      <c r="H3416" s="92"/>
      <c r="I3416" s="92"/>
      <c r="J3416" s="92"/>
      <c r="K3416" s="92"/>
      <c r="L3416" s="92"/>
      <c r="M3416" s="92"/>
      <c r="N3416" s="94"/>
      <c r="AG3416" s="107"/>
      <c r="AH3416" s="107"/>
      <c r="AI3416" s="107"/>
      <c r="AJ3416" s="107"/>
      <c r="AK3416" s="107"/>
      <c r="AL3416" s="107"/>
      <c r="AM3416" s="107"/>
      <c r="AN3416" s="107"/>
      <c r="AO3416" s="107"/>
      <c r="AP3416" s="107"/>
      <c r="AQ3416" s="107"/>
      <c r="AR3416" s="107"/>
      <c r="AS3416" s="107"/>
      <c r="AT3416" s="107"/>
    </row>
    <row r="3417" spans="1:63" x14ac:dyDescent="0.25">
      <c r="A3417" s="92"/>
      <c r="B3417" s="93"/>
      <c r="C3417" s="93"/>
      <c r="D3417" s="92"/>
      <c r="E3417" s="92"/>
      <c r="F3417" s="92"/>
      <c r="G3417" s="92"/>
      <c r="H3417" s="92"/>
      <c r="I3417" s="92"/>
      <c r="J3417" s="92"/>
      <c r="K3417" s="92"/>
      <c r="L3417" s="92"/>
      <c r="M3417" s="92"/>
      <c r="N3417" s="94"/>
      <c r="AG3417" s="107"/>
      <c r="AH3417" s="107"/>
      <c r="AI3417" s="107"/>
      <c r="AJ3417" s="107"/>
      <c r="AK3417" s="107"/>
      <c r="AL3417" s="107"/>
      <c r="AM3417" s="107"/>
      <c r="AN3417" s="107"/>
      <c r="AO3417" s="107"/>
      <c r="AP3417" s="107"/>
      <c r="AQ3417" s="107"/>
      <c r="AR3417" s="107"/>
      <c r="AS3417" s="107"/>
      <c r="AT3417" s="107"/>
    </row>
    <row r="3418" spans="1:63" x14ac:dyDescent="0.25">
      <c r="A3418" s="92"/>
      <c r="B3418" s="93"/>
      <c r="C3418" s="93"/>
      <c r="D3418" s="92"/>
      <c r="E3418" s="92"/>
      <c r="F3418" s="92"/>
      <c r="G3418" s="92"/>
      <c r="H3418" s="92"/>
      <c r="I3418" s="92"/>
      <c r="J3418" s="92"/>
      <c r="K3418" s="92"/>
      <c r="L3418" s="92"/>
      <c r="M3418" s="92"/>
      <c r="N3418" s="94"/>
      <c r="AG3418" s="107"/>
      <c r="AH3418" s="107"/>
      <c r="AI3418" s="107"/>
      <c r="AJ3418" s="107"/>
      <c r="AK3418" s="107"/>
      <c r="AL3418" s="107"/>
      <c r="AM3418" s="107"/>
      <c r="AN3418" s="107"/>
      <c r="AO3418" s="107"/>
      <c r="AP3418" s="107"/>
      <c r="AQ3418" s="107"/>
      <c r="AR3418" s="107"/>
      <c r="AS3418" s="107"/>
      <c r="AT3418" s="107"/>
    </row>
    <row r="3419" spans="1:63" x14ac:dyDescent="0.25">
      <c r="A3419" s="92"/>
      <c r="B3419" s="93"/>
      <c r="C3419" s="93"/>
      <c r="D3419" s="92"/>
      <c r="E3419" s="92"/>
      <c r="F3419" s="92"/>
      <c r="G3419" s="92"/>
      <c r="H3419" s="92"/>
      <c r="I3419" s="92"/>
      <c r="J3419" s="92"/>
      <c r="K3419" s="92"/>
      <c r="L3419" s="92"/>
      <c r="M3419" s="92"/>
      <c r="N3419" s="94"/>
      <c r="AG3419" s="107"/>
      <c r="AH3419" s="117"/>
      <c r="AI3419" s="117"/>
      <c r="AJ3419" s="107"/>
      <c r="AK3419" s="107"/>
      <c r="AL3419" s="107"/>
      <c r="AM3419" s="107"/>
      <c r="AN3419" s="107"/>
      <c r="AO3419" s="107"/>
      <c r="AP3419" s="107"/>
      <c r="AQ3419" s="107"/>
      <c r="AR3419" s="107"/>
      <c r="AS3419" s="107"/>
      <c r="AT3419" s="39"/>
      <c r="AZ3419" s="117"/>
      <c r="BA3419" s="117"/>
      <c r="BK3419" s="39"/>
    </row>
    <row r="3420" spans="1:63" x14ac:dyDescent="0.25">
      <c r="A3420" s="92"/>
      <c r="B3420" s="93"/>
      <c r="C3420" s="93"/>
      <c r="D3420" s="92"/>
      <c r="E3420" s="92"/>
      <c r="F3420" s="92"/>
      <c r="G3420" s="92"/>
      <c r="H3420" s="92"/>
      <c r="I3420" s="92"/>
      <c r="J3420" s="92"/>
      <c r="K3420" s="92"/>
      <c r="L3420" s="92"/>
      <c r="M3420" s="92"/>
      <c r="N3420" s="94"/>
      <c r="AG3420" s="107"/>
      <c r="AH3420" s="117"/>
      <c r="AI3420" s="117"/>
      <c r="AJ3420" s="107"/>
      <c r="AK3420" s="107"/>
      <c r="AL3420" s="107"/>
      <c r="AM3420" s="107"/>
      <c r="AN3420" s="107"/>
      <c r="AO3420" s="107"/>
      <c r="AP3420" s="107"/>
      <c r="AQ3420" s="107"/>
      <c r="AR3420" s="107"/>
      <c r="AS3420" s="107"/>
      <c r="AT3420" s="39"/>
      <c r="AZ3420" s="117"/>
      <c r="BA3420" s="117"/>
      <c r="BK3420" s="39"/>
    </row>
    <row r="3421" spans="1:63" x14ac:dyDescent="0.25">
      <c r="A3421" s="92"/>
      <c r="B3421" s="92"/>
      <c r="C3421" s="92"/>
      <c r="D3421" s="92"/>
      <c r="E3421" s="92"/>
      <c r="F3421" s="92"/>
      <c r="G3421" s="92"/>
      <c r="H3421" s="92"/>
      <c r="I3421" s="92"/>
      <c r="J3421" s="92"/>
      <c r="K3421" s="92"/>
      <c r="L3421" s="92"/>
      <c r="M3421" s="92"/>
      <c r="N3421" s="92"/>
      <c r="AG3421" s="107"/>
      <c r="AH3421" s="117"/>
      <c r="AI3421" s="117"/>
      <c r="AJ3421" s="107"/>
      <c r="AK3421" s="107"/>
      <c r="AL3421" s="107"/>
      <c r="AM3421" s="107"/>
      <c r="AN3421" s="107"/>
      <c r="AO3421" s="107"/>
      <c r="AP3421" s="107"/>
      <c r="AQ3421" s="107"/>
      <c r="AR3421" s="107"/>
      <c r="AS3421" s="107"/>
      <c r="AT3421" s="39"/>
      <c r="AZ3421" s="117"/>
      <c r="BK3421" s="39"/>
    </row>
    <row r="3422" spans="1:63" x14ac:dyDescent="0.25">
      <c r="A3422" s="92"/>
      <c r="B3422" s="93"/>
      <c r="C3422" s="93"/>
      <c r="D3422" s="92"/>
      <c r="E3422" s="92"/>
      <c r="F3422" s="92"/>
      <c r="G3422" s="92"/>
      <c r="H3422" s="92"/>
      <c r="I3422" s="92"/>
      <c r="J3422" s="92"/>
      <c r="K3422" s="92"/>
      <c r="L3422" s="92"/>
      <c r="M3422" s="92"/>
      <c r="N3422" s="94"/>
      <c r="AG3422" s="107"/>
      <c r="AH3422" s="107"/>
      <c r="AI3422" s="107"/>
      <c r="AJ3422" s="107"/>
      <c r="AK3422" s="107"/>
      <c r="AL3422" s="107"/>
      <c r="AM3422" s="107"/>
      <c r="AN3422" s="107"/>
      <c r="AO3422" s="107"/>
      <c r="AP3422" s="107"/>
      <c r="AQ3422" s="107"/>
      <c r="AR3422" s="107"/>
      <c r="AS3422" s="107"/>
      <c r="AT3422" s="107"/>
      <c r="AZ3422" s="117"/>
      <c r="BK3422" s="39"/>
    </row>
    <row r="3423" spans="1:63" x14ac:dyDescent="0.25">
      <c r="A3423" s="92"/>
      <c r="B3423" s="93"/>
      <c r="C3423" s="93"/>
      <c r="D3423" s="92"/>
      <c r="E3423" s="92"/>
      <c r="F3423" s="92"/>
      <c r="G3423" s="92"/>
      <c r="H3423" s="92"/>
      <c r="I3423" s="92"/>
      <c r="J3423" s="92"/>
      <c r="K3423" s="92"/>
      <c r="L3423" s="92"/>
      <c r="M3423" s="92"/>
      <c r="N3423" s="94"/>
      <c r="AG3423" s="107"/>
      <c r="AH3423" s="117"/>
      <c r="AI3423" s="117"/>
      <c r="AJ3423" s="107"/>
      <c r="AK3423" s="107"/>
      <c r="AL3423" s="107"/>
      <c r="AM3423" s="107"/>
      <c r="AN3423" s="107"/>
      <c r="AO3423" s="107"/>
      <c r="AP3423" s="107"/>
      <c r="AQ3423" s="107"/>
      <c r="AR3423" s="107"/>
      <c r="AS3423" s="107"/>
      <c r="AT3423" s="39"/>
      <c r="AZ3423" s="117"/>
      <c r="BK3423" s="39"/>
    </row>
    <row r="3424" spans="1:63" x14ac:dyDescent="0.25">
      <c r="A3424" s="92"/>
      <c r="B3424" s="93"/>
      <c r="C3424" s="93"/>
      <c r="D3424" s="92"/>
      <c r="E3424" s="92"/>
      <c r="F3424" s="92"/>
      <c r="G3424" s="92"/>
      <c r="H3424" s="92"/>
      <c r="I3424" s="92"/>
      <c r="J3424" s="92"/>
      <c r="K3424" s="92"/>
      <c r="L3424" s="92"/>
      <c r="M3424" s="92"/>
      <c r="N3424" s="94"/>
      <c r="AG3424" s="107"/>
      <c r="AH3424" s="117"/>
      <c r="AI3424" s="117"/>
      <c r="AJ3424" s="107"/>
      <c r="AK3424" s="107"/>
      <c r="AL3424" s="107"/>
      <c r="AM3424" s="107"/>
      <c r="AN3424" s="107"/>
      <c r="AO3424" s="107"/>
      <c r="AP3424" s="107"/>
      <c r="AQ3424" s="107"/>
      <c r="AR3424" s="107"/>
      <c r="AS3424" s="107"/>
      <c r="AT3424" s="39"/>
      <c r="AZ3424" s="117"/>
      <c r="BK3424" s="39"/>
    </row>
    <row r="3425" spans="1:63" x14ac:dyDescent="0.25">
      <c r="A3425" s="92"/>
      <c r="B3425" s="93"/>
      <c r="C3425" s="93"/>
      <c r="D3425" s="92"/>
      <c r="E3425" s="92"/>
      <c r="F3425" s="92"/>
      <c r="G3425" s="92"/>
      <c r="H3425" s="92"/>
      <c r="I3425" s="92"/>
      <c r="J3425" s="92"/>
      <c r="K3425" s="92"/>
      <c r="L3425" s="92"/>
      <c r="M3425" s="92"/>
      <c r="N3425" s="94"/>
      <c r="AG3425" s="107"/>
      <c r="AH3425" s="107"/>
      <c r="AI3425" s="107"/>
      <c r="AJ3425" s="107"/>
      <c r="AK3425" s="107"/>
      <c r="AL3425" s="107"/>
      <c r="AM3425" s="107"/>
      <c r="AN3425" s="107"/>
      <c r="AO3425" s="107"/>
      <c r="AP3425" s="107"/>
      <c r="AQ3425" s="107"/>
      <c r="AR3425" s="107"/>
      <c r="AS3425" s="107"/>
      <c r="AT3425" s="107"/>
    </row>
    <row r="3426" spans="1:63" x14ac:dyDescent="0.25">
      <c r="A3426" s="92"/>
      <c r="B3426" s="93"/>
      <c r="C3426" s="93"/>
      <c r="D3426" s="92"/>
      <c r="E3426" s="92"/>
      <c r="F3426" s="92"/>
      <c r="G3426" s="92"/>
      <c r="H3426" s="92"/>
      <c r="I3426" s="92"/>
      <c r="J3426" s="92"/>
      <c r="K3426" s="92"/>
      <c r="L3426" s="92"/>
      <c r="M3426" s="92"/>
      <c r="N3426" s="94"/>
      <c r="AG3426" s="107"/>
      <c r="AH3426" s="107"/>
      <c r="AI3426" s="107"/>
      <c r="AJ3426" s="107"/>
      <c r="AK3426" s="107"/>
      <c r="AL3426" s="107"/>
      <c r="AM3426" s="107"/>
      <c r="AN3426" s="107"/>
      <c r="AO3426" s="107"/>
      <c r="AP3426" s="107"/>
      <c r="AQ3426" s="107"/>
      <c r="AR3426" s="107"/>
      <c r="AS3426" s="107"/>
      <c r="AT3426" s="107"/>
      <c r="AZ3426" s="117"/>
      <c r="BK3426" s="39"/>
    </row>
    <row r="3427" spans="1:63" x14ac:dyDescent="0.25">
      <c r="A3427" s="92"/>
      <c r="B3427" s="93"/>
      <c r="C3427" s="93"/>
      <c r="D3427" s="92"/>
      <c r="E3427" s="92"/>
      <c r="F3427" s="92"/>
      <c r="G3427" s="92"/>
      <c r="H3427" s="92"/>
      <c r="I3427" s="92"/>
      <c r="J3427" s="92"/>
      <c r="K3427" s="92"/>
      <c r="L3427" s="92"/>
      <c r="M3427" s="92"/>
      <c r="N3427" s="94"/>
      <c r="AG3427" s="107"/>
      <c r="AH3427" s="117"/>
      <c r="AI3427" s="117"/>
      <c r="AJ3427" s="107"/>
      <c r="AK3427" s="107"/>
      <c r="AL3427" s="107"/>
      <c r="AM3427" s="107"/>
      <c r="AN3427" s="107"/>
      <c r="AO3427" s="107"/>
      <c r="AP3427" s="107"/>
      <c r="AQ3427" s="107"/>
      <c r="AR3427" s="107"/>
      <c r="AS3427" s="107"/>
      <c r="AT3427" s="39"/>
    </row>
    <row r="3428" spans="1:63" x14ac:dyDescent="0.25">
      <c r="A3428" s="92"/>
      <c r="B3428" s="92"/>
      <c r="C3428" s="92"/>
      <c r="D3428" s="92"/>
      <c r="E3428" s="92"/>
      <c r="F3428" s="92"/>
      <c r="G3428" s="92"/>
      <c r="H3428" s="92"/>
      <c r="I3428" s="92"/>
      <c r="J3428" s="92"/>
      <c r="K3428" s="92"/>
      <c r="L3428" s="92"/>
      <c r="M3428" s="92"/>
      <c r="N3428" s="92"/>
      <c r="AG3428" s="107"/>
      <c r="AH3428" s="117"/>
      <c r="AI3428" s="117"/>
      <c r="AJ3428" s="107"/>
      <c r="AK3428" s="107"/>
      <c r="AL3428" s="107"/>
      <c r="AM3428" s="107"/>
      <c r="AN3428" s="107"/>
      <c r="AO3428" s="107"/>
      <c r="AP3428" s="107"/>
      <c r="AQ3428" s="107"/>
      <c r="AR3428" s="107"/>
      <c r="AS3428" s="107"/>
      <c r="AT3428" s="39"/>
      <c r="AZ3428" s="117"/>
      <c r="BK3428" s="39"/>
    </row>
    <row r="3429" spans="1:63" x14ac:dyDescent="0.25">
      <c r="A3429" s="92"/>
      <c r="B3429" s="92"/>
      <c r="C3429" s="92"/>
      <c r="D3429" s="92"/>
      <c r="E3429" s="92"/>
      <c r="F3429" s="92"/>
      <c r="G3429" s="92"/>
      <c r="H3429" s="92"/>
      <c r="I3429" s="92"/>
      <c r="J3429" s="92"/>
      <c r="K3429" s="92"/>
      <c r="L3429" s="92"/>
      <c r="M3429" s="92"/>
      <c r="N3429" s="92"/>
      <c r="AG3429" s="107"/>
      <c r="AH3429" s="107"/>
      <c r="AI3429" s="107"/>
      <c r="AJ3429" s="107"/>
      <c r="AK3429" s="107"/>
      <c r="AL3429" s="107"/>
      <c r="AM3429" s="107"/>
      <c r="AN3429" s="107"/>
      <c r="AO3429" s="107"/>
      <c r="AP3429" s="107"/>
      <c r="AQ3429" s="107"/>
      <c r="AR3429" s="107"/>
      <c r="AS3429" s="107"/>
      <c r="AT3429" s="107"/>
      <c r="AZ3429" s="117"/>
      <c r="BK3429" s="39"/>
    </row>
    <row r="3430" spans="1:63" x14ac:dyDescent="0.25">
      <c r="A3430" s="92"/>
      <c r="B3430" s="92"/>
      <c r="C3430" s="92"/>
      <c r="D3430" s="92"/>
      <c r="E3430" s="92"/>
      <c r="F3430" s="92"/>
      <c r="G3430" s="92"/>
      <c r="H3430" s="92"/>
      <c r="I3430" s="92"/>
      <c r="J3430" s="92"/>
      <c r="K3430" s="92"/>
      <c r="L3430" s="92"/>
      <c r="M3430" s="92"/>
      <c r="N3430" s="92"/>
      <c r="AG3430" s="107"/>
      <c r="AH3430" s="107"/>
      <c r="AI3430" s="107"/>
      <c r="AJ3430" s="107"/>
      <c r="AK3430" s="107"/>
      <c r="AL3430" s="107"/>
      <c r="AM3430" s="107"/>
      <c r="AN3430" s="107"/>
      <c r="AO3430" s="107"/>
      <c r="AP3430" s="107"/>
      <c r="AQ3430" s="107"/>
      <c r="AR3430" s="107"/>
      <c r="AS3430" s="107"/>
      <c r="AT3430" s="107"/>
    </row>
    <row r="3431" spans="1:63" x14ac:dyDescent="0.25">
      <c r="A3431" s="92"/>
      <c r="B3431" s="92"/>
      <c r="C3431" s="92"/>
      <c r="D3431" s="92"/>
      <c r="E3431" s="92"/>
      <c r="F3431" s="92"/>
      <c r="G3431" s="92"/>
      <c r="H3431" s="92"/>
      <c r="I3431" s="92"/>
      <c r="J3431" s="92"/>
      <c r="K3431" s="92"/>
      <c r="L3431" s="92"/>
      <c r="M3431" s="92"/>
      <c r="N3431" s="92"/>
      <c r="AG3431" s="107"/>
      <c r="AH3431" s="107"/>
      <c r="AI3431" s="107"/>
      <c r="AJ3431" s="107"/>
      <c r="AK3431" s="107"/>
      <c r="AL3431" s="107"/>
      <c r="AM3431" s="107"/>
      <c r="AN3431" s="107"/>
      <c r="AO3431" s="107"/>
      <c r="AP3431" s="107"/>
      <c r="AQ3431" s="107"/>
      <c r="AR3431" s="107"/>
      <c r="AS3431" s="107"/>
      <c r="AT3431" s="107"/>
      <c r="AZ3431" s="117"/>
      <c r="BK3431" s="39"/>
    </row>
    <row r="3432" spans="1:63" x14ac:dyDescent="0.25">
      <c r="A3432" s="92"/>
      <c r="B3432" s="92"/>
      <c r="C3432" s="92"/>
      <c r="D3432" s="92"/>
      <c r="E3432" s="92"/>
      <c r="F3432" s="92"/>
      <c r="G3432" s="92"/>
      <c r="H3432" s="92"/>
      <c r="I3432" s="92"/>
      <c r="J3432" s="92"/>
      <c r="K3432" s="92"/>
      <c r="L3432" s="92"/>
      <c r="M3432" s="92"/>
      <c r="N3432" s="92"/>
      <c r="AG3432" s="107"/>
      <c r="AH3432" s="107"/>
      <c r="AI3432" s="107"/>
      <c r="AJ3432" s="107"/>
      <c r="AK3432" s="107"/>
      <c r="AL3432" s="107"/>
      <c r="AM3432" s="107"/>
      <c r="AN3432" s="107"/>
      <c r="AO3432" s="107"/>
      <c r="AP3432" s="107"/>
      <c r="AQ3432" s="107"/>
      <c r="AR3432" s="107"/>
      <c r="AS3432" s="107"/>
      <c r="AT3432" s="107"/>
      <c r="AZ3432" s="117"/>
      <c r="BK3432" s="39"/>
    </row>
    <row r="3433" spans="1:63" x14ac:dyDescent="0.25">
      <c r="A3433" s="92"/>
      <c r="B3433" s="93"/>
      <c r="C3433" s="93"/>
      <c r="D3433" s="93"/>
      <c r="E3433" s="92"/>
      <c r="F3433" s="92"/>
      <c r="G3433" s="92"/>
      <c r="H3433" s="92"/>
      <c r="I3433" s="92"/>
      <c r="J3433" s="92"/>
      <c r="K3433" s="92"/>
      <c r="L3433" s="92"/>
      <c r="M3433" s="92"/>
      <c r="N3433" s="94"/>
      <c r="AG3433" s="107"/>
      <c r="AH3433" s="107"/>
      <c r="AI3433" s="107"/>
      <c r="AJ3433" s="107"/>
      <c r="AK3433" s="107"/>
      <c r="AL3433" s="107"/>
      <c r="AM3433" s="107"/>
      <c r="AN3433" s="107"/>
      <c r="AO3433" s="107"/>
      <c r="AP3433" s="107"/>
      <c r="AQ3433" s="107"/>
      <c r="AR3433" s="107"/>
      <c r="AS3433" s="107"/>
      <c r="AT3433" s="107"/>
    </row>
    <row r="3434" spans="1:63" x14ac:dyDescent="0.25">
      <c r="A3434" s="92"/>
      <c r="B3434" s="93"/>
      <c r="C3434" s="93"/>
      <c r="D3434" s="93"/>
      <c r="E3434" s="92"/>
      <c r="F3434" s="92"/>
      <c r="G3434" s="92"/>
      <c r="H3434" s="92"/>
      <c r="I3434" s="92"/>
      <c r="J3434" s="92"/>
      <c r="K3434" s="92"/>
      <c r="L3434" s="92"/>
      <c r="M3434" s="92"/>
      <c r="N3434" s="94"/>
      <c r="AG3434" s="107"/>
      <c r="AH3434" s="107"/>
      <c r="AI3434" s="107"/>
      <c r="AJ3434" s="107"/>
      <c r="AK3434" s="107"/>
      <c r="AL3434" s="107"/>
      <c r="AM3434" s="107"/>
      <c r="AN3434" s="107"/>
      <c r="AO3434" s="107"/>
      <c r="AP3434" s="107"/>
      <c r="AQ3434" s="107"/>
      <c r="AR3434" s="107"/>
      <c r="AS3434" s="107"/>
      <c r="AT3434" s="107"/>
      <c r="AZ3434" s="117"/>
      <c r="BK3434" s="39"/>
    </row>
    <row r="3435" spans="1:63" x14ac:dyDescent="0.25">
      <c r="A3435" s="92"/>
      <c r="B3435" s="93"/>
      <c r="C3435" s="93"/>
      <c r="D3435" s="92"/>
      <c r="E3435" s="92"/>
      <c r="F3435" s="92"/>
      <c r="G3435" s="92"/>
      <c r="H3435" s="92"/>
      <c r="I3435" s="92"/>
      <c r="J3435" s="92"/>
      <c r="K3435" s="92"/>
      <c r="L3435" s="92"/>
      <c r="M3435" s="92"/>
      <c r="N3435" s="94"/>
      <c r="AG3435" s="107"/>
      <c r="AH3435" s="117"/>
      <c r="AI3435" s="117"/>
      <c r="AJ3435" s="107"/>
      <c r="AK3435" s="107"/>
      <c r="AL3435" s="107"/>
      <c r="AM3435" s="107"/>
      <c r="AN3435" s="107"/>
      <c r="AO3435" s="107"/>
      <c r="AP3435" s="107"/>
      <c r="AQ3435" s="107"/>
      <c r="AR3435" s="107"/>
      <c r="AS3435" s="107"/>
      <c r="AT3435" s="39"/>
    </row>
    <row r="3436" spans="1:63" x14ac:dyDescent="0.25">
      <c r="A3436" s="92"/>
      <c r="B3436" s="93"/>
      <c r="C3436" s="93"/>
      <c r="D3436" s="92"/>
      <c r="E3436" s="92"/>
      <c r="F3436" s="92"/>
      <c r="G3436" s="92"/>
      <c r="H3436" s="92"/>
      <c r="I3436" s="92"/>
      <c r="J3436" s="92"/>
      <c r="K3436" s="92"/>
      <c r="L3436" s="92"/>
      <c r="M3436" s="92"/>
      <c r="N3436" s="94"/>
      <c r="AG3436" s="107"/>
      <c r="AH3436" s="117"/>
      <c r="AI3436" s="117"/>
      <c r="AJ3436" s="107"/>
      <c r="AK3436" s="107"/>
      <c r="AL3436" s="107"/>
      <c r="AM3436" s="107"/>
      <c r="AN3436" s="107"/>
      <c r="AO3436" s="107"/>
      <c r="AP3436" s="107"/>
      <c r="AQ3436" s="107"/>
      <c r="AR3436" s="107"/>
      <c r="AS3436" s="107"/>
      <c r="AT3436" s="39"/>
      <c r="AZ3436" s="117"/>
      <c r="BK3436" s="39"/>
    </row>
    <row r="3437" spans="1:63" x14ac:dyDescent="0.25">
      <c r="A3437" s="92"/>
      <c r="B3437" s="93"/>
      <c r="C3437" s="93"/>
      <c r="D3437" s="92"/>
      <c r="E3437" s="92"/>
      <c r="F3437" s="92"/>
      <c r="G3437" s="92"/>
      <c r="H3437" s="92"/>
      <c r="I3437" s="92"/>
      <c r="J3437" s="92"/>
      <c r="K3437" s="92"/>
      <c r="L3437" s="92"/>
      <c r="M3437" s="92"/>
      <c r="N3437" s="94"/>
      <c r="AG3437" s="107"/>
      <c r="AH3437" s="117"/>
      <c r="AI3437" s="117"/>
      <c r="AJ3437" s="107"/>
      <c r="AK3437" s="107"/>
      <c r="AL3437" s="107"/>
      <c r="AM3437" s="107"/>
      <c r="AN3437" s="107"/>
      <c r="AO3437" s="107"/>
      <c r="AP3437" s="107"/>
      <c r="AQ3437" s="107"/>
      <c r="AR3437" s="107"/>
      <c r="AS3437" s="107"/>
      <c r="AT3437" s="39"/>
      <c r="AZ3437" s="117"/>
      <c r="BK3437" s="39"/>
    </row>
    <row r="3438" spans="1:63" x14ac:dyDescent="0.25">
      <c r="A3438" s="92"/>
      <c r="B3438" s="93"/>
      <c r="C3438" s="93"/>
      <c r="D3438" s="92"/>
      <c r="E3438" s="92"/>
      <c r="F3438" s="92"/>
      <c r="G3438" s="92"/>
      <c r="H3438" s="92"/>
      <c r="I3438" s="92"/>
      <c r="J3438" s="92"/>
      <c r="K3438" s="92"/>
      <c r="L3438" s="92"/>
      <c r="M3438" s="92"/>
      <c r="N3438" s="94"/>
      <c r="AG3438" s="107"/>
      <c r="AH3438" s="107"/>
      <c r="AI3438" s="107"/>
      <c r="AJ3438" s="107"/>
      <c r="AK3438" s="107"/>
      <c r="AL3438" s="107"/>
      <c r="AM3438" s="107"/>
      <c r="AN3438" s="107"/>
      <c r="AO3438" s="107"/>
      <c r="AP3438" s="107"/>
      <c r="AQ3438" s="107"/>
      <c r="AR3438" s="107"/>
      <c r="AS3438" s="107"/>
      <c r="AT3438" s="107"/>
      <c r="AZ3438" s="117"/>
      <c r="BA3438" s="117"/>
      <c r="BK3438" s="39"/>
    </row>
    <row r="3439" spans="1:63" x14ac:dyDescent="0.25">
      <c r="A3439" s="92"/>
      <c r="B3439" s="92"/>
      <c r="C3439" s="92"/>
      <c r="D3439" s="92"/>
      <c r="E3439" s="92"/>
      <c r="F3439" s="92"/>
      <c r="G3439" s="92"/>
      <c r="H3439" s="92"/>
      <c r="I3439" s="92"/>
      <c r="J3439" s="92"/>
      <c r="K3439" s="92"/>
      <c r="L3439" s="92"/>
      <c r="M3439" s="92"/>
      <c r="N3439" s="92"/>
      <c r="AG3439" s="107"/>
      <c r="AH3439" s="117"/>
      <c r="AI3439" s="117"/>
      <c r="AJ3439" s="107"/>
      <c r="AK3439" s="107"/>
      <c r="AL3439" s="107"/>
      <c r="AM3439" s="107"/>
      <c r="AN3439" s="107"/>
      <c r="AO3439" s="107"/>
      <c r="AP3439" s="107"/>
      <c r="AQ3439" s="107"/>
      <c r="AR3439" s="107"/>
      <c r="AS3439" s="107"/>
      <c r="AT3439" s="39"/>
      <c r="AZ3439" s="117"/>
      <c r="BK3439" s="39"/>
    </row>
    <row r="3440" spans="1:63" x14ac:dyDescent="0.25">
      <c r="A3440" s="92"/>
      <c r="B3440" s="93"/>
      <c r="C3440" s="93"/>
      <c r="D3440" s="92"/>
      <c r="E3440" s="92"/>
      <c r="F3440" s="92"/>
      <c r="G3440" s="92"/>
      <c r="H3440" s="92"/>
      <c r="I3440" s="92"/>
      <c r="J3440" s="92"/>
      <c r="K3440" s="92"/>
      <c r="L3440" s="92"/>
      <c r="M3440" s="92"/>
      <c r="N3440" s="94"/>
      <c r="AG3440" s="107"/>
      <c r="AH3440" s="117"/>
      <c r="AI3440" s="117"/>
      <c r="AJ3440" s="107"/>
      <c r="AK3440" s="107"/>
      <c r="AL3440" s="107"/>
      <c r="AM3440" s="107"/>
      <c r="AN3440" s="107"/>
      <c r="AO3440" s="107"/>
      <c r="AP3440" s="107"/>
      <c r="AQ3440" s="107"/>
      <c r="AR3440" s="107"/>
      <c r="AS3440" s="107"/>
      <c r="AT3440" s="39"/>
      <c r="AZ3440" s="117"/>
      <c r="BA3440" s="117"/>
      <c r="BK3440" s="39"/>
    </row>
    <row r="3441" spans="1:63" x14ac:dyDescent="0.25">
      <c r="A3441" s="92"/>
      <c r="B3441" s="92"/>
      <c r="C3441" s="92"/>
      <c r="D3441" s="92"/>
      <c r="E3441" s="92"/>
      <c r="F3441" s="92"/>
      <c r="G3441" s="92"/>
      <c r="H3441" s="92"/>
      <c r="I3441" s="92"/>
      <c r="J3441" s="92"/>
      <c r="K3441" s="92"/>
      <c r="L3441" s="92"/>
      <c r="M3441" s="92"/>
      <c r="N3441" s="92"/>
      <c r="AG3441" s="107"/>
      <c r="AH3441" s="117"/>
      <c r="AI3441" s="117"/>
      <c r="AJ3441" s="107"/>
      <c r="AK3441" s="107"/>
      <c r="AL3441" s="107"/>
      <c r="AM3441" s="107"/>
      <c r="AN3441" s="107"/>
      <c r="AO3441" s="107"/>
      <c r="AP3441" s="107"/>
      <c r="AQ3441" s="107"/>
      <c r="AR3441" s="107"/>
      <c r="AS3441" s="107"/>
      <c r="AT3441" s="39"/>
    </row>
    <row r="3442" spans="1:63" x14ac:dyDescent="0.25">
      <c r="A3442" s="92"/>
      <c r="B3442" s="93"/>
      <c r="C3442" s="93"/>
      <c r="D3442" s="92"/>
      <c r="E3442" s="92"/>
      <c r="F3442" s="92"/>
      <c r="G3442" s="92"/>
      <c r="H3442" s="92"/>
      <c r="I3442" s="92"/>
      <c r="J3442" s="92"/>
      <c r="K3442" s="92"/>
      <c r="L3442" s="92"/>
      <c r="M3442" s="92"/>
      <c r="N3442" s="94"/>
      <c r="AG3442" s="107"/>
      <c r="AH3442" s="107"/>
      <c r="AI3442" s="107"/>
      <c r="AJ3442" s="107"/>
      <c r="AK3442" s="107"/>
      <c r="AL3442" s="107"/>
      <c r="AM3442" s="107"/>
      <c r="AN3442" s="107"/>
      <c r="AO3442" s="107"/>
      <c r="AP3442" s="107"/>
      <c r="AQ3442" s="107"/>
      <c r="AR3442" s="107"/>
      <c r="AS3442" s="107"/>
      <c r="AT3442" s="107"/>
    </row>
    <row r="3443" spans="1:63" x14ac:dyDescent="0.25">
      <c r="A3443" s="92"/>
      <c r="B3443" s="93"/>
      <c r="C3443" s="93"/>
      <c r="D3443" s="92"/>
      <c r="E3443" s="92"/>
      <c r="F3443" s="92"/>
      <c r="G3443" s="92"/>
      <c r="H3443" s="92"/>
      <c r="I3443" s="92"/>
      <c r="J3443" s="92"/>
      <c r="K3443" s="92"/>
      <c r="L3443" s="92"/>
      <c r="M3443" s="92"/>
      <c r="N3443" s="94"/>
      <c r="AG3443" s="107"/>
      <c r="AH3443" s="117"/>
      <c r="AI3443" s="117"/>
      <c r="AJ3443" s="107"/>
      <c r="AK3443" s="107"/>
      <c r="AL3443" s="107"/>
      <c r="AM3443" s="107"/>
      <c r="AN3443" s="107"/>
      <c r="AO3443" s="107"/>
      <c r="AP3443" s="107"/>
      <c r="AQ3443" s="107"/>
      <c r="AR3443" s="107"/>
      <c r="AS3443" s="107"/>
      <c r="AT3443" s="39"/>
    </row>
    <row r="3444" spans="1:63" x14ac:dyDescent="0.25">
      <c r="A3444" s="92"/>
      <c r="B3444" s="92"/>
      <c r="C3444" s="92"/>
      <c r="D3444" s="92"/>
      <c r="E3444" s="92"/>
      <c r="F3444" s="92"/>
      <c r="G3444" s="92"/>
      <c r="H3444" s="92"/>
      <c r="I3444" s="92"/>
      <c r="J3444" s="92"/>
      <c r="K3444" s="92"/>
      <c r="L3444" s="92"/>
      <c r="M3444" s="92"/>
      <c r="N3444" s="92"/>
      <c r="AG3444" s="107"/>
      <c r="AH3444" s="107"/>
      <c r="AI3444" s="107"/>
      <c r="AJ3444" s="107"/>
      <c r="AK3444" s="107"/>
      <c r="AL3444" s="107"/>
      <c r="AM3444" s="107"/>
      <c r="AN3444" s="107"/>
      <c r="AO3444" s="107"/>
      <c r="AP3444" s="107"/>
      <c r="AQ3444" s="107"/>
      <c r="AR3444" s="107"/>
      <c r="AS3444" s="107"/>
      <c r="AT3444" s="107"/>
      <c r="AZ3444" s="117"/>
      <c r="BA3444" s="117"/>
      <c r="BK3444" s="39"/>
    </row>
    <row r="3445" spans="1:63" x14ac:dyDescent="0.25">
      <c r="A3445" s="92"/>
      <c r="B3445" s="93"/>
      <c r="C3445" s="93"/>
      <c r="D3445" s="92"/>
      <c r="E3445" s="92"/>
      <c r="F3445" s="92"/>
      <c r="G3445" s="92"/>
      <c r="H3445" s="92"/>
      <c r="I3445" s="92"/>
      <c r="J3445" s="92"/>
      <c r="K3445" s="92"/>
      <c r="L3445" s="92"/>
      <c r="M3445" s="92"/>
      <c r="N3445" s="94"/>
      <c r="AG3445" s="107"/>
      <c r="AH3445" s="117"/>
      <c r="AI3445" s="117"/>
      <c r="AJ3445" s="117"/>
      <c r="AK3445" s="107"/>
      <c r="AL3445" s="107"/>
      <c r="AM3445" s="107"/>
      <c r="AN3445" s="107"/>
      <c r="AO3445" s="107"/>
      <c r="AP3445" s="107"/>
      <c r="AQ3445" s="107"/>
      <c r="AR3445" s="107"/>
      <c r="AS3445" s="107"/>
      <c r="AT3445" s="39"/>
    </row>
    <row r="3446" spans="1:63" x14ac:dyDescent="0.25">
      <c r="A3446" s="92"/>
      <c r="B3446" s="93"/>
      <c r="C3446" s="93"/>
      <c r="D3446" s="92"/>
      <c r="E3446" s="92"/>
      <c r="F3446" s="92"/>
      <c r="G3446" s="92"/>
      <c r="H3446" s="92"/>
      <c r="I3446" s="92"/>
      <c r="J3446" s="92"/>
      <c r="K3446" s="92"/>
      <c r="L3446" s="92"/>
      <c r="M3446" s="92"/>
      <c r="N3446" s="94"/>
      <c r="AG3446" s="107"/>
      <c r="AH3446" s="107"/>
      <c r="AI3446" s="107"/>
      <c r="AJ3446" s="117"/>
      <c r="AK3446" s="107"/>
      <c r="AL3446" s="107"/>
      <c r="AM3446" s="107"/>
      <c r="AN3446" s="107"/>
      <c r="AO3446" s="107"/>
      <c r="AP3446" s="107"/>
      <c r="AQ3446" s="107"/>
      <c r="AR3446" s="107"/>
      <c r="AS3446" s="107"/>
      <c r="AT3446" s="107"/>
    </row>
    <row r="3447" spans="1:63" x14ac:dyDescent="0.25">
      <c r="A3447" s="92"/>
      <c r="B3447" s="92"/>
      <c r="C3447" s="92"/>
      <c r="D3447" s="92"/>
      <c r="E3447" s="92"/>
      <c r="F3447" s="92"/>
      <c r="G3447" s="92"/>
      <c r="H3447" s="92"/>
      <c r="I3447" s="92"/>
      <c r="J3447" s="92"/>
      <c r="K3447" s="92"/>
      <c r="L3447" s="92"/>
      <c r="M3447" s="92"/>
      <c r="N3447" s="92"/>
      <c r="AG3447" s="107"/>
      <c r="AH3447" s="117"/>
      <c r="AI3447" s="117"/>
      <c r="AJ3447" s="107"/>
      <c r="AK3447" s="107"/>
      <c r="AL3447" s="107"/>
      <c r="AM3447" s="107"/>
      <c r="AN3447" s="107"/>
      <c r="AO3447" s="107"/>
      <c r="AP3447" s="107"/>
      <c r="AQ3447" s="107"/>
      <c r="AR3447" s="107"/>
      <c r="AS3447" s="107"/>
      <c r="AT3447" s="39"/>
      <c r="AZ3447" s="117"/>
      <c r="BA3447" s="117"/>
      <c r="BK3447" s="39"/>
    </row>
    <row r="3448" spans="1:63" x14ac:dyDescent="0.25">
      <c r="A3448" s="92"/>
      <c r="B3448" s="93"/>
      <c r="C3448" s="93"/>
      <c r="D3448" s="92"/>
      <c r="E3448" s="92"/>
      <c r="F3448" s="92"/>
      <c r="G3448" s="92"/>
      <c r="H3448" s="92"/>
      <c r="I3448" s="92"/>
      <c r="J3448" s="92"/>
      <c r="K3448" s="92"/>
      <c r="L3448" s="92"/>
      <c r="M3448" s="92"/>
      <c r="N3448" s="94"/>
      <c r="AG3448" s="107"/>
      <c r="AH3448" s="107"/>
      <c r="AI3448" s="107"/>
      <c r="AJ3448" s="107"/>
      <c r="AK3448" s="107"/>
      <c r="AL3448" s="107"/>
      <c r="AM3448" s="107"/>
      <c r="AN3448" s="107"/>
      <c r="AO3448" s="107"/>
      <c r="AP3448" s="107"/>
      <c r="AQ3448" s="107"/>
      <c r="AR3448" s="107"/>
      <c r="AS3448" s="107"/>
      <c r="AT3448" s="107"/>
    </row>
    <row r="3449" spans="1:63" x14ac:dyDescent="0.25">
      <c r="A3449" s="92"/>
      <c r="B3449" s="92"/>
      <c r="C3449" s="92"/>
      <c r="D3449" s="92"/>
      <c r="E3449" s="92"/>
      <c r="F3449" s="92"/>
      <c r="G3449" s="92"/>
      <c r="H3449" s="92"/>
      <c r="I3449" s="92"/>
      <c r="J3449" s="92"/>
      <c r="K3449" s="92"/>
      <c r="L3449" s="92"/>
      <c r="M3449" s="92"/>
      <c r="N3449" s="92"/>
      <c r="AG3449" s="107"/>
      <c r="AH3449" s="117"/>
      <c r="AI3449" s="117"/>
      <c r="AJ3449" s="107"/>
      <c r="AK3449" s="107"/>
      <c r="AL3449" s="107"/>
      <c r="AM3449" s="107"/>
      <c r="AN3449" s="107"/>
      <c r="AO3449" s="107"/>
      <c r="AP3449" s="107"/>
      <c r="AQ3449" s="107"/>
      <c r="AR3449" s="107"/>
      <c r="AS3449" s="107"/>
      <c r="AT3449" s="39"/>
      <c r="AZ3449" s="117"/>
      <c r="BA3449" s="117"/>
      <c r="BK3449" s="39"/>
    </row>
    <row r="3450" spans="1:63" x14ac:dyDescent="0.25">
      <c r="A3450" s="92"/>
      <c r="B3450" s="93"/>
      <c r="C3450" s="93"/>
      <c r="D3450" s="92"/>
      <c r="E3450" s="92"/>
      <c r="F3450" s="92"/>
      <c r="G3450" s="92"/>
      <c r="H3450" s="92"/>
      <c r="I3450" s="92"/>
      <c r="J3450" s="92"/>
      <c r="K3450" s="92"/>
      <c r="L3450" s="92"/>
      <c r="M3450" s="92"/>
      <c r="N3450" s="94"/>
      <c r="AG3450" s="107"/>
      <c r="AH3450" s="107"/>
      <c r="AI3450" s="107"/>
      <c r="AJ3450" s="107"/>
      <c r="AK3450" s="107"/>
      <c r="AL3450" s="107"/>
      <c r="AM3450" s="107"/>
      <c r="AN3450" s="107"/>
      <c r="AO3450" s="107"/>
      <c r="AP3450" s="107"/>
      <c r="AQ3450" s="107"/>
      <c r="AR3450" s="107"/>
      <c r="AS3450" s="107"/>
      <c r="AT3450" s="107"/>
      <c r="AZ3450" s="117"/>
      <c r="BK3450" s="39"/>
    </row>
    <row r="3451" spans="1:63" x14ac:dyDescent="0.25">
      <c r="A3451" s="92"/>
      <c r="B3451" s="93"/>
      <c r="C3451" s="93"/>
      <c r="D3451" s="92"/>
      <c r="E3451" s="92"/>
      <c r="F3451" s="92"/>
      <c r="G3451" s="92"/>
      <c r="H3451" s="92"/>
      <c r="I3451" s="92"/>
      <c r="J3451" s="92"/>
      <c r="K3451" s="92"/>
      <c r="L3451" s="92"/>
      <c r="M3451" s="92"/>
      <c r="N3451" s="94"/>
      <c r="AG3451" s="107"/>
      <c r="AH3451" s="107"/>
      <c r="AI3451" s="107"/>
      <c r="AJ3451" s="107"/>
      <c r="AK3451" s="107"/>
      <c r="AL3451" s="107"/>
      <c r="AM3451" s="107"/>
      <c r="AN3451" s="107"/>
      <c r="AO3451" s="107"/>
      <c r="AP3451" s="107"/>
      <c r="AQ3451" s="107"/>
      <c r="AR3451" s="107"/>
      <c r="AS3451" s="107"/>
      <c r="AT3451" s="107"/>
      <c r="AZ3451" s="117"/>
      <c r="BK3451" s="39"/>
    </row>
    <row r="3452" spans="1:63" x14ac:dyDescent="0.25">
      <c r="A3452" s="92"/>
      <c r="B3452" s="93"/>
      <c r="C3452" s="93"/>
      <c r="D3452" s="93"/>
      <c r="E3452" s="92"/>
      <c r="F3452" s="92"/>
      <c r="G3452" s="92"/>
      <c r="H3452" s="92"/>
      <c r="I3452" s="92"/>
      <c r="J3452" s="92"/>
      <c r="K3452" s="92"/>
      <c r="L3452" s="92"/>
      <c r="M3452" s="92"/>
      <c r="N3452" s="94"/>
      <c r="AG3452" s="107"/>
      <c r="AH3452" s="107"/>
      <c r="AI3452" s="107"/>
      <c r="AJ3452" s="107"/>
      <c r="AK3452" s="107"/>
      <c r="AL3452" s="107"/>
      <c r="AM3452" s="107"/>
      <c r="AN3452" s="107"/>
      <c r="AO3452" s="107"/>
      <c r="AP3452" s="107"/>
      <c r="AQ3452" s="107"/>
      <c r="AR3452" s="107"/>
      <c r="AS3452" s="107"/>
      <c r="AT3452" s="107"/>
    </row>
    <row r="3453" spans="1:63" x14ac:dyDescent="0.25">
      <c r="A3453" s="92"/>
      <c r="B3453" s="92"/>
      <c r="C3453" s="92"/>
      <c r="D3453" s="93"/>
      <c r="E3453" s="92"/>
      <c r="F3453" s="92"/>
      <c r="G3453" s="92"/>
      <c r="H3453" s="92"/>
      <c r="I3453" s="92"/>
      <c r="J3453" s="92"/>
      <c r="K3453" s="92"/>
      <c r="L3453" s="92"/>
      <c r="M3453" s="92"/>
      <c r="N3453" s="92"/>
      <c r="AG3453" s="107"/>
      <c r="AH3453" s="107"/>
      <c r="AI3453" s="107"/>
      <c r="AJ3453" s="107"/>
      <c r="AK3453" s="107"/>
      <c r="AL3453" s="107"/>
      <c r="AM3453" s="107"/>
      <c r="AN3453" s="107"/>
      <c r="AO3453" s="107"/>
      <c r="AP3453" s="107"/>
      <c r="AQ3453" s="107"/>
      <c r="AR3453" s="107"/>
      <c r="AS3453" s="107"/>
      <c r="AT3453" s="107"/>
    </row>
    <row r="3454" spans="1:63" x14ac:dyDescent="0.25">
      <c r="A3454" s="92"/>
      <c r="B3454" s="93"/>
      <c r="C3454" s="93"/>
      <c r="D3454" s="92"/>
      <c r="E3454" s="92"/>
      <c r="F3454" s="92"/>
      <c r="G3454" s="92"/>
      <c r="H3454" s="92"/>
      <c r="I3454" s="92"/>
      <c r="J3454" s="92"/>
      <c r="K3454" s="92"/>
      <c r="L3454" s="92"/>
      <c r="M3454" s="92"/>
      <c r="N3454" s="94"/>
      <c r="AG3454" s="107"/>
      <c r="AH3454" s="107"/>
      <c r="AI3454" s="107"/>
      <c r="AJ3454" s="107"/>
      <c r="AK3454" s="107"/>
      <c r="AL3454" s="107"/>
      <c r="AM3454" s="107"/>
      <c r="AN3454" s="107"/>
      <c r="AO3454" s="107"/>
      <c r="AP3454" s="107"/>
      <c r="AQ3454" s="107"/>
      <c r="AR3454" s="107"/>
      <c r="AS3454" s="107"/>
      <c r="AT3454" s="107"/>
    </row>
    <row r="3455" spans="1:63" x14ac:dyDescent="0.25">
      <c r="A3455" s="92"/>
      <c r="B3455" s="93"/>
      <c r="C3455" s="93"/>
      <c r="D3455" s="93"/>
      <c r="E3455" s="92"/>
      <c r="F3455" s="92"/>
      <c r="G3455" s="92"/>
      <c r="H3455" s="92"/>
      <c r="I3455" s="92"/>
      <c r="J3455" s="92"/>
      <c r="K3455" s="92"/>
      <c r="L3455" s="92"/>
      <c r="M3455" s="92"/>
      <c r="N3455" s="94"/>
      <c r="AG3455" s="107"/>
      <c r="AH3455" s="117"/>
      <c r="AI3455" s="117"/>
      <c r="AJ3455" s="117"/>
      <c r="AK3455" s="107"/>
      <c r="AL3455" s="107"/>
      <c r="AM3455" s="107"/>
      <c r="AN3455" s="107"/>
      <c r="AO3455" s="107"/>
      <c r="AP3455" s="107"/>
      <c r="AQ3455" s="107"/>
      <c r="AR3455" s="107"/>
      <c r="AS3455" s="107"/>
      <c r="AT3455" s="39"/>
    </row>
    <row r="3456" spans="1:63" x14ac:dyDescent="0.25">
      <c r="A3456" s="92"/>
      <c r="B3456" s="92"/>
      <c r="C3456" s="92"/>
      <c r="D3456" s="92"/>
      <c r="E3456" s="92"/>
      <c r="F3456" s="92"/>
      <c r="G3456" s="92"/>
      <c r="H3456" s="92"/>
      <c r="I3456" s="92"/>
      <c r="J3456" s="92"/>
      <c r="K3456" s="92"/>
      <c r="L3456" s="92"/>
      <c r="M3456" s="92"/>
      <c r="N3456" s="92"/>
      <c r="AG3456" s="107"/>
      <c r="AH3456" s="117"/>
      <c r="AI3456" s="117"/>
      <c r="AJ3456" s="107"/>
      <c r="AK3456" s="107"/>
      <c r="AL3456" s="107"/>
      <c r="AM3456" s="107"/>
      <c r="AN3456" s="107"/>
      <c r="AO3456" s="107"/>
      <c r="AP3456" s="107"/>
      <c r="AQ3456" s="107"/>
      <c r="AR3456" s="107"/>
      <c r="AS3456" s="107"/>
      <c r="AT3456" s="39"/>
    </row>
    <row r="3457" spans="1:63" x14ac:dyDescent="0.25">
      <c r="A3457" s="92"/>
      <c r="B3457" s="92"/>
      <c r="C3457" s="92"/>
      <c r="D3457" s="92"/>
      <c r="E3457" s="92"/>
      <c r="F3457" s="92"/>
      <c r="G3457" s="92"/>
      <c r="H3457" s="92"/>
      <c r="I3457" s="92"/>
      <c r="J3457" s="92"/>
      <c r="K3457" s="92"/>
      <c r="L3457" s="92"/>
      <c r="M3457" s="92"/>
      <c r="N3457" s="92"/>
      <c r="AG3457" s="107"/>
      <c r="AH3457" s="117"/>
      <c r="AI3457" s="117"/>
      <c r="AJ3457" s="107"/>
      <c r="AK3457" s="107"/>
      <c r="AL3457" s="107"/>
      <c r="AM3457" s="107"/>
      <c r="AN3457" s="107"/>
      <c r="AO3457" s="107"/>
      <c r="AP3457" s="107"/>
      <c r="AQ3457" s="107"/>
      <c r="AR3457" s="107"/>
      <c r="AS3457" s="107"/>
      <c r="AT3457" s="39"/>
      <c r="AZ3457" s="117"/>
      <c r="BA3457" s="117"/>
      <c r="BK3457" s="39"/>
    </row>
    <row r="3458" spans="1:63" x14ac:dyDescent="0.25">
      <c r="A3458" s="92"/>
      <c r="B3458" s="92"/>
      <c r="C3458" s="92"/>
      <c r="D3458" s="92"/>
      <c r="E3458" s="92"/>
      <c r="F3458" s="92"/>
      <c r="G3458" s="92"/>
      <c r="H3458" s="92"/>
      <c r="I3458" s="92"/>
      <c r="J3458" s="92"/>
      <c r="K3458" s="92"/>
      <c r="L3458" s="92"/>
      <c r="M3458" s="92"/>
      <c r="N3458" s="92"/>
      <c r="AG3458" s="107"/>
      <c r="AH3458" s="117"/>
      <c r="AI3458" s="117"/>
      <c r="AJ3458" s="107"/>
      <c r="AK3458" s="107"/>
      <c r="AL3458" s="107"/>
      <c r="AM3458" s="107"/>
      <c r="AN3458" s="107"/>
      <c r="AO3458" s="107"/>
      <c r="AP3458" s="107"/>
      <c r="AQ3458" s="107"/>
      <c r="AR3458" s="107"/>
      <c r="AS3458" s="107"/>
      <c r="AT3458" s="39"/>
    </row>
    <row r="3459" spans="1:63" x14ac:dyDescent="0.25">
      <c r="A3459" s="92"/>
      <c r="B3459" s="93"/>
      <c r="C3459" s="93"/>
      <c r="D3459" s="93"/>
      <c r="E3459" s="92"/>
      <c r="F3459" s="92"/>
      <c r="G3459" s="92"/>
      <c r="H3459" s="92"/>
      <c r="I3459" s="92"/>
      <c r="J3459" s="92"/>
      <c r="K3459" s="92"/>
      <c r="L3459" s="92"/>
      <c r="M3459" s="92"/>
      <c r="N3459" s="94"/>
      <c r="AG3459" s="107"/>
      <c r="AH3459" s="107"/>
      <c r="AI3459" s="107"/>
      <c r="AJ3459" s="107"/>
      <c r="AK3459" s="107"/>
      <c r="AL3459" s="107"/>
      <c r="AM3459" s="107"/>
      <c r="AN3459" s="107"/>
      <c r="AO3459" s="107"/>
      <c r="AP3459" s="107"/>
      <c r="AQ3459" s="107"/>
      <c r="AR3459" s="107"/>
      <c r="AS3459" s="107"/>
      <c r="AT3459" s="107"/>
    </row>
    <row r="3460" spans="1:63" x14ac:dyDescent="0.25">
      <c r="A3460" s="92"/>
      <c r="B3460" s="92"/>
      <c r="C3460" s="92"/>
      <c r="D3460" s="92"/>
      <c r="E3460" s="92"/>
      <c r="F3460" s="92"/>
      <c r="G3460" s="92"/>
      <c r="H3460" s="92"/>
      <c r="I3460" s="92"/>
      <c r="J3460" s="92"/>
      <c r="K3460" s="92"/>
      <c r="L3460" s="92"/>
      <c r="M3460" s="92"/>
      <c r="N3460" s="92"/>
      <c r="AG3460" s="107"/>
      <c r="AH3460" s="107"/>
      <c r="AI3460" s="107"/>
      <c r="AJ3460" s="107"/>
      <c r="AK3460" s="107"/>
      <c r="AL3460" s="107"/>
      <c r="AM3460" s="107"/>
      <c r="AN3460" s="107"/>
      <c r="AO3460" s="107"/>
      <c r="AP3460" s="107"/>
      <c r="AQ3460" s="107"/>
      <c r="AR3460" s="107"/>
      <c r="AS3460" s="107"/>
      <c r="AT3460" s="107"/>
    </row>
    <row r="3461" spans="1:63" x14ac:dyDescent="0.25">
      <c r="A3461" s="92"/>
      <c r="B3461" s="92"/>
      <c r="C3461" s="92"/>
      <c r="D3461" s="92"/>
      <c r="E3461" s="92"/>
      <c r="F3461" s="92"/>
      <c r="G3461" s="92"/>
      <c r="H3461" s="92"/>
      <c r="I3461" s="92"/>
      <c r="J3461" s="92"/>
      <c r="K3461" s="92"/>
      <c r="L3461" s="92"/>
      <c r="M3461" s="92"/>
      <c r="N3461" s="92"/>
      <c r="AG3461" s="107"/>
      <c r="AH3461" s="117"/>
      <c r="AI3461" s="117"/>
      <c r="AJ3461" s="107"/>
      <c r="AK3461" s="107"/>
      <c r="AL3461" s="107"/>
      <c r="AM3461" s="107"/>
      <c r="AN3461" s="107"/>
      <c r="AO3461" s="107"/>
      <c r="AP3461" s="107"/>
      <c r="AQ3461" s="107"/>
      <c r="AR3461" s="107"/>
      <c r="AS3461" s="107"/>
      <c r="AT3461" s="39"/>
      <c r="AZ3461" s="117"/>
      <c r="BK3461" s="39"/>
    </row>
    <row r="3462" spans="1:63" x14ac:dyDescent="0.25">
      <c r="A3462" s="92"/>
      <c r="B3462" s="93"/>
      <c r="C3462" s="93"/>
      <c r="D3462" s="93"/>
      <c r="E3462" s="92"/>
      <c r="F3462" s="92"/>
      <c r="G3462" s="92"/>
      <c r="H3462" s="92"/>
      <c r="I3462" s="92"/>
      <c r="J3462" s="92"/>
      <c r="K3462" s="92"/>
      <c r="L3462" s="92"/>
      <c r="M3462" s="92"/>
      <c r="N3462" s="94"/>
      <c r="AG3462" s="107"/>
      <c r="AH3462" s="117"/>
      <c r="AI3462" s="117"/>
      <c r="AJ3462" s="107"/>
      <c r="AK3462" s="107"/>
      <c r="AL3462" s="107"/>
      <c r="AM3462" s="107"/>
      <c r="AN3462" s="107"/>
      <c r="AO3462" s="107"/>
      <c r="AP3462" s="107"/>
      <c r="AQ3462" s="107"/>
      <c r="AR3462" s="107"/>
      <c r="AS3462" s="107"/>
      <c r="AT3462" s="39"/>
      <c r="AZ3462" s="117"/>
      <c r="BA3462" s="117"/>
      <c r="BK3462" s="39"/>
    </row>
    <row r="3463" spans="1:63" x14ac:dyDescent="0.25">
      <c r="A3463" s="92"/>
      <c r="B3463" s="92"/>
      <c r="C3463" s="92"/>
      <c r="D3463" s="92"/>
      <c r="E3463" s="92"/>
      <c r="F3463" s="92"/>
      <c r="G3463" s="92"/>
      <c r="H3463" s="92"/>
      <c r="I3463" s="92"/>
      <c r="J3463" s="92"/>
      <c r="K3463" s="92"/>
      <c r="L3463" s="92"/>
      <c r="M3463" s="92"/>
      <c r="N3463" s="92"/>
      <c r="AG3463" s="107"/>
      <c r="AH3463" s="107"/>
      <c r="AI3463" s="107"/>
      <c r="AJ3463" s="107"/>
      <c r="AK3463" s="107"/>
      <c r="AL3463" s="107"/>
      <c r="AM3463" s="107"/>
      <c r="AN3463" s="107"/>
      <c r="AO3463" s="107"/>
      <c r="AP3463" s="107"/>
      <c r="AQ3463" s="107"/>
      <c r="AR3463" s="107"/>
      <c r="AS3463" s="107"/>
      <c r="AT3463" s="107"/>
      <c r="BA3463" s="117"/>
    </row>
    <row r="3464" spans="1:63" x14ac:dyDescent="0.25">
      <c r="A3464" s="92"/>
      <c r="B3464" s="93"/>
      <c r="C3464" s="93"/>
      <c r="D3464" s="93"/>
      <c r="E3464" s="92"/>
      <c r="F3464" s="92"/>
      <c r="G3464" s="92"/>
      <c r="H3464" s="92"/>
      <c r="I3464" s="92"/>
      <c r="J3464" s="92"/>
      <c r="K3464" s="92"/>
      <c r="L3464" s="92"/>
      <c r="M3464" s="92"/>
      <c r="N3464" s="94"/>
      <c r="AG3464" s="107"/>
      <c r="AH3464" s="117"/>
      <c r="AI3464" s="117"/>
      <c r="AJ3464" s="117"/>
      <c r="AK3464" s="107"/>
      <c r="AL3464" s="107"/>
      <c r="AM3464" s="107"/>
      <c r="AN3464" s="107"/>
      <c r="AO3464" s="107"/>
      <c r="AP3464" s="107"/>
      <c r="AQ3464" s="107"/>
      <c r="AR3464" s="107"/>
      <c r="AS3464" s="107"/>
      <c r="AT3464" s="39"/>
      <c r="AZ3464" s="117"/>
      <c r="BA3464" s="117"/>
      <c r="BK3464" s="39"/>
    </row>
    <row r="3465" spans="1:63" x14ac:dyDescent="0.25">
      <c r="A3465" s="92"/>
      <c r="B3465" s="93"/>
      <c r="C3465" s="93"/>
      <c r="D3465" s="92"/>
      <c r="E3465" s="92"/>
      <c r="F3465" s="92"/>
      <c r="G3465" s="92"/>
      <c r="H3465" s="92"/>
      <c r="I3465" s="92"/>
      <c r="J3465" s="92"/>
      <c r="K3465" s="92"/>
      <c r="L3465" s="92"/>
      <c r="M3465" s="92"/>
      <c r="N3465" s="94"/>
      <c r="AG3465" s="107"/>
      <c r="AH3465" s="117"/>
      <c r="AI3465" s="117"/>
      <c r="AJ3465" s="107"/>
      <c r="AK3465" s="107"/>
      <c r="AL3465" s="107"/>
      <c r="AM3465" s="107"/>
      <c r="AN3465" s="107"/>
      <c r="AO3465" s="107"/>
      <c r="AP3465" s="107"/>
      <c r="AQ3465" s="107"/>
      <c r="AR3465" s="107"/>
      <c r="AS3465" s="107"/>
      <c r="AT3465" s="39"/>
      <c r="BA3465" s="117"/>
    </row>
    <row r="3466" spans="1:63" x14ac:dyDescent="0.25">
      <c r="A3466" s="92"/>
      <c r="B3466" s="93"/>
      <c r="C3466" s="93"/>
      <c r="D3466" s="92"/>
      <c r="E3466" s="92"/>
      <c r="F3466" s="92"/>
      <c r="G3466" s="92"/>
      <c r="H3466" s="92"/>
      <c r="I3466" s="92"/>
      <c r="J3466" s="92"/>
      <c r="K3466" s="92"/>
      <c r="L3466" s="92"/>
      <c r="M3466" s="92"/>
      <c r="N3466" s="94"/>
      <c r="AG3466" s="107"/>
      <c r="AH3466" s="117"/>
      <c r="AI3466" s="117"/>
      <c r="AJ3466" s="107"/>
      <c r="AK3466" s="107"/>
      <c r="AL3466" s="107"/>
      <c r="AM3466" s="107"/>
      <c r="AN3466" s="107"/>
      <c r="AO3466" s="107"/>
      <c r="AP3466" s="107"/>
      <c r="AQ3466" s="107"/>
      <c r="AR3466" s="107"/>
      <c r="AS3466" s="107"/>
      <c r="AT3466" s="39"/>
    </row>
    <row r="3467" spans="1:63" x14ac:dyDescent="0.25">
      <c r="A3467" s="92"/>
      <c r="B3467" s="92"/>
      <c r="C3467" s="92"/>
      <c r="D3467" s="92"/>
      <c r="E3467" s="92"/>
      <c r="F3467" s="92"/>
      <c r="G3467" s="92"/>
      <c r="H3467" s="92"/>
      <c r="I3467" s="92"/>
      <c r="J3467" s="92"/>
      <c r="K3467" s="92"/>
      <c r="L3467" s="92"/>
      <c r="M3467" s="92"/>
      <c r="N3467" s="92"/>
      <c r="AG3467" s="107"/>
      <c r="AH3467" s="107"/>
      <c r="AI3467" s="107"/>
      <c r="AJ3467" s="107"/>
      <c r="AK3467" s="107"/>
      <c r="AL3467" s="107"/>
      <c r="AM3467" s="107"/>
      <c r="AN3467" s="107"/>
      <c r="AO3467" s="107"/>
      <c r="AP3467" s="107"/>
      <c r="AQ3467" s="107"/>
      <c r="AR3467" s="107"/>
      <c r="AS3467" s="107"/>
      <c r="AT3467" s="107"/>
      <c r="AZ3467" s="117"/>
      <c r="BK3467" s="39"/>
    </row>
    <row r="3468" spans="1:63" x14ac:dyDescent="0.25">
      <c r="A3468" s="92"/>
      <c r="B3468" s="92"/>
      <c r="C3468" s="92"/>
      <c r="D3468" s="92"/>
      <c r="E3468" s="92"/>
      <c r="F3468" s="92"/>
      <c r="G3468" s="92"/>
      <c r="H3468" s="92"/>
      <c r="I3468" s="92"/>
      <c r="J3468" s="92"/>
      <c r="K3468" s="92"/>
      <c r="L3468" s="92"/>
      <c r="M3468" s="92"/>
      <c r="N3468" s="92"/>
      <c r="AG3468" s="107"/>
      <c r="AH3468" s="107"/>
      <c r="AI3468" s="107"/>
      <c r="AJ3468" s="107"/>
      <c r="AK3468" s="107"/>
      <c r="AL3468" s="107"/>
      <c r="AM3468" s="107"/>
      <c r="AN3468" s="107"/>
      <c r="AO3468" s="107"/>
      <c r="AP3468" s="107"/>
      <c r="AQ3468" s="107"/>
      <c r="AR3468" s="107"/>
      <c r="AS3468" s="107"/>
      <c r="AT3468" s="107"/>
    </row>
    <row r="3469" spans="1:63" x14ac:dyDescent="0.25">
      <c r="A3469" s="92"/>
      <c r="B3469" s="92"/>
      <c r="C3469" s="92"/>
      <c r="D3469" s="92"/>
      <c r="E3469" s="92"/>
      <c r="F3469" s="92"/>
      <c r="G3469" s="92"/>
      <c r="H3469" s="92"/>
      <c r="I3469" s="92"/>
      <c r="J3469" s="92"/>
      <c r="K3469" s="92"/>
      <c r="L3469" s="92"/>
      <c r="M3469" s="92"/>
      <c r="N3469" s="92"/>
      <c r="AG3469" s="107"/>
      <c r="AH3469" s="107"/>
      <c r="AI3469" s="107"/>
      <c r="AJ3469" s="107"/>
      <c r="AK3469" s="107"/>
      <c r="AL3469" s="107"/>
      <c r="AM3469" s="107"/>
      <c r="AN3469" s="107"/>
      <c r="AO3469" s="107"/>
      <c r="AP3469" s="107"/>
      <c r="AQ3469" s="107"/>
      <c r="AR3469" s="107"/>
      <c r="AS3469" s="107"/>
      <c r="AT3469" s="107"/>
    </row>
    <row r="3470" spans="1:63" x14ac:dyDescent="0.25">
      <c r="A3470" s="92"/>
      <c r="B3470" s="92"/>
      <c r="C3470" s="92"/>
      <c r="D3470" s="92"/>
      <c r="E3470" s="92"/>
      <c r="F3470" s="92"/>
      <c r="G3470" s="92"/>
      <c r="H3470" s="92"/>
      <c r="I3470" s="92"/>
      <c r="J3470" s="92"/>
      <c r="K3470" s="92"/>
      <c r="L3470" s="92"/>
      <c r="M3470" s="92"/>
      <c r="N3470" s="92"/>
      <c r="AG3470" s="107"/>
      <c r="AH3470" s="107"/>
      <c r="AI3470" s="107"/>
      <c r="AJ3470" s="107"/>
      <c r="AK3470" s="107"/>
      <c r="AL3470" s="107"/>
      <c r="AM3470" s="107"/>
      <c r="AN3470" s="107"/>
      <c r="AO3470" s="107"/>
      <c r="AP3470" s="107"/>
      <c r="AQ3470" s="107"/>
      <c r="AR3470" s="107"/>
      <c r="AS3470" s="107"/>
      <c r="AT3470" s="107"/>
    </row>
    <row r="3471" spans="1:63" x14ac:dyDescent="0.25">
      <c r="A3471" s="92"/>
      <c r="B3471" s="92"/>
      <c r="C3471" s="92"/>
      <c r="D3471" s="92"/>
      <c r="E3471" s="92"/>
      <c r="F3471" s="92"/>
      <c r="G3471" s="92"/>
      <c r="H3471" s="92"/>
      <c r="I3471" s="92"/>
      <c r="J3471" s="92"/>
      <c r="K3471" s="92"/>
      <c r="L3471" s="92"/>
      <c r="M3471" s="92"/>
      <c r="N3471" s="92"/>
      <c r="AG3471" s="107"/>
      <c r="AH3471" s="117"/>
      <c r="AI3471" s="117"/>
      <c r="AJ3471" s="107"/>
      <c r="AK3471" s="107"/>
      <c r="AL3471" s="107"/>
      <c r="AM3471" s="107"/>
      <c r="AN3471" s="107"/>
      <c r="AO3471" s="107"/>
      <c r="AP3471" s="107"/>
      <c r="AQ3471" s="107"/>
      <c r="AR3471" s="107"/>
      <c r="AS3471" s="107"/>
      <c r="AT3471" s="39"/>
    </row>
    <row r="3472" spans="1:63" x14ac:dyDescent="0.25">
      <c r="A3472" s="92"/>
      <c r="B3472" s="93"/>
      <c r="C3472" s="93"/>
      <c r="D3472" s="93"/>
      <c r="E3472" s="92"/>
      <c r="F3472" s="92"/>
      <c r="G3472" s="92"/>
      <c r="H3472" s="92"/>
      <c r="I3472" s="92"/>
      <c r="J3472" s="92"/>
      <c r="K3472" s="92"/>
      <c r="L3472" s="92"/>
      <c r="M3472" s="92"/>
      <c r="N3472" s="94"/>
      <c r="AG3472" s="107"/>
      <c r="AH3472" s="107"/>
      <c r="AI3472" s="107"/>
      <c r="AJ3472" s="107"/>
      <c r="AK3472" s="107"/>
      <c r="AL3472" s="107"/>
      <c r="AM3472" s="107"/>
      <c r="AN3472" s="107"/>
      <c r="AO3472" s="107"/>
      <c r="AP3472" s="107"/>
      <c r="AQ3472" s="107"/>
      <c r="AR3472" s="107"/>
      <c r="AS3472" s="107"/>
      <c r="AT3472" s="107"/>
    </row>
    <row r="3473" spans="1:63" x14ac:dyDescent="0.25">
      <c r="A3473" s="92"/>
      <c r="B3473" s="92"/>
      <c r="C3473" s="92"/>
      <c r="D3473" s="92"/>
      <c r="E3473" s="92"/>
      <c r="F3473" s="92"/>
      <c r="G3473" s="92"/>
      <c r="H3473" s="92"/>
      <c r="I3473" s="92"/>
      <c r="J3473" s="92"/>
      <c r="K3473" s="92"/>
      <c r="L3473" s="92"/>
      <c r="M3473" s="92"/>
      <c r="N3473" s="92"/>
      <c r="AG3473" s="107"/>
      <c r="AH3473" s="107"/>
      <c r="AI3473" s="107"/>
      <c r="AJ3473" s="107"/>
      <c r="AK3473" s="107"/>
      <c r="AL3473" s="107"/>
      <c r="AM3473" s="107"/>
      <c r="AN3473" s="107"/>
      <c r="AO3473" s="107"/>
      <c r="AP3473" s="107"/>
      <c r="AQ3473" s="107"/>
      <c r="AR3473" s="107"/>
      <c r="AS3473" s="107"/>
      <c r="AT3473" s="107"/>
    </row>
    <row r="3474" spans="1:63" x14ac:dyDescent="0.25">
      <c r="A3474" s="92"/>
      <c r="B3474" s="92"/>
      <c r="C3474" s="92"/>
      <c r="D3474" s="92"/>
      <c r="E3474" s="92"/>
      <c r="F3474" s="92"/>
      <c r="G3474" s="92"/>
      <c r="H3474" s="92"/>
      <c r="I3474" s="92"/>
      <c r="J3474" s="92"/>
      <c r="K3474" s="92"/>
      <c r="L3474" s="92"/>
      <c r="M3474" s="92"/>
      <c r="N3474" s="92"/>
      <c r="AG3474" s="107"/>
      <c r="AH3474" s="107"/>
      <c r="AI3474" s="107"/>
      <c r="AJ3474" s="107"/>
      <c r="AK3474" s="107"/>
      <c r="AL3474" s="107"/>
      <c r="AM3474" s="107"/>
      <c r="AN3474" s="107"/>
      <c r="AO3474" s="107"/>
      <c r="AP3474" s="107"/>
      <c r="AQ3474" s="107"/>
      <c r="AR3474" s="107"/>
      <c r="AS3474" s="107"/>
      <c r="AT3474" s="107"/>
    </row>
    <row r="3475" spans="1:63" x14ac:dyDescent="0.25">
      <c r="A3475" s="92"/>
      <c r="B3475" s="92"/>
      <c r="C3475" s="92"/>
      <c r="D3475" s="92"/>
      <c r="E3475" s="92"/>
      <c r="F3475" s="92"/>
      <c r="G3475" s="92"/>
      <c r="H3475" s="92"/>
      <c r="I3475" s="92"/>
      <c r="J3475" s="92"/>
      <c r="K3475" s="92"/>
      <c r="L3475" s="92"/>
      <c r="M3475" s="92"/>
      <c r="N3475" s="92"/>
      <c r="AG3475" s="107"/>
      <c r="AH3475" s="107"/>
      <c r="AI3475" s="107"/>
      <c r="AJ3475" s="107"/>
      <c r="AK3475" s="107"/>
      <c r="AL3475" s="107"/>
      <c r="AM3475" s="107"/>
      <c r="AN3475" s="107"/>
      <c r="AO3475" s="107"/>
      <c r="AP3475" s="107"/>
      <c r="AQ3475" s="107"/>
      <c r="AR3475" s="107"/>
      <c r="AS3475" s="107"/>
      <c r="AT3475" s="107"/>
    </row>
    <row r="3476" spans="1:63" x14ac:dyDescent="0.25">
      <c r="A3476" s="92"/>
      <c r="B3476" s="93"/>
      <c r="C3476" s="93"/>
      <c r="D3476" s="92"/>
      <c r="E3476" s="92"/>
      <c r="F3476" s="92"/>
      <c r="G3476" s="92"/>
      <c r="H3476" s="92"/>
      <c r="I3476" s="92"/>
      <c r="J3476" s="92"/>
      <c r="K3476" s="92"/>
      <c r="L3476" s="92"/>
      <c r="M3476" s="92"/>
      <c r="N3476" s="94"/>
      <c r="AG3476" s="107"/>
      <c r="AH3476" s="107"/>
      <c r="AI3476" s="107"/>
      <c r="AJ3476" s="107"/>
      <c r="AK3476" s="107"/>
      <c r="AL3476" s="107"/>
      <c r="AM3476" s="107"/>
      <c r="AN3476" s="107"/>
      <c r="AO3476" s="107"/>
      <c r="AP3476" s="107"/>
      <c r="AQ3476" s="107"/>
      <c r="AR3476" s="107"/>
      <c r="AS3476" s="107"/>
      <c r="AT3476" s="107"/>
    </row>
    <row r="3477" spans="1:63" x14ac:dyDescent="0.25">
      <c r="A3477" s="92"/>
      <c r="B3477" s="93"/>
      <c r="C3477" s="93"/>
      <c r="D3477" s="93"/>
      <c r="E3477" s="92"/>
      <c r="F3477" s="92"/>
      <c r="G3477" s="92"/>
      <c r="H3477" s="92"/>
      <c r="I3477" s="92"/>
      <c r="J3477" s="92"/>
      <c r="K3477" s="92"/>
      <c r="L3477" s="92"/>
      <c r="M3477" s="92"/>
      <c r="N3477" s="94"/>
      <c r="AG3477" s="107"/>
      <c r="AH3477" s="117"/>
      <c r="AI3477" s="117"/>
      <c r="AJ3477" s="107"/>
      <c r="AK3477" s="107"/>
      <c r="AL3477" s="107"/>
      <c r="AM3477" s="107"/>
      <c r="AN3477" s="107"/>
      <c r="AO3477" s="107"/>
      <c r="AP3477" s="107"/>
      <c r="AQ3477" s="107"/>
      <c r="AR3477" s="107"/>
      <c r="AS3477" s="107"/>
      <c r="AT3477" s="39"/>
      <c r="AZ3477" s="117"/>
      <c r="BK3477" s="39"/>
    </row>
    <row r="3478" spans="1:63" x14ac:dyDescent="0.25">
      <c r="A3478" s="92"/>
      <c r="B3478" s="92"/>
      <c r="C3478" s="92"/>
      <c r="D3478" s="93"/>
      <c r="E3478" s="92"/>
      <c r="F3478" s="92"/>
      <c r="G3478" s="92"/>
      <c r="H3478" s="92"/>
      <c r="I3478" s="92"/>
      <c r="J3478" s="92"/>
      <c r="K3478" s="92"/>
      <c r="L3478" s="92"/>
      <c r="M3478" s="92"/>
      <c r="N3478" s="92"/>
      <c r="AG3478" s="107"/>
      <c r="AH3478" s="117"/>
      <c r="AI3478" s="117"/>
      <c r="AJ3478" s="107"/>
      <c r="AK3478" s="107"/>
      <c r="AL3478" s="107"/>
      <c r="AM3478" s="107"/>
      <c r="AN3478" s="107"/>
      <c r="AO3478" s="107"/>
      <c r="AP3478" s="107"/>
      <c r="AQ3478" s="107"/>
      <c r="AR3478" s="107"/>
      <c r="AS3478" s="107"/>
      <c r="AT3478" s="39"/>
      <c r="AZ3478" s="117"/>
      <c r="BK3478" s="39"/>
    </row>
    <row r="3479" spans="1:63" x14ac:dyDescent="0.25">
      <c r="A3479" s="92"/>
      <c r="B3479" s="93"/>
      <c r="C3479" s="93"/>
      <c r="D3479" s="93"/>
      <c r="E3479" s="92"/>
      <c r="F3479" s="92"/>
      <c r="G3479" s="92"/>
      <c r="H3479" s="92"/>
      <c r="I3479" s="92"/>
      <c r="J3479" s="92"/>
      <c r="K3479" s="92"/>
      <c r="L3479" s="92"/>
      <c r="M3479" s="92"/>
      <c r="N3479" s="94"/>
      <c r="AG3479" s="107"/>
      <c r="AH3479" s="117"/>
      <c r="AI3479" s="117"/>
      <c r="AJ3479" s="107"/>
      <c r="AK3479" s="107"/>
      <c r="AL3479" s="107"/>
      <c r="AM3479" s="107"/>
      <c r="AN3479" s="107"/>
      <c r="AO3479" s="107"/>
      <c r="AP3479" s="107"/>
      <c r="AQ3479" s="107"/>
      <c r="AR3479" s="107"/>
      <c r="AS3479" s="107"/>
      <c r="AT3479" s="39"/>
      <c r="AZ3479" s="117"/>
      <c r="BK3479" s="39"/>
    </row>
    <row r="3480" spans="1:63" x14ac:dyDescent="0.25">
      <c r="A3480" s="92"/>
      <c r="B3480" s="92"/>
      <c r="C3480" s="92"/>
      <c r="D3480" s="93"/>
      <c r="E3480" s="92"/>
      <c r="F3480" s="92"/>
      <c r="G3480" s="92"/>
      <c r="H3480" s="92"/>
      <c r="I3480" s="92"/>
      <c r="J3480" s="92"/>
      <c r="K3480" s="92"/>
      <c r="L3480" s="92"/>
      <c r="M3480" s="92"/>
      <c r="N3480" s="92"/>
      <c r="AG3480" s="107"/>
      <c r="AH3480" s="117"/>
      <c r="AI3480" s="117"/>
      <c r="AJ3480" s="107"/>
      <c r="AK3480" s="107"/>
      <c r="AL3480" s="107"/>
      <c r="AM3480" s="107"/>
      <c r="AN3480" s="107"/>
      <c r="AO3480" s="107"/>
      <c r="AP3480" s="107"/>
      <c r="AQ3480" s="107"/>
      <c r="AR3480" s="107"/>
      <c r="AS3480" s="107"/>
      <c r="AT3480" s="39"/>
      <c r="AZ3480" s="117"/>
      <c r="BA3480" s="117"/>
      <c r="BK3480" s="39"/>
    </row>
    <row r="3481" spans="1:63" x14ac:dyDescent="0.25">
      <c r="A3481" s="92"/>
      <c r="B3481" s="92"/>
      <c r="C3481" s="92"/>
      <c r="D3481" s="92"/>
      <c r="E3481" s="92"/>
      <c r="F3481" s="92"/>
      <c r="G3481" s="92"/>
      <c r="H3481" s="92"/>
      <c r="I3481" s="92"/>
      <c r="J3481" s="92"/>
      <c r="K3481" s="92"/>
      <c r="L3481" s="92"/>
      <c r="M3481" s="92"/>
      <c r="N3481" s="92"/>
      <c r="AG3481" s="107"/>
      <c r="AH3481" s="117"/>
      <c r="AI3481" s="117"/>
      <c r="AJ3481" s="117"/>
      <c r="AK3481" s="107"/>
      <c r="AL3481" s="107"/>
      <c r="AM3481" s="107"/>
      <c r="AN3481" s="107"/>
      <c r="AO3481" s="107"/>
      <c r="AP3481" s="107"/>
      <c r="AQ3481" s="107"/>
      <c r="AR3481" s="107"/>
      <c r="AS3481" s="107"/>
      <c r="AT3481" s="39"/>
      <c r="AZ3481" s="117"/>
      <c r="BK3481" s="39"/>
    </row>
    <row r="3482" spans="1:63" x14ac:dyDescent="0.25">
      <c r="A3482" s="92"/>
      <c r="B3482" s="93"/>
      <c r="C3482" s="93"/>
      <c r="D3482" s="92"/>
      <c r="E3482" s="92"/>
      <c r="F3482" s="92"/>
      <c r="G3482" s="92"/>
      <c r="H3482" s="92"/>
      <c r="I3482" s="92"/>
      <c r="J3482" s="92"/>
      <c r="K3482" s="92"/>
      <c r="L3482" s="92"/>
      <c r="M3482" s="92"/>
      <c r="N3482" s="94"/>
      <c r="AG3482" s="107"/>
      <c r="AH3482" s="117"/>
      <c r="AI3482" s="117"/>
      <c r="AJ3482" s="107"/>
      <c r="AK3482" s="107"/>
      <c r="AL3482" s="107"/>
      <c r="AM3482" s="107"/>
      <c r="AN3482" s="107"/>
      <c r="AO3482" s="107"/>
      <c r="AP3482" s="107"/>
      <c r="AQ3482" s="107"/>
      <c r="AR3482" s="107"/>
      <c r="AS3482" s="107"/>
      <c r="AT3482" s="39"/>
      <c r="AZ3482" s="117"/>
      <c r="BK3482" s="39"/>
    </row>
    <row r="3483" spans="1:63" x14ac:dyDescent="0.25">
      <c r="A3483" s="92"/>
      <c r="B3483" s="92"/>
      <c r="C3483" s="92"/>
      <c r="D3483" s="92"/>
      <c r="E3483" s="92"/>
      <c r="F3483" s="92"/>
      <c r="G3483" s="92"/>
      <c r="H3483" s="92"/>
      <c r="I3483" s="92"/>
      <c r="J3483" s="92"/>
      <c r="K3483" s="92"/>
      <c r="L3483" s="92"/>
      <c r="M3483" s="92"/>
      <c r="N3483" s="92"/>
      <c r="AG3483" s="107"/>
      <c r="AH3483" s="117"/>
      <c r="AI3483" s="117"/>
      <c r="AJ3483" s="107"/>
      <c r="AK3483" s="107"/>
      <c r="AL3483" s="107"/>
      <c r="AM3483" s="107"/>
      <c r="AN3483" s="107"/>
      <c r="AO3483" s="107"/>
      <c r="AP3483" s="107"/>
      <c r="AQ3483" s="107"/>
      <c r="AR3483" s="107"/>
      <c r="AS3483" s="107"/>
      <c r="AT3483" s="39"/>
    </row>
    <row r="3484" spans="1:63" x14ac:dyDescent="0.25">
      <c r="A3484" s="92"/>
      <c r="B3484" s="92"/>
      <c r="C3484" s="92"/>
      <c r="D3484" s="92"/>
      <c r="E3484" s="92"/>
      <c r="F3484" s="92"/>
      <c r="G3484" s="92"/>
      <c r="H3484" s="92"/>
      <c r="I3484" s="92"/>
      <c r="J3484" s="92"/>
      <c r="K3484" s="92"/>
      <c r="L3484" s="92"/>
      <c r="M3484" s="92"/>
      <c r="N3484" s="92"/>
      <c r="AG3484" s="107"/>
      <c r="AH3484" s="107"/>
      <c r="AI3484" s="107"/>
      <c r="AJ3484" s="107"/>
      <c r="AK3484" s="107"/>
      <c r="AL3484" s="107"/>
      <c r="AM3484" s="107"/>
      <c r="AN3484" s="107"/>
      <c r="AO3484" s="107"/>
      <c r="AP3484" s="107"/>
      <c r="AQ3484" s="107"/>
      <c r="AR3484" s="107"/>
      <c r="AS3484" s="107"/>
      <c r="AT3484" s="107"/>
      <c r="AZ3484" s="117"/>
      <c r="BA3484" s="117"/>
      <c r="BK3484" s="39"/>
    </row>
    <row r="3485" spans="1:63" x14ac:dyDescent="0.25">
      <c r="A3485" s="92"/>
      <c r="B3485" s="92"/>
      <c r="C3485" s="92"/>
      <c r="D3485" s="92"/>
      <c r="E3485" s="92"/>
      <c r="F3485" s="92"/>
      <c r="G3485" s="92"/>
      <c r="H3485" s="92"/>
      <c r="I3485" s="92"/>
      <c r="J3485" s="92"/>
      <c r="K3485" s="92"/>
      <c r="L3485" s="92"/>
      <c r="M3485" s="92"/>
      <c r="N3485" s="92"/>
      <c r="AG3485" s="107"/>
      <c r="AH3485" s="107"/>
      <c r="AI3485" s="107"/>
      <c r="AJ3485" s="107"/>
      <c r="AK3485" s="107"/>
      <c r="AL3485" s="107"/>
      <c r="AM3485" s="107"/>
      <c r="AN3485" s="107"/>
      <c r="AO3485" s="107"/>
      <c r="AP3485" s="107"/>
      <c r="AQ3485" s="107"/>
      <c r="AR3485" s="107"/>
      <c r="AS3485" s="107"/>
      <c r="AT3485" s="107"/>
      <c r="AZ3485" s="117"/>
      <c r="BK3485" s="39"/>
    </row>
    <row r="3486" spans="1:63" x14ac:dyDescent="0.25">
      <c r="A3486" s="92"/>
      <c r="B3486" s="92"/>
      <c r="C3486" s="92"/>
      <c r="D3486" s="92"/>
      <c r="E3486" s="92"/>
      <c r="F3486" s="92"/>
      <c r="G3486" s="92"/>
      <c r="H3486" s="92"/>
      <c r="I3486" s="92"/>
      <c r="J3486" s="92"/>
      <c r="K3486" s="92"/>
      <c r="L3486" s="92"/>
      <c r="M3486" s="92"/>
      <c r="N3486" s="92"/>
      <c r="AG3486" s="107"/>
      <c r="AH3486" s="107"/>
      <c r="AI3486" s="107"/>
      <c r="AJ3486" s="107"/>
      <c r="AK3486" s="107"/>
      <c r="AL3486" s="107"/>
      <c r="AM3486" s="107"/>
      <c r="AN3486" s="107"/>
      <c r="AO3486" s="107"/>
      <c r="AP3486" s="107"/>
      <c r="AQ3486" s="107"/>
      <c r="AR3486" s="107"/>
      <c r="AS3486" s="107"/>
      <c r="AT3486" s="107"/>
      <c r="AZ3486" s="117"/>
      <c r="BA3486" s="117"/>
      <c r="BK3486" s="39"/>
    </row>
    <row r="3487" spans="1:63" x14ac:dyDescent="0.25">
      <c r="A3487" s="92"/>
      <c r="B3487" s="92"/>
      <c r="C3487" s="92"/>
      <c r="D3487" s="92"/>
      <c r="E3487" s="92"/>
      <c r="F3487" s="92"/>
      <c r="G3487" s="92"/>
      <c r="H3487" s="92"/>
      <c r="I3487" s="92"/>
      <c r="J3487" s="92"/>
      <c r="K3487" s="92"/>
      <c r="L3487" s="92"/>
      <c r="M3487" s="92"/>
      <c r="N3487" s="92"/>
      <c r="AG3487" s="107"/>
      <c r="AH3487" s="117"/>
      <c r="AI3487" s="117"/>
      <c r="AJ3487" s="107"/>
      <c r="AK3487" s="107"/>
      <c r="AL3487" s="107"/>
      <c r="AM3487" s="107"/>
      <c r="AN3487" s="107"/>
      <c r="AO3487" s="107"/>
      <c r="AP3487" s="107"/>
      <c r="AQ3487" s="107"/>
      <c r="AR3487" s="107"/>
      <c r="AS3487" s="107"/>
      <c r="AT3487" s="39"/>
    </row>
    <row r="3488" spans="1:63" x14ac:dyDescent="0.25">
      <c r="A3488" s="92"/>
      <c r="B3488" s="92"/>
      <c r="C3488" s="92"/>
      <c r="D3488" s="92"/>
      <c r="E3488" s="92"/>
      <c r="F3488" s="92"/>
      <c r="G3488" s="92"/>
      <c r="H3488" s="92"/>
      <c r="I3488" s="92"/>
      <c r="J3488" s="92"/>
      <c r="K3488" s="92"/>
      <c r="L3488" s="92"/>
      <c r="M3488" s="92"/>
      <c r="N3488" s="92"/>
      <c r="AG3488" s="107"/>
      <c r="AH3488" s="117"/>
      <c r="AI3488" s="117"/>
      <c r="AJ3488" s="107"/>
      <c r="AK3488" s="107"/>
      <c r="AL3488" s="107"/>
      <c r="AM3488" s="107"/>
      <c r="AN3488" s="107"/>
      <c r="AO3488" s="107"/>
      <c r="AP3488" s="107"/>
      <c r="AQ3488" s="107"/>
      <c r="AR3488" s="107"/>
      <c r="AS3488" s="107"/>
      <c r="AT3488" s="39"/>
    </row>
    <row r="3489" spans="1:63" x14ac:dyDescent="0.25">
      <c r="A3489" s="92"/>
      <c r="B3489" s="92"/>
      <c r="C3489" s="92"/>
      <c r="D3489" s="92"/>
      <c r="E3489" s="92"/>
      <c r="F3489" s="92"/>
      <c r="G3489" s="92"/>
      <c r="H3489" s="92"/>
      <c r="I3489" s="92"/>
      <c r="J3489" s="92"/>
      <c r="K3489" s="92"/>
      <c r="L3489" s="92"/>
      <c r="M3489" s="92"/>
      <c r="N3489" s="92"/>
      <c r="AG3489" s="107"/>
      <c r="AH3489" s="117"/>
      <c r="AI3489" s="117"/>
      <c r="AJ3489" s="107"/>
      <c r="AK3489" s="107"/>
      <c r="AL3489" s="107"/>
      <c r="AM3489" s="107"/>
      <c r="AN3489" s="107"/>
      <c r="AO3489" s="107"/>
      <c r="AP3489" s="107"/>
      <c r="AQ3489" s="107"/>
      <c r="AR3489" s="107"/>
      <c r="AS3489" s="107"/>
      <c r="AT3489" s="39"/>
    </row>
    <row r="3490" spans="1:63" x14ac:dyDescent="0.25">
      <c r="A3490" s="92"/>
      <c r="B3490" s="92"/>
      <c r="C3490" s="92"/>
      <c r="D3490" s="92"/>
      <c r="E3490" s="92"/>
      <c r="F3490" s="92"/>
      <c r="G3490" s="92"/>
      <c r="H3490" s="92"/>
      <c r="I3490" s="92"/>
      <c r="J3490" s="92"/>
      <c r="K3490" s="92"/>
      <c r="L3490" s="92"/>
      <c r="M3490" s="92"/>
      <c r="N3490" s="92"/>
      <c r="AG3490" s="107"/>
      <c r="AH3490" s="117"/>
      <c r="AI3490" s="117"/>
      <c r="AJ3490" s="107"/>
      <c r="AK3490" s="107"/>
      <c r="AL3490" s="107"/>
      <c r="AM3490" s="107"/>
      <c r="AN3490" s="107"/>
      <c r="AO3490" s="107"/>
      <c r="AP3490" s="107"/>
      <c r="AQ3490" s="107"/>
      <c r="AR3490" s="107"/>
      <c r="AS3490" s="107"/>
      <c r="AT3490" s="39"/>
    </row>
    <row r="3491" spans="1:63" x14ac:dyDescent="0.25">
      <c r="A3491" s="92"/>
      <c r="B3491" s="92"/>
      <c r="C3491" s="92"/>
      <c r="D3491" s="92"/>
      <c r="E3491" s="92"/>
      <c r="F3491" s="92"/>
      <c r="G3491" s="92"/>
      <c r="H3491" s="92"/>
      <c r="I3491" s="92"/>
      <c r="J3491" s="92"/>
      <c r="K3491" s="92"/>
      <c r="L3491" s="92"/>
      <c r="M3491" s="92"/>
      <c r="N3491" s="92"/>
      <c r="AG3491" s="107"/>
      <c r="AH3491" s="117"/>
      <c r="AI3491" s="117"/>
      <c r="AJ3491" s="117"/>
      <c r="AK3491" s="107"/>
      <c r="AL3491" s="107"/>
      <c r="AM3491" s="107"/>
      <c r="AN3491" s="107"/>
      <c r="AO3491" s="107"/>
      <c r="AP3491" s="107"/>
      <c r="AQ3491" s="107"/>
      <c r="AR3491" s="107"/>
      <c r="AS3491" s="107"/>
      <c r="AT3491" s="39"/>
    </row>
    <row r="3492" spans="1:63" x14ac:dyDescent="0.25">
      <c r="A3492" s="92"/>
      <c r="B3492" s="93"/>
      <c r="C3492" s="93"/>
      <c r="D3492" s="92"/>
      <c r="E3492" s="92"/>
      <c r="F3492" s="92"/>
      <c r="G3492" s="92"/>
      <c r="H3492" s="92"/>
      <c r="I3492" s="92"/>
      <c r="J3492" s="92"/>
      <c r="K3492" s="92"/>
      <c r="L3492" s="92"/>
      <c r="M3492" s="92"/>
      <c r="N3492" s="94"/>
      <c r="AG3492" s="107"/>
      <c r="AH3492" s="107"/>
      <c r="AI3492" s="107"/>
      <c r="AJ3492" s="117"/>
      <c r="AK3492" s="107"/>
      <c r="AL3492" s="107"/>
      <c r="AM3492" s="107"/>
      <c r="AN3492" s="107"/>
      <c r="AO3492" s="107"/>
      <c r="AP3492" s="107"/>
      <c r="AQ3492" s="107"/>
      <c r="AR3492" s="107"/>
      <c r="AS3492" s="107"/>
      <c r="AT3492" s="107"/>
    </row>
    <row r="3493" spans="1:63" x14ac:dyDescent="0.25">
      <c r="A3493" s="92"/>
      <c r="B3493" s="93"/>
      <c r="C3493" s="93"/>
      <c r="D3493" s="92"/>
      <c r="E3493" s="92"/>
      <c r="F3493" s="92"/>
      <c r="G3493" s="92"/>
      <c r="H3493" s="92"/>
      <c r="I3493" s="92"/>
      <c r="J3493" s="92"/>
      <c r="K3493" s="92"/>
      <c r="L3493" s="92"/>
      <c r="M3493" s="92"/>
      <c r="N3493" s="94"/>
      <c r="AG3493" s="107"/>
      <c r="AH3493" s="107"/>
      <c r="AI3493" s="107"/>
      <c r="AJ3493" s="117"/>
      <c r="AK3493" s="107"/>
      <c r="AL3493" s="107"/>
      <c r="AM3493" s="107"/>
      <c r="AN3493" s="107"/>
      <c r="AO3493" s="107"/>
      <c r="AP3493" s="107"/>
      <c r="AQ3493" s="107"/>
      <c r="AR3493" s="107"/>
      <c r="AS3493" s="107"/>
      <c r="AT3493" s="107"/>
    </row>
    <row r="3494" spans="1:63" x14ac:dyDescent="0.25">
      <c r="A3494" s="92"/>
      <c r="B3494" s="93"/>
      <c r="C3494" s="93"/>
      <c r="D3494" s="92"/>
      <c r="E3494" s="92"/>
      <c r="F3494" s="92"/>
      <c r="G3494" s="92"/>
      <c r="H3494" s="92"/>
      <c r="I3494" s="92"/>
      <c r="J3494" s="92"/>
      <c r="K3494" s="92"/>
      <c r="L3494" s="92"/>
      <c r="M3494" s="92"/>
      <c r="N3494" s="94"/>
      <c r="AG3494" s="107"/>
      <c r="AH3494" s="117"/>
      <c r="AI3494" s="117"/>
      <c r="AJ3494" s="107"/>
      <c r="AK3494" s="107"/>
      <c r="AL3494" s="107"/>
      <c r="AM3494" s="107"/>
      <c r="AN3494" s="107"/>
      <c r="AO3494" s="107"/>
      <c r="AP3494" s="107"/>
      <c r="AQ3494" s="107"/>
      <c r="AR3494" s="107"/>
      <c r="AS3494" s="107"/>
      <c r="AT3494" s="39"/>
    </row>
    <row r="3495" spans="1:63" x14ac:dyDescent="0.25">
      <c r="A3495" s="92"/>
      <c r="B3495" s="93"/>
      <c r="C3495" s="93"/>
      <c r="D3495" s="93"/>
      <c r="E3495" s="92"/>
      <c r="F3495" s="92"/>
      <c r="G3495" s="92"/>
      <c r="H3495" s="92"/>
      <c r="I3495" s="92"/>
      <c r="J3495" s="92"/>
      <c r="K3495" s="92"/>
      <c r="L3495" s="92"/>
      <c r="M3495" s="92"/>
      <c r="N3495" s="94"/>
      <c r="AG3495" s="107"/>
      <c r="AH3495" s="117"/>
      <c r="AI3495" s="117"/>
      <c r="AJ3495" s="117"/>
      <c r="AK3495" s="107"/>
      <c r="AL3495" s="107"/>
      <c r="AM3495" s="107"/>
      <c r="AN3495" s="107"/>
      <c r="AO3495" s="107"/>
      <c r="AP3495" s="107"/>
      <c r="AQ3495" s="107"/>
      <c r="AR3495" s="107"/>
      <c r="AS3495" s="107"/>
      <c r="AT3495" s="39"/>
    </row>
    <row r="3496" spans="1:63" x14ac:dyDescent="0.25">
      <c r="A3496" s="92"/>
      <c r="B3496" s="93"/>
      <c r="C3496" s="93"/>
      <c r="D3496" s="92"/>
      <c r="E3496" s="92"/>
      <c r="F3496" s="92"/>
      <c r="G3496" s="92"/>
      <c r="H3496" s="92"/>
      <c r="I3496" s="92"/>
      <c r="J3496" s="92"/>
      <c r="K3496" s="92"/>
      <c r="L3496" s="92"/>
      <c r="M3496" s="92"/>
      <c r="N3496" s="94"/>
      <c r="AG3496" s="107"/>
      <c r="AH3496" s="107"/>
      <c r="AI3496" s="107"/>
      <c r="AJ3496" s="117"/>
      <c r="AK3496" s="107"/>
      <c r="AL3496" s="107"/>
      <c r="AM3496" s="107"/>
      <c r="AN3496" s="107"/>
      <c r="AO3496" s="107"/>
      <c r="AP3496" s="107"/>
      <c r="AQ3496" s="107"/>
      <c r="AR3496" s="107"/>
      <c r="AS3496" s="107"/>
      <c r="AT3496" s="107"/>
      <c r="AZ3496" s="117"/>
      <c r="BK3496" s="39"/>
    </row>
    <row r="3497" spans="1:63" x14ac:dyDescent="0.25">
      <c r="A3497" s="92"/>
      <c r="B3497" s="93"/>
      <c r="C3497" s="93"/>
      <c r="D3497" s="92"/>
      <c r="E3497" s="92"/>
      <c r="F3497" s="92"/>
      <c r="G3497" s="92"/>
      <c r="H3497" s="92"/>
      <c r="I3497" s="92"/>
      <c r="J3497" s="92"/>
      <c r="K3497" s="92"/>
      <c r="L3497" s="92"/>
      <c r="M3497" s="92"/>
      <c r="N3497" s="94"/>
      <c r="AG3497" s="107"/>
      <c r="AH3497" s="117"/>
      <c r="AI3497" s="117"/>
      <c r="AJ3497" s="117"/>
      <c r="AK3497" s="107"/>
      <c r="AL3497" s="107"/>
      <c r="AM3497" s="107"/>
      <c r="AN3497" s="107"/>
      <c r="AO3497" s="107"/>
      <c r="AP3497" s="107"/>
      <c r="AQ3497" s="107"/>
      <c r="AR3497" s="107"/>
      <c r="AS3497" s="107"/>
      <c r="AT3497" s="39"/>
    </row>
    <row r="3498" spans="1:63" x14ac:dyDescent="0.25">
      <c r="A3498" s="92"/>
      <c r="B3498" s="92"/>
      <c r="C3498" s="92"/>
      <c r="D3498" s="92"/>
      <c r="E3498" s="92"/>
      <c r="F3498" s="92"/>
      <c r="G3498" s="92"/>
      <c r="H3498" s="92"/>
      <c r="I3498" s="92"/>
      <c r="J3498" s="92"/>
      <c r="K3498" s="92"/>
      <c r="L3498" s="92"/>
      <c r="M3498" s="92"/>
      <c r="N3498" s="92"/>
      <c r="AG3498" s="107"/>
      <c r="AH3498" s="107"/>
      <c r="AI3498" s="107"/>
      <c r="AJ3498" s="107"/>
      <c r="AK3498" s="107"/>
      <c r="AL3498" s="107"/>
      <c r="AM3498" s="107"/>
      <c r="AN3498" s="107"/>
      <c r="AO3498" s="107"/>
      <c r="AP3498" s="107"/>
      <c r="AQ3498" s="107"/>
      <c r="AR3498" s="107"/>
      <c r="AS3498" s="107"/>
      <c r="AT3498" s="107"/>
    </row>
    <row r="3499" spans="1:63" x14ac:dyDescent="0.25">
      <c r="A3499" s="92"/>
      <c r="B3499" s="93"/>
      <c r="C3499" s="93"/>
      <c r="D3499" s="93"/>
      <c r="E3499" s="92"/>
      <c r="F3499" s="92"/>
      <c r="G3499" s="92"/>
      <c r="H3499" s="92"/>
      <c r="I3499" s="92"/>
      <c r="J3499" s="92"/>
      <c r="K3499" s="92"/>
      <c r="L3499" s="92"/>
      <c r="M3499" s="92"/>
      <c r="N3499" s="94"/>
      <c r="AG3499" s="107"/>
      <c r="AH3499" s="107"/>
      <c r="AI3499" s="107"/>
      <c r="AJ3499" s="107"/>
      <c r="AK3499" s="107"/>
      <c r="AL3499" s="107"/>
      <c r="AM3499" s="107"/>
      <c r="AN3499" s="107"/>
      <c r="AO3499" s="107"/>
      <c r="AP3499" s="107"/>
      <c r="AQ3499" s="107"/>
      <c r="AR3499" s="107"/>
      <c r="AS3499" s="107"/>
      <c r="AT3499" s="107"/>
      <c r="AZ3499" s="117"/>
      <c r="BK3499" s="39"/>
    </row>
    <row r="3500" spans="1:63" x14ac:dyDescent="0.25">
      <c r="A3500" s="92"/>
      <c r="B3500" s="93"/>
      <c r="C3500" s="93"/>
      <c r="D3500" s="92"/>
      <c r="E3500" s="92"/>
      <c r="F3500" s="92"/>
      <c r="G3500" s="92"/>
      <c r="H3500" s="92"/>
      <c r="I3500" s="92"/>
      <c r="J3500" s="92"/>
      <c r="K3500" s="92"/>
      <c r="L3500" s="92"/>
      <c r="M3500" s="92"/>
      <c r="N3500" s="94"/>
      <c r="AG3500" s="107"/>
      <c r="AH3500" s="107"/>
      <c r="AI3500" s="107"/>
      <c r="AJ3500" s="107"/>
      <c r="AK3500" s="107"/>
      <c r="AL3500" s="107"/>
      <c r="AM3500" s="107"/>
      <c r="AN3500" s="107"/>
      <c r="AO3500" s="107"/>
      <c r="AP3500" s="107"/>
      <c r="AQ3500" s="107"/>
      <c r="AR3500" s="107"/>
      <c r="AS3500" s="107"/>
      <c r="AT3500" s="107"/>
      <c r="AZ3500" s="117"/>
      <c r="BK3500" s="39"/>
    </row>
    <row r="3501" spans="1:63" x14ac:dyDescent="0.25">
      <c r="A3501" s="92"/>
      <c r="B3501" s="93"/>
      <c r="C3501" s="93"/>
      <c r="D3501" s="93"/>
      <c r="E3501" s="92"/>
      <c r="F3501" s="92"/>
      <c r="G3501" s="92"/>
      <c r="H3501" s="92"/>
      <c r="I3501" s="92"/>
      <c r="J3501" s="92"/>
      <c r="K3501" s="92"/>
      <c r="L3501" s="92"/>
      <c r="M3501" s="92"/>
      <c r="N3501" s="94"/>
      <c r="AG3501" s="107"/>
      <c r="AH3501" s="107"/>
      <c r="AI3501" s="107"/>
      <c r="AJ3501" s="107"/>
      <c r="AK3501" s="107"/>
      <c r="AL3501" s="107"/>
      <c r="AM3501" s="107"/>
      <c r="AN3501" s="107"/>
      <c r="AO3501" s="107"/>
      <c r="AP3501" s="107"/>
      <c r="AQ3501" s="107"/>
      <c r="AR3501" s="107"/>
      <c r="AS3501" s="107"/>
      <c r="AT3501" s="107"/>
    </row>
    <row r="3502" spans="1:63" x14ac:dyDescent="0.25">
      <c r="A3502" s="92"/>
      <c r="B3502" s="92"/>
      <c r="C3502" s="92"/>
      <c r="D3502" s="92"/>
      <c r="E3502" s="92"/>
      <c r="F3502" s="92"/>
      <c r="G3502" s="92"/>
      <c r="H3502" s="92"/>
      <c r="I3502" s="92"/>
      <c r="J3502" s="92"/>
      <c r="K3502" s="92"/>
      <c r="L3502" s="92"/>
      <c r="M3502" s="92"/>
      <c r="N3502" s="92"/>
      <c r="AG3502" s="107"/>
      <c r="AH3502" s="107"/>
      <c r="AI3502" s="107"/>
      <c r="AJ3502" s="107"/>
      <c r="AK3502" s="107"/>
      <c r="AL3502" s="107"/>
      <c r="AM3502" s="107"/>
      <c r="AN3502" s="107"/>
      <c r="AO3502" s="107"/>
      <c r="AP3502" s="107"/>
      <c r="AQ3502" s="107"/>
      <c r="AR3502" s="107"/>
      <c r="AS3502" s="107"/>
      <c r="AT3502" s="107"/>
      <c r="AZ3502" s="117"/>
      <c r="BK3502" s="39"/>
    </row>
    <row r="3503" spans="1:63" x14ac:dyDescent="0.25">
      <c r="A3503" s="92"/>
      <c r="B3503" s="92"/>
      <c r="C3503" s="92"/>
      <c r="D3503" s="92"/>
      <c r="E3503" s="92"/>
      <c r="F3503" s="92"/>
      <c r="G3503" s="92"/>
      <c r="H3503" s="92"/>
      <c r="I3503" s="92"/>
      <c r="J3503" s="92"/>
      <c r="K3503" s="92"/>
      <c r="L3503" s="92"/>
      <c r="M3503" s="92"/>
      <c r="N3503" s="92"/>
      <c r="AG3503" s="107"/>
      <c r="AH3503" s="107"/>
      <c r="AI3503" s="107"/>
      <c r="AJ3503" s="107"/>
      <c r="AK3503" s="107"/>
      <c r="AL3503" s="107"/>
      <c r="AM3503" s="107"/>
      <c r="AN3503" s="107"/>
      <c r="AO3503" s="107"/>
      <c r="AP3503" s="107"/>
      <c r="AQ3503" s="107"/>
      <c r="AR3503" s="107"/>
      <c r="AS3503" s="107"/>
      <c r="AT3503" s="107"/>
    </row>
    <row r="3504" spans="1:63" x14ac:dyDescent="0.25">
      <c r="A3504" s="92"/>
      <c r="B3504" s="92"/>
      <c r="C3504" s="92"/>
      <c r="D3504" s="92"/>
      <c r="E3504" s="92"/>
      <c r="F3504" s="92"/>
      <c r="G3504" s="92"/>
      <c r="H3504" s="92"/>
      <c r="I3504" s="92"/>
      <c r="J3504" s="92"/>
      <c r="K3504" s="92"/>
      <c r="L3504" s="92"/>
      <c r="M3504" s="92"/>
      <c r="N3504" s="92"/>
      <c r="AG3504" s="107"/>
      <c r="AH3504" s="107"/>
      <c r="AI3504" s="107"/>
      <c r="AJ3504" s="107"/>
      <c r="AK3504" s="107"/>
      <c r="AL3504" s="107"/>
      <c r="AM3504" s="107"/>
      <c r="AN3504" s="107"/>
      <c r="AO3504" s="107"/>
      <c r="AP3504" s="107"/>
      <c r="AQ3504" s="107"/>
      <c r="AR3504" s="107"/>
      <c r="AS3504" s="107"/>
      <c r="AT3504" s="107"/>
    </row>
    <row r="3505" spans="1:63" x14ac:dyDescent="0.25">
      <c r="A3505" s="92"/>
      <c r="B3505" s="92"/>
      <c r="C3505" s="92"/>
      <c r="D3505" s="92"/>
      <c r="E3505" s="92"/>
      <c r="F3505" s="92"/>
      <c r="G3505" s="92"/>
      <c r="H3505" s="92"/>
      <c r="I3505" s="92"/>
      <c r="J3505" s="92"/>
      <c r="K3505" s="92"/>
      <c r="L3505" s="92"/>
      <c r="M3505" s="92"/>
      <c r="N3505" s="92"/>
      <c r="AG3505" s="107"/>
      <c r="AH3505" s="117"/>
      <c r="AI3505" s="117"/>
      <c r="AJ3505" s="107"/>
      <c r="AK3505" s="107"/>
      <c r="AL3505" s="107"/>
      <c r="AM3505" s="107"/>
      <c r="AN3505" s="107"/>
      <c r="AO3505" s="107"/>
      <c r="AP3505" s="107"/>
      <c r="AQ3505" s="107"/>
      <c r="AR3505" s="107"/>
      <c r="AS3505" s="107"/>
      <c r="AT3505" s="39"/>
    </row>
    <row r="3506" spans="1:63" x14ac:dyDescent="0.25">
      <c r="A3506" s="92"/>
      <c r="B3506" s="92"/>
      <c r="C3506" s="92"/>
      <c r="D3506" s="92"/>
      <c r="E3506" s="92"/>
      <c r="F3506" s="92"/>
      <c r="G3506" s="92"/>
      <c r="H3506" s="92"/>
      <c r="I3506" s="92"/>
      <c r="J3506" s="92"/>
      <c r="K3506" s="92"/>
      <c r="L3506" s="92"/>
      <c r="M3506" s="92"/>
      <c r="N3506" s="92"/>
      <c r="AG3506" s="107"/>
      <c r="AH3506" s="117"/>
      <c r="AI3506" s="117"/>
      <c r="AJ3506" s="107"/>
      <c r="AK3506" s="107"/>
      <c r="AL3506" s="107"/>
      <c r="AM3506" s="107"/>
      <c r="AN3506" s="107"/>
      <c r="AO3506" s="107"/>
      <c r="AP3506" s="107"/>
      <c r="AQ3506" s="107"/>
      <c r="AR3506" s="107"/>
      <c r="AS3506" s="107"/>
      <c r="AT3506" s="39"/>
    </row>
    <row r="3507" spans="1:63" x14ac:dyDescent="0.25">
      <c r="A3507" s="92"/>
      <c r="B3507" s="92"/>
      <c r="C3507" s="92"/>
      <c r="D3507" s="92"/>
      <c r="E3507" s="92"/>
      <c r="F3507" s="92"/>
      <c r="G3507" s="92"/>
      <c r="H3507" s="92"/>
      <c r="I3507" s="92"/>
      <c r="J3507" s="92"/>
      <c r="K3507" s="92"/>
      <c r="L3507" s="92"/>
      <c r="M3507" s="92"/>
      <c r="N3507" s="92"/>
      <c r="AG3507" s="107"/>
      <c r="AH3507" s="117"/>
      <c r="AI3507" s="117"/>
      <c r="AJ3507" s="107"/>
      <c r="AK3507" s="107"/>
      <c r="AL3507" s="107"/>
      <c r="AM3507" s="107"/>
      <c r="AN3507" s="107"/>
      <c r="AO3507" s="107"/>
      <c r="AP3507" s="107"/>
      <c r="AQ3507" s="107"/>
      <c r="AR3507" s="107"/>
      <c r="AS3507" s="107"/>
      <c r="AT3507" s="39"/>
    </row>
    <row r="3508" spans="1:63" x14ac:dyDescent="0.25">
      <c r="A3508" s="92"/>
      <c r="B3508" s="92"/>
      <c r="C3508" s="92"/>
      <c r="D3508" s="92"/>
      <c r="E3508" s="92"/>
      <c r="F3508" s="92"/>
      <c r="G3508" s="92"/>
      <c r="H3508" s="92"/>
      <c r="I3508" s="92"/>
      <c r="J3508" s="92"/>
      <c r="K3508" s="92"/>
      <c r="L3508" s="92"/>
      <c r="M3508" s="92"/>
      <c r="N3508" s="92"/>
      <c r="AG3508" s="107"/>
      <c r="AH3508" s="117"/>
      <c r="AI3508" s="117"/>
      <c r="AJ3508" s="107"/>
      <c r="AK3508" s="107"/>
      <c r="AL3508" s="107"/>
      <c r="AM3508" s="107"/>
      <c r="AN3508" s="107"/>
      <c r="AO3508" s="107"/>
      <c r="AP3508" s="107"/>
      <c r="AQ3508" s="107"/>
      <c r="AR3508" s="107"/>
      <c r="AS3508" s="107"/>
      <c r="AT3508" s="39"/>
      <c r="AZ3508" s="117"/>
      <c r="BK3508" s="39"/>
    </row>
    <row r="3509" spans="1:63" x14ac:dyDescent="0.25">
      <c r="A3509" s="92"/>
      <c r="B3509" s="92"/>
      <c r="C3509" s="92"/>
      <c r="D3509" s="92"/>
      <c r="E3509" s="92"/>
      <c r="F3509" s="92"/>
      <c r="G3509" s="92"/>
      <c r="H3509" s="92"/>
      <c r="I3509" s="92"/>
      <c r="J3509" s="92"/>
      <c r="K3509" s="92"/>
      <c r="L3509" s="92"/>
      <c r="M3509" s="92"/>
      <c r="N3509" s="92"/>
      <c r="AG3509" s="107"/>
      <c r="AH3509" s="117"/>
      <c r="AI3509" s="117"/>
      <c r="AJ3509" s="117"/>
      <c r="AK3509" s="107"/>
      <c r="AL3509" s="107"/>
      <c r="AM3509" s="107"/>
      <c r="AN3509" s="107"/>
      <c r="AO3509" s="107"/>
      <c r="AP3509" s="107"/>
      <c r="AQ3509" s="107"/>
      <c r="AR3509" s="107"/>
      <c r="AS3509" s="107"/>
      <c r="AT3509" s="39"/>
      <c r="AZ3509" s="117"/>
      <c r="BK3509" s="39"/>
    </row>
    <row r="3510" spans="1:63" x14ac:dyDescent="0.25">
      <c r="A3510" s="92"/>
      <c r="B3510" s="92"/>
      <c r="C3510" s="92"/>
      <c r="D3510" s="92"/>
      <c r="E3510" s="92"/>
      <c r="F3510" s="92"/>
      <c r="G3510" s="92"/>
      <c r="H3510" s="92"/>
      <c r="I3510" s="92"/>
      <c r="J3510" s="92"/>
      <c r="K3510" s="92"/>
      <c r="L3510" s="92"/>
      <c r="M3510" s="92"/>
      <c r="N3510" s="92"/>
      <c r="AG3510" s="107"/>
      <c r="AH3510" s="107"/>
      <c r="AI3510" s="107"/>
      <c r="AJ3510" s="107"/>
      <c r="AK3510" s="107"/>
      <c r="AL3510" s="107"/>
      <c r="AM3510" s="107"/>
      <c r="AN3510" s="107"/>
      <c r="AO3510" s="107"/>
      <c r="AP3510" s="107"/>
      <c r="AQ3510" s="107"/>
      <c r="AR3510" s="107"/>
      <c r="AS3510" s="107"/>
      <c r="AT3510" s="107"/>
    </row>
    <row r="3511" spans="1:63" x14ac:dyDescent="0.25">
      <c r="A3511" s="92"/>
      <c r="B3511" s="93"/>
      <c r="C3511" s="93"/>
      <c r="D3511" s="92"/>
      <c r="E3511" s="92"/>
      <c r="F3511" s="92"/>
      <c r="G3511" s="92"/>
      <c r="H3511" s="92"/>
      <c r="I3511" s="92"/>
      <c r="J3511" s="92"/>
      <c r="K3511" s="92"/>
      <c r="L3511" s="92"/>
      <c r="M3511" s="92"/>
      <c r="N3511" s="94"/>
      <c r="AG3511" s="107"/>
      <c r="AH3511" s="107"/>
      <c r="AI3511" s="107"/>
      <c r="AJ3511" s="107"/>
      <c r="AK3511" s="107"/>
      <c r="AL3511" s="107"/>
      <c r="AM3511" s="107"/>
      <c r="AN3511" s="107"/>
      <c r="AO3511" s="107"/>
      <c r="AP3511" s="107"/>
      <c r="AQ3511" s="107"/>
      <c r="AR3511" s="107"/>
      <c r="AS3511" s="107"/>
      <c r="AT3511" s="107"/>
    </row>
    <row r="3512" spans="1:63" x14ac:dyDescent="0.25">
      <c r="A3512" s="92"/>
      <c r="B3512" s="92"/>
      <c r="C3512" s="92"/>
      <c r="D3512" s="92"/>
      <c r="E3512" s="92"/>
      <c r="F3512" s="92"/>
      <c r="G3512" s="92"/>
      <c r="H3512" s="92"/>
      <c r="I3512" s="92"/>
      <c r="J3512" s="92"/>
      <c r="K3512" s="92"/>
      <c r="L3512" s="92"/>
      <c r="M3512" s="92"/>
      <c r="N3512" s="92"/>
      <c r="AG3512" s="107"/>
      <c r="AH3512" s="107"/>
      <c r="AI3512" s="107"/>
      <c r="AJ3512" s="107"/>
      <c r="AK3512" s="107"/>
      <c r="AL3512" s="107"/>
      <c r="AM3512" s="107"/>
      <c r="AN3512" s="107"/>
      <c r="AO3512" s="107"/>
      <c r="AP3512" s="107"/>
      <c r="AQ3512" s="107"/>
      <c r="AR3512" s="107"/>
      <c r="AS3512" s="107"/>
      <c r="AT3512" s="107"/>
    </row>
    <row r="3513" spans="1:63" x14ac:dyDescent="0.25">
      <c r="A3513" s="92"/>
      <c r="B3513" s="92"/>
      <c r="C3513" s="92"/>
      <c r="D3513" s="92"/>
      <c r="E3513" s="92"/>
      <c r="F3513" s="92"/>
      <c r="G3513" s="92"/>
      <c r="H3513" s="92"/>
      <c r="I3513" s="92"/>
      <c r="J3513" s="92"/>
      <c r="K3513" s="92"/>
      <c r="L3513" s="92"/>
      <c r="M3513" s="92"/>
      <c r="N3513" s="92"/>
      <c r="AG3513" s="107"/>
      <c r="AH3513" s="117"/>
      <c r="AI3513" s="117"/>
      <c r="AJ3513" s="107"/>
      <c r="AK3513" s="107"/>
      <c r="AL3513" s="107"/>
      <c r="AM3513" s="107"/>
      <c r="AN3513" s="107"/>
      <c r="AO3513" s="107"/>
      <c r="AP3513" s="107"/>
      <c r="AQ3513" s="107"/>
      <c r="AR3513" s="107"/>
      <c r="AS3513" s="107"/>
      <c r="AT3513" s="39"/>
    </row>
    <row r="3514" spans="1:63" x14ac:dyDescent="0.25">
      <c r="A3514" s="92"/>
      <c r="B3514" s="93"/>
      <c r="C3514" s="93"/>
      <c r="D3514" s="92"/>
      <c r="E3514" s="92"/>
      <c r="F3514" s="92"/>
      <c r="G3514" s="92"/>
      <c r="H3514" s="92"/>
      <c r="I3514" s="92"/>
      <c r="J3514" s="92"/>
      <c r="K3514" s="92"/>
      <c r="L3514" s="92"/>
      <c r="M3514" s="92"/>
      <c r="N3514" s="94"/>
      <c r="AG3514" s="107"/>
      <c r="AH3514" s="117"/>
      <c r="AI3514" s="117"/>
      <c r="AJ3514" s="107"/>
      <c r="AK3514" s="107"/>
      <c r="AL3514" s="107"/>
      <c r="AM3514" s="107"/>
      <c r="AN3514" s="107"/>
      <c r="AO3514" s="107"/>
      <c r="AP3514" s="107"/>
      <c r="AQ3514" s="107"/>
      <c r="AR3514" s="107"/>
      <c r="AS3514" s="107"/>
      <c r="AT3514" s="39"/>
    </row>
    <row r="3515" spans="1:63" x14ac:dyDescent="0.25">
      <c r="A3515" s="92"/>
      <c r="B3515" s="93"/>
      <c r="C3515" s="93"/>
      <c r="D3515" s="92"/>
      <c r="E3515" s="92"/>
      <c r="F3515" s="92"/>
      <c r="G3515" s="92"/>
      <c r="H3515" s="92"/>
      <c r="I3515" s="92"/>
      <c r="J3515" s="92"/>
      <c r="K3515" s="92"/>
      <c r="L3515" s="92"/>
      <c r="M3515" s="92"/>
      <c r="N3515" s="94"/>
      <c r="AG3515" s="107"/>
      <c r="AH3515" s="117"/>
      <c r="AI3515" s="117"/>
      <c r="AJ3515" s="117"/>
      <c r="AK3515" s="107"/>
      <c r="AL3515" s="107"/>
      <c r="AM3515" s="107"/>
      <c r="AN3515" s="107"/>
      <c r="AO3515" s="107"/>
      <c r="AP3515" s="107"/>
      <c r="AQ3515" s="107"/>
      <c r="AR3515" s="107"/>
      <c r="AS3515" s="107"/>
      <c r="AT3515" s="39"/>
    </row>
    <row r="3516" spans="1:63" x14ac:dyDescent="0.25">
      <c r="A3516" s="92"/>
      <c r="B3516" s="92"/>
      <c r="C3516" s="92"/>
      <c r="D3516" s="92"/>
      <c r="E3516" s="92"/>
      <c r="F3516" s="92"/>
      <c r="G3516" s="92"/>
      <c r="H3516" s="92"/>
      <c r="I3516" s="92"/>
      <c r="J3516" s="92"/>
      <c r="K3516" s="92"/>
      <c r="L3516" s="92"/>
      <c r="M3516" s="92"/>
      <c r="N3516" s="92"/>
      <c r="AG3516" s="107"/>
      <c r="AH3516" s="107"/>
      <c r="AI3516" s="107"/>
      <c r="AJ3516" s="117"/>
      <c r="AK3516" s="107"/>
      <c r="AL3516" s="107"/>
      <c r="AM3516" s="107"/>
      <c r="AN3516" s="107"/>
      <c r="AO3516" s="107"/>
      <c r="AP3516" s="107"/>
      <c r="AQ3516" s="107"/>
      <c r="AR3516" s="107"/>
      <c r="AS3516" s="107"/>
      <c r="AT3516" s="107"/>
    </row>
    <row r="3517" spans="1:63" x14ac:dyDescent="0.25">
      <c r="A3517" s="92"/>
      <c r="B3517" s="93"/>
      <c r="C3517" s="93"/>
      <c r="D3517" s="92"/>
      <c r="E3517" s="92"/>
      <c r="F3517" s="92"/>
      <c r="G3517" s="92"/>
      <c r="H3517" s="92"/>
      <c r="I3517" s="92"/>
      <c r="J3517" s="92"/>
      <c r="K3517" s="92"/>
      <c r="L3517" s="92"/>
      <c r="M3517" s="92"/>
      <c r="N3517" s="94"/>
      <c r="AG3517" s="107"/>
      <c r="AH3517" s="107"/>
      <c r="AI3517" s="107"/>
      <c r="AJ3517" s="117"/>
      <c r="AK3517" s="107"/>
      <c r="AL3517" s="107"/>
      <c r="AM3517" s="107"/>
      <c r="AN3517" s="107"/>
      <c r="AO3517" s="107"/>
      <c r="AP3517" s="107"/>
      <c r="AQ3517" s="107"/>
      <c r="AR3517" s="107"/>
      <c r="AS3517" s="107"/>
      <c r="AT3517" s="107"/>
    </row>
    <row r="3518" spans="1:63" x14ac:dyDescent="0.25">
      <c r="A3518" s="92"/>
      <c r="B3518" s="92"/>
      <c r="C3518" s="92"/>
      <c r="D3518" s="92"/>
      <c r="E3518" s="92"/>
      <c r="F3518" s="92"/>
      <c r="G3518" s="92"/>
      <c r="H3518" s="92"/>
      <c r="I3518" s="92"/>
      <c r="J3518" s="92"/>
      <c r="K3518" s="92"/>
      <c r="L3518" s="92"/>
      <c r="M3518" s="92"/>
      <c r="N3518" s="92"/>
      <c r="AG3518" s="107"/>
      <c r="AH3518" s="107"/>
      <c r="AI3518" s="107"/>
      <c r="AJ3518" s="117"/>
      <c r="AK3518" s="107"/>
      <c r="AL3518" s="107"/>
      <c r="AM3518" s="107"/>
      <c r="AN3518" s="107"/>
      <c r="AO3518" s="107"/>
      <c r="AP3518" s="107"/>
      <c r="AQ3518" s="107"/>
      <c r="AR3518" s="107"/>
      <c r="AS3518" s="107"/>
      <c r="AT3518" s="107"/>
      <c r="AZ3518" s="117"/>
      <c r="BK3518" s="39"/>
    </row>
    <row r="3519" spans="1:63" x14ac:dyDescent="0.25">
      <c r="A3519" s="92"/>
      <c r="B3519" s="92"/>
      <c r="C3519" s="92"/>
      <c r="D3519" s="92"/>
      <c r="E3519" s="92"/>
      <c r="F3519" s="92"/>
      <c r="G3519" s="92"/>
      <c r="H3519" s="92"/>
      <c r="I3519" s="92"/>
      <c r="J3519" s="92"/>
      <c r="K3519" s="92"/>
      <c r="L3519" s="92"/>
      <c r="M3519" s="92"/>
      <c r="N3519" s="92"/>
      <c r="AG3519" s="107"/>
      <c r="AH3519" s="117"/>
      <c r="AI3519" s="117"/>
      <c r="AJ3519" s="107"/>
      <c r="AK3519" s="107"/>
      <c r="AL3519" s="107"/>
      <c r="AM3519" s="107"/>
      <c r="AN3519" s="107"/>
      <c r="AO3519" s="107"/>
      <c r="AP3519" s="107"/>
      <c r="AQ3519" s="107"/>
      <c r="AR3519" s="107"/>
      <c r="AS3519" s="107"/>
      <c r="AT3519" s="39"/>
      <c r="AZ3519" s="117"/>
      <c r="BK3519" s="39"/>
    </row>
    <row r="3520" spans="1:63" x14ac:dyDescent="0.25">
      <c r="A3520" s="92"/>
      <c r="B3520" s="92"/>
      <c r="C3520" s="92"/>
      <c r="D3520" s="92"/>
      <c r="E3520" s="92"/>
      <c r="F3520" s="92"/>
      <c r="G3520" s="92"/>
      <c r="H3520" s="92"/>
      <c r="I3520" s="92"/>
      <c r="J3520" s="92"/>
      <c r="K3520" s="92"/>
      <c r="L3520" s="92"/>
      <c r="M3520" s="92"/>
      <c r="N3520" s="92"/>
      <c r="AG3520" s="107"/>
      <c r="AH3520" s="117"/>
      <c r="AI3520" s="117"/>
      <c r="AJ3520" s="107"/>
      <c r="AK3520" s="107"/>
      <c r="AL3520" s="107"/>
      <c r="AM3520" s="107"/>
      <c r="AN3520" s="107"/>
      <c r="AO3520" s="107"/>
      <c r="AP3520" s="107"/>
      <c r="AQ3520" s="107"/>
      <c r="AR3520" s="107"/>
      <c r="AS3520" s="107"/>
      <c r="AT3520" s="39"/>
      <c r="AZ3520" s="117"/>
      <c r="BA3520" s="117"/>
      <c r="BK3520" s="39"/>
    </row>
    <row r="3521" spans="1:63" x14ac:dyDescent="0.25">
      <c r="A3521" s="92"/>
      <c r="B3521" s="92"/>
      <c r="C3521" s="92"/>
      <c r="D3521" s="92"/>
      <c r="E3521" s="92"/>
      <c r="F3521" s="92"/>
      <c r="G3521" s="92"/>
      <c r="H3521" s="92"/>
      <c r="I3521" s="92"/>
      <c r="J3521" s="92"/>
      <c r="K3521" s="92"/>
      <c r="L3521" s="92"/>
      <c r="M3521" s="92"/>
      <c r="N3521" s="92"/>
      <c r="AG3521" s="107"/>
      <c r="AH3521" s="117"/>
      <c r="AI3521" s="117"/>
      <c r="AJ3521" s="107"/>
      <c r="AK3521" s="107"/>
      <c r="AL3521" s="107"/>
      <c r="AM3521" s="107"/>
      <c r="AN3521" s="107"/>
      <c r="AO3521" s="107"/>
      <c r="AP3521" s="107"/>
      <c r="AQ3521" s="107"/>
      <c r="AR3521" s="107"/>
      <c r="AS3521" s="107"/>
      <c r="AT3521" s="39"/>
      <c r="AZ3521" s="117"/>
      <c r="BA3521" s="117"/>
      <c r="BK3521" s="39"/>
    </row>
    <row r="3522" spans="1:63" x14ac:dyDescent="0.25">
      <c r="A3522" s="92"/>
      <c r="B3522" s="92"/>
      <c r="C3522" s="92"/>
      <c r="D3522" s="92"/>
      <c r="E3522" s="92"/>
      <c r="F3522" s="92"/>
      <c r="G3522" s="92"/>
      <c r="H3522" s="92"/>
      <c r="I3522" s="92"/>
      <c r="J3522" s="92"/>
      <c r="K3522" s="92"/>
      <c r="L3522" s="92"/>
      <c r="M3522" s="92"/>
      <c r="N3522" s="92"/>
      <c r="AG3522" s="107"/>
      <c r="AH3522" s="117"/>
      <c r="AI3522" s="117"/>
      <c r="AJ3522" s="107"/>
      <c r="AK3522" s="107"/>
      <c r="AL3522" s="107"/>
      <c r="AM3522" s="107"/>
      <c r="AN3522" s="107"/>
      <c r="AO3522" s="107"/>
      <c r="AP3522" s="107"/>
      <c r="AQ3522" s="107"/>
      <c r="AR3522" s="107"/>
      <c r="AS3522" s="107"/>
      <c r="AT3522" s="39"/>
      <c r="AZ3522" s="117"/>
      <c r="BA3522" s="117"/>
      <c r="BK3522" s="39"/>
    </row>
    <row r="3523" spans="1:63" x14ac:dyDescent="0.25">
      <c r="A3523" s="92"/>
      <c r="B3523" s="93"/>
      <c r="C3523" s="93"/>
      <c r="D3523" s="92"/>
      <c r="E3523" s="92"/>
      <c r="F3523" s="92"/>
      <c r="G3523" s="92"/>
      <c r="H3523" s="92"/>
      <c r="I3523" s="92"/>
      <c r="J3523" s="92"/>
      <c r="K3523" s="92"/>
      <c r="L3523" s="92"/>
      <c r="M3523" s="92"/>
      <c r="N3523" s="94"/>
      <c r="AG3523" s="107"/>
      <c r="AH3523" s="107"/>
      <c r="AI3523" s="107"/>
      <c r="AJ3523" s="107"/>
      <c r="AK3523" s="107"/>
      <c r="AL3523" s="107"/>
      <c r="AM3523" s="107"/>
      <c r="AN3523" s="107"/>
      <c r="AO3523" s="107"/>
      <c r="AP3523" s="107"/>
      <c r="AQ3523" s="107"/>
      <c r="AR3523" s="107"/>
      <c r="AS3523" s="107"/>
      <c r="AT3523" s="107"/>
      <c r="AZ3523" s="117"/>
      <c r="BK3523" s="39"/>
    </row>
    <row r="3524" spans="1:63" x14ac:dyDescent="0.25">
      <c r="A3524" s="92"/>
      <c r="B3524" s="93"/>
      <c r="C3524" s="93"/>
      <c r="D3524" s="92"/>
      <c r="E3524" s="92"/>
      <c r="F3524" s="92"/>
      <c r="G3524" s="92"/>
      <c r="H3524" s="92"/>
      <c r="I3524" s="92"/>
      <c r="J3524" s="92"/>
      <c r="K3524" s="92"/>
      <c r="L3524" s="92"/>
      <c r="M3524" s="92"/>
      <c r="N3524" s="94"/>
      <c r="AG3524" s="107"/>
      <c r="AH3524" s="117"/>
      <c r="AI3524" s="117"/>
      <c r="AJ3524" s="107"/>
      <c r="AK3524" s="107"/>
      <c r="AL3524" s="107"/>
      <c r="AM3524" s="107"/>
      <c r="AN3524" s="107"/>
      <c r="AO3524" s="107"/>
      <c r="AP3524" s="107"/>
      <c r="AQ3524" s="107"/>
      <c r="AR3524" s="107"/>
      <c r="AS3524" s="107"/>
      <c r="AT3524" s="39"/>
      <c r="AZ3524" s="117"/>
      <c r="BA3524" s="117"/>
      <c r="BK3524" s="39"/>
    </row>
    <row r="3525" spans="1:63" x14ac:dyDescent="0.25">
      <c r="A3525" s="92"/>
      <c r="B3525" s="92"/>
      <c r="C3525" s="92"/>
      <c r="D3525" s="92"/>
      <c r="E3525" s="92"/>
      <c r="F3525" s="92"/>
      <c r="G3525" s="92"/>
      <c r="H3525" s="92"/>
      <c r="I3525" s="92"/>
      <c r="J3525" s="92"/>
      <c r="K3525" s="92"/>
      <c r="L3525" s="92"/>
      <c r="M3525" s="92"/>
      <c r="N3525" s="92"/>
      <c r="AG3525" s="107"/>
      <c r="AH3525" s="117"/>
      <c r="AI3525" s="117"/>
      <c r="AJ3525" s="107"/>
      <c r="AK3525" s="107"/>
      <c r="AL3525" s="107"/>
      <c r="AM3525" s="107"/>
      <c r="AN3525" s="107"/>
      <c r="AO3525" s="107"/>
      <c r="AP3525" s="107"/>
      <c r="AQ3525" s="107"/>
      <c r="AR3525" s="107"/>
      <c r="AS3525" s="107"/>
      <c r="AT3525" s="39"/>
    </row>
    <row r="3526" spans="1:63" x14ac:dyDescent="0.25">
      <c r="A3526" s="92"/>
      <c r="B3526" s="92"/>
      <c r="C3526" s="92"/>
      <c r="D3526" s="92"/>
      <c r="E3526" s="92"/>
      <c r="F3526" s="92"/>
      <c r="G3526" s="92"/>
      <c r="H3526" s="92"/>
      <c r="I3526" s="92"/>
      <c r="J3526" s="92"/>
      <c r="K3526" s="92"/>
      <c r="L3526" s="92"/>
      <c r="M3526" s="92"/>
      <c r="N3526" s="92"/>
      <c r="AG3526" s="107"/>
      <c r="AH3526" s="117"/>
      <c r="AI3526" s="117"/>
      <c r="AJ3526" s="107"/>
      <c r="AK3526" s="107"/>
      <c r="AL3526" s="107"/>
      <c r="AM3526" s="107"/>
      <c r="AN3526" s="107"/>
      <c r="AO3526" s="107"/>
      <c r="AP3526" s="107"/>
      <c r="AQ3526" s="107"/>
      <c r="AR3526" s="107"/>
      <c r="AS3526" s="107"/>
      <c r="AT3526" s="39"/>
      <c r="AZ3526" s="117"/>
      <c r="BK3526" s="39"/>
    </row>
    <row r="3527" spans="1:63" x14ac:dyDescent="0.25">
      <c r="A3527" s="92"/>
      <c r="B3527" s="92"/>
      <c r="C3527" s="92"/>
      <c r="D3527" s="92"/>
      <c r="E3527" s="92"/>
      <c r="F3527" s="92"/>
      <c r="G3527" s="92"/>
      <c r="H3527" s="92"/>
      <c r="I3527" s="92"/>
      <c r="J3527" s="92"/>
      <c r="K3527" s="92"/>
      <c r="L3527" s="92"/>
      <c r="M3527" s="92"/>
      <c r="N3527" s="92"/>
      <c r="AG3527" s="107"/>
      <c r="AH3527" s="117"/>
      <c r="AI3527" s="117"/>
      <c r="AJ3527" s="107"/>
      <c r="AK3527" s="107"/>
      <c r="AL3527" s="107"/>
      <c r="AM3527" s="107"/>
      <c r="AN3527" s="107"/>
      <c r="AO3527" s="107"/>
      <c r="AP3527" s="107"/>
      <c r="AQ3527" s="107"/>
      <c r="AR3527" s="107"/>
      <c r="AS3527" s="107"/>
      <c r="AT3527" s="39"/>
      <c r="AZ3527" s="117"/>
      <c r="BK3527" s="39"/>
    </row>
    <row r="3528" spans="1:63" x14ac:dyDescent="0.25">
      <c r="A3528" s="92"/>
      <c r="B3528" s="92"/>
      <c r="C3528" s="92"/>
      <c r="D3528" s="92"/>
      <c r="E3528" s="92"/>
      <c r="F3528" s="92"/>
      <c r="G3528" s="92"/>
      <c r="H3528" s="92"/>
      <c r="I3528" s="92"/>
      <c r="J3528" s="92"/>
      <c r="K3528" s="92"/>
      <c r="L3528" s="92"/>
      <c r="M3528" s="92"/>
      <c r="N3528" s="92"/>
      <c r="AG3528" s="107"/>
      <c r="AH3528" s="107"/>
      <c r="AI3528" s="107"/>
      <c r="AJ3528" s="107"/>
      <c r="AK3528" s="107"/>
      <c r="AL3528" s="107"/>
      <c r="AM3528" s="107"/>
      <c r="AN3528" s="107"/>
      <c r="AO3528" s="107"/>
      <c r="AP3528" s="107"/>
      <c r="AQ3528" s="107"/>
      <c r="AR3528" s="107"/>
      <c r="AS3528" s="107"/>
      <c r="AT3528" s="107"/>
      <c r="AZ3528" s="117"/>
      <c r="BK3528" s="39"/>
    </row>
    <row r="3529" spans="1:63" x14ac:dyDescent="0.25">
      <c r="A3529" s="92"/>
      <c r="B3529" s="92"/>
      <c r="C3529" s="92"/>
      <c r="D3529" s="92"/>
      <c r="E3529" s="92"/>
      <c r="F3529" s="92"/>
      <c r="G3529" s="92"/>
      <c r="H3529" s="92"/>
      <c r="I3529" s="92"/>
      <c r="J3529" s="92"/>
      <c r="K3529" s="92"/>
      <c r="L3529" s="92"/>
      <c r="M3529" s="92"/>
      <c r="N3529" s="92"/>
      <c r="AG3529" s="107"/>
      <c r="AH3529" s="107"/>
      <c r="AI3529" s="107"/>
      <c r="AJ3529" s="107"/>
      <c r="AK3529" s="107"/>
      <c r="AL3529" s="107"/>
      <c r="AM3529" s="107"/>
      <c r="AN3529" s="107"/>
      <c r="AO3529" s="107"/>
      <c r="AP3529" s="107"/>
      <c r="AQ3529" s="107"/>
      <c r="AR3529" s="107"/>
      <c r="AS3529" s="107"/>
      <c r="AT3529" s="107"/>
      <c r="AZ3529" s="117"/>
      <c r="BK3529" s="39"/>
    </row>
    <row r="3530" spans="1:63" x14ac:dyDescent="0.25">
      <c r="A3530" s="92"/>
      <c r="B3530" s="92"/>
      <c r="C3530" s="92"/>
      <c r="D3530" s="92"/>
      <c r="E3530" s="92"/>
      <c r="F3530" s="92"/>
      <c r="G3530" s="92"/>
      <c r="H3530" s="92"/>
      <c r="I3530" s="92"/>
      <c r="J3530" s="92"/>
      <c r="K3530" s="92"/>
      <c r="L3530" s="92"/>
      <c r="M3530" s="92"/>
      <c r="N3530" s="92"/>
      <c r="AG3530" s="107"/>
      <c r="AH3530" s="107"/>
      <c r="AI3530" s="107"/>
      <c r="AJ3530" s="107"/>
      <c r="AK3530" s="107"/>
      <c r="AL3530" s="107"/>
      <c r="AM3530" s="107"/>
      <c r="AN3530" s="107"/>
      <c r="AO3530" s="107"/>
      <c r="AP3530" s="107"/>
      <c r="AQ3530" s="107"/>
      <c r="AR3530" s="107"/>
      <c r="AS3530" s="107"/>
      <c r="AT3530" s="107"/>
      <c r="AZ3530" s="117"/>
      <c r="BK3530" s="39"/>
    </row>
    <row r="3531" spans="1:63" x14ac:dyDescent="0.25">
      <c r="A3531" s="92"/>
      <c r="B3531" s="92"/>
      <c r="C3531" s="92"/>
      <c r="D3531" s="92"/>
      <c r="E3531" s="92"/>
      <c r="F3531" s="92"/>
      <c r="G3531" s="92"/>
      <c r="H3531" s="92"/>
      <c r="I3531" s="92"/>
      <c r="J3531" s="92"/>
      <c r="K3531" s="92"/>
      <c r="L3531" s="92"/>
      <c r="M3531" s="92"/>
      <c r="N3531" s="92"/>
      <c r="AG3531" s="107"/>
      <c r="AH3531" s="117"/>
      <c r="AI3531" s="117"/>
      <c r="AJ3531" s="107"/>
      <c r="AK3531" s="107"/>
      <c r="AL3531" s="107"/>
      <c r="AM3531" s="107"/>
      <c r="AN3531" s="107"/>
      <c r="AO3531" s="107"/>
      <c r="AP3531" s="107"/>
      <c r="AQ3531" s="107"/>
      <c r="AR3531" s="107"/>
      <c r="AS3531" s="107"/>
      <c r="AT3531" s="39"/>
      <c r="AZ3531" s="117"/>
      <c r="BK3531" s="39"/>
    </row>
    <row r="3532" spans="1:63" x14ac:dyDescent="0.25">
      <c r="A3532" s="92"/>
      <c r="B3532" s="92"/>
      <c r="C3532" s="92"/>
      <c r="D3532" s="92"/>
      <c r="E3532" s="92"/>
      <c r="F3532" s="92"/>
      <c r="G3532" s="92"/>
      <c r="H3532" s="92"/>
      <c r="I3532" s="92"/>
      <c r="J3532" s="92"/>
      <c r="K3532" s="92"/>
      <c r="L3532" s="92"/>
      <c r="M3532" s="92"/>
      <c r="N3532" s="92"/>
      <c r="AG3532" s="107"/>
      <c r="AH3532" s="117"/>
      <c r="AI3532" s="117"/>
      <c r="AJ3532" s="117"/>
      <c r="AK3532" s="107"/>
      <c r="AL3532" s="107"/>
      <c r="AM3532" s="107"/>
      <c r="AN3532" s="107"/>
      <c r="AO3532" s="107"/>
      <c r="AP3532" s="107"/>
      <c r="AQ3532" s="107"/>
      <c r="AR3532" s="107"/>
      <c r="AS3532" s="107"/>
      <c r="AT3532" s="39"/>
      <c r="AZ3532" s="117"/>
      <c r="BK3532" s="39"/>
    </row>
    <row r="3533" spans="1:63" x14ac:dyDescent="0.25">
      <c r="A3533" s="92"/>
      <c r="B3533" s="93"/>
      <c r="C3533" s="93"/>
      <c r="D3533" s="92"/>
      <c r="E3533" s="92"/>
      <c r="F3533" s="92"/>
      <c r="G3533" s="92"/>
      <c r="H3533" s="92"/>
      <c r="I3533" s="92"/>
      <c r="J3533" s="92"/>
      <c r="K3533" s="92"/>
      <c r="L3533" s="92"/>
      <c r="M3533" s="92"/>
      <c r="N3533" s="94"/>
      <c r="AG3533" s="107"/>
      <c r="AH3533" s="107"/>
      <c r="AI3533" s="107"/>
      <c r="AJ3533" s="107"/>
      <c r="AK3533" s="107"/>
      <c r="AL3533" s="107"/>
      <c r="AM3533" s="107"/>
      <c r="AN3533" s="107"/>
      <c r="AO3533" s="107"/>
      <c r="AP3533" s="107"/>
      <c r="AQ3533" s="107"/>
      <c r="AR3533" s="107"/>
      <c r="AS3533" s="107"/>
      <c r="AT3533" s="107"/>
      <c r="AZ3533" s="117"/>
      <c r="BK3533" s="39"/>
    </row>
    <row r="3534" spans="1:63" x14ac:dyDescent="0.25">
      <c r="A3534" s="92"/>
      <c r="B3534" s="93"/>
      <c r="C3534" s="93"/>
      <c r="D3534" s="92"/>
      <c r="E3534" s="92"/>
      <c r="F3534" s="92"/>
      <c r="G3534" s="92"/>
      <c r="H3534" s="92"/>
      <c r="I3534" s="92"/>
      <c r="J3534" s="92"/>
      <c r="K3534" s="92"/>
      <c r="L3534" s="92"/>
      <c r="M3534" s="92"/>
      <c r="N3534" s="94"/>
      <c r="AG3534" s="107"/>
      <c r="AH3534" s="107"/>
      <c r="AI3534" s="107"/>
      <c r="AJ3534" s="107"/>
      <c r="AK3534" s="107"/>
      <c r="AL3534" s="107"/>
      <c r="AM3534" s="107"/>
      <c r="AN3534" s="107"/>
      <c r="AO3534" s="107"/>
      <c r="AP3534" s="107"/>
      <c r="AQ3534" s="107"/>
      <c r="AR3534" s="107"/>
      <c r="AS3534" s="107"/>
      <c r="AT3534" s="107"/>
      <c r="AZ3534" s="117"/>
      <c r="BK3534" s="39"/>
    </row>
    <row r="3535" spans="1:63" x14ac:dyDescent="0.25">
      <c r="A3535" s="92"/>
      <c r="B3535" s="93"/>
      <c r="C3535" s="93"/>
      <c r="D3535" s="93"/>
      <c r="E3535" s="92"/>
      <c r="F3535" s="92"/>
      <c r="G3535" s="92"/>
      <c r="H3535" s="92"/>
      <c r="I3535" s="92"/>
      <c r="J3535" s="92"/>
      <c r="K3535" s="92"/>
      <c r="L3535" s="92"/>
      <c r="M3535" s="92"/>
      <c r="N3535" s="94"/>
      <c r="AG3535" s="107"/>
      <c r="AH3535" s="107"/>
      <c r="AI3535" s="107"/>
      <c r="AJ3535" s="107"/>
      <c r="AK3535" s="107"/>
      <c r="AL3535" s="107"/>
      <c r="AM3535" s="107"/>
      <c r="AN3535" s="107"/>
      <c r="AO3535" s="107"/>
      <c r="AP3535" s="107"/>
      <c r="AQ3535" s="107"/>
      <c r="AR3535" s="107"/>
      <c r="AS3535" s="107"/>
      <c r="AT3535" s="107"/>
      <c r="AZ3535" s="117"/>
      <c r="BK3535" s="39"/>
    </row>
    <row r="3536" spans="1:63" x14ac:dyDescent="0.25">
      <c r="A3536" s="92"/>
      <c r="B3536" s="93"/>
      <c r="C3536" s="93"/>
      <c r="D3536" s="93"/>
      <c r="E3536" s="92"/>
      <c r="F3536" s="92"/>
      <c r="G3536" s="92"/>
      <c r="H3536" s="92"/>
      <c r="I3536" s="92"/>
      <c r="J3536" s="92"/>
      <c r="K3536" s="92"/>
      <c r="L3536" s="92"/>
      <c r="M3536" s="92"/>
      <c r="N3536" s="94"/>
      <c r="AG3536" s="107"/>
      <c r="AH3536" s="107"/>
      <c r="AI3536" s="107"/>
      <c r="AJ3536" s="107"/>
      <c r="AK3536" s="107"/>
      <c r="AL3536" s="107"/>
      <c r="AM3536" s="107"/>
      <c r="AN3536" s="107"/>
      <c r="AO3536" s="107"/>
      <c r="AP3536" s="107"/>
      <c r="AQ3536" s="107"/>
      <c r="AR3536" s="107"/>
      <c r="AS3536" s="107"/>
      <c r="AT3536" s="107"/>
      <c r="AZ3536" s="117"/>
      <c r="BA3536" s="117"/>
      <c r="BK3536" s="39"/>
    </row>
    <row r="3537" spans="1:63" x14ac:dyDescent="0.25">
      <c r="A3537" s="92"/>
      <c r="B3537" s="93"/>
      <c r="C3537" s="93"/>
      <c r="D3537" s="93"/>
      <c r="E3537" s="92"/>
      <c r="F3537" s="92"/>
      <c r="G3537" s="92"/>
      <c r="H3537" s="92"/>
      <c r="I3537" s="92"/>
      <c r="J3537" s="92"/>
      <c r="K3537" s="92"/>
      <c r="L3537" s="92"/>
      <c r="M3537" s="92"/>
      <c r="N3537" s="94"/>
      <c r="AG3537" s="107"/>
      <c r="AH3537" s="117"/>
      <c r="AI3537" s="117"/>
      <c r="AJ3537" s="107"/>
      <c r="AK3537" s="107"/>
      <c r="AL3537" s="107"/>
      <c r="AM3537" s="107"/>
      <c r="AN3537" s="107"/>
      <c r="AO3537" s="107"/>
      <c r="AP3537" s="107"/>
      <c r="AQ3537" s="107"/>
      <c r="AR3537" s="107"/>
      <c r="AS3537" s="107"/>
      <c r="AT3537" s="39"/>
      <c r="BA3537" s="117"/>
    </row>
    <row r="3538" spans="1:63" x14ac:dyDescent="0.25">
      <c r="A3538" s="92"/>
      <c r="B3538" s="93"/>
      <c r="C3538" s="93"/>
      <c r="D3538" s="92"/>
      <c r="E3538" s="92"/>
      <c r="F3538" s="92"/>
      <c r="G3538" s="92"/>
      <c r="H3538" s="92"/>
      <c r="I3538" s="92"/>
      <c r="J3538" s="92"/>
      <c r="K3538" s="92"/>
      <c r="L3538" s="92"/>
      <c r="M3538" s="92"/>
      <c r="N3538" s="94"/>
      <c r="AG3538" s="107"/>
      <c r="AH3538" s="107"/>
      <c r="AI3538" s="107"/>
      <c r="AJ3538" s="107"/>
      <c r="AK3538" s="107"/>
      <c r="AL3538" s="107"/>
      <c r="AM3538" s="107"/>
      <c r="AN3538" s="107"/>
      <c r="AO3538" s="107"/>
      <c r="AP3538" s="107"/>
      <c r="AQ3538" s="107"/>
      <c r="AR3538" s="107"/>
      <c r="AS3538" s="107"/>
      <c r="AT3538" s="107"/>
      <c r="AZ3538" s="117"/>
      <c r="BK3538" s="39"/>
    </row>
    <row r="3539" spans="1:63" x14ac:dyDescent="0.25">
      <c r="A3539" s="92"/>
      <c r="B3539" s="93"/>
      <c r="C3539" s="93"/>
      <c r="D3539" s="93"/>
      <c r="E3539" s="92"/>
      <c r="F3539" s="92"/>
      <c r="G3539" s="92"/>
      <c r="H3539" s="92"/>
      <c r="I3539" s="92"/>
      <c r="J3539" s="92"/>
      <c r="K3539" s="92"/>
      <c r="L3539" s="92"/>
      <c r="M3539" s="92"/>
      <c r="N3539" s="94"/>
      <c r="AG3539" s="107"/>
      <c r="AH3539" s="117"/>
      <c r="AI3539" s="117"/>
      <c r="AJ3539" s="117"/>
      <c r="AK3539" s="107"/>
      <c r="AL3539" s="107"/>
      <c r="AM3539" s="107"/>
      <c r="AN3539" s="107"/>
      <c r="AO3539" s="107"/>
      <c r="AP3539" s="107"/>
      <c r="AQ3539" s="107"/>
      <c r="AR3539" s="107"/>
      <c r="AS3539" s="107"/>
      <c r="AT3539" s="39"/>
      <c r="AZ3539" s="117"/>
      <c r="BA3539" s="117"/>
      <c r="BK3539" s="39"/>
    </row>
    <row r="3540" spans="1:63" x14ac:dyDescent="0.25">
      <c r="A3540" s="92"/>
      <c r="B3540" s="92"/>
      <c r="C3540" s="92"/>
      <c r="D3540" s="92"/>
      <c r="E3540" s="92"/>
      <c r="F3540" s="92"/>
      <c r="G3540" s="92"/>
      <c r="H3540" s="92"/>
      <c r="I3540" s="92"/>
      <c r="J3540" s="92"/>
      <c r="K3540" s="92"/>
      <c r="L3540" s="92"/>
      <c r="M3540" s="92"/>
      <c r="N3540" s="92"/>
      <c r="AG3540" s="107"/>
      <c r="AH3540" s="107"/>
      <c r="AI3540" s="107"/>
      <c r="AJ3540" s="117"/>
      <c r="AK3540" s="107"/>
      <c r="AL3540" s="107"/>
      <c r="AM3540" s="107"/>
      <c r="AN3540" s="107"/>
      <c r="AO3540" s="107"/>
      <c r="AP3540" s="107"/>
      <c r="AQ3540" s="107"/>
      <c r="AR3540" s="107"/>
      <c r="AS3540" s="107"/>
      <c r="AT3540" s="107"/>
      <c r="AZ3540" s="117"/>
      <c r="BK3540" s="39"/>
    </row>
    <row r="3541" spans="1:63" x14ac:dyDescent="0.25">
      <c r="A3541" s="92"/>
      <c r="B3541" s="93"/>
      <c r="C3541" s="93"/>
      <c r="D3541" s="92"/>
      <c r="E3541" s="92"/>
      <c r="F3541" s="92"/>
      <c r="G3541" s="92"/>
      <c r="H3541" s="92"/>
      <c r="I3541" s="92"/>
      <c r="J3541" s="92"/>
      <c r="K3541" s="92"/>
      <c r="L3541" s="92"/>
      <c r="M3541" s="92"/>
      <c r="N3541" s="94"/>
      <c r="AG3541" s="107"/>
      <c r="AH3541" s="107"/>
      <c r="AI3541" s="107"/>
      <c r="AJ3541" s="107"/>
      <c r="AK3541" s="107"/>
      <c r="AL3541" s="107"/>
      <c r="AM3541" s="107"/>
      <c r="AN3541" s="107"/>
      <c r="AO3541" s="107"/>
      <c r="AP3541" s="107"/>
      <c r="AQ3541" s="107"/>
      <c r="AR3541" s="107"/>
      <c r="AS3541" s="107"/>
      <c r="AT3541" s="107"/>
      <c r="AZ3541" s="117"/>
      <c r="BA3541" s="117"/>
      <c r="BK3541" s="39"/>
    </row>
    <row r="3542" spans="1:63" x14ac:dyDescent="0.25">
      <c r="A3542" s="92"/>
      <c r="B3542" s="93"/>
      <c r="C3542" s="93"/>
      <c r="D3542" s="92"/>
      <c r="E3542" s="92"/>
      <c r="F3542" s="92"/>
      <c r="G3542" s="92"/>
      <c r="H3542" s="92"/>
      <c r="I3542" s="92"/>
      <c r="J3542" s="92"/>
      <c r="K3542" s="92"/>
      <c r="L3542" s="92"/>
      <c r="M3542" s="92"/>
      <c r="N3542" s="94"/>
      <c r="AG3542" s="107"/>
      <c r="AH3542" s="107"/>
      <c r="AI3542" s="107"/>
      <c r="AJ3542" s="107"/>
      <c r="AK3542" s="107"/>
      <c r="AL3542" s="107"/>
      <c r="AM3542" s="107"/>
      <c r="AN3542" s="107"/>
      <c r="AO3542" s="107"/>
      <c r="AP3542" s="107"/>
      <c r="AQ3542" s="107"/>
      <c r="AR3542" s="107"/>
      <c r="AS3542" s="107"/>
      <c r="AT3542" s="107"/>
      <c r="AZ3542" s="117"/>
      <c r="BA3542" s="117"/>
      <c r="BK3542" s="39"/>
    </row>
    <row r="3543" spans="1:63" x14ac:dyDescent="0.25">
      <c r="A3543" s="92"/>
      <c r="B3543" s="93"/>
      <c r="C3543" s="93"/>
      <c r="D3543" s="92"/>
      <c r="E3543" s="92"/>
      <c r="F3543" s="92"/>
      <c r="G3543" s="92"/>
      <c r="H3543" s="92"/>
      <c r="I3543" s="92"/>
      <c r="J3543" s="92"/>
      <c r="K3543" s="92"/>
      <c r="L3543" s="92"/>
      <c r="M3543" s="92"/>
      <c r="N3543" s="94"/>
      <c r="AG3543" s="107"/>
      <c r="AH3543" s="117"/>
      <c r="AI3543" s="117"/>
      <c r="AJ3543" s="117"/>
      <c r="AK3543" s="107"/>
      <c r="AL3543" s="107"/>
      <c r="AM3543" s="107"/>
      <c r="AN3543" s="107"/>
      <c r="AO3543" s="107"/>
      <c r="AP3543" s="107"/>
      <c r="AQ3543" s="107"/>
      <c r="AR3543" s="107"/>
      <c r="AS3543" s="107"/>
      <c r="AT3543" s="39"/>
    </row>
    <row r="3544" spans="1:63" x14ac:dyDescent="0.25">
      <c r="A3544" s="92"/>
      <c r="B3544" s="93"/>
      <c r="C3544" s="93"/>
      <c r="D3544" s="92"/>
      <c r="E3544" s="92"/>
      <c r="F3544" s="92"/>
      <c r="G3544" s="92"/>
      <c r="H3544" s="92"/>
      <c r="I3544" s="92"/>
      <c r="J3544" s="92"/>
      <c r="K3544" s="92"/>
      <c r="L3544" s="92"/>
      <c r="M3544" s="92"/>
      <c r="N3544" s="94"/>
      <c r="AG3544" s="107"/>
      <c r="AH3544" s="117"/>
      <c r="AI3544" s="117"/>
      <c r="AJ3544" s="117"/>
      <c r="AK3544" s="107"/>
      <c r="AL3544" s="107"/>
      <c r="AM3544" s="107"/>
      <c r="AN3544" s="107"/>
      <c r="AO3544" s="107"/>
      <c r="AP3544" s="107"/>
      <c r="AQ3544" s="107"/>
      <c r="AR3544" s="107"/>
      <c r="AS3544" s="107"/>
      <c r="AT3544" s="39"/>
    </row>
    <row r="3545" spans="1:63" x14ac:dyDescent="0.25">
      <c r="A3545" s="92"/>
      <c r="B3545" s="93"/>
      <c r="C3545" s="93"/>
      <c r="D3545" s="92"/>
      <c r="E3545" s="92"/>
      <c r="F3545" s="92"/>
      <c r="G3545" s="92"/>
      <c r="H3545" s="92"/>
      <c r="I3545" s="92"/>
      <c r="J3545" s="92"/>
      <c r="K3545" s="92"/>
      <c r="L3545" s="92"/>
      <c r="M3545" s="92"/>
      <c r="N3545" s="94"/>
      <c r="AG3545" s="107"/>
      <c r="AH3545" s="117"/>
      <c r="AI3545" s="117"/>
      <c r="AJ3545" s="107"/>
      <c r="AK3545" s="107"/>
      <c r="AL3545" s="107"/>
      <c r="AM3545" s="107"/>
      <c r="AN3545" s="107"/>
      <c r="AO3545" s="107"/>
      <c r="AP3545" s="107"/>
      <c r="AQ3545" s="107"/>
      <c r="AR3545" s="107"/>
      <c r="AS3545" s="107"/>
      <c r="AT3545" s="39"/>
    </row>
    <row r="3546" spans="1:63" x14ac:dyDescent="0.25">
      <c r="A3546" s="92"/>
      <c r="B3546" s="93"/>
      <c r="C3546" s="93"/>
      <c r="D3546" s="92"/>
      <c r="E3546" s="92"/>
      <c r="F3546" s="92"/>
      <c r="G3546" s="92"/>
      <c r="H3546" s="92"/>
      <c r="I3546" s="92"/>
      <c r="J3546" s="92"/>
      <c r="K3546" s="92"/>
      <c r="L3546" s="92"/>
      <c r="M3546" s="92"/>
      <c r="N3546" s="94"/>
      <c r="AG3546" s="107"/>
      <c r="AH3546" s="107"/>
      <c r="AI3546" s="107"/>
      <c r="AJ3546" s="107"/>
      <c r="AK3546" s="107"/>
      <c r="AL3546" s="107"/>
      <c r="AM3546" s="107"/>
      <c r="AN3546" s="107"/>
      <c r="AO3546" s="107"/>
      <c r="AP3546" s="107"/>
      <c r="AQ3546" s="107"/>
      <c r="AR3546" s="107"/>
      <c r="AS3546" s="107"/>
      <c r="AT3546" s="107"/>
    </row>
    <row r="3547" spans="1:63" x14ac:dyDescent="0.25">
      <c r="A3547" s="92"/>
      <c r="B3547" s="93"/>
      <c r="C3547" s="93"/>
      <c r="D3547" s="92"/>
      <c r="E3547" s="92"/>
      <c r="F3547" s="92"/>
      <c r="G3547" s="92"/>
      <c r="H3547" s="92"/>
      <c r="I3547" s="92"/>
      <c r="J3547" s="92"/>
      <c r="K3547" s="92"/>
      <c r="L3547" s="92"/>
      <c r="M3547" s="92"/>
      <c r="N3547" s="94"/>
      <c r="AG3547" s="107"/>
      <c r="AH3547" s="107"/>
      <c r="AI3547" s="107"/>
      <c r="AJ3547" s="107"/>
      <c r="AK3547" s="107"/>
      <c r="AL3547" s="107"/>
      <c r="AM3547" s="107"/>
      <c r="AN3547" s="107"/>
      <c r="AO3547" s="107"/>
      <c r="AP3547" s="107"/>
      <c r="AQ3547" s="107"/>
      <c r="AR3547" s="107"/>
      <c r="AS3547" s="107"/>
      <c r="AT3547" s="107"/>
    </row>
    <row r="3548" spans="1:63" x14ac:dyDescent="0.25">
      <c r="A3548" s="92"/>
      <c r="B3548" s="93"/>
      <c r="C3548" s="93"/>
      <c r="D3548" s="92"/>
      <c r="E3548" s="92"/>
      <c r="F3548" s="92"/>
      <c r="G3548" s="92"/>
      <c r="H3548" s="92"/>
      <c r="I3548" s="92"/>
      <c r="J3548" s="92"/>
      <c r="K3548" s="92"/>
      <c r="L3548" s="92"/>
      <c r="M3548" s="92"/>
      <c r="N3548" s="94"/>
      <c r="AG3548" s="107"/>
      <c r="AH3548" s="107"/>
      <c r="AI3548" s="107"/>
      <c r="AJ3548" s="107"/>
      <c r="AK3548" s="107"/>
      <c r="AL3548" s="107"/>
      <c r="AM3548" s="107"/>
      <c r="AN3548" s="107"/>
      <c r="AO3548" s="107"/>
      <c r="AP3548" s="107"/>
      <c r="AQ3548" s="107"/>
      <c r="AR3548" s="107"/>
      <c r="AS3548" s="107"/>
      <c r="AT3548" s="107"/>
    </row>
    <row r="3549" spans="1:63" x14ac:dyDescent="0.25">
      <c r="A3549" s="92"/>
      <c r="B3549" s="93"/>
      <c r="C3549" s="93"/>
      <c r="D3549" s="92"/>
      <c r="E3549" s="92"/>
      <c r="F3549" s="92"/>
      <c r="G3549" s="92"/>
      <c r="H3549" s="92"/>
      <c r="I3549" s="92"/>
      <c r="J3549" s="92"/>
      <c r="K3549" s="92"/>
      <c r="L3549" s="92"/>
      <c r="M3549" s="92"/>
      <c r="N3549" s="94"/>
      <c r="AG3549" s="107"/>
      <c r="AH3549" s="107"/>
      <c r="AI3549" s="107"/>
      <c r="AJ3549" s="107"/>
      <c r="AK3549" s="107"/>
      <c r="AL3549" s="107"/>
      <c r="AM3549" s="107"/>
      <c r="AN3549" s="107"/>
      <c r="AO3549" s="107"/>
      <c r="AP3549" s="107"/>
      <c r="AQ3549" s="107"/>
      <c r="AR3549" s="107"/>
      <c r="AS3549" s="107"/>
      <c r="AT3549" s="107"/>
    </row>
    <row r="3550" spans="1:63" x14ac:dyDescent="0.25">
      <c r="A3550" s="92"/>
      <c r="B3550" s="93"/>
      <c r="C3550" s="93"/>
      <c r="D3550" s="92"/>
      <c r="E3550" s="92"/>
      <c r="F3550" s="92"/>
      <c r="G3550" s="92"/>
      <c r="H3550" s="92"/>
      <c r="I3550" s="92"/>
      <c r="J3550" s="92"/>
      <c r="K3550" s="92"/>
      <c r="L3550" s="92"/>
      <c r="M3550" s="92"/>
      <c r="N3550" s="94"/>
      <c r="AG3550" s="107"/>
      <c r="AH3550" s="117"/>
      <c r="AI3550" s="117"/>
      <c r="AJ3550" s="117"/>
      <c r="AK3550" s="107"/>
      <c r="AL3550" s="107"/>
      <c r="AM3550" s="107"/>
      <c r="AN3550" s="107"/>
      <c r="AO3550" s="107"/>
      <c r="AP3550" s="107"/>
      <c r="AQ3550" s="107"/>
      <c r="AR3550" s="107"/>
      <c r="AS3550" s="107"/>
      <c r="AT3550" s="39"/>
    </row>
    <row r="3551" spans="1:63" x14ac:dyDescent="0.25">
      <c r="A3551" s="92"/>
      <c r="B3551" s="93"/>
      <c r="C3551" s="93"/>
      <c r="D3551" s="93"/>
      <c r="E3551" s="92"/>
      <c r="F3551" s="92"/>
      <c r="G3551" s="92"/>
      <c r="H3551" s="92"/>
      <c r="I3551" s="92"/>
      <c r="J3551" s="92"/>
      <c r="K3551" s="92"/>
      <c r="L3551" s="92"/>
      <c r="M3551" s="92"/>
      <c r="N3551" s="94"/>
      <c r="AG3551" s="107"/>
      <c r="AH3551" s="107"/>
      <c r="AI3551" s="107"/>
      <c r="AJ3551" s="117"/>
      <c r="AK3551" s="107"/>
      <c r="AL3551" s="107"/>
      <c r="AM3551" s="107"/>
      <c r="AN3551" s="107"/>
      <c r="AO3551" s="107"/>
      <c r="AP3551" s="107"/>
      <c r="AQ3551" s="107"/>
      <c r="AR3551" s="107"/>
      <c r="AS3551" s="107"/>
      <c r="AT3551" s="107"/>
    </row>
    <row r="3552" spans="1:63" x14ac:dyDescent="0.25">
      <c r="A3552" s="92"/>
      <c r="B3552" s="92"/>
      <c r="C3552" s="92"/>
      <c r="D3552" s="93"/>
      <c r="E3552" s="92"/>
      <c r="F3552" s="92"/>
      <c r="G3552" s="92"/>
      <c r="H3552" s="92"/>
      <c r="I3552" s="92"/>
      <c r="J3552" s="92"/>
      <c r="K3552" s="92"/>
      <c r="L3552" s="92"/>
      <c r="M3552" s="92"/>
      <c r="N3552" s="92"/>
      <c r="AG3552" s="107"/>
      <c r="AH3552" s="117"/>
      <c r="AI3552" s="117"/>
      <c r="AJ3552" s="107"/>
      <c r="AK3552" s="107"/>
      <c r="AL3552" s="107"/>
      <c r="AM3552" s="107"/>
      <c r="AN3552" s="107"/>
      <c r="AO3552" s="107"/>
      <c r="AP3552" s="107"/>
      <c r="AQ3552" s="107"/>
      <c r="AR3552" s="107"/>
      <c r="AS3552" s="107"/>
      <c r="AT3552" s="39"/>
    </row>
    <row r="3553" spans="1:63" x14ac:dyDescent="0.25">
      <c r="A3553" s="92"/>
      <c r="B3553" s="92"/>
      <c r="C3553" s="92"/>
      <c r="D3553" s="93"/>
      <c r="E3553" s="92"/>
      <c r="F3553" s="92"/>
      <c r="G3553" s="92"/>
      <c r="H3553" s="92"/>
      <c r="I3553" s="92"/>
      <c r="J3553" s="92"/>
      <c r="K3553" s="92"/>
      <c r="L3553" s="92"/>
      <c r="M3553" s="92"/>
      <c r="N3553" s="92"/>
      <c r="AG3553" s="107"/>
      <c r="AH3553" s="117"/>
      <c r="AI3553" s="117"/>
      <c r="AJ3553" s="117"/>
      <c r="AK3553" s="107"/>
      <c r="AL3553" s="107"/>
      <c r="AM3553" s="107"/>
      <c r="AN3553" s="107"/>
      <c r="AO3553" s="107"/>
      <c r="AP3553" s="107"/>
      <c r="AQ3553" s="107"/>
      <c r="AR3553" s="107"/>
      <c r="AS3553" s="107"/>
      <c r="AT3553" s="39"/>
    </row>
    <row r="3554" spans="1:63" x14ac:dyDescent="0.25">
      <c r="A3554" s="92"/>
      <c r="B3554" s="93"/>
      <c r="C3554" s="93"/>
      <c r="D3554" s="92"/>
      <c r="E3554" s="92"/>
      <c r="F3554" s="92"/>
      <c r="G3554" s="92"/>
      <c r="H3554" s="92"/>
      <c r="I3554" s="92"/>
      <c r="J3554" s="92"/>
      <c r="K3554" s="92"/>
      <c r="L3554" s="92"/>
      <c r="M3554" s="92"/>
      <c r="N3554" s="94"/>
      <c r="AG3554" s="107"/>
      <c r="AH3554" s="107"/>
      <c r="AI3554" s="107"/>
      <c r="AJ3554" s="11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Z3554" s="117"/>
      <c r="BA3554" s="117"/>
      <c r="BK3554" s="39"/>
    </row>
    <row r="3555" spans="1:63" x14ac:dyDescent="0.25">
      <c r="A3555" s="92"/>
      <c r="B3555" s="93"/>
      <c r="C3555" s="93"/>
      <c r="D3555" s="93"/>
      <c r="E3555" s="92"/>
      <c r="F3555" s="92"/>
      <c r="G3555" s="92"/>
      <c r="H3555" s="92"/>
      <c r="I3555" s="92"/>
      <c r="J3555" s="92"/>
      <c r="K3555" s="92"/>
      <c r="L3555" s="92"/>
      <c r="M3555" s="92"/>
      <c r="N3555" s="94"/>
      <c r="AG3555" s="107"/>
      <c r="AH3555" s="107"/>
      <c r="AI3555" s="107"/>
      <c r="AJ3555" s="117"/>
      <c r="AK3555" s="107"/>
      <c r="AL3555" s="107"/>
      <c r="AM3555" s="107"/>
      <c r="AN3555" s="107"/>
      <c r="AO3555" s="107"/>
      <c r="AP3555" s="107"/>
      <c r="AQ3555" s="107"/>
      <c r="AR3555" s="107"/>
      <c r="AS3555" s="107"/>
      <c r="AT3555" s="107"/>
    </row>
    <row r="3556" spans="1:63" x14ac:dyDescent="0.25">
      <c r="A3556" s="92"/>
      <c r="B3556" s="93"/>
      <c r="C3556" s="93"/>
      <c r="D3556" s="92"/>
      <c r="E3556" s="92"/>
      <c r="F3556" s="92"/>
      <c r="G3556" s="92"/>
      <c r="H3556" s="92"/>
      <c r="I3556" s="92"/>
      <c r="J3556" s="92"/>
      <c r="K3556" s="92"/>
      <c r="L3556" s="92"/>
      <c r="M3556" s="92"/>
      <c r="N3556" s="94"/>
      <c r="AG3556" s="107"/>
      <c r="AH3556" s="107"/>
      <c r="AI3556" s="107"/>
      <c r="AJ3556" s="117"/>
      <c r="AK3556" s="107"/>
      <c r="AL3556" s="107"/>
      <c r="AM3556" s="107"/>
      <c r="AN3556" s="107"/>
      <c r="AO3556" s="107"/>
      <c r="AP3556" s="107"/>
      <c r="AQ3556" s="107"/>
      <c r="AR3556" s="107"/>
      <c r="AS3556" s="107"/>
      <c r="AT3556" s="107"/>
      <c r="AZ3556" s="117"/>
      <c r="BK3556" s="39"/>
    </row>
    <row r="3557" spans="1:63" x14ac:dyDescent="0.25">
      <c r="A3557" s="92"/>
      <c r="B3557" s="93"/>
      <c r="C3557" s="93"/>
      <c r="D3557" s="93"/>
      <c r="E3557" s="92"/>
      <c r="F3557" s="92"/>
      <c r="G3557" s="92"/>
      <c r="H3557" s="92"/>
      <c r="I3557" s="92"/>
      <c r="J3557" s="92"/>
      <c r="K3557" s="92"/>
      <c r="L3557" s="92"/>
      <c r="M3557" s="92"/>
      <c r="N3557" s="94"/>
      <c r="AG3557" s="107"/>
      <c r="AH3557" s="107"/>
      <c r="AI3557" s="107"/>
      <c r="AJ3557" s="117"/>
      <c r="AK3557" s="107"/>
      <c r="AL3557" s="107"/>
      <c r="AM3557" s="107"/>
      <c r="AN3557" s="107"/>
      <c r="AO3557" s="107"/>
      <c r="AP3557" s="107"/>
      <c r="AQ3557" s="107"/>
      <c r="AR3557" s="107"/>
      <c r="AS3557" s="107"/>
      <c r="AT3557" s="107"/>
      <c r="AZ3557" s="117"/>
      <c r="BK3557" s="39"/>
    </row>
    <row r="3558" spans="1:63" x14ac:dyDescent="0.25">
      <c r="A3558" s="92"/>
      <c r="B3558" s="93"/>
      <c r="C3558" s="93"/>
      <c r="D3558" s="93"/>
      <c r="E3558" s="92"/>
      <c r="F3558" s="92"/>
      <c r="G3558" s="92"/>
      <c r="H3558" s="92"/>
      <c r="I3558" s="92"/>
      <c r="J3558" s="92"/>
      <c r="K3558" s="92"/>
      <c r="L3558" s="92"/>
      <c r="M3558" s="92"/>
      <c r="N3558" s="94"/>
      <c r="AG3558" s="107"/>
      <c r="AH3558" s="117"/>
      <c r="AI3558" s="117"/>
      <c r="AJ3558" s="117"/>
      <c r="AK3558" s="107"/>
      <c r="AL3558" s="107"/>
      <c r="AM3558" s="107"/>
      <c r="AN3558" s="107"/>
      <c r="AO3558" s="107"/>
      <c r="AP3558" s="107"/>
      <c r="AQ3558" s="107"/>
      <c r="AR3558" s="107"/>
      <c r="AS3558" s="107"/>
      <c r="AT3558" s="39"/>
      <c r="AZ3558" s="117"/>
      <c r="BK3558" s="39"/>
    </row>
    <row r="3559" spans="1:63" x14ac:dyDescent="0.25">
      <c r="A3559" s="92"/>
      <c r="B3559" s="92"/>
      <c r="C3559" s="92"/>
      <c r="D3559" s="92"/>
      <c r="E3559" s="92"/>
      <c r="F3559" s="92"/>
      <c r="G3559" s="92"/>
      <c r="H3559" s="92"/>
      <c r="I3559" s="92"/>
      <c r="J3559" s="92"/>
      <c r="K3559" s="92"/>
      <c r="L3559" s="92"/>
      <c r="M3559" s="92"/>
      <c r="N3559" s="92"/>
      <c r="AG3559" s="107"/>
      <c r="AH3559" s="117"/>
      <c r="AI3559" s="117"/>
      <c r="AJ3559" s="117"/>
      <c r="AK3559" s="107"/>
      <c r="AL3559" s="107"/>
      <c r="AM3559" s="107"/>
      <c r="AN3559" s="107"/>
      <c r="AO3559" s="107"/>
      <c r="AP3559" s="107"/>
      <c r="AQ3559" s="107"/>
      <c r="AR3559" s="107"/>
      <c r="AS3559" s="107"/>
      <c r="AT3559" s="39"/>
      <c r="AZ3559" s="117"/>
      <c r="BK3559" s="39"/>
    </row>
    <row r="3560" spans="1:63" x14ac:dyDescent="0.25">
      <c r="A3560" s="92"/>
      <c r="B3560" s="92"/>
      <c r="C3560" s="92"/>
      <c r="D3560" s="92"/>
      <c r="E3560" s="92"/>
      <c r="F3560" s="92"/>
      <c r="G3560" s="92"/>
      <c r="H3560" s="92"/>
      <c r="I3560" s="92"/>
      <c r="J3560" s="92"/>
      <c r="K3560" s="92"/>
      <c r="L3560" s="92"/>
      <c r="M3560" s="92"/>
      <c r="N3560" s="92"/>
      <c r="AG3560" s="107"/>
      <c r="AH3560" s="117"/>
      <c r="AI3560" s="117"/>
      <c r="AJ3560" s="117"/>
      <c r="AK3560" s="107"/>
      <c r="AL3560" s="107"/>
      <c r="AM3560" s="107"/>
      <c r="AN3560" s="107"/>
      <c r="AO3560" s="107"/>
      <c r="AP3560" s="107"/>
      <c r="AQ3560" s="107"/>
      <c r="AR3560" s="107"/>
      <c r="AS3560" s="107"/>
      <c r="AT3560" s="39"/>
      <c r="AZ3560" s="117"/>
      <c r="BK3560" s="39"/>
    </row>
    <row r="3561" spans="1:63" x14ac:dyDescent="0.25">
      <c r="A3561" s="92"/>
      <c r="B3561" s="92"/>
      <c r="C3561" s="92"/>
      <c r="D3561" s="92"/>
      <c r="E3561" s="92"/>
      <c r="F3561" s="92"/>
      <c r="G3561" s="92"/>
      <c r="H3561" s="92"/>
      <c r="I3561" s="92"/>
      <c r="J3561" s="92"/>
      <c r="K3561" s="92"/>
      <c r="L3561" s="92"/>
      <c r="M3561" s="92"/>
      <c r="N3561" s="92"/>
      <c r="AG3561" s="107"/>
      <c r="AH3561" s="117"/>
      <c r="AI3561" s="117"/>
      <c r="AJ3561" s="107"/>
      <c r="AK3561" s="107"/>
      <c r="AL3561" s="107"/>
      <c r="AM3561" s="107"/>
      <c r="AN3561" s="107"/>
      <c r="AO3561" s="107"/>
      <c r="AP3561" s="107"/>
      <c r="AQ3561" s="107"/>
      <c r="AR3561" s="107"/>
      <c r="AS3561" s="107"/>
      <c r="AT3561" s="39"/>
      <c r="AZ3561" s="117"/>
      <c r="BK3561" s="39"/>
    </row>
    <row r="3562" spans="1:63" x14ac:dyDescent="0.25">
      <c r="A3562" s="92"/>
      <c r="B3562" s="92"/>
      <c r="C3562" s="92"/>
      <c r="D3562" s="92"/>
      <c r="E3562" s="92"/>
      <c r="F3562" s="92"/>
      <c r="G3562" s="92"/>
      <c r="H3562" s="92"/>
      <c r="I3562" s="92"/>
      <c r="J3562" s="92"/>
      <c r="K3562" s="92"/>
      <c r="L3562" s="92"/>
      <c r="M3562" s="92"/>
      <c r="N3562" s="92"/>
      <c r="AG3562" s="107"/>
      <c r="AH3562" s="117"/>
      <c r="AI3562" s="117"/>
      <c r="AJ3562" s="107"/>
      <c r="AK3562" s="107"/>
      <c r="AL3562" s="107"/>
      <c r="AM3562" s="107"/>
      <c r="AN3562" s="107"/>
      <c r="AO3562" s="107"/>
      <c r="AP3562" s="107"/>
      <c r="AQ3562" s="107"/>
      <c r="AR3562" s="107"/>
      <c r="AS3562" s="107"/>
      <c r="AT3562" s="39"/>
      <c r="AZ3562" s="117"/>
      <c r="BA3562" s="117"/>
      <c r="BK3562" s="39"/>
    </row>
    <row r="3563" spans="1:63" x14ac:dyDescent="0.25">
      <c r="A3563" s="92"/>
      <c r="B3563" s="92"/>
      <c r="C3563" s="92"/>
      <c r="D3563" s="92"/>
      <c r="E3563" s="92"/>
      <c r="F3563" s="92"/>
      <c r="G3563" s="92"/>
      <c r="H3563" s="92"/>
      <c r="I3563" s="92"/>
      <c r="J3563" s="92"/>
      <c r="K3563" s="92"/>
      <c r="L3563" s="92"/>
      <c r="M3563" s="92"/>
      <c r="N3563" s="92"/>
      <c r="AG3563" s="107"/>
      <c r="AH3563" s="107"/>
      <c r="AI3563" s="107"/>
      <c r="AJ3563" s="107"/>
      <c r="AK3563" s="107"/>
      <c r="AL3563" s="107"/>
      <c r="AM3563" s="107"/>
      <c r="AN3563" s="107"/>
      <c r="AO3563" s="107"/>
      <c r="AP3563" s="107"/>
      <c r="AQ3563" s="107"/>
      <c r="AR3563" s="107"/>
      <c r="AS3563" s="107"/>
      <c r="AT3563" s="107"/>
      <c r="AZ3563" s="117"/>
      <c r="BK3563" s="39"/>
    </row>
    <row r="3564" spans="1:63" x14ac:dyDescent="0.25">
      <c r="A3564" s="92"/>
      <c r="B3564" s="92"/>
      <c r="C3564" s="92"/>
      <c r="D3564" s="92"/>
      <c r="E3564" s="92"/>
      <c r="F3564" s="92"/>
      <c r="G3564" s="92"/>
      <c r="H3564" s="92"/>
      <c r="I3564" s="92"/>
      <c r="J3564" s="92"/>
      <c r="K3564" s="92"/>
      <c r="L3564" s="92"/>
      <c r="M3564" s="92"/>
      <c r="N3564" s="92"/>
      <c r="AG3564" s="107"/>
      <c r="AH3564" s="107"/>
      <c r="AI3564" s="107"/>
      <c r="AJ3564" s="107"/>
      <c r="AK3564" s="107"/>
      <c r="AL3564" s="107"/>
      <c r="AM3564" s="107"/>
      <c r="AN3564" s="107"/>
      <c r="AO3564" s="107"/>
      <c r="AP3564" s="107"/>
      <c r="AQ3564" s="107"/>
      <c r="AR3564" s="107"/>
      <c r="AS3564" s="107"/>
      <c r="AT3564" s="107"/>
      <c r="AZ3564" s="117"/>
      <c r="BK3564" s="39"/>
    </row>
    <row r="3565" spans="1:63" x14ac:dyDescent="0.25">
      <c r="A3565" s="92"/>
      <c r="B3565" s="92"/>
      <c r="C3565" s="92"/>
      <c r="D3565" s="92"/>
      <c r="E3565" s="92"/>
      <c r="F3565" s="92"/>
      <c r="G3565" s="92"/>
      <c r="H3565" s="92"/>
      <c r="I3565" s="92"/>
      <c r="J3565" s="92"/>
      <c r="K3565" s="92"/>
      <c r="L3565" s="92"/>
      <c r="M3565" s="92"/>
      <c r="N3565" s="92"/>
      <c r="AG3565" s="107"/>
      <c r="AH3565" s="107"/>
      <c r="AI3565" s="107"/>
      <c r="AJ3565" s="107"/>
      <c r="AK3565" s="107"/>
      <c r="AL3565" s="107"/>
      <c r="AM3565" s="107"/>
      <c r="AN3565" s="107"/>
      <c r="AO3565" s="107"/>
      <c r="AP3565" s="107"/>
      <c r="AQ3565" s="107"/>
      <c r="AR3565" s="107"/>
      <c r="AS3565" s="107"/>
      <c r="AT3565" s="107"/>
      <c r="AZ3565" s="117"/>
      <c r="BK3565" s="39"/>
    </row>
    <row r="3566" spans="1:63" x14ac:dyDescent="0.25">
      <c r="A3566" s="92"/>
      <c r="B3566" s="92"/>
      <c r="C3566" s="92"/>
      <c r="D3566" s="92"/>
      <c r="E3566" s="92"/>
      <c r="F3566" s="92"/>
      <c r="G3566" s="92"/>
      <c r="H3566" s="92"/>
      <c r="I3566" s="92"/>
      <c r="J3566" s="92"/>
      <c r="K3566" s="92"/>
      <c r="L3566" s="92"/>
      <c r="M3566" s="92"/>
      <c r="N3566" s="92"/>
      <c r="AG3566" s="107"/>
      <c r="AH3566" s="107"/>
      <c r="AI3566" s="107"/>
      <c r="AJ3566" s="107"/>
      <c r="AK3566" s="107"/>
      <c r="AL3566" s="107"/>
      <c r="AM3566" s="107"/>
      <c r="AN3566" s="107"/>
      <c r="AO3566" s="107"/>
      <c r="AP3566" s="107"/>
      <c r="AQ3566" s="107"/>
      <c r="AR3566" s="107"/>
      <c r="AS3566" s="107"/>
      <c r="AT3566" s="107"/>
    </row>
    <row r="3567" spans="1:63" x14ac:dyDescent="0.25">
      <c r="A3567" s="92"/>
      <c r="B3567" s="92"/>
      <c r="C3567" s="92"/>
      <c r="D3567" s="92"/>
      <c r="E3567" s="92"/>
      <c r="F3567" s="92"/>
      <c r="G3567" s="92"/>
      <c r="H3567" s="92"/>
      <c r="I3567" s="92"/>
      <c r="J3567" s="92"/>
      <c r="K3567" s="92"/>
      <c r="L3567" s="92"/>
      <c r="M3567" s="92"/>
      <c r="N3567" s="92"/>
      <c r="AG3567" s="107"/>
      <c r="AH3567" s="117"/>
      <c r="AI3567" s="117"/>
      <c r="AJ3567" s="107"/>
      <c r="AK3567" s="107"/>
      <c r="AL3567" s="107"/>
      <c r="AM3567" s="107"/>
      <c r="AN3567" s="107"/>
      <c r="AO3567" s="107"/>
      <c r="AP3567" s="107"/>
      <c r="AQ3567" s="107"/>
      <c r="AR3567" s="107"/>
      <c r="AS3567" s="107"/>
      <c r="AT3567" s="39"/>
      <c r="AZ3567" s="117"/>
      <c r="BK3567" s="39"/>
    </row>
    <row r="3568" spans="1:63" x14ac:dyDescent="0.25">
      <c r="A3568" s="92"/>
      <c r="B3568" s="92"/>
      <c r="C3568" s="92"/>
      <c r="D3568" s="92"/>
      <c r="E3568" s="92"/>
      <c r="F3568" s="92"/>
      <c r="G3568" s="92"/>
      <c r="H3568" s="92"/>
      <c r="I3568" s="92"/>
      <c r="J3568" s="92"/>
      <c r="K3568" s="92"/>
      <c r="L3568" s="92"/>
      <c r="M3568" s="92"/>
      <c r="N3568" s="92"/>
      <c r="AG3568" s="107"/>
      <c r="AH3568" s="117"/>
      <c r="AI3568" s="117"/>
      <c r="AJ3568" s="107"/>
      <c r="AK3568" s="107"/>
      <c r="AL3568" s="107"/>
      <c r="AM3568" s="107"/>
      <c r="AN3568" s="107"/>
      <c r="AO3568" s="107"/>
      <c r="AP3568" s="107"/>
      <c r="AQ3568" s="107"/>
      <c r="AR3568" s="107"/>
      <c r="AS3568" s="107"/>
      <c r="AT3568" s="39"/>
    </row>
    <row r="3569" spans="1:63" x14ac:dyDescent="0.25">
      <c r="A3569" s="92"/>
      <c r="B3569" s="92"/>
      <c r="C3569" s="92"/>
      <c r="D3569" s="92"/>
      <c r="E3569" s="92"/>
      <c r="F3569" s="92"/>
      <c r="G3569" s="92"/>
      <c r="H3569" s="92"/>
      <c r="I3569" s="92"/>
      <c r="J3569" s="92"/>
      <c r="K3569" s="92"/>
      <c r="L3569" s="92"/>
      <c r="M3569" s="92"/>
      <c r="N3569" s="92"/>
      <c r="AG3569" s="107"/>
      <c r="AH3569" s="117"/>
      <c r="AI3569" s="117"/>
      <c r="AJ3569" s="107"/>
      <c r="AK3569" s="107"/>
      <c r="AL3569" s="107"/>
      <c r="AM3569" s="107"/>
      <c r="AN3569" s="107"/>
      <c r="AO3569" s="107"/>
      <c r="AP3569" s="107"/>
      <c r="AQ3569" s="107"/>
      <c r="AR3569" s="107"/>
      <c r="AS3569" s="107"/>
      <c r="AT3569" s="39"/>
      <c r="AZ3569" s="117"/>
      <c r="BK3569" s="39"/>
    </row>
    <row r="3570" spans="1:63" x14ac:dyDescent="0.25">
      <c r="A3570" s="92"/>
      <c r="B3570" s="93"/>
      <c r="C3570" s="93"/>
      <c r="D3570" s="93"/>
      <c r="E3570" s="92"/>
      <c r="F3570" s="92"/>
      <c r="G3570" s="92"/>
      <c r="H3570" s="92"/>
      <c r="I3570" s="92"/>
      <c r="J3570" s="92"/>
      <c r="K3570" s="92"/>
      <c r="L3570" s="92"/>
      <c r="M3570" s="92"/>
      <c r="N3570" s="94"/>
      <c r="AG3570" s="107"/>
      <c r="AH3570" s="117"/>
      <c r="AI3570" s="117"/>
      <c r="AJ3570" s="117"/>
      <c r="AK3570" s="107"/>
      <c r="AL3570" s="107"/>
      <c r="AM3570" s="107"/>
      <c r="AN3570" s="107"/>
      <c r="AO3570" s="107"/>
      <c r="AP3570" s="107"/>
      <c r="AQ3570" s="107"/>
      <c r="AR3570" s="107"/>
      <c r="AS3570" s="107"/>
      <c r="AT3570" s="39"/>
      <c r="AZ3570" s="117"/>
      <c r="BK3570" s="39"/>
    </row>
    <row r="3571" spans="1:63" x14ac:dyDescent="0.25">
      <c r="A3571" s="92"/>
      <c r="B3571" s="92"/>
      <c r="C3571" s="92"/>
      <c r="D3571" s="92"/>
      <c r="E3571" s="92"/>
      <c r="F3571" s="92"/>
      <c r="G3571" s="92"/>
      <c r="H3571" s="92"/>
      <c r="I3571" s="92"/>
      <c r="J3571" s="92"/>
      <c r="K3571" s="92"/>
      <c r="L3571" s="92"/>
      <c r="M3571" s="92"/>
      <c r="N3571" s="92"/>
      <c r="AG3571" s="107"/>
      <c r="AH3571" s="117"/>
      <c r="AI3571" s="117"/>
      <c r="AJ3571" s="107"/>
      <c r="AK3571" s="107"/>
      <c r="AL3571" s="107"/>
      <c r="AM3571" s="107"/>
      <c r="AN3571" s="107"/>
      <c r="AO3571" s="107"/>
      <c r="AP3571" s="107"/>
      <c r="AQ3571" s="107"/>
      <c r="AR3571" s="107"/>
      <c r="AS3571" s="107"/>
      <c r="AT3571" s="39"/>
      <c r="AZ3571" s="117"/>
      <c r="BK3571" s="39"/>
    </row>
    <row r="3572" spans="1:63" x14ac:dyDescent="0.25">
      <c r="A3572" s="92"/>
      <c r="B3572" s="93"/>
      <c r="C3572" s="93"/>
      <c r="D3572" s="92"/>
      <c r="E3572" s="92"/>
      <c r="F3572" s="92"/>
      <c r="G3572" s="92"/>
      <c r="H3572" s="92"/>
      <c r="I3572" s="92"/>
      <c r="J3572" s="92"/>
      <c r="K3572" s="92"/>
      <c r="L3572" s="92"/>
      <c r="M3572" s="92"/>
      <c r="N3572" s="94"/>
      <c r="AG3572" s="107"/>
      <c r="AH3572" s="107"/>
      <c r="AI3572" s="107"/>
      <c r="AJ3572" s="107"/>
      <c r="AK3572" s="107"/>
      <c r="AL3572" s="107"/>
      <c r="AM3572" s="107"/>
      <c r="AN3572" s="107"/>
      <c r="AO3572" s="107"/>
      <c r="AP3572" s="107"/>
      <c r="AQ3572" s="107"/>
      <c r="AR3572" s="107"/>
      <c r="AS3572" s="107"/>
      <c r="AT3572" s="107"/>
      <c r="AZ3572" s="117"/>
      <c r="BA3572" s="117"/>
      <c r="BK3572" s="39"/>
    </row>
    <row r="3573" spans="1:63" x14ac:dyDescent="0.25">
      <c r="A3573" s="92"/>
      <c r="B3573" s="93"/>
      <c r="C3573" s="93"/>
      <c r="D3573" s="92"/>
      <c r="E3573" s="92"/>
      <c r="F3573" s="92"/>
      <c r="G3573" s="92"/>
      <c r="H3573" s="92"/>
      <c r="I3573" s="92"/>
      <c r="J3573" s="92"/>
      <c r="K3573" s="92"/>
      <c r="L3573" s="92"/>
      <c r="M3573" s="92"/>
      <c r="N3573" s="94"/>
      <c r="AG3573" s="107"/>
      <c r="AH3573" s="107"/>
      <c r="AI3573" s="107"/>
      <c r="AJ3573" s="107"/>
      <c r="AK3573" s="107"/>
      <c r="AL3573" s="107"/>
      <c r="AM3573" s="107"/>
      <c r="AN3573" s="107"/>
      <c r="AO3573" s="107"/>
      <c r="AP3573" s="107"/>
      <c r="AQ3573" s="107"/>
      <c r="AR3573" s="107"/>
      <c r="AS3573" s="107"/>
      <c r="AT3573" s="107"/>
    </row>
    <row r="3574" spans="1:63" x14ac:dyDescent="0.25">
      <c r="A3574" s="92"/>
      <c r="B3574" s="93"/>
      <c r="C3574" s="93"/>
      <c r="D3574" s="92"/>
      <c r="E3574" s="92"/>
      <c r="F3574" s="92"/>
      <c r="G3574" s="92"/>
      <c r="H3574" s="92"/>
      <c r="I3574" s="92"/>
      <c r="J3574" s="92"/>
      <c r="K3574" s="92"/>
      <c r="L3574" s="92"/>
      <c r="M3574" s="92"/>
      <c r="N3574" s="94"/>
      <c r="AG3574" s="107"/>
      <c r="AH3574" s="107"/>
      <c r="AI3574" s="107"/>
      <c r="AJ3574" s="107"/>
      <c r="AK3574" s="107"/>
      <c r="AL3574" s="107"/>
      <c r="AM3574" s="107"/>
      <c r="AN3574" s="107"/>
      <c r="AO3574" s="107"/>
      <c r="AP3574" s="107"/>
      <c r="AQ3574" s="107"/>
      <c r="AR3574" s="107"/>
      <c r="AS3574" s="107"/>
      <c r="AT3574" s="107"/>
    </row>
    <row r="3575" spans="1:63" x14ac:dyDescent="0.25">
      <c r="A3575" s="92"/>
      <c r="B3575" s="93"/>
      <c r="C3575" s="93"/>
      <c r="D3575" s="92"/>
      <c r="E3575" s="92"/>
      <c r="F3575" s="92"/>
      <c r="G3575" s="92"/>
      <c r="H3575" s="92"/>
      <c r="I3575" s="92"/>
      <c r="J3575" s="92"/>
      <c r="K3575" s="92"/>
      <c r="L3575" s="92"/>
      <c r="M3575" s="92"/>
      <c r="N3575" s="94"/>
      <c r="AG3575" s="107"/>
      <c r="AH3575" s="107"/>
      <c r="AI3575" s="107"/>
      <c r="AJ3575" s="107"/>
      <c r="AK3575" s="107"/>
      <c r="AL3575" s="107"/>
      <c r="AM3575" s="107"/>
      <c r="AN3575" s="107"/>
      <c r="AO3575" s="107"/>
      <c r="AP3575" s="107"/>
      <c r="AQ3575" s="107"/>
      <c r="AR3575" s="107"/>
      <c r="AS3575" s="107"/>
      <c r="AT3575" s="107"/>
    </row>
    <row r="3576" spans="1:63" x14ac:dyDescent="0.25">
      <c r="A3576" s="92"/>
      <c r="B3576" s="93"/>
      <c r="C3576" s="93"/>
      <c r="D3576" s="92"/>
      <c r="E3576" s="92"/>
      <c r="F3576" s="92"/>
      <c r="G3576" s="92"/>
      <c r="H3576" s="92"/>
      <c r="I3576" s="92"/>
      <c r="J3576" s="92"/>
      <c r="K3576" s="92"/>
      <c r="L3576" s="92"/>
      <c r="M3576" s="92"/>
      <c r="N3576" s="94"/>
      <c r="AG3576" s="107"/>
      <c r="AH3576" s="107"/>
      <c r="AI3576" s="107"/>
      <c r="AJ3576" s="107"/>
      <c r="AK3576" s="107"/>
      <c r="AL3576" s="107"/>
      <c r="AM3576" s="107"/>
      <c r="AN3576" s="107"/>
      <c r="AO3576" s="107"/>
      <c r="AP3576" s="107"/>
      <c r="AQ3576" s="107"/>
      <c r="AR3576" s="107"/>
      <c r="AS3576" s="107"/>
      <c r="AT3576" s="107"/>
      <c r="AZ3576" s="117"/>
      <c r="BA3576" s="117"/>
      <c r="BK3576" s="39"/>
    </row>
    <row r="3577" spans="1:63" x14ac:dyDescent="0.25">
      <c r="A3577" s="92"/>
      <c r="B3577" s="93"/>
      <c r="C3577" s="93"/>
      <c r="D3577" s="92"/>
      <c r="E3577" s="92"/>
      <c r="F3577" s="92"/>
      <c r="G3577" s="92"/>
      <c r="H3577" s="92"/>
      <c r="I3577" s="92"/>
      <c r="J3577" s="92"/>
      <c r="K3577" s="92"/>
      <c r="L3577" s="92"/>
      <c r="M3577" s="92"/>
      <c r="N3577" s="94"/>
      <c r="AG3577" s="107"/>
      <c r="AH3577" s="107"/>
      <c r="AI3577" s="107"/>
      <c r="AJ3577" s="107"/>
      <c r="AK3577" s="107"/>
      <c r="AL3577" s="107"/>
      <c r="AM3577" s="107"/>
      <c r="AN3577" s="107"/>
      <c r="AO3577" s="107"/>
      <c r="AP3577" s="107"/>
      <c r="AQ3577" s="107"/>
      <c r="AR3577" s="107"/>
      <c r="AS3577" s="107"/>
      <c r="AT3577" s="107"/>
      <c r="BA3577" s="117"/>
    </row>
    <row r="3578" spans="1:63" x14ac:dyDescent="0.25">
      <c r="A3578" s="92"/>
      <c r="B3578" s="93"/>
      <c r="C3578" s="93"/>
      <c r="D3578" s="93"/>
      <c r="E3578" s="92"/>
      <c r="F3578" s="92"/>
      <c r="G3578" s="92"/>
      <c r="H3578" s="92"/>
      <c r="I3578" s="92"/>
      <c r="J3578" s="92"/>
      <c r="K3578" s="92"/>
      <c r="L3578" s="92"/>
      <c r="M3578" s="92"/>
      <c r="N3578" s="94"/>
      <c r="AG3578" s="107"/>
      <c r="AH3578" s="117"/>
      <c r="AI3578" s="117"/>
      <c r="AJ3578" s="107"/>
      <c r="AK3578" s="107"/>
      <c r="AL3578" s="107"/>
      <c r="AM3578" s="107"/>
      <c r="AN3578" s="107"/>
      <c r="AO3578" s="107"/>
      <c r="AP3578" s="107"/>
      <c r="AQ3578" s="107"/>
      <c r="AR3578" s="107"/>
      <c r="AS3578" s="107"/>
      <c r="AT3578" s="39"/>
    </row>
    <row r="3579" spans="1:63" x14ac:dyDescent="0.25">
      <c r="A3579" s="92"/>
      <c r="B3579" s="93"/>
      <c r="C3579" s="93"/>
      <c r="D3579" s="92"/>
      <c r="E3579" s="92"/>
      <c r="F3579" s="92"/>
      <c r="G3579" s="92"/>
      <c r="H3579" s="92"/>
      <c r="I3579" s="92"/>
      <c r="J3579" s="92"/>
      <c r="K3579" s="92"/>
      <c r="L3579" s="92"/>
      <c r="M3579" s="92"/>
      <c r="N3579" s="94"/>
      <c r="AG3579" s="107"/>
      <c r="AH3579" s="107"/>
      <c r="AI3579" s="107"/>
      <c r="AJ3579" s="107"/>
      <c r="AK3579" s="107"/>
      <c r="AL3579" s="107"/>
      <c r="AM3579" s="107"/>
      <c r="AN3579" s="107"/>
      <c r="AO3579" s="107"/>
      <c r="AP3579" s="107"/>
      <c r="AQ3579" s="107"/>
      <c r="AR3579" s="107"/>
      <c r="AS3579" s="107"/>
      <c r="AT3579" s="107"/>
    </row>
    <row r="3580" spans="1:63" x14ac:dyDescent="0.25">
      <c r="A3580" s="92"/>
      <c r="B3580" s="93"/>
      <c r="C3580" s="93"/>
      <c r="D3580" s="92"/>
      <c r="E3580" s="92"/>
      <c r="F3580" s="92"/>
      <c r="G3580" s="92"/>
      <c r="H3580" s="92"/>
      <c r="I3580" s="92"/>
      <c r="J3580" s="92"/>
      <c r="K3580" s="92"/>
      <c r="L3580" s="92"/>
      <c r="M3580" s="92"/>
      <c r="N3580" s="94"/>
      <c r="AG3580" s="107"/>
      <c r="AH3580" s="107"/>
      <c r="AI3580" s="107"/>
      <c r="AJ3580" s="107"/>
      <c r="AK3580" s="107"/>
      <c r="AL3580" s="107"/>
      <c r="AM3580" s="107"/>
      <c r="AN3580" s="107"/>
      <c r="AO3580" s="107"/>
      <c r="AP3580" s="107"/>
      <c r="AQ3580" s="107"/>
      <c r="AR3580" s="107"/>
      <c r="AS3580" s="107"/>
      <c r="AT3580" s="107"/>
    </row>
    <row r="3581" spans="1:63" x14ac:dyDescent="0.25">
      <c r="A3581" s="92"/>
      <c r="B3581" s="93"/>
      <c r="C3581" s="93"/>
      <c r="D3581" s="92"/>
      <c r="E3581" s="92"/>
      <c r="F3581" s="92"/>
      <c r="G3581" s="92"/>
      <c r="H3581" s="92"/>
      <c r="I3581" s="92"/>
      <c r="J3581" s="92"/>
      <c r="K3581" s="92"/>
      <c r="L3581" s="92"/>
      <c r="M3581" s="92"/>
      <c r="N3581" s="94"/>
      <c r="AG3581" s="107"/>
      <c r="AH3581" s="107"/>
      <c r="AI3581" s="107"/>
      <c r="AJ3581" s="107"/>
      <c r="AK3581" s="107"/>
      <c r="AL3581" s="107"/>
      <c r="AM3581" s="107"/>
      <c r="AN3581" s="107"/>
      <c r="AO3581" s="107"/>
      <c r="AP3581" s="107"/>
      <c r="AQ3581" s="107"/>
      <c r="AR3581" s="107"/>
      <c r="AS3581" s="107"/>
      <c r="AT3581" s="107"/>
      <c r="AZ3581" s="117"/>
      <c r="BK3581" s="39"/>
    </row>
    <row r="3582" spans="1:63" x14ac:dyDescent="0.25">
      <c r="A3582" s="92"/>
      <c r="B3582" s="92"/>
      <c r="C3582" s="92"/>
      <c r="D3582" s="92"/>
      <c r="E3582" s="92"/>
      <c r="F3582" s="92"/>
      <c r="G3582" s="92"/>
      <c r="H3582" s="92"/>
      <c r="I3582" s="92"/>
      <c r="J3582" s="92"/>
      <c r="K3582" s="92"/>
      <c r="L3582" s="92"/>
      <c r="M3582" s="92"/>
      <c r="N3582" s="92"/>
      <c r="AG3582" s="107"/>
      <c r="AH3582" s="117"/>
      <c r="AI3582" s="117"/>
      <c r="AJ3582" s="117"/>
      <c r="AK3582" s="107"/>
      <c r="AL3582" s="107"/>
      <c r="AM3582" s="107"/>
      <c r="AN3582" s="107"/>
      <c r="AO3582" s="107"/>
      <c r="AP3582" s="107"/>
      <c r="AQ3582" s="107"/>
      <c r="AR3582" s="107"/>
      <c r="AS3582" s="107"/>
      <c r="AT3582" s="39"/>
      <c r="AZ3582" s="117"/>
      <c r="BK3582" s="39"/>
    </row>
    <row r="3583" spans="1:63" x14ac:dyDescent="0.25">
      <c r="A3583" s="92"/>
      <c r="B3583" s="93"/>
      <c r="C3583" s="93"/>
      <c r="D3583" s="92"/>
      <c r="E3583" s="92"/>
      <c r="F3583" s="92"/>
      <c r="G3583" s="92"/>
      <c r="H3583" s="92"/>
      <c r="I3583" s="92"/>
      <c r="J3583" s="92"/>
      <c r="K3583" s="92"/>
      <c r="L3583" s="92"/>
      <c r="M3583" s="92"/>
      <c r="N3583" s="94"/>
      <c r="AG3583" s="107"/>
      <c r="AH3583" s="117"/>
      <c r="AI3583" s="117"/>
      <c r="AJ3583" s="107"/>
      <c r="AK3583" s="107"/>
      <c r="AL3583" s="107"/>
      <c r="AM3583" s="107"/>
      <c r="AN3583" s="107"/>
      <c r="AO3583" s="107"/>
      <c r="AP3583" s="107"/>
      <c r="AQ3583" s="107"/>
      <c r="AR3583" s="107"/>
      <c r="AS3583" s="107"/>
      <c r="AT3583" s="39"/>
      <c r="AZ3583" s="117"/>
      <c r="BK3583" s="39"/>
    </row>
    <row r="3584" spans="1:63" x14ac:dyDescent="0.25">
      <c r="A3584" s="92"/>
      <c r="B3584" s="92"/>
      <c r="C3584" s="92"/>
      <c r="D3584" s="92"/>
      <c r="E3584" s="92"/>
      <c r="F3584" s="92"/>
      <c r="G3584" s="92"/>
      <c r="H3584" s="92"/>
      <c r="I3584" s="92"/>
      <c r="J3584" s="92"/>
      <c r="K3584" s="92"/>
      <c r="L3584" s="92"/>
      <c r="M3584" s="92"/>
      <c r="N3584" s="92"/>
      <c r="AG3584" s="107"/>
      <c r="AH3584" s="117"/>
      <c r="AI3584" s="117"/>
      <c r="AJ3584" s="107"/>
      <c r="AK3584" s="107"/>
      <c r="AL3584" s="107"/>
      <c r="AM3584" s="107"/>
      <c r="AN3584" s="107"/>
      <c r="AO3584" s="107"/>
      <c r="AP3584" s="107"/>
      <c r="AQ3584" s="107"/>
      <c r="AR3584" s="107"/>
      <c r="AS3584" s="107"/>
      <c r="AT3584" s="39"/>
    </row>
    <row r="3585" spans="1:63" x14ac:dyDescent="0.25">
      <c r="A3585" s="92"/>
      <c r="B3585" s="93"/>
      <c r="C3585" s="93"/>
      <c r="D3585" s="92"/>
      <c r="E3585" s="92"/>
      <c r="F3585" s="92"/>
      <c r="G3585" s="92"/>
      <c r="H3585" s="92"/>
      <c r="I3585" s="92"/>
      <c r="J3585" s="92"/>
      <c r="K3585" s="92"/>
      <c r="L3585" s="92"/>
      <c r="M3585" s="92"/>
      <c r="N3585" s="94"/>
      <c r="AG3585" s="107"/>
      <c r="AH3585" s="107"/>
      <c r="AI3585" s="107"/>
      <c r="AJ3585" s="107"/>
      <c r="AK3585" s="107"/>
      <c r="AL3585" s="107"/>
      <c r="AM3585" s="107"/>
      <c r="AN3585" s="107"/>
      <c r="AO3585" s="107"/>
      <c r="AP3585" s="107"/>
      <c r="AQ3585" s="107"/>
      <c r="AR3585" s="107"/>
      <c r="AS3585" s="107"/>
      <c r="AT3585" s="107"/>
      <c r="AZ3585" s="117"/>
      <c r="BK3585" s="39"/>
    </row>
    <row r="3586" spans="1:63" x14ac:dyDescent="0.25">
      <c r="A3586" s="92"/>
      <c r="B3586" s="93"/>
      <c r="C3586" s="93"/>
      <c r="D3586" s="92"/>
      <c r="E3586" s="92"/>
      <c r="F3586" s="92"/>
      <c r="G3586" s="92"/>
      <c r="H3586" s="92"/>
      <c r="I3586" s="92"/>
      <c r="J3586" s="92"/>
      <c r="K3586" s="92"/>
      <c r="L3586" s="92"/>
      <c r="M3586" s="92"/>
      <c r="N3586" s="94"/>
      <c r="AG3586" s="107"/>
      <c r="AH3586" s="107"/>
      <c r="AI3586" s="107"/>
      <c r="AJ3586" s="107"/>
      <c r="AK3586" s="107"/>
      <c r="AL3586" s="107"/>
      <c r="AM3586" s="107"/>
      <c r="AN3586" s="107"/>
      <c r="AO3586" s="107"/>
      <c r="AP3586" s="107"/>
      <c r="AQ3586" s="107"/>
      <c r="AR3586" s="107"/>
      <c r="AS3586" s="107"/>
      <c r="AT3586" s="107"/>
      <c r="AZ3586" s="117"/>
      <c r="BK3586" s="39"/>
    </row>
    <row r="3587" spans="1:63" x14ac:dyDescent="0.25">
      <c r="A3587" s="92"/>
      <c r="B3587" s="93"/>
      <c r="C3587" s="93"/>
      <c r="D3587" s="92"/>
      <c r="E3587" s="92"/>
      <c r="F3587" s="92"/>
      <c r="G3587" s="92"/>
      <c r="H3587" s="92"/>
      <c r="I3587" s="92"/>
      <c r="J3587" s="92"/>
      <c r="K3587" s="92"/>
      <c r="L3587" s="92"/>
      <c r="M3587" s="92"/>
      <c r="N3587" s="94"/>
      <c r="AG3587" s="107"/>
      <c r="AH3587" s="107"/>
      <c r="AI3587" s="107"/>
      <c r="AJ3587" s="107"/>
      <c r="AK3587" s="107"/>
      <c r="AL3587" s="107"/>
      <c r="AM3587" s="107"/>
      <c r="AN3587" s="107"/>
      <c r="AO3587" s="107"/>
      <c r="AP3587" s="107"/>
      <c r="AQ3587" s="107"/>
      <c r="AR3587" s="107"/>
      <c r="AS3587" s="107"/>
      <c r="AT3587" s="107"/>
    </row>
    <row r="3588" spans="1:63" x14ac:dyDescent="0.25">
      <c r="A3588" s="92"/>
      <c r="B3588" s="93"/>
      <c r="C3588" s="93"/>
      <c r="D3588" s="93"/>
      <c r="E3588" s="92"/>
      <c r="F3588" s="92"/>
      <c r="G3588" s="92"/>
      <c r="H3588" s="92"/>
      <c r="I3588" s="92"/>
      <c r="J3588" s="92"/>
      <c r="K3588" s="92"/>
      <c r="L3588" s="92"/>
      <c r="M3588" s="92"/>
      <c r="N3588" s="94"/>
      <c r="AG3588" s="107"/>
      <c r="AH3588" s="107"/>
      <c r="AI3588" s="107"/>
      <c r="AJ3588" s="107"/>
      <c r="AK3588" s="107"/>
      <c r="AL3588" s="107"/>
      <c r="AM3588" s="107"/>
      <c r="AN3588" s="107"/>
      <c r="AO3588" s="107"/>
      <c r="AP3588" s="107"/>
      <c r="AQ3588" s="107"/>
      <c r="AR3588" s="107"/>
      <c r="AS3588" s="107"/>
      <c r="AT3588" s="107"/>
    </row>
    <row r="3589" spans="1:63" x14ac:dyDescent="0.25">
      <c r="A3589" s="92"/>
      <c r="B3589" s="92"/>
      <c r="C3589" s="92"/>
      <c r="D3589" s="92"/>
      <c r="E3589" s="92"/>
      <c r="F3589" s="92"/>
      <c r="G3589" s="92"/>
      <c r="H3589" s="92"/>
      <c r="I3589" s="92"/>
      <c r="J3589" s="92"/>
      <c r="K3589" s="92"/>
      <c r="L3589" s="92"/>
      <c r="M3589" s="92"/>
      <c r="N3589" s="92"/>
      <c r="AG3589" s="107"/>
      <c r="AH3589" s="107"/>
      <c r="AI3589" s="107"/>
      <c r="AJ3589" s="107"/>
      <c r="AK3589" s="107"/>
      <c r="AL3589" s="107"/>
      <c r="AM3589" s="107"/>
      <c r="AN3589" s="107"/>
      <c r="AO3589" s="107"/>
      <c r="AP3589" s="107"/>
      <c r="AQ3589" s="107"/>
      <c r="AR3589" s="107"/>
      <c r="AS3589" s="107"/>
      <c r="AT3589" s="107"/>
      <c r="AZ3589" s="117"/>
      <c r="BK3589" s="39"/>
    </row>
    <row r="3590" spans="1:63" x14ac:dyDescent="0.25">
      <c r="A3590" s="92"/>
      <c r="B3590" s="92"/>
      <c r="C3590" s="92"/>
      <c r="D3590" s="92"/>
      <c r="E3590" s="92"/>
      <c r="F3590" s="92"/>
      <c r="G3590" s="92"/>
      <c r="H3590" s="92"/>
      <c r="I3590" s="92"/>
      <c r="J3590" s="92"/>
      <c r="K3590" s="92"/>
      <c r="L3590" s="92"/>
      <c r="M3590" s="92"/>
      <c r="N3590" s="92"/>
      <c r="AG3590" s="107"/>
      <c r="AH3590" s="117"/>
      <c r="AI3590" s="117"/>
      <c r="AJ3590" s="107"/>
      <c r="AK3590" s="107"/>
      <c r="AL3590" s="107"/>
      <c r="AM3590" s="107"/>
      <c r="AN3590" s="107"/>
      <c r="AO3590" s="107"/>
      <c r="AP3590" s="107"/>
      <c r="AQ3590" s="107"/>
      <c r="AR3590" s="107"/>
      <c r="AS3590" s="107"/>
      <c r="AT3590" s="39"/>
      <c r="AZ3590" s="117"/>
      <c r="BK3590" s="39"/>
    </row>
    <row r="3591" spans="1:63" x14ac:dyDescent="0.25">
      <c r="A3591" s="92"/>
      <c r="B3591" s="92"/>
      <c r="C3591" s="92"/>
      <c r="D3591" s="92"/>
      <c r="E3591" s="92"/>
      <c r="F3591" s="92"/>
      <c r="G3591" s="92"/>
      <c r="H3591" s="92"/>
      <c r="I3591" s="92"/>
      <c r="J3591" s="92"/>
      <c r="K3591" s="92"/>
      <c r="L3591" s="92"/>
      <c r="M3591" s="92"/>
      <c r="N3591" s="92"/>
      <c r="AG3591" s="107"/>
      <c r="AH3591" s="107"/>
      <c r="AI3591" s="107"/>
      <c r="AJ3591" s="107"/>
      <c r="AK3591" s="107"/>
      <c r="AL3591" s="107"/>
      <c r="AM3591" s="107"/>
      <c r="AN3591" s="107"/>
      <c r="AO3591" s="107"/>
      <c r="AP3591" s="107"/>
      <c r="AQ3591" s="107"/>
      <c r="AR3591" s="107"/>
      <c r="AS3591" s="107"/>
      <c r="AT3591" s="107"/>
    </row>
    <row r="3592" spans="1:63" x14ac:dyDescent="0.25">
      <c r="A3592" s="92"/>
      <c r="B3592" s="93"/>
      <c r="C3592" s="93"/>
      <c r="D3592" s="93"/>
      <c r="E3592" s="92"/>
      <c r="F3592" s="92"/>
      <c r="G3592" s="92"/>
      <c r="H3592" s="92"/>
      <c r="I3592" s="92"/>
      <c r="J3592" s="92"/>
      <c r="K3592" s="92"/>
      <c r="L3592" s="92"/>
      <c r="M3592" s="92"/>
      <c r="N3592" s="94"/>
      <c r="AG3592" s="107"/>
      <c r="AH3592" s="107"/>
      <c r="AI3592" s="107"/>
      <c r="AJ3592" s="107"/>
      <c r="AK3592" s="107"/>
      <c r="AL3592" s="107"/>
      <c r="AM3592" s="107"/>
      <c r="AN3592" s="107"/>
      <c r="AO3592" s="107"/>
      <c r="AP3592" s="107"/>
      <c r="AQ3592" s="107"/>
      <c r="AR3592" s="107"/>
      <c r="AS3592" s="107"/>
      <c r="AT3592" s="107"/>
    </row>
    <row r="3593" spans="1:63" x14ac:dyDescent="0.25">
      <c r="A3593" s="92"/>
      <c r="B3593" s="92"/>
      <c r="C3593" s="92"/>
      <c r="D3593" s="93"/>
      <c r="E3593" s="92"/>
      <c r="F3593" s="92"/>
      <c r="G3593" s="92"/>
      <c r="H3593" s="92"/>
      <c r="I3593" s="92"/>
      <c r="J3593" s="92"/>
      <c r="K3593" s="92"/>
      <c r="L3593" s="92"/>
      <c r="M3593" s="92"/>
      <c r="N3593" s="92"/>
      <c r="AG3593" s="107"/>
      <c r="AH3593" s="107"/>
      <c r="AI3593" s="107"/>
      <c r="AJ3593" s="107"/>
      <c r="AK3593" s="107"/>
      <c r="AL3593" s="107"/>
      <c r="AM3593" s="107"/>
      <c r="AN3593" s="107"/>
      <c r="AO3593" s="107"/>
      <c r="AP3593" s="107"/>
      <c r="AQ3593" s="107"/>
      <c r="AR3593" s="107"/>
      <c r="AS3593" s="107"/>
      <c r="AT3593" s="107"/>
    </row>
    <row r="3594" spans="1:63" x14ac:dyDescent="0.25">
      <c r="A3594" s="92"/>
      <c r="B3594" s="92"/>
      <c r="C3594" s="92"/>
      <c r="D3594" s="92"/>
      <c r="E3594" s="92"/>
      <c r="F3594" s="92"/>
      <c r="G3594" s="92"/>
      <c r="H3594" s="92"/>
      <c r="I3594" s="92"/>
      <c r="J3594" s="92"/>
      <c r="K3594" s="92"/>
      <c r="L3594" s="92"/>
      <c r="M3594" s="92"/>
      <c r="N3594" s="92"/>
      <c r="AG3594" s="107"/>
      <c r="AH3594" s="107"/>
      <c r="AI3594" s="107"/>
      <c r="AJ3594" s="107"/>
      <c r="AK3594" s="107"/>
      <c r="AL3594" s="107"/>
      <c r="AM3594" s="107"/>
      <c r="AN3594" s="107"/>
      <c r="AO3594" s="107"/>
      <c r="AP3594" s="107"/>
      <c r="AQ3594" s="107"/>
      <c r="AR3594" s="107"/>
      <c r="AS3594" s="107"/>
      <c r="AT3594" s="107"/>
    </row>
    <row r="3595" spans="1:63" x14ac:dyDescent="0.25">
      <c r="A3595" s="92"/>
      <c r="B3595" s="92"/>
      <c r="C3595" s="92"/>
      <c r="D3595" s="92"/>
      <c r="E3595" s="92"/>
      <c r="F3595" s="92"/>
      <c r="G3595" s="92"/>
      <c r="H3595" s="92"/>
      <c r="I3595" s="92"/>
      <c r="J3595" s="92"/>
      <c r="K3595" s="92"/>
      <c r="L3595" s="92"/>
      <c r="M3595" s="92"/>
      <c r="N3595" s="92"/>
      <c r="AG3595" s="107"/>
      <c r="AH3595" s="117"/>
      <c r="AI3595" s="117"/>
      <c r="AJ3595" s="117"/>
      <c r="AK3595" s="107"/>
      <c r="AL3595" s="107"/>
      <c r="AM3595" s="107"/>
      <c r="AN3595" s="107"/>
      <c r="AO3595" s="107"/>
      <c r="AP3595" s="107"/>
      <c r="AQ3595" s="107"/>
      <c r="AR3595" s="107"/>
      <c r="AS3595" s="107"/>
      <c r="AT3595" s="39"/>
    </row>
    <row r="3596" spans="1:63" x14ac:dyDescent="0.25">
      <c r="A3596" s="92"/>
      <c r="B3596" s="92"/>
      <c r="C3596" s="92"/>
      <c r="D3596" s="92"/>
      <c r="E3596" s="92"/>
      <c r="F3596" s="92"/>
      <c r="G3596" s="92"/>
      <c r="H3596" s="92"/>
      <c r="I3596" s="92"/>
      <c r="J3596" s="92"/>
      <c r="K3596" s="92"/>
      <c r="L3596" s="92"/>
      <c r="M3596" s="92"/>
      <c r="N3596" s="92"/>
      <c r="AG3596" s="107"/>
      <c r="AH3596" s="107"/>
      <c r="AI3596" s="107"/>
      <c r="AJ3596" s="107"/>
      <c r="AK3596" s="107"/>
      <c r="AL3596" s="107"/>
      <c r="AM3596" s="107"/>
      <c r="AN3596" s="107"/>
      <c r="AO3596" s="107"/>
      <c r="AP3596" s="107"/>
      <c r="AQ3596" s="107"/>
      <c r="AR3596" s="107"/>
      <c r="AS3596" s="107"/>
      <c r="AT3596" s="107"/>
    </row>
    <row r="3597" spans="1:63" x14ac:dyDescent="0.25">
      <c r="A3597" s="92"/>
      <c r="B3597" s="93"/>
      <c r="C3597" s="93"/>
      <c r="D3597" s="92"/>
      <c r="E3597" s="92"/>
      <c r="F3597" s="92"/>
      <c r="G3597" s="92"/>
      <c r="H3597" s="92"/>
      <c r="I3597" s="92"/>
      <c r="J3597" s="92"/>
      <c r="K3597" s="92"/>
      <c r="L3597" s="92"/>
      <c r="M3597" s="92"/>
      <c r="N3597" s="94"/>
      <c r="AG3597" s="107"/>
      <c r="AH3597" s="117"/>
      <c r="AI3597" s="117"/>
      <c r="AJ3597" s="107"/>
      <c r="AK3597" s="107"/>
      <c r="AL3597" s="107"/>
      <c r="AM3597" s="107"/>
      <c r="AN3597" s="107"/>
      <c r="AO3597" s="107"/>
      <c r="AP3597" s="107"/>
      <c r="AQ3597" s="107"/>
      <c r="AR3597" s="107"/>
      <c r="AS3597" s="107"/>
      <c r="AT3597" s="39"/>
      <c r="AZ3597" s="117"/>
      <c r="BK3597" s="39"/>
    </row>
    <row r="3598" spans="1:63" x14ac:dyDescent="0.25">
      <c r="A3598" s="92"/>
      <c r="B3598" s="93"/>
      <c r="C3598" s="93"/>
      <c r="D3598" s="92"/>
      <c r="E3598" s="92"/>
      <c r="F3598" s="92"/>
      <c r="G3598" s="92"/>
      <c r="H3598" s="92"/>
      <c r="I3598" s="92"/>
      <c r="J3598" s="92"/>
      <c r="K3598" s="92"/>
      <c r="L3598" s="92"/>
      <c r="M3598" s="92"/>
      <c r="N3598" s="94"/>
      <c r="AG3598" s="107"/>
      <c r="AH3598" s="107"/>
      <c r="AI3598" s="107"/>
      <c r="AJ3598" s="107"/>
      <c r="AK3598" s="107"/>
      <c r="AL3598" s="107"/>
      <c r="AM3598" s="107"/>
      <c r="AN3598" s="107"/>
      <c r="AO3598" s="107"/>
      <c r="AP3598" s="107"/>
      <c r="AQ3598" s="107"/>
      <c r="AR3598" s="107"/>
      <c r="AS3598" s="107"/>
      <c r="AT3598" s="107"/>
      <c r="AZ3598" s="117"/>
      <c r="BK3598" s="39"/>
    </row>
    <row r="3599" spans="1:63" x14ac:dyDescent="0.25">
      <c r="A3599" s="92"/>
      <c r="B3599" s="93"/>
      <c r="C3599" s="93"/>
      <c r="D3599" s="92"/>
      <c r="E3599" s="92"/>
      <c r="F3599" s="92"/>
      <c r="G3599" s="92"/>
      <c r="H3599" s="92"/>
      <c r="I3599" s="92"/>
      <c r="J3599" s="92"/>
      <c r="K3599" s="92"/>
      <c r="L3599" s="92"/>
      <c r="M3599" s="92"/>
      <c r="N3599" s="94"/>
      <c r="AG3599" s="107"/>
      <c r="AH3599" s="107"/>
      <c r="AI3599" s="107"/>
      <c r="AJ3599" s="107"/>
      <c r="AK3599" s="107"/>
      <c r="AL3599" s="107"/>
      <c r="AM3599" s="107"/>
      <c r="AN3599" s="107"/>
      <c r="AO3599" s="107"/>
      <c r="AP3599" s="107"/>
      <c r="AQ3599" s="107"/>
      <c r="AR3599" s="107"/>
      <c r="AS3599" s="107"/>
      <c r="AT3599" s="107"/>
      <c r="AZ3599" s="117"/>
      <c r="BK3599" s="39"/>
    </row>
    <row r="3600" spans="1:63" x14ac:dyDescent="0.25">
      <c r="A3600" s="92"/>
      <c r="B3600" s="92"/>
      <c r="C3600" s="92"/>
      <c r="D3600" s="92"/>
      <c r="E3600" s="92"/>
      <c r="F3600" s="92"/>
      <c r="G3600" s="92"/>
      <c r="H3600" s="92"/>
      <c r="I3600" s="92"/>
      <c r="J3600" s="92"/>
      <c r="K3600" s="92"/>
      <c r="L3600" s="92"/>
      <c r="M3600" s="92"/>
      <c r="N3600" s="92"/>
      <c r="AG3600" s="107"/>
      <c r="AH3600" s="107"/>
      <c r="AI3600" s="107"/>
      <c r="AJ3600" s="107"/>
      <c r="AK3600" s="107"/>
      <c r="AL3600" s="107"/>
      <c r="AM3600" s="107"/>
      <c r="AN3600" s="107"/>
      <c r="AO3600" s="107"/>
      <c r="AP3600" s="107"/>
      <c r="AQ3600" s="107"/>
      <c r="AR3600" s="107"/>
      <c r="AS3600" s="107"/>
      <c r="AT3600" s="107"/>
    </row>
    <row r="3601" spans="1:63" x14ac:dyDescent="0.25">
      <c r="A3601" s="92"/>
      <c r="B3601" s="93"/>
      <c r="C3601" s="93"/>
      <c r="D3601" s="92"/>
      <c r="E3601" s="92"/>
      <c r="F3601" s="92"/>
      <c r="G3601" s="92"/>
      <c r="H3601" s="92"/>
      <c r="I3601" s="92"/>
      <c r="J3601" s="92"/>
      <c r="K3601" s="92"/>
      <c r="L3601" s="92"/>
      <c r="M3601" s="92"/>
      <c r="N3601" s="94"/>
      <c r="AG3601" s="107"/>
      <c r="AH3601" s="117"/>
      <c r="AI3601" s="117"/>
      <c r="AJ3601" s="107"/>
      <c r="AK3601" s="107"/>
      <c r="AL3601" s="107"/>
      <c r="AM3601" s="107"/>
      <c r="AN3601" s="107"/>
      <c r="AO3601" s="107"/>
      <c r="AP3601" s="107"/>
      <c r="AQ3601" s="107"/>
      <c r="AR3601" s="107"/>
      <c r="AS3601" s="107"/>
      <c r="AT3601" s="39"/>
      <c r="AZ3601" s="117"/>
      <c r="BK3601" s="39"/>
    </row>
    <row r="3602" spans="1:63" x14ac:dyDescent="0.25">
      <c r="A3602" s="92"/>
      <c r="B3602" s="93"/>
      <c r="C3602" s="93"/>
      <c r="D3602" s="92"/>
      <c r="E3602" s="92"/>
      <c r="F3602" s="92"/>
      <c r="G3602" s="92"/>
      <c r="H3602" s="92"/>
      <c r="I3602" s="92"/>
      <c r="J3602" s="92"/>
      <c r="K3602" s="92"/>
      <c r="L3602" s="92"/>
      <c r="M3602" s="92"/>
      <c r="N3602" s="94"/>
      <c r="AG3602" s="107"/>
      <c r="AH3602" s="117"/>
      <c r="AI3602" s="117"/>
      <c r="AJ3602" s="107"/>
      <c r="AK3602" s="107"/>
      <c r="AL3602" s="107"/>
      <c r="AM3602" s="107"/>
      <c r="AN3602" s="107"/>
      <c r="AO3602" s="107"/>
      <c r="AP3602" s="107"/>
      <c r="AQ3602" s="107"/>
      <c r="AR3602" s="107"/>
      <c r="AS3602" s="107"/>
      <c r="AT3602" s="39"/>
      <c r="AZ3602" s="117"/>
      <c r="BK3602" s="39"/>
    </row>
    <row r="3603" spans="1:63" x14ac:dyDescent="0.25">
      <c r="A3603" s="92"/>
      <c r="B3603" s="92"/>
      <c r="C3603" s="92"/>
      <c r="D3603" s="92"/>
      <c r="E3603" s="92"/>
      <c r="F3603" s="92"/>
      <c r="G3603" s="92"/>
      <c r="H3603" s="92"/>
      <c r="I3603" s="92"/>
      <c r="J3603" s="92"/>
      <c r="K3603" s="92"/>
      <c r="L3603" s="92"/>
      <c r="M3603" s="92"/>
      <c r="N3603" s="92"/>
      <c r="AG3603" s="107"/>
      <c r="AH3603" s="117"/>
      <c r="AI3603" s="117"/>
      <c r="AJ3603" s="107"/>
      <c r="AK3603" s="107"/>
      <c r="AL3603" s="107"/>
      <c r="AM3603" s="107"/>
      <c r="AN3603" s="107"/>
      <c r="AO3603" s="107"/>
      <c r="AP3603" s="107"/>
      <c r="AQ3603" s="107"/>
      <c r="AR3603" s="107"/>
      <c r="AS3603" s="107"/>
      <c r="AT3603" s="39"/>
      <c r="AZ3603" s="117"/>
      <c r="BK3603" s="39"/>
    </row>
    <row r="3604" spans="1:63" x14ac:dyDescent="0.25">
      <c r="A3604" s="92"/>
      <c r="B3604" s="92"/>
      <c r="C3604" s="92"/>
      <c r="D3604" s="92"/>
      <c r="E3604" s="92"/>
      <c r="F3604" s="92"/>
      <c r="G3604" s="92"/>
      <c r="H3604" s="92"/>
      <c r="I3604" s="92"/>
      <c r="J3604" s="92"/>
      <c r="K3604" s="92"/>
      <c r="L3604" s="92"/>
      <c r="M3604" s="92"/>
      <c r="N3604" s="92"/>
      <c r="AG3604" s="107"/>
      <c r="AH3604" s="107"/>
      <c r="AI3604" s="107"/>
      <c r="AJ3604" s="107"/>
      <c r="AK3604" s="107"/>
      <c r="AL3604" s="107"/>
      <c r="AM3604" s="107"/>
      <c r="AN3604" s="107"/>
      <c r="AO3604" s="107"/>
      <c r="AP3604" s="107"/>
      <c r="AQ3604" s="107"/>
      <c r="AR3604" s="107"/>
      <c r="AS3604" s="107"/>
      <c r="AT3604" s="107"/>
    </row>
    <row r="3605" spans="1:63" x14ac:dyDescent="0.25">
      <c r="A3605" s="92"/>
      <c r="B3605" s="93"/>
      <c r="C3605" s="93"/>
      <c r="D3605" s="92"/>
      <c r="E3605" s="92"/>
      <c r="F3605" s="92"/>
      <c r="G3605" s="92"/>
      <c r="H3605" s="92"/>
      <c r="I3605" s="92"/>
      <c r="J3605" s="92"/>
      <c r="K3605" s="92"/>
      <c r="L3605" s="92"/>
      <c r="M3605" s="92"/>
      <c r="N3605" s="94"/>
      <c r="AG3605" s="107"/>
      <c r="AH3605" s="117"/>
      <c r="AI3605" s="117"/>
      <c r="AJ3605" s="107"/>
      <c r="AK3605" s="107"/>
      <c r="AL3605" s="107"/>
      <c r="AM3605" s="107"/>
      <c r="AN3605" s="107"/>
      <c r="AO3605" s="107"/>
      <c r="AP3605" s="107"/>
      <c r="AQ3605" s="107"/>
      <c r="AR3605" s="107"/>
      <c r="AS3605" s="107"/>
      <c r="AT3605" s="39"/>
      <c r="AZ3605" s="117"/>
      <c r="BK3605" s="39"/>
    </row>
    <row r="3606" spans="1:63" x14ac:dyDescent="0.25">
      <c r="A3606" s="92"/>
      <c r="B3606" s="93"/>
      <c r="C3606" s="93"/>
      <c r="D3606" s="92"/>
      <c r="E3606" s="92"/>
      <c r="F3606" s="92"/>
      <c r="G3606" s="92"/>
      <c r="H3606" s="92"/>
      <c r="I3606" s="92"/>
      <c r="J3606" s="92"/>
      <c r="K3606" s="92"/>
      <c r="L3606" s="92"/>
      <c r="M3606" s="92"/>
      <c r="N3606" s="94"/>
      <c r="AG3606" s="107"/>
      <c r="AH3606" s="117"/>
      <c r="AI3606" s="117"/>
      <c r="AJ3606" s="107"/>
      <c r="AK3606" s="107"/>
      <c r="AL3606" s="107"/>
      <c r="AM3606" s="107"/>
      <c r="AN3606" s="107"/>
      <c r="AO3606" s="107"/>
      <c r="AP3606" s="107"/>
      <c r="AQ3606" s="107"/>
      <c r="AR3606" s="107"/>
      <c r="AS3606" s="107"/>
      <c r="AT3606" s="39"/>
    </row>
    <row r="3607" spans="1:63" x14ac:dyDescent="0.25">
      <c r="A3607" s="92"/>
      <c r="B3607" s="92"/>
      <c r="C3607" s="92"/>
      <c r="D3607" s="92"/>
      <c r="E3607" s="92"/>
      <c r="F3607" s="92"/>
      <c r="G3607" s="92"/>
      <c r="H3607" s="92"/>
      <c r="I3607" s="92"/>
      <c r="J3607" s="92"/>
      <c r="K3607" s="92"/>
      <c r="L3607" s="92"/>
      <c r="M3607" s="92"/>
      <c r="N3607" s="92"/>
      <c r="AG3607" s="107"/>
      <c r="AH3607" s="117"/>
      <c r="AI3607" s="117"/>
      <c r="AJ3607" s="117"/>
      <c r="AK3607" s="107"/>
      <c r="AL3607" s="107"/>
      <c r="AM3607" s="107"/>
      <c r="AN3607" s="107"/>
      <c r="AO3607" s="107"/>
      <c r="AP3607" s="107"/>
      <c r="AQ3607" s="107"/>
      <c r="AR3607" s="107"/>
      <c r="AS3607" s="107"/>
      <c r="AT3607" s="39"/>
      <c r="AZ3607" s="117"/>
      <c r="BA3607" s="117"/>
      <c r="BK3607" s="39"/>
    </row>
    <row r="3608" spans="1:63" x14ac:dyDescent="0.25">
      <c r="A3608" s="92"/>
      <c r="B3608" s="92"/>
      <c r="C3608" s="92"/>
      <c r="D3608" s="92"/>
      <c r="E3608" s="92"/>
      <c r="F3608" s="92"/>
      <c r="G3608" s="92"/>
      <c r="H3608" s="92"/>
      <c r="I3608" s="92"/>
      <c r="J3608" s="92"/>
      <c r="K3608" s="92"/>
      <c r="L3608" s="92"/>
      <c r="M3608" s="92"/>
      <c r="N3608" s="92"/>
      <c r="AG3608" s="107"/>
      <c r="AH3608" s="107"/>
      <c r="AI3608" s="107"/>
      <c r="AJ3608" s="117"/>
      <c r="AK3608" s="107"/>
      <c r="AL3608" s="107"/>
      <c r="AM3608" s="107"/>
      <c r="AN3608" s="107"/>
      <c r="AO3608" s="107"/>
      <c r="AP3608" s="107"/>
      <c r="AQ3608" s="107"/>
      <c r="AR3608" s="107"/>
      <c r="AS3608" s="107"/>
      <c r="AT3608" s="107"/>
      <c r="BA3608" s="117"/>
    </row>
    <row r="3609" spans="1:63" x14ac:dyDescent="0.25">
      <c r="A3609" s="92"/>
      <c r="B3609" s="92"/>
      <c r="C3609" s="92"/>
      <c r="D3609" s="92"/>
      <c r="E3609" s="92"/>
      <c r="F3609" s="92"/>
      <c r="G3609" s="92"/>
      <c r="H3609" s="92"/>
      <c r="I3609" s="92"/>
      <c r="J3609" s="92"/>
      <c r="K3609" s="92"/>
      <c r="L3609" s="92"/>
      <c r="M3609" s="92"/>
      <c r="N3609" s="92"/>
      <c r="AG3609" s="107"/>
      <c r="AH3609" s="107"/>
      <c r="AI3609" s="107"/>
      <c r="AJ3609" s="117"/>
      <c r="AK3609" s="107"/>
      <c r="AL3609" s="107"/>
      <c r="AM3609" s="107"/>
      <c r="AN3609" s="107"/>
      <c r="AO3609" s="107"/>
      <c r="AP3609" s="107"/>
      <c r="AQ3609" s="107"/>
      <c r="AR3609" s="107"/>
      <c r="AS3609" s="107"/>
      <c r="AT3609" s="107"/>
      <c r="AZ3609" s="117"/>
      <c r="BK3609" s="39"/>
    </row>
    <row r="3610" spans="1:63" x14ac:dyDescent="0.25">
      <c r="A3610" s="92"/>
      <c r="B3610" s="92"/>
      <c r="C3610" s="92"/>
      <c r="D3610" s="92"/>
      <c r="E3610" s="92"/>
      <c r="F3610" s="92"/>
      <c r="G3610" s="92"/>
      <c r="H3610" s="92"/>
      <c r="I3610" s="92"/>
      <c r="J3610" s="92"/>
      <c r="K3610" s="92"/>
      <c r="L3610" s="92"/>
      <c r="M3610" s="92"/>
      <c r="N3610" s="92"/>
      <c r="AG3610" s="107"/>
      <c r="AH3610" s="107"/>
      <c r="AI3610" s="107"/>
      <c r="AJ3610" s="117"/>
      <c r="AK3610" s="107"/>
      <c r="AL3610" s="107"/>
      <c r="AM3610" s="107"/>
      <c r="AN3610" s="107"/>
      <c r="AO3610" s="107"/>
      <c r="AP3610" s="107"/>
      <c r="AQ3610" s="107"/>
      <c r="AR3610" s="107"/>
      <c r="AS3610" s="107"/>
      <c r="AT3610" s="107"/>
    </row>
    <row r="3611" spans="1:63" x14ac:dyDescent="0.25">
      <c r="A3611" s="92"/>
      <c r="B3611" s="92"/>
      <c r="C3611" s="92"/>
      <c r="D3611" s="92"/>
      <c r="E3611" s="92"/>
      <c r="F3611" s="92"/>
      <c r="G3611" s="92"/>
      <c r="H3611" s="92"/>
      <c r="I3611" s="92"/>
      <c r="J3611" s="92"/>
      <c r="K3611" s="92"/>
      <c r="L3611" s="92"/>
      <c r="M3611" s="92"/>
      <c r="N3611" s="92"/>
      <c r="AG3611" s="107"/>
      <c r="AH3611" s="107"/>
      <c r="AI3611" s="107"/>
      <c r="AJ3611" s="107"/>
      <c r="AK3611" s="107"/>
      <c r="AL3611" s="107"/>
      <c r="AM3611" s="107"/>
      <c r="AN3611" s="107"/>
      <c r="AO3611" s="107"/>
      <c r="AP3611" s="107"/>
      <c r="AQ3611" s="107"/>
      <c r="AR3611" s="107"/>
      <c r="AS3611" s="107"/>
      <c r="AT3611" s="107"/>
      <c r="AZ3611" s="117"/>
      <c r="BK3611" s="39"/>
    </row>
    <row r="3612" spans="1:63" x14ac:dyDescent="0.25">
      <c r="A3612" s="92"/>
      <c r="B3612" s="92"/>
      <c r="C3612" s="92"/>
      <c r="D3612" s="92"/>
      <c r="E3612" s="92"/>
      <c r="F3612" s="92"/>
      <c r="G3612" s="92"/>
      <c r="H3612" s="92"/>
      <c r="I3612" s="92"/>
      <c r="J3612" s="92"/>
      <c r="K3612" s="92"/>
      <c r="L3612" s="92"/>
      <c r="M3612" s="92"/>
      <c r="N3612" s="92"/>
      <c r="AG3612" s="107"/>
      <c r="AH3612" s="107"/>
      <c r="AI3612" s="107"/>
      <c r="AJ3612" s="107"/>
      <c r="AK3612" s="107"/>
      <c r="AL3612" s="107"/>
      <c r="AM3612" s="107"/>
      <c r="AN3612" s="107"/>
      <c r="AO3612" s="107"/>
      <c r="AP3612" s="107"/>
      <c r="AQ3612" s="107"/>
      <c r="AR3612" s="107"/>
      <c r="AS3612" s="107"/>
      <c r="AT3612" s="107"/>
    </row>
    <row r="3613" spans="1:63" x14ac:dyDescent="0.25">
      <c r="A3613" s="92"/>
      <c r="B3613" s="93"/>
      <c r="C3613" s="93"/>
      <c r="D3613" s="92"/>
      <c r="E3613" s="92"/>
      <c r="F3613" s="92"/>
      <c r="G3613" s="92"/>
      <c r="H3613" s="92"/>
      <c r="I3613" s="92"/>
      <c r="J3613" s="92"/>
      <c r="K3613" s="92"/>
      <c r="L3613" s="92"/>
      <c r="M3613" s="92"/>
      <c r="N3613" s="94"/>
      <c r="AG3613" s="107"/>
      <c r="AH3613" s="117"/>
      <c r="AI3613" s="117"/>
      <c r="AJ3613" s="107"/>
      <c r="AK3613" s="107"/>
      <c r="AL3613" s="107"/>
      <c r="AM3613" s="107"/>
      <c r="AN3613" s="107"/>
      <c r="AO3613" s="107"/>
      <c r="AP3613" s="107"/>
      <c r="AQ3613" s="107"/>
      <c r="AR3613" s="107"/>
      <c r="AS3613" s="107"/>
      <c r="AT3613" s="39"/>
    </row>
    <row r="3614" spans="1:63" x14ac:dyDescent="0.25">
      <c r="A3614" s="92"/>
      <c r="B3614" s="93"/>
      <c r="C3614" s="93"/>
      <c r="D3614" s="92"/>
      <c r="E3614" s="92"/>
      <c r="F3614" s="92"/>
      <c r="G3614" s="92"/>
      <c r="H3614" s="92"/>
      <c r="I3614" s="92"/>
      <c r="J3614" s="92"/>
      <c r="K3614" s="92"/>
      <c r="L3614" s="92"/>
      <c r="M3614" s="92"/>
      <c r="N3614" s="94"/>
      <c r="AG3614" s="107"/>
      <c r="AH3614" s="107"/>
      <c r="AI3614" s="107"/>
      <c r="AJ3614" s="107"/>
      <c r="AK3614" s="107"/>
      <c r="AL3614" s="107"/>
      <c r="AM3614" s="107"/>
      <c r="AN3614" s="107"/>
      <c r="AO3614" s="107"/>
      <c r="AP3614" s="107"/>
      <c r="AQ3614" s="107"/>
      <c r="AR3614" s="107"/>
      <c r="AS3614" s="107"/>
      <c r="AT3614" s="107"/>
    </row>
    <row r="3615" spans="1:63" x14ac:dyDescent="0.25">
      <c r="A3615" s="92"/>
      <c r="B3615" s="93"/>
      <c r="C3615" s="93"/>
      <c r="D3615" s="92"/>
      <c r="E3615" s="92"/>
      <c r="F3615" s="92"/>
      <c r="G3615" s="92"/>
      <c r="H3615" s="92"/>
      <c r="I3615" s="92"/>
      <c r="J3615" s="92"/>
      <c r="K3615" s="92"/>
      <c r="L3615" s="92"/>
      <c r="M3615" s="92"/>
      <c r="N3615" s="94"/>
      <c r="AG3615" s="107"/>
      <c r="AH3615" s="117"/>
      <c r="AI3615" s="117"/>
      <c r="AJ3615" s="107"/>
      <c r="AK3615" s="107"/>
      <c r="AL3615" s="107"/>
      <c r="AM3615" s="107"/>
      <c r="AN3615" s="107"/>
      <c r="AO3615" s="107"/>
      <c r="AP3615" s="107"/>
      <c r="AQ3615" s="107"/>
      <c r="AR3615" s="107"/>
      <c r="AS3615" s="107"/>
      <c r="AT3615" s="39"/>
    </row>
    <row r="3616" spans="1:63" x14ac:dyDescent="0.25">
      <c r="A3616" s="92"/>
      <c r="B3616" s="92"/>
      <c r="C3616" s="92"/>
      <c r="D3616" s="92"/>
      <c r="E3616" s="92"/>
      <c r="F3616" s="92"/>
      <c r="G3616" s="92"/>
      <c r="H3616" s="92"/>
      <c r="I3616" s="92"/>
      <c r="J3616" s="92"/>
      <c r="K3616" s="92"/>
      <c r="L3616" s="92"/>
      <c r="M3616" s="92"/>
      <c r="N3616" s="92"/>
      <c r="AG3616" s="107"/>
      <c r="AH3616" s="117"/>
      <c r="AI3616" s="117"/>
      <c r="AJ3616" s="107"/>
      <c r="AK3616" s="107"/>
      <c r="AL3616" s="107"/>
      <c r="AM3616" s="107"/>
      <c r="AN3616" s="107"/>
      <c r="AO3616" s="107"/>
      <c r="AP3616" s="107"/>
      <c r="AQ3616" s="107"/>
      <c r="AR3616" s="107"/>
      <c r="AS3616" s="107"/>
      <c r="AT3616" s="39"/>
    </row>
    <row r="3617" spans="1:63" x14ac:dyDescent="0.25">
      <c r="A3617" s="92"/>
      <c r="B3617" s="93"/>
      <c r="C3617" s="93"/>
      <c r="D3617" s="92"/>
      <c r="E3617" s="92"/>
      <c r="F3617" s="92"/>
      <c r="G3617" s="92"/>
      <c r="H3617" s="92"/>
      <c r="I3617" s="92"/>
      <c r="J3617" s="92"/>
      <c r="K3617" s="92"/>
      <c r="L3617" s="92"/>
      <c r="M3617" s="92"/>
      <c r="N3617" s="94"/>
      <c r="AG3617" s="107"/>
      <c r="AH3617" s="107"/>
      <c r="AI3617" s="107"/>
      <c r="AJ3617" s="107"/>
      <c r="AK3617" s="107"/>
      <c r="AL3617" s="107"/>
      <c r="AM3617" s="107"/>
      <c r="AN3617" s="107"/>
      <c r="AO3617" s="107"/>
      <c r="AP3617" s="107"/>
      <c r="AQ3617" s="107"/>
      <c r="AR3617" s="107"/>
      <c r="AS3617" s="107"/>
      <c r="AT3617" s="107"/>
      <c r="AZ3617" s="117"/>
      <c r="BA3617" s="117"/>
      <c r="BK3617" s="39"/>
    </row>
    <row r="3618" spans="1:63" x14ac:dyDescent="0.25">
      <c r="A3618" s="92"/>
      <c r="B3618" s="93"/>
      <c r="C3618" s="93"/>
      <c r="D3618" s="92"/>
      <c r="E3618" s="92"/>
      <c r="F3618" s="92"/>
      <c r="G3618" s="92"/>
      <c r="H3618" s="92"/>
      <c r="I3618" s="92"/>
      <c r="J3618" s="92"/>
      <c r="K3618" s="92"/>
      <c r="L3618" s="92"/>
      <c r="M3618" s="92"/>
      <c r="N3618" s="94"/>
      <c r="AG3618" s="107"/>
      <c r="AH3618" s="107"/>
      <c r="AI3618" s="107"/>
      <c r="AJ3618" s="107"/>
      <c r="AK3618" s="107"/>
      <c r="AL3618" s="107"/>
      <c r="AM3618" s="107"/>
      <c r="AN3618" s="107"/>
      <c r="AO3618" s="107"/>
      <c r="AP3618" s="107"/>
      <c r="AQ3618" s="107"/>
      <c r="AR3618" s="107"/>
      <c r="AS3618" s="107"/>
      <c r="AT3618" s="107"/>
      <c r="AZ3618" s="117"/>
      <c r="BK3618" s="39"/>
    </row>
    <row r="3619" spans="1:63" x14ac:dyDescent="0.25">
      <c r="A3619" s="92"/>
      <c r="B3619" s="93"/>
      <c r="C3619" s="93"/>
      <c r="D3619" s="92"/>
      <c r="E3619" s="92"/>
      <c r="F3619" s="92"/>
      <c r="G3619" s="92"/>
      <c r="H3619" s="92"/>
      <c r="I3619" s="92"/>
      <c r="J3619" s="92"/>
      <c r="K3619" s="92"/>
      <c r="L3619" s="92"/>
      <c r="M3619" s="92"/>
      <c r="N3619" s="94"/>
      <c r="AG3619" s="107"/>
      <c r="AH3619" s="117"/>
      <c r="AI3619" s="117"/>
      <c r="AJ3619" s="117"/>
      <c r="AK3619" s="107"/>
      <c r="AL3619" s="107"/>
      <c r="AM3619" s="107"/>
      <c r="AN3619" s="107"/>
      <c r="AO3619" s="107"/>
      <c r="AP3619" s="107"/>
      <c r="AQ3619" s="107"/>
      <c r="AR3619" s="107"/>
      <c r="AS3619" s="107"/>
      <c r="AT3619" s="39"/>
      <c r="AZ3619" s="117"/>
      <c r="BK3619" s="39"/>
    </row>
    <row r="3620" spans="1:63" x14ac:dyDescent="0.25">
      <c r="A3620" s="92"/>
      <c r="B3620" s="92"/>
      <c r="C3620" s="92"/>
      <c r="D3620" s="92"/>
      <c r="E3620" s="92"/>
      <c r="F3620" s="92"/>
      <c r="G3620" s="92"/>
      <c r="H3620" s="92"/>
      <c r="I3620" s="92"/>
      <c r="J3620" s="92"/>
      <c r="K3620" s="92"/>
      <c r="L3620" s="92"/>
      <c r="M3620" s="92"/>
      <c r="N3620" s="92"/>
      <c r="AG3620" s="107"/>
      <c r="AH3620" s="107"/>
      <c r="AI3620" s="107"/>
      <c r="AJ3620" s="107"/>
      <c r="AK3620" s="107"/>
      <c r="AL3620" s="107"/>
      <c r="AM3620" s="107"/>
      <c r="AN3620" s="107"/>
      <c r="AO3620" s="107"/>
      <c r="AP3620" s="107"/>
      <c r="AQ3620" s="107"/>
      <c r="AR3620" s="107"/>
      <c r="AS3620" s="107"/>
      <c r="AT3620" s="107"/>
      <c r="AZ3620" s="117"/>
      <c r="BK3620" s="39"/>
    </row>
    <row r="3621" spans="1:63" x14ac:dyDescent="0.25">
      <c r="A3621" s="92"/>
      <c r="B3621" s="93"/>
      <c r="C3621" s="93"/>
      <c r="D3621" s="92"/>
      <c r="E3621" s="92"/>
      <c r="F3621" s="92"/>
      <c r="G3621" s="92"/>
      <c r="H3621" s="92"/>
      <c r="I3621" s="92"/>
      <c r="J3621" s="92"/>
      <c r="K3621" s="92"/>
      <c r="L3621" s="92"/>
      <c r="M3621" s="92"/>
      <c r="N3621" s="94"/>
      <c r="AG3621" s="107"/>
      <c r="AH3621" s="107"/>
      <c r="AI3621" s="107"/>
      <c r="AJ3621" s="107"/>
      <c r="AK3621" s="107"/>
      <c r="AL3621" s="107"/>
      <c r="AM3621" s="107"/>
      <c r="AN3621" s="107"/>
      <c r="AO3621" s="107"/>
      <c r="AP3621" s="107"/>
      <c r="AQ3621" s="107"/>
      <c r="AR3621" s="107"/>
      <c r="AS3621" s="107"/>
      <c r="AT3621" s="107"/>
    </row>
    <row r="3622" spans="1:63" x14ac:dyDescent="0.25">
      <c r="A3622" s="92"/>
      <c r="B3622" s="92"/>
      <c r="C3622" s="92"/>
      <c r="D3622" s="92"/>
      <c r="E3622" s="92"/>
      <c r="F3622" s="92"/>
      <c r="G3622" s="92"/>
      <c r="H3622" s="92"/>
      <c r="I3622" s="92"/>
      <c r="J3622" s="92"/>
      <c r="K3622" s="92"/>
      <c r="L3622" s="92"/>
      <c r="M3622" s="92"/>
      <c r="N3622" s="92"/>
      <c r="AG3622" s="107"/>
      <c r="AH3622" s="107"/>
      <c r="AI3622" s="107"/>
      <c r="AJ3622" s="107"/>
      <c r="AK3622" s="107"/>
      <c r="AL3622" s="107"/>
      <c r="AM3622" s="107"/>
      <c r="AN3622" s="107"/>
      <c r="AO3622" s="107"/>
      <c r="AP3622" s="107"/>
      <c r="AQ3622" s="107"/>
      <c r="AR3622" s="107"/>
      <c r="AS3622" s="107"/>
      <c r="AT3622" s="107"/>
    </row>
    <row r="3623" spans="1:63" x14ac:dyDescent="0.25">
      <c r="A3623" s="92"/>
      <c r="B3623" s="93"/>
      <c r="C3623" s="93"/>
      <c r="D3623" s="93"/>
      <c r="E3623" s="92"/>
      <c r="F3623" s="92"/>
      <c r="G3623" s="92"/>
      <c r="H3623" s="92"/>
      <c r="I3623" s="92"/>
      <c r="J3623" s="92"/>
      <c r="K3623" s="92"/>
      <c r="L3623" s="92"/>
      <c r="M3623" s="92"/>
      <c r="N3623" s="94"/>
      <c r="AG3623" s="107"/>
      <c r="AH3623" s="107"/>
      <c r="AI3623" s="107"/>
      <c r="AJ3623" s="107"/>
      <c r="AK3623" s="107"/>
      <c r="AL3623" s="107"/>
      <c r="AM3623" s="107"/>
      <c r="AN3623" s="107"/>
      <c r="AO3623" s="107"/>
      <c r="AP3623" s="107"/>
      <c r="AQ3623" s="107"/>
      <c r="AR3623" s="107"/>
      <c r="AS3623" s="107"/>
      <c r="AT3623" s="107"/>
      <c r="AZ3623" s="117"/>
      <c r="BK3623" s="39"/>
    </row>
    <row r="3624" spans="1:63" x14ac:dyDescent="0.25">
      <c r="A3624" s="92"/>
      <c r="B3624" s="92"/>
      <c r="C3624" s="92"/>
      <c r="D3624" s="93"/>
      <c r="E3624" s="92"/>
      <c r="F3624" s="92"/>
      <c r="G3624" s="92"/>
      <c r="H3624" s="92"/>
      <c r="I3624" s="92"/>
      <c r="J3624" s="92"/>
      <c r="K3624" s="92"/>
      <c r="L3624" s="92"/>
      <c r="M3624" s="92"/>
      <c r="N3624" s="92"/>
      <c r="AG3624" s="107"/>
      <c r="AH3624" s="117"/>
      <c r="AI3624" s="117"/>
      <c r="AJ3624" s="107"/>
      <c r="AK3624" s="107"/>
      <c r="AL3624" s="107"/>
      <c r="AM3624" s="107"/>
      <c r="AN3624" s="107"/>
      <c r="AO3624" s="107"/>
      <c r="AP3624" s="107"/>
      <c r="AQ3624" s="107"/>
      <c r="AR3624" s="107"/>
      <c r="AS3624" s="107"/>
      <c r="AT3624" s="39"/>
      <c r="AZ3624" s="117"/>
      <c r="BK3624" s="39"/>
    </row>
    <row r="3625" spans="1:63" x14ac:dyDescent="0.25">
      <c r="A3625" s="92"/>
      <c r="B3625" s="93"/>
      <c r="C3625" s="93"/>
      <c r="D3625" s="92"/>
      <c r="E3625" s="92"/>
      <c r="F3625" s="92"/>
      <c r="G3625" s="92"/>
      <c r="H3625" s="92"/>
      <c r="I3625" s="92"/>
      <c r="J3625" s="92"/>
      <c r="K3625" s="92"/>
      <c r="L3625" s="92"/>
      <c r="M3625" s="92"/>
      <c r="N3625" s="94"/>
      <c r="AG3625" s="107"/>
      <c r="AH3625" s="117"/>
      <c r="AI3625" s="117"/>
      <c r="AJ3625" s="107"/>
      <c r="AK3625" s="107"/>
      <c r="AL3625" s="107"/>
      <c r="AM3625" s="107"/>
      <c r="AN3625" s="107"/>
      <c r="AO3625" s="107"/>
      <c r="AP3625" s="107"/>
      <c r="AQ3625" s="107"/>
      <c r="AR3625" s="107"/>
      <c r="AS3625" s="107"/>
      <c r="AT3625" s="39"/>
    </row>
    <row r="3626" spans="1:63" x14ac:dyDescent="0.25">
      <c r="A3626" s="92"/>
      <c r="B3626" s="92"/>
      <c r="C3626" s="92"/>
      <c r="D3626" s="92"/>
      <c r="E3626" s="92"/>
      <c r="F3626" s="92"/>
      <c r="G3626" s="92"/>
      <c r="H3626" s="92"/>
      <c r="I3626" s="92"/>
      <c r="J3626" s="92"/>
      <c r="K3626" s="92"/>
      <c r="L3626" s="92"/>
      <c r="M3626" s="92"/>
      <c r="N3626" s="92"/>
      <c r="AG3626" s="107"/>
      <c r="AH3626" s="117"/>
      <c r="AI3626" s="117"/>
      <c r="AJ3626" s="107"/>
      <c r="AK3626" s="107"/>
      <c r="AL3626" s="107"/>
      <c r="AM3626" s="107"/>
      <c r="AN3626" s="107"/>
      <c r="AO3626" s="107"/>
      <c r="AP3626" s="107"/>
      <c r="AQ3626" s="107"/>
      <c r="AR3626" s="107"/>
      <c r="AS3626" s="107"/>
      <c r="AT3626" s="39"/>
      <c r="AZ3626" s="117"/>
      <c r="BA3626" s="117"/>
      <c r="BK3626" s="39"/>
    </row>
    <row r="3627" spans="1:63" x14ac:dyDescent="0.25">
      <c r="A3627" s="92"/>
      <c r="B3627" s="93"/>
      <c r="C3627" s="93"/>
      <c r="D3627" s="92"/>
      <c r="E3627" s="92"/>
      <c r="F3627" s="92"/>
      <c r="G3627" s="92"/>
      <c r="H3627" s="92"/>
      <c r="I3627" s="92"/>
      <c r="J3627" s="92"/>
      <c r="K3627" s="92"/>
      <c r="L3627" s="92"/>
      <c r="M3627" s="92"/>
      <c r="N3627" s="94"/>
      <c r="AG3627" s="107"/>
      <c r="AH3627" s="117"/>
      <c r="AI3627" s="117"/>
      <c r="AJ3627" s="107"/>
      <c r="AK3627" s="107"/>
      <c r="AL3627" s="107"/>
      <c r="AM3627" s="107"/>
      <c r="AN3627" s="107"/>
      <c r="AO3627" s="107"/>
      <c r="AP3627" s="107"/>
      <c r="AQ3627" s="107"/>
      <c r="AR3627" s="107"/>
      <c r="AS3627" s="107"/>
      <c r="AT3627" s="39"/>
      <c r="AZ3627" s="117"/>
      <c r="BK3627" s="39"/>
    </row>
    <row r="3628" spans="1:63" x14ac:dyDescent="0.25">
      <c r="A3628" s="92"/>
      <c r="B3628" s="92"/>
      <c r="C3628" s="92"/>
      <c r="D3628" s="92"/>
      <c r="E3628" s="92"/>
      <c r="F3628" s="92"/>
      <c r="G3628" s="92"/>
      <c r="H3628" s="92"/>
      <c r="I3628" s="92"/>
      <c r="J3628" s="92"/>
      <c r="K3628" s="92"/>
      <c r="L3628" s="92"/>
      <c r="M3628" s="92"/>
      <c r="N3628" s="92"/>
      <c r="AG3628" s="107"/>
      <c r="AH3628" s="117"/>
      <c r="AI3628" s="117"/>
      <c r="AJ3628" s="107"/>
      <c r="AK3628" s="107"/>
      <c r="AL3628" s="107"/>
      <c r="AM3628" s="107"/>
      <c r="AN3628" s="107"/>
      <c r="AO3628" s="107"/>
      <c r="AP3628" s="107"/>
      <c r="AQ3628" s="107"/>
      <c r="AR3628" s="107"/>
      <c r="AS3628" s="107"/>
      <c r="AT3628" s="39"/>
      <c r="AZ3628" s="117"/>
      <c r="BK3628" s="39"/>
    </row>
    <row r="3629" spans="1:63" x14ac:dyDescent="0.25">
      <c r="A3629" s="92"/>
      <c r="B3629" s="92"/>
      <c r="C3629" s="92"/>
      <c r="D3629" s="92"/>
      <c r="E3629" s="92"/>
      <c r="F3629" s="92"/>
      <c r="G3629" s="92"/>
      <c r="H3629" s="92"/>
      <c r="I3629" s="92"/>
      <c r="J3629" s="92"/>
      <c r="K3629" s="92"/>
      <c r="L3629" s="92"/>
      <c r="M3629" s="92"/>
      <c r="N3629" s="92"/>
      <c r="AG3629" s="107"/>
      <c r="AH3629" s="107"/>
      <c r="AI3629" s="107"/>
      <c r="AJ3629" s="107"/>
      <c r="AK3629" s="107"/>
      <c r="AL3629" s="107"/>
      <c r="AM3629" s="107"/>
      <c r="AN3629" s="107"/>
      <c r="AO3629" s="107"/>
      <c r="AP3629" s="107"/>
      <c r="AQ3629" s="107"/>
      <c r="AR3629" s="107"/>
      <c r="AS3629" s="107"/>
      <c r="AT3629" s="107"/>
    </row>
    <row r="3630" spans="1:63" x14ac:dyDescent="0.25">
      <c r="A3630" s="92"/>
      <c r="B3630" s="92"/>
      <c r="C3630" s="92"/>
      <c r="D3630" s="92"/>
      <c r="E3630" s="92"/>
      <c r="F3630" s="92"/>
      <c r="G3630" s="92"/>
      <c r="H3630" s="92"/>
      <c r="I3630" s="92"/>
      <c r="J3630" s="92"/>
      <c r="K3630" s="92"/>
      <c r="L3630" s="92"/>
      <c r="M3630" s="92"/>
      <c r="N3630" s="92"/>
      <c r="AG3630" s="107"/>
      <c r="AH3630" s="107"/>
      <c r="AI3630" s="107"/>
      <c r="AJ3630" s="107"/>
      <c r="AK3630" s="107"/>
      <c r="AL3630" s="107"/>
      <c r="AM3630" s="107"/>
      <c r="AN3630" s="107"/>
      <c r="AO3630" s="107"/>
      <c r="AP3630" s="107"/>
      <c r="AQ3630" s="107"/>
      <c r="AR3630" s="107"/>
      <c r="AS3630" s="107"/>
      <c r="AT3630" s="107"/>
    </row>
    <row r="3631" spans="1:63" x14ac:dyDescent="0.25">
      <c r="A3631" s="92"/>
      <c r="B3631" s="92"/>
      <c r="C3631" s="92"/>
      <c r="D3631" s="92"/>
      <c r="E3631" s="92"/>
      <c r="F3631" s="92"/>
      <c r="G3631" s="92"/>
      <c r="H3631" s="92"/>
      <c r="I3631" s="92"/>
      <c r="J3631" s="92"/>
      <c r="K3631" s="92"/>
      <c r="L3631" s="92"/>
      <c r="M3631" s="92"/>
      <c r="N3631" s="92"/>
      <c r="AG3631" s="107"/>
      <c r="AH3631" s="107"/>
      <c r="AI3631" s="107"/>
      <c r="AJ3631" s="107"/>
      <c r="AK3631" s="107"/>
      <c r="AL3631" s="107"/>
      <c r="AM3631" s="107"/>
      <c r="AN3631" s="107"/>
      <c r="AO3631" s="107"/>
      <c r="AP3631" s="107"/>
      <c r="AQ3631" s="107"/>
      <c r="AR3631" s="107"/>
      <c r="AS3631" s="107"/>
      <c r="AT3631" s="107"/>
    </row>
    <row r="3632" spans="1:63" x14ac:dyDescent="0.25">
      <c r="A3632" s="92"/>
      <c r="B3632" s="92"/>
      <c r="C3632" s="92"/>
      <c r="D3632" s="92"/>
      <c r="E3632" s="92"/>
      <c r="F3632" s="92"/>
      <c r="G3632" s="92"/>
      <c r="H3632" s="92"/>
      <c r="I3632" s="92"/>
      <c r="J3632" s="92"/>
      <c r="K3632" s="92"/>
      <c r="L3632" s="92"/>
      <c r="M3632" s="92"/>
      <c r="N3632" s="92"/>
      <c r="AG3632" s="107"/>
      <c r="AH3632" s="117"/>
      <c r="AI3632" s="117"/>
      <c r="AJ3632" s="107"/>
      <c r="AK3632" s="107"/>
      <c r="AL3632" s="107"/>
      <c r="AM3632" s="107"/>
      <c r="AN3632" s="107"/>
      <c r="AO3632" s="107"/>
      <c r="AP3632" s="107"/>
      <c r="AQ3632" s="107"/>
      <c r="AR3632" s="107"/>
      <c r="AS3632" s="107"/>
      <c r="AT3632" s="39"/>
    </row>
    <row r="3633" spans="1:63" x14ac:dyDescent="0.25">
      <c r="A3633" s="92"/>
      <c r="B3633" s="93"/>
      <c r="C3633" s="93"/>
      <c r="D3633" s="93"/>
      <c r="E3633" s="92"/>
      <c r="F3633" s="92"/>
      <c r="G3633" s="92"/>
      <c r="H3633" s="92"/>
      <c r="I3633" s="92"/>
      <c r="J3633" s="92"/>
      <c r="K3633" s="92"/>
      <c r="L3633" s="92"/>
      <c r="M3633" s="92"/>
      <c r="N3633" s="94"/>
      <c r="AG3633" s="107"/>
      <c r="AH3633" s="117"/>
      <c r="AI3633" s="117"/>
      <c r="AJ3633" s="107"/>
      <c r="AK3633" s="107"/>
      <c r="AL3633" s="107"/>
      <c r="AM3633" s="107"/>
      <c r="AN3633" s="107"/>
      <c r="AO3633" s="107"/>
      <c r="AP3633" s="107"/>
      <c r="AQ3633" s="107"/>
      <c r="AR3633" s="107"/>
      <c r="AS3633" s="107"/>
      <c r="AT3633" s="39"/>
      <c r="AZ3633" s="117"/>
      <c r="BK3633" s="39"/>
    </row>
    <row r="3634" spans="1:63" x14ac:dyDescent="0.25">
      <c r="A3634" s="92"/>
      <c r="B3634" s="93"/>
      <c r="C3634" s="93"/>
      <c r="D3634" s="92"/>
      <c r="E3634" s="92"/>
      <c r="F3634" s="92"/>
      <c r="G3634" s="92"/>
      <c r="H3634" s="92"/>
      <c r="I3634" s="92"/>
      <c r="J3634" s="92"/>
      <c r="K3634" s="92"/>
      <c r="L3634" s="92"/>
      <c r="M3634" s="92"/>
      <c r="N3634" s="94"/>
      <c r="AG3634" s="107"/>
      <c r="AH3634" s="117"/>
      <c r="AI3634" s="117"/>
      <c r="AJ3634" s="107"/>
      <c r="AK3634" s="107"/>
      <c r="AL3634" s="107"/>
      <c r="AM3634" s="107"/>
      <c r="AN3634" s="107"/>
      <c r="AO3634" s="107"/>
      <c r="AP3634" s="107"/>
      <c r="AQ3634" s="107"/>
      <c r="AR3634" s="107"/>
      <c r="AS3634" s="107"/>
      <c r="AT3634" s="39"/>
    </row>
    <row r="3635" spans="1:63" x14ac:dyDescent="0.25">
      <c r="A3635" s="92"/>
      <c r="B3635" s="93"/>
      <c r="C3635" s="93"/>
      <c r="D3635" s="92"/>
      <c r="E3635" s="92"/>
      <c r="F3635" s="92"/>
      <c r="G3635" s="92"/>
      <c r="H3635" s="92"/>
      <c r="I3635" s="92"/>
      <c r="J3635" s="92"/>
      <c r="K3635" s="92"/>
      <c r="L3635" s="92"/>
      <c r="M3635" s="92"/>
      <c r="N3635" s="94"/>
      <c r="AG3635" s="107"/>
      <c r="AH3635" s="117"/>
      <c r="AI3635" s="117"/>
      <c r="AJ3635" s="107"/>
      <c r="AK3635" s="107"/>
      <c r="AL3635" s="107"/>
      <c r="AM3635" s="107"/>
      <c r="AN3635" s="107"/>
      <c r="AO3635" s="107"/>
      <c r="AP3635" s="107"/>
      <c r="AQ3635" s="107"/>
      <c r="AR3635" s="107"/>
      <c r="AS3635" s="107"/>
      <c r="AT3635" s="39"/>
    </row>
    <row r="3636" spans="1:63" x14ac:dyDescent="0.25">
      <c r="A3636" s="92"/>
      <c r="B3636" s="93"/>
      <c r="C3636" s="93"/>
      <c r="D3636" s="92"/>
      <c r="E3636" s="92"/>
      <c r="F3636" s="92"/>
      <c r="G3636" s="92"/>
      <c r="H3636" s="92"/>
      <c r="I3636" s="92"/>
      <c r="J3636" s="92"/>
      <c r="K3636" s="92"/>
      <c r="L3636" s="92"/>
      <c r="M3636" s="92"/>
      <c r="N3636" s="94"/>
      <c r="AG3636" s="107"/>
      <c r="AH3636" s="117"/>
      <c r="AI3636" s="117"/>
      <c r="AJ3636" s="107"/>
      <c r="AK3636" s="107"/>
      <c r="AL3636" s="107"/>
      <c r="AM3636" s="107"/>
      <c r="AN3636" s="107"/>
      <c r="AO3636" s="107"/>
      <c r="AP3636" s="107"/>
      <c r="AQ3636" s="107"/>
      <c r="AR3636" s="107"/>
      <c r="AS3636" s="107"/>
      <c r="AT3636" s="39"/>
    </row>
    <row r="3637" spans="1:63" x14ac:dyDescent="0.25">
      <c r="A3637" s="92"/>
      <c r="B3637" s="92"/>
      <c r="C3637" s="92"/>
      <c r="D3637" s="92"/>
      <c r="E3637" s="92"/>
      <c r="F3637" s="92"/>
      <c r="G3637" s="92"/>
      <c r="H3637" s="92"/>
      <c r="I3637" s="92"/>
      <c r="J3637" s="92"/>
      <c r="K3637" s="92"/>
      <c r="L3637" s="92"/>
      <c r="M3637" s="92"/>
      <c r="N3637" s="92"/>
      <c r="AG3637" s="107"/>
      <c r="AH3637" s="117"/>
      <c r="AI3637" s="117"/>
      <c r="AJ3637" s="107"/>
      <c r="AK3637" s="107"/>
      <c r="AL3637" s="107"/>
      <c r="AM3637" s="107"/>
      <c r="AN3637" s="107"/>
      <c r="AO3637" s="107"/>
      <c r="AP3637" s="107"/>
      <c r="AQ3637" s="107"/>
      <c r="AR3637" s="107"/>
      <c r="AS3637" s="107"/>
      <c r="AT3637" s="39"/>
    </row>
    <row r="3638" spans="1:63" x14ac:dyDescent="0.25">
      <c r="A3638" s="92"/>
      <c r="B3638" s="92"/>
      <c r="C3638" s="92"/>
      <c r="D3638" s="92"/>
      <c r="E3638" s="92"/>
      <c r="F3638" s="92"/>
      <c r="G3638" s="92"/>
      <c r="H3638" s="92"/>
      <c r="I3638" s="92"/>
      <c r="J3638" s="92"/>
      <c r="K3638" s="92"/>
      <c r="L3638" s="92"/>
      <c r="M3638" s="92"/>
      <c r="N3638" s="92"/>
      <c r="AG3638" s="107"/>
      <c r="AH3638" s="117"/>
      <c r="AI3638" s="117"/>
      <c r="AJ3638" s="107"/>
      <c r="AK3638" s="107"/>
      <c r="AL3638" s="107"/>
      <c r="AM3638" s="107"/>
      <c r="AN3638" s="107"/>
      <c r="AO3638" s="107"/>
      <c r="AP3638" s="107"/>
      <c r="AQ3638" s="107"/>
      <c r="AR3638" s="107"/>
      <c r="AS3638" s="107"/>
      <c r="AT3638" s="39"/>
    </row>
    <row r="3639" spans="1:63" x14ac:dyDescent="0.25">
      <c r="A3639" s="92"/>
      <c r="B3639" s="93"/>
      <c r="C3639" s="93"/>
      <c r="D3639" s="92"/>
      <c r="E3639" s="92"/>
      <c r="F3639" s="92"/>
      <c r="G3639" s="92"/>
      <c r="H3639" s="92"/>
      <c r="I3639" s="92"/>
      <c r="J3639" s="92"/>
      <c r="K3639" s="92"/>
      <c r="L3639" s="92"/>
      <c r="M3639" s="92"/>
      <c r="N3639" s="94"/>
      <c r="AG3639" s="107"/>
      <c r="AH3639" s="117"/>
      <c r="AI3639" s="117"/>
      <c r="AJ3639" s="107"/>
      <c r="AK3639" s="107"/>
      <c r="AL3639" s="107"/>
      <c r="AM3639" s="107"/>
      <c r="AN3639" s="107"/>
      <c r="AO3639" s="107"/>
      <c r="AP3639" s="107"/>
      <c r="AQ3639" s="107"/>
      <c r="AR3639" s="107"/>
      <c r="AS3639" s="107"/>
      <c r="AT3639" s="39"/>
      <c r="AZ3639" s="117"/>
      <c r="BK3639" s="39"/>
    </row>
    <row r="3640" spans="1:63" x14ac:dyDescent="0.25">
      <c r="A3640" s="92"/>
      <c r="B3640" s="93"/>
      <c r="C3640" s="93"/>
      <c r="D3640" s="92"/>
      <c r="E3640" s="92"/>
      <c r="F3640" s="92"/>
      <c r="G3640" s="92"/>
      <c r="H3640" s="92"/>
      <c r="I3640" s="92"/>
      <c r="J3640" s="92"/>
      <c r="K3640" s="92"/>
      <c r="L3640" s="92"/>
      <c r="M3640" s="92"/>
      <c r="N3640" s="94"/>
      <c r="AG3640" s="107"/>
      <c r="AH3640" s="117"/>
      <c r="AI3640" s="117"/>
      <c r="AJ3640" s="117"/>
      <c r="AK3640" s="107"/>
      <c r="AL3640" s="107"/>
      <c r="AM3640" s="107"/>
      <c r="AN3640" s="107"/>
      <c r="AO3640" s="107"/>
      <c r="AP3640" s="107"/>
      <c r="AQ3640" s="107"/>
      <c r="AR3640" s="107"/>
      <c r="AS3640" s="107"/>
      <c r="AT3640" s="39"/>
      <c r="AZ3640" s="117"/>
      <c r="BK3640" s="39"/>
    </row>
    <row r="3641" spans="1:63" x14ac:dyDescent="0.25">
      <c r="A3641" s="92"/>
      <c r="B3641" s="92"/>
      <c r="C3641" s="92"/>
      <c r="D3641" s="92"/>
      <c r="E3641" s="92"/>
      <c r="F3641" s="92"/>
      <c r="G3641" s="92"/>
      <c r="H3641" s="92"/>
      <c r="I3641" s="92"/>
      <c r="J3641" s="92"/>
      <c r="K3641" s="92"/>
      <c r="L3641" s="92"/>
      <c r="M3641" s="92"/>
      <c r="N3641" s="92"/>
      <c r="AG3641" s="107"/>
      <c r="AH3641" s="107"/>
      <c r="AI3641" s="107"/>
      <c r="AJ3641" s="107"/>
      <c r="AK3641" s="107"/>
      <c r="AL3641" s="107"/>
      <c r="AM3641" s="107"/>
      <c r="AN3641" s="107"/>
      <c r="AO3641" s="107"/>
      <c r="AP3641" s="107"/>
      <c r="AQ3641" s="107"/>
      <c r="AR3641" s="107"/>
      <c r="AS3641" s="107"/>
      <c r="AT3641" s="107"/>
      <c r="AZ3641" s="117"/>
      <c r="BK3641" s="39"/>
    </row>
    <row r="3642" spans="1:63" x14ac:dyDescent="0.25">
      <c r="A3642" s="92"/>
      <c r="B3642" s="93"/>
      <c r="C3642" s="93"/>
      <c r="D3642" s="93"/>
      <c r="E3642" s="92"/>
      <c r="F3642" s="92"/>
      <c r="G3642" s="92"/>
      <c r="H3642" s="92"/>
      <c r="I3642" s="92"/>
      <c r="J3642" s="92"/>
      <c r="K3642" s="92"/>
      <c r="L3642" s="92"/>
      <c r="M3642" s="92"/>
      <c r="N3642" s="94"/>
      <c r="AG3642" s="107"/>
      <c r="AH3642" s="107"/>
      <c r="AI3642" s="107"/>
      <c r="AJ3642" s="107"/>
      <c r="AK3642" s="107"/>
      <c r="AL3642" s="107"/>
      <c r="AM3642" s="107"/>
      <c r="AN3642" s="107"/>
      <c r="AO3642" s="107"/>
      <c r="AP3642" s="107"/>
      <c r="AQ3642" s="107"/>
      <c r="AR3642" s="107"/>
      <c r="AS3642" s="107"/>
      <c r="AT3642" s="107"/>
      <c r="AZ3642" s="117"/>
      <c r="BK3642" s="39"/>
    </row>
    <row r="3643" spans="1:63" x14ac:dyDescent="0.25">
      <c r="A3643" s="92"/>
      <c r="B3643" s="93"/>
      <c r="C3643" s="93"/>
      <c r="D3643" s="92"/>
      <c r="E3643" s="92"/>
      <c r="F3643" s="92"/>
      <c r="G3643" s="92"/>
      <c r="H3643" s="92"/>
      <c r="I3643" s="92"/>
      <c r="J3643" s="92"/>
      <c r="K3643" s="92"/>
      <c r="L3643" s="92"/>
      <c r="M3643" s="92"/>
      <c r="N3643" s="94"/>
      <c r="AG3643" s="107"/>
      <c r="AH3643" s="107"/>
      <c r="AI3643" s="107"/>
      <c r="AJ3643" s="107"/>
      <c r="AK3643" s="107"/>
      <c r="AL3643" s="107"/>
      <c r="AM3643" s="107"/>
      <c r="AN3643" s="107"/>
      <c r="AO3643" s="107"/>
      <c r="AP3643" s="107"/>
      <c r="AQ3643" s="107"/>
      <c r="AR3643" s="107"/>
      <c r="AS3643" s="107"/>
      <c r="AT3643" s="107"/>
      <c r="AZ3643" s="117"/>
      <c r="BA3643" s="117"/>
      <c r="BK3643" s="39"/>
    </row>
    <row r="3644" spans="1:63" x14ac:dyDescent="0.25">
      <c r="A3644" s="92"/>
      <c r="B3644" s="93"/>
      <c r="C3644" s="93"/>
      <c r="D3644" s="92"/>
      <c r="E3644" s="92"/>
      <c r="F3644" s="92"/>
      <c r="G3644" s="92"/>
      <c r="H3644" s="92"/>
      <c r="I3644" s="92"/>
      <c r="J3644" s="92"/>
      <c r="K3644" s="92"/>
      <c r="L3644" s="92"/>
      <c r="M3644" s="92"/>
      <c r="N3644" s="94"/>
      <c r="AG3644" s="107"/>
      <c r="AH3644" s="107"/>
      <c r="AI3644" s="107"/>
      <c r="AJ3644" s="107"/>
      <c r="AK3644" s="107"/>
      <c r="AL3644" s="107"/>
      <c r="AM3644" s="107"/>
      <c r="AN3644" s="107"/>
      <c r="AO3644" s="107"/>
      <c r="AP3644" s="107"/>
      <c r="AQ3644" s="107"/>
      <c r="AR3644" s="107"/>
      <c r="AS3644" s="107"/>
      <c r="AT3644" s="107"/>
      <c r="AZ3644" s="117"/>
      <c r="BK3644" s="39"/>
    </row>
    <row r="3645" spans="1:63" x14ac:dyDescent="0.25">
      <c r="A3645" s="92"/>
      <c r="B3645" s="92"/>
      <c r="C3645" s="92"/>
      <c r="D3645" s="92"/>
      <c r="E3645" s="92"/>
      <c r="F3645" s="92"/>
      <c r="G3645" s="92"/>
      <c r="H3645" s="92"/>
      <c r="I3645" s="92"/>
      <c r="J3645" s="92"/>
      <c r="K3645" s="92"/>
      <c r="L3645" s="92"/>
      <c r="M3645" s="92"/>
      <c r="N3645" s="92"/>
      <c r="AG3645" s="107"/>
      <c r="AH3645" s="107"/>
      <c r="AI3645" s="107"/>
      <c r="AJ3645" s="107"/>
      <c r="AK3645" s="107"/>
      <c r="AL3645" s="107"/>
      <c r="AM3645" s="107"/>
      <c r="AN3645" s="107"/>
      <c r="AO3645" s="107"/>
      <c r="AP3645" s="107"/>
      <c r="AQ3645" s="107"/>
      <c r="AR3645" s="107"/>
      <c r="AS3645" s="107"/>
      <c r="AT3645" s="107"/>
      <c r="AZ3645" s="117"/>
      <c r="BK3645" s="39"/>
    </row>
    <row r="3646" spans="1:63" x14ac:dyDescent="0.25">
      <c r="A3646" s="92"/>
      <c r="B3646" s="92"/>
      <c r="C3646" s="92"/>
      <c r="D3646" s="92"/>
      <c r="E3646" s="92"/>
      <c r="F3646" s="92"/>
      <c r="G3646" s="92"/>
      <c r="H3646" s="92"/>
      <c r="I3646" s="92"/>
      <c r="J3646" s="92"/>
      <c r="K3646" s="92"/>
      <c r="L3646" s="92"/>
      <c r="M3646" s="92"/>
      <c r="N3646" s="92"/>
      <c r="AG3646" s="107"/>
      <c r="AH3646" s="107"/>
      <c r="AI3646" s="107"/>
      <c r="AJ3646" s="107"/>
      <c r="AK3646" s="107"/>
      <c r="AL3646" s="107"/>
      <c r="AM3646" s="107"/>
      <c r="AN3646" s="107"/>
      <c r="AO3646" s="107"/>
      <c r="AP3646" s="107"/>
      <c r="AQ3646" s="107"/>
      <c r="AR3646" s="107"/>
      <c r="AS3646" s="107"/>
      <c r="AT3646" s="107"/>
    </row>
    <row r="3647" spans="1:63" x14ac:dyDescent="0.25">
      <c r="A3647" s="92"/>
      <c r="B3647" s="92"/>
      <c r="C3647" s="92"/>
      <c r="D3647" s="92"/>
      <c r="E3647" s="92"/>
      <c r="F3647" s="92"/>
      <c r="G3647" s="92"/>
      <c r="H3647" s="92"/>
      <c r="I3647" s="92"/>
      <c r="J3647" s="92"/>
      <c r="K3647" s="92"/>
      <c r="L3647" s="92"/>
      <c r="M3647" s="92"/>
      <c r="N3647" s="92"/>
      <c r="AG3647" s="107"/>
      <c r="AH3647" s="107"/>
      <c r="AI3647" s="107"/>
      <c r="AJ3647" s="107"/>
      <c r="AK3647" s="107"/>
      <c r="AL3647" s="107"/>
      <c r="AM3647" s="107"/>
      <c r="AN3647" s="107"/>
      <c r="AO3647" s="107"/>
      <c r="AP3647" s="107"/>
      <c r="AQ3647" s="107"/>
      <c r="AR3647" s="107"/>
      <c r="AS3647" s="107"/>
      <c r="AT3647" s="107"/>
    </row>
    <row r="3648" spans="1:63" x14ac:dyDescent="0.25">
      <c r="A3648" s="92"/>
      <c r="B3648" s="92"/>
      <c r="C3648" s="92"/>
      <c r="D3648" s="92"/>
      <c r="E3648" s="92"/>
      <c r="F3648" s="92"/>
      <c r="G3648" s="92"/>
      <c r="H3648" s="92"/>
      <c r="I3648" s="92"/>
      <c r="J3648" s="92"/>
      <c r="K3648" s="92"/>
      <c r="L3648" s="92"/>
      <c r="M3648" s="92"/>
      <c r="N3648" s="92"/>
      <c r="AG3648" s="107"/>
      <c r="AH3648" s="117"/>
      <c r="AI3648" s="117"/>
      <c r="AJ3648" s="107"/>
      <c r="AK3648" s="107"/>
      <c r="AL3648" s="107"/>
      <c r="AM3648" s="107"/>
      <c r="AN3648" s="107"/>
      <c r="AO3648" s="107"/>
      <c r="AP3648" s="107"/>
      <c r="AQ3648" s="107"/>
      <c r="AR3648" s="107"/>
      <c r="AS3648" s="107"/>
      <c r="AT3648" s="39"/>
    </row>
    <row r="3649" spans="1:63" x14ac:dyDescent="0.25">
      <c r="A3649" s="92"/>
      <c r="B3649" s="93"/>
      <c r="C3649" s="93"/>
      <c r="D3649" s="92"/>
      <c r="E3649" s="92"/>
      <c r="F3649" s="92"/>
      <c r="G3649" s="92"/>
      <c r="H3649" s="92"/>
      <c r="I3649" s="92"/>
      <c r="J3649" s="92"/>
      <c r="K3649" s="92"/>
      <c r="L3649" s="92"/>
      <c r="M3649" s="92"/>
      <c r="N3649" s="94"/>
      <c r="AG3649" s="107"/>
      <c r="AH3649" s="117"/>
      <c r="AI3649" s="117"/>
      <c r="AJ3649" s="107"/>
      <c r="AK3649" s="107"/>
      <c r="AL3649" s="107"/>
      <c r="AM3649" s="107"/>
      <c r="AN3649" s="107"/>
      <c r="AO3649" s="107"/>
      <c r="AP3649" s="107"/>
      <c r="AQ3649" s="107"/>
      <c r="AR3649" s="107"/>
      <c r="AS3649" s="107"/>
      <c r="AT3649" s="39"/>
      <c r="AZ3649" s="117"/>
      <c r="BK3649" s="39"/>
    </row>
    <row r="3650" spans="1:63" x14ac:dyDescent="0.25">
      <c r="A3650" s="92"/>
      <c r="B3650" s="92"/>
      <c r="C3650" s="92"/>
      <c r="D3650" s="92"/>
      <c r="E3650" s="92"/>
      <c r="F3650" s="92"/>
      <c r="G3650" s="92"/>
      <c r="H3650" s="92"/>
      <c r="I3650" s="92"/>
      <c r="J3650" s="92"/>
      <c r="K3650" s="92"/>
      <c r="L3650" s="92"/>
      <c r="M3650" s="92"/>
      <c r="N3650" s="92"/>
      <c r="AG3650" s="107"/>
      <c r="AH3650" s="117"/>
      <c r="AI3650" s="117"/>
      <c r="AJ3650" s="117"/>
      <c r="AK3650" s="107"/>
      <c r="AL3650" s="107"/>
      <c r="AM3650" s="107"/>
      <c r="AN3650" s="107"/>
      <c r="AO3650" s="107"/>
      <c r="AP3650" s="107"/>
      <c r="AQ3650" s="107"/>
      <c r="AR3650" s="107"/>
      <c r="AS3650" s="107"/>
      <c r="AT3650" s="39"/>
      <c r="AZ3650" s="117"/>
      <c r="BK3650" s="39"/>
    </row>
    <row r="3651" spans="1:63" x14ac:dyDescent="0.25">
      <c r="A3651" s="92"/>
      <c r="B3651" s="92"/>
      <c r="C3651" s="92"/>
      <c r="D3651" s="92"/>
      <c r="E3651" s="92"/>
      <c r="F3651" s="92"/>
      <c r="G3651" s="92"/>
      <c r="H3651" s="92"/>
      <c r="I3651" s="92"/>
      <c r="J3651" s="92"/>
      <c r="K3651" s="92"/>
      <c r="L3651" s="92"/>
      <c r="M3651" s="92"/>
      <c r="N3651" s="92"/>
      <c r="AG3651" s="107"/>
      <c r="AH3651" s="107"/>
      <c r="AI3651" s="107"/>
      <c r="AJ3651" s="117"/>
      <c r="AK3651" s="107"/>
      <c r="AL3651" s="107"/>
      <c r="AM3651" s="107"/>
      <c r="AN3651" s="107"/>
      <c r="AO3651" s="107"/>
      <c r="AP3651" s="107"/>
      <c r="AQ3651" s="107"/>
      <c r="AR3651" s="107"/>
      <c r="AS3651" s="107"/>
      <c r="AT3651" s="107"/>
      <c r="AZ3651" s="117"/>
      <c r="BK3651" s="39"/>
    </row>
    <row r="3652" spans="1:63" x14ac:dyDescent="0.25">
      <c r="A3652" s="92"/>
      <c r="B3652" s="92"/>
      <c r="C3652" s="92"/>
      <c r="D3652" s="92"/>
      <c r="E3652" s="92"/>
      <c r="F3652" s="92"/>
      <c r="G3652" s="92"/>
      <c r="H3652" s="92"/>
      <c r="I3652" s="92"/>
      <c r="J3652" s="92"/>
      <c r="K3652" s="92"/>
      <c r="L3652" s="92"/>
      <c r="M3652" s="92"/>
      <c r="N3652" s="92"/>
      <c r="AG3652" s="107"/>
      <c r="AH3652" s="117"/>
      <c r="AI3652" s="117"/>
      <c r="AJ3652" s="107"/>
      <c r="AK3652" s="107"/>
      <c r="AL3652" s="107"/>
      <c r="AM3652" s="107"/>
      <c r="AN3652" s="107"/>
      <c r="AO3652" s="107"/>
      <c r="AP3652" s="107"/>
      <c r="AQ3652" s="107"/>
      <c r="AR3652" s="107"/>
      <c r="AS3652" s="107"/>
      <c r="AT3652" s="39"/>
      <c r="AZ3652" s="117"/>
      <c r="BK3652" s="39"/>
    </row>
    <row r="3653" spans="1:63" x14ac:dyDescent="0.25">
      <c r="A3653" s="92"/>
      <c r="B3653" s="92"/>
      <c r="C3653" s="92"/>
      <c r="D3653" s="92"/>
      <c r="E3653" s="92"/>
      <c r="F3653" s="92"/>
      <c r="G3653" s="92"/>
      <c r="H3653" s="92"/>
      <c r="I3653" s="92"/>
      <c r="J3653" s="92"/>
      <c r="K3653" s="92"/>
      <c r="L3653" s="92"/>
      <c r="M3653" s="92"/>
      <c r="N3653" s="92"/>
      <c r="AG3653" s="107"/>
      <c r="AH3653" s="117"/>
      <c r="AI3653" s="117"/>
      <c r="AJ3653" s="107"/>
      <c r="AK3653" s="107"/>
      <c r="AL3653" s="107"/>
      <c r="AM3653" s="107"/>
      <c r="AN3653" s="107"/>
      <c r="AO3653" s="107"/>
      <c r="AP3653" s="107"/>
      <c r="AQ3653" s="107"/>
      <c r="AR3653" s="107"/>
      <c r="AS3653" s="107"/>
      <c r="AT3653" s="39"/>
      <c r="AZ3653" s="117"/>
      <c r="BA3653" s="117"/>
      <c r="BK3653" s="39"/>
    </row>
    <row r="3654" spans="1:63" x14ac:dyDescent="0.25">
      <c r="A3654" s="92"/>
      <c r="B3654" s="92"/>
      <c r="C3654" s="92"/>
      <c r="D3654" s="92"/>
      <c r="E3654" s="92"/>
      <c r="F3654" s="92"/>
      <c r="G3654" s="92"/>
      <c r="H3654" s="92"/>
      <c r="I3654" s="92"/>
      <c r="J3654" s="92"/>
      <c r="K3654" s="92"/>
      <c r="L3654" s="92"/>
      <c r="M3654" s="92"/>
      <c r="N3654" s="92"/>
      <c r="AG3654" s="107"/>
      <c r="AH3654" s="117"/>
      <c r="AI3654" s="117"/>
      <c r="AJ3654" s="107"/>
      <c r="AK3654" s="107"/>
      <c r="AL3654" s="107"/>
      <c r="AM3654" s="107"/>
      <c r="AN3654" s="107"/>
      <c r="AO3654" s="107"/>
      <c r="AP3654" s="107"/>
      <c r="AQ3654" s="107"/>
      <c r="AR3654" s="107"/>
      <c r="AS3654" s="107"/>
      <c r="AT3654" s="39"/>
      <c r="BA3654" s="117"/>
    </row>
    <row r="3655" spans="1:63" x14ac:dyDescent="0.25">
      <c r="A3655" s="92"/>
      <c r="B3655" s="93"/>
      <c r="C3655" s="93"/>
      <c r="D3655" s="92"/>
      <c r="E3655" s="92"/>
      <c r="F3655" s="92"/>
      <c r="G3655" s="92"/>
      <c r="H3655" s="92"/>
      <c r="I3655" s="92"/>
      <c r="J3655" s="92"/>
      <c r="K3655" s="92"/>
      <c r="L3655" s="92"/>
      <c r="M3655" s="92"/>
      <c r="N3655" s="94"/>
      <c r="AG3655" s="107"/>
      <c r="AH3655" s="107"/>
      <c r="AI3655" s="107"/>
      <c r="AJ3655" s="107"/>
      <c r="AK3655" s="107"/>
      <c r="AL3655" s="107"/>
      <c r="AM3655" s="107"/>
      <c r="AN3655" s="107"/>
      <c r="AO3655" s="107"/>
      <c r="AP3655" s="107"/>
      <c r="AQ3655" s="107"/>
      <c r="AR3655" s="107"/>
      <c r="AS3655" s="107"/>
      <c r="AT3655" s="107"/>
      <c r="BA3655" s="117"/>
    </row>
    <row r="3656" spans="1:63" x14ac:dyDescent="0.25">
      <c r="A3656" s="92"/>
      <c r="B3656" s="93"/>
      <c r="C3656" s="93"/>
      <c r="D3656" s="92"/>
      <c r="E3656" s="92"/>
      <c r="F3656" s="92"/>
      <c r="G3656" s="92"/>
      <c r="H3656" s="92"/>
      <c r="I3656" s="92"/>
      <c r="J3656" s="92"/>
      <c r="K3656" s="92"/>
      <c r="L3656" s="92"/>
      <c r="M3656" s="92"/>
      <c r="N3656" s="94"/>
      <c r="AG3656" s="107"/>
      <c r="AH3656" s="107"/>
      <c r="AI3656" s="107"/>
      <c r="AJ3656" s="107"/>
      <c r="AK3656" s="107"/>
      <c r="AL3656" s="107"/>
      <c r="AM3656" s="107"/>
      <c r="AN3656" s="107"/>
      <c r="AO3656" s="107"/>
      <c r="AP3656" s="107"/>
      <c r="AQ3656" s="107"/>
      <c r="AR3656" s="107"/>
      <c r="AS3656" s="107"/>
      <c r="AT3656" s="107"/>
      <c r="AZ3656" s="117"/>
      <c r="BK3656" s="39"/>
    </row>
    <row r="3657" spans="1:63" x14ac:dyDescent="0.25">
      <c r="A3657" s="92"/>
      <c r="B3657" s="93"/>
      <c r="C3657" s="93"/>
      <c r="D3657" s="92"/>
      <c r="E3657" s="92"/>
      <c r="F3657" s="92"/>
      <c r="G3657" s="92"/>
      <c r="H3657" s="92"/>
      <c r="I3657" s="92"/>
      <c r="J3657" s="92"/>
      <c r="K3657" s="92"/>
      <c r="L3657" s="92"/>
      <c r="M3657" s="92"/>
      <c r="N3657" s="94"/>
      <c r="AG3657" s="107"/>
      <c r="AH3657" s="107"/>
      <c r="AI3657" s="107"/>
      <c r="AJ3657" s="107"/>
      <c r="AK3657" s="107"/>
      <c r="AL3657" s="107"/>
      <c r="AM3657" s="107"/>
      <c r="AN3657" s="107"/>
      <c r="AO3657" s="107"/>
      <c r="AP3657" s="107"/>
      <c r="AQ3657" s="107"/>
      <c r="AR3657" s="107"/>
      <c r="AS3657" s="107"/>
      <c r="AT3657" s="107"/>
      <c r="AZ3657" s="117"/>
      <c r="BA3657" s="117"/>
      <c r="BK3657" s="39"/>
    </row>
    <row r="3658" spans="1:63" x14ac:dyDescent="0.25">
      <c r="A3658" s="92"/>
      <c r="B3658" s="93"/>
      <c r="C3658" s="93"/>
      <c r="D3658" s="92"/>
      <c r="E3658" s="92"/>
      <c r="F3658" s="92"/>
      <c r="G3658" s="92"/>
      <c r="H3658" s="92"/>
      <c r="I3658" s="92"/>
      <c r="J3658" s="92"/>
      <c r="K3658" s="92"/>
      <c r="L3658" s="92"/>
      <c r="M3658" s="92"/>
      <c r="N3658" s="94"/>
      <c r="AG3658" s="107"/>
      <c r="AH3658" s="107"/>
      <c r="AI3658" s="107"/>
      <c r="AJ3658" s="107"/>
      <c r="AK3658" s="107"/>
      <c r="AL3658" s="107"/>
      <c r="AM3658" s="107"/>
      <c r="AN3658" s="107"/>
      <c r="AO3658" s="107"/>
      <c r="AP3658" s="107"/>
      <c r="AQ3658" s="107"/>
      <c r="AR3658" s="107"/>
      <c r="AS3658" s="107"/>
      <c r="AT3658" s="107"/>
      <c r="BA3658" s="117"/>
    </row>
    <row r="3659" spans="1:63" x14ac:dyDescent="0.25">
      <c r="A3659" s="92"/>
      <c r="B3659" s="93"/>
      <c r="C3659" s="93"/>
      <c r="D3659" s="93"/>
      <c r="E3659" s="92"/>
      <c r="F3659" s="92"/>
      <c r="G3659" s="92"/>
      <c r="H3659" s="92"/>
      <c r="I3659" s="92"/>
      <c r="J3659" s="92"/>
      <c r="K3659" s="92"/>
      <c r="L3659" s="92"/>
      <c r="M3659" s="92"/>
      <c r="N3659" s="94"/>
      <c r="AG3659" s="107"/>
      <c r="AH3659" s="107"/>
      <c r="AI3659" s="107"/>
      <c r="AJ3659" s="107"/>
      <c r="AK3659" s="107"/>
      <c r="AL3659" s="107"/>
      <c r="AM3659" s="107"/>
      <c r="AN3659" s="107"/>
      <c r="AO3659" s="107"/>
      <c r="AP3659" s="107"/>
      <c r="AQ3659" s="107"/>
      <c r="AR3659" s="107"/>
      <c r="AS3659" s="107"/>
      <c r="AT3659" s="107"/>
      <c r="AZ3659" s="117"/>
      <c r="BA3659" s="117"/>
      <c r="BK3659" s="39"/>
    </row>
    <row r="3660" spans="1:63" x14ac:dyDescent="0.25">
      <c r="A3660" s="92"/>
      <c r="B3660" s="93"/>
      <c r="C3660" s="93"/>
      <c r="D3660" s="92"/>
      <c r="E3660" s="92"/>
      <c r="F3660" s="92"/>
      <c r="G3660" s="92"/>
      <c r="H3660" s="92"/>
      <c r="I3660" s="92"/>
      <c r="J3660" s="92"/>
      <c r="K3660" s="92"/>
      <c r="L3660" s="92"/>
      <c r="M3660" s="92"/>
      <c r="N3660" s="94"/>
      <c r="AG3660" s="107"/>
      <c r="AH3660" s="107"/>
      <c r="AI3660" s="107"/>
      <c r="AJ3660" s="107"/>
      <c r="AK3660" s="107"/>
      <c r="AL3660" s="107"/>
      <c r="AM3660" s="107"/>
      <c r="AN3660" s="107"/>
      <c r="AO3660" s="107"/>
      <c r="AP3660" s="107"/>
      <c r="AQ3660" s="107"/>
      <c r="AR3660" s="107"/>
      <c r="AS3660" s="107"/>
      <c r="AT3660" s="107"/>
    </row>
    <row r="3661" spans="1:63" x14ac:dyDescent="0.25">
      <c r="A3661" s="92"/>
      <c r="B3661" s="93"/>
      <c r="C3661" s="93"/>
      <c r="D3661" s="92"/>
      <c r="E3661" s="92"/>
      <c r="F3661" s="92"/>
      <c r="G3661" s="92"/>
      <c r="H3661" s="92"/>
      <c r="I3661" s="92"/>
      <c r="J3661" s="92"/>
      <c r="K3661" s="92"/>
      <c r="L3661" s="92"/>
      <c r="M3661" s="92"/>
      <c r="N3661" s="94"/>
      <c r="AG3661" s="107"/>
      <c r="AH3661" s="107"/>
      <c r="AI3661" s="107"/>
      <c r="AJ3661" s="107"/>
      <c r="AK3661" s="107"/>
      <c r="AL3661" s="107"/>
      <c r="AM3661" s="107"/>
      <c r="AN3661" s="107"/>
      <c r="AO3661" s="107"/>
      <c r="AP3661" s="107"/>
      <c r="AQ3661" s="107"/>
      <c r="AR3661" s="107"/>
      <c r="AS3661" s="107"/>
      <c r="AT3661" s="107"/>
    </row>
    <row r="3662" spans="1:63" x14ac:dyDescent="0.25">
      <c r="A3662" s="92"/>
      <c r="B3662" s="92"/>
      <c r="C3662" s="92"/>
      <c r="D3662" s="92"/>
      <c r="E3662" s="92"/>
      <c r="F3662" s="92"/>
      <c r="G3662" s="92"/>
      <c r="H3662" s="92"/>
      <c r="I3662" s="92"/>
      <c r="J3662" s="92"/>
      <c r="K3662" s="92"/>
      <c r="L3662" s="92"/>
      <c r="M3662" s="92"/>
      <c r="N3662" s="92"/>
      <c r="AG3662" s="107"/>
      <c r="AH3662" s="117"/>
      <c r="AI3662" s="117"/>
      <c r="AJ3662" s="107"/>
      <c r="AK3662" s="107"/>
      <c r="AL3662" s="107"/>
      <c r="AM3662" s="107"/>
      <c r="AN3662" s="107"/>
      <c r="AO3662" s="107"/>
      <c r="AP3662" s="107"/>
      <c r="AQ3662" s="107"/>
      <c r="AR3662" s="107"/>
      <c r="AS3662" s="107"/>
      <c r="AT3662" s="39"/>
    </row>
    <row r="3663" spans="1:63" x14ac:dyDescent="0.25">
      <c r="A3663" s="92"/>
      <c r="B3663" s="92"/>
      <c r="C3663" s="92"/>
      <c r="D3663" s="92"/>
      <c r="E3663" s="92"/>
      <c r="F3663" s="92"/>
      <c r="G3663" s="92"/>
      <c r="H3663" s="92"/>
      <c r="I3663" s="92"/>
      <c r="J3663" s="92"/>
      <c r="K3663" s="92"/>
      <c r="L3663" s="92"/>
      <c r="M3663" s="92"/>
      <c r="N3663" s="92"/>
      <c r="AG3663" s="107"/>
      <c r="AH3663" s="117"/>
      <c r="AI3663" s="117"/>
      <c r="AJ3663" s="107"/>
      <c r="AK3663" s="107"/>
      <c r="AL3663" s="107"/>
      <c r="AM3663" s="107"/>
      <c r="AN3663" s="107"/>
      <c r="AO3663" s="107"/>
      <c r="AP3663" s="107"/>
      <c r="AQ3663" s="107"/>
      <c r="AR3663" s="107"/>
      <c r="AS3663" s="107"/>
      <c r="AT3663" s="39"/>
    </row>
    <row r="3664" spans="1:63" x14ac:dyDescent="0.25">
      <c r="A3664" s="92"/>
      <c r="B3664" s="92"/>
      <c r="C3664" s="92"/>
      <c r="D3664" s="92"/>
      <c r="E3664" s="92"/>
      <c r="F3664" s="92"/>
      <c r="G3664" s="92"/>
      <c r="H3664" s="92"/>
      <c r="I3664" s="92"/>
      <c r="J3664" s="92"/>
      <c r="K3664" s="92"/>
      <c r="L3664" s="92"/>
      <c r="M3664" s="92"/>
      <c r="N3664" s="92"/>
      <c r="AG3664" s="107"/>
      <c r="AH3664" s="117"/>
      <c r="AI3664" s="117"/>
      <c r="AJ3664" s="107"/>
      <c r="AK3664" s="107"/>
      <c r="AL3664" s="107"/>
      <c r="AM3664" s="107"/>
      <c r="AN3664" s="107"/>
      <c r="AO3664" s="107"/>
      <c r="AP3664" s="107"/>
      <c r="AQ3664" s="107"/>
      <c r="AR3664" s="107"/>
      <c r="AS3664" s="107"/>
      <c r="AT3664" s="39"/>
    </row>
    <row r="3665" spans="1:63" x14ac:dyDescent="0.25">
      <c r="A3665" s="92"/>
      <c r="B3665" s="93"/>
      <c r="C3665" s="93"/>
      <c r="D3665" s="92"/>
      <c r="E3665" s="92"/>
      <c r="F3665" s="92"/>
      <c r="G3665" s="92"/>
      <c r="H3665" s="92"/>
      <c r="I3665" s="92"/>
      <c r="J3665" s="92"/>
      <c r="K3665" s="92"/>
      <c r="L3665" s="92"/>
      <c r="M3665" s="92"/>
      <c r="N3665" s="94"/>
      <c r="AG3665" s="107"/>
      <c r="AH3665" s="117"/>
      <c r="AI3665" s="117"/>
      <c r="AJ3665" s="107"/>
      <c r="AK3665" s="107"/>
      <c r="AL3665" s="107"/>
      <c r="AM3665" s="107"/>
      <c r="AN3665" s="107"/>
      <c r="AO3665" s="107"/>
      <c r="AP3665" s="107"/>
      <c r="AQ3665" s="107"/>
      <c r="AR3665" s="107"/>
      <c r="AS3665" s="107"/>
      <c r="AT3665" s="39"/>
    </row>
    <row r="3666" spans="1:63" x14ac:dyDescent="0.25">
      <c r="A3666" s="92"/>
      <c r="B3666" s="93"/>
      <c r="C3666" s="93"/>
      <c r="D3666" s="92"/>
      <c r="E3666" s="92"/>
      <c r="F3666" s="92"/>
      <c r="G3666" s="92"/>
      <c r="H3666" s="92"/>
      <c r="I3666" s="92"/>
      <c r="J3666" s="92"/>
      <c r="K3666" s="92"/>
      <c r="L3666" s="92"/>
      <c r="M3666" s="92"/>
      <c r="N3666" s="94"/>
      <c r="AG3666" s="107"/>
      <c r="AH3666" s="117"/>
      <c r="AI3666" s="117"/>
      <c r="AJ3666" s="107"/>
      <c r="AK3666" s="107"/>
      <c r="AL3666" s="107"/>
      <c r="AM3666" s="107"/>
      <c r="AN3666" s="107"/>
      <c r="AO3666" s="107"/>
      <c r="AP3666" s="107"/>
      <c r="AQ3666" s="107"/>
      <c r="AR3666" s="107"/>
      <c r="AS3666" s="107"/>
      <c r="AT3666" s="39"/>
    </row>
    <row r="3667" spans="1:63" x14ac:dyDescent="0.25">
      <c r="A3667" s="92"/>
      <c r="B3667" s="93"/>
      <c r="C3667" s="93"/>
      <c r="D3667" s="92"/>
      <c r="E3667" s="92"/>
      <c r="F3667" s="92"/>
      <c r="G3667" s="92"/>
      <c r="H3667" s="92"/>
      <c r="I3667" s="92"/>
      <c r="J3667" s="92"/>
      <c r="K3667" s="92"/>
      <c r="L3667" s="92"/>
      <c r="M3667" s="92"/>
      <c r="N3667" s="94"/>
      <c r="AG3667" s="107"/>
      <c r="AH3667" s="117"/>
      <c r="AI3667" s="117"/>
      <c r="AJ3667" s="107"/>
      <c r="AK3667" s="107"/>
      <c r="AL3667" s="107"/>
      <c r="AM3667" s="107"/>
      <c r="AN3667" s="107"/>
      <c r="AO3667" s="107"/>
      <c r="AP3667" s="107"/>
      <c r="AQ3667" s="107"/>
      <c r="AR3667" s="107"/>
      <c r="AS3667" s="107"/>
      <c r="AT3667" s="39"/>
      <c r="AZ3667" s="117"/>
      <c r="BK3667" s="39"/>
    </row>
    <row r="3668" spans="1:63" x14ac:dyDescent="0.25">
      <c r="A3668" s="92"/>
      <c r="B3668" s="93"/>
      <c r="C3668" s="93"/>
      <c r="D3668" s="92"/>
      <c r="E3668" s="92"/>
      <c r="F3668" s="92"/>
      <c r="G3668" s="92"/>
      <c r="H3668" s="92"/>
      <c r="I3668" s="92"/>
      <c r="J3668" s="92"/>
      <c r="K3668" s="92"/>
      <c r="L3668" s="92"/>
      <c r="M3668" s="92"/>
      <c r="N3668" s="94"/>
      <c r="AG3668" s="107"/>
      <c r="AH3668" s="107"/>
      <c r="AI3668" s="107"/>
      <c r="AJ3668" s="107"/>
      <c r="AK3668" s="107"/>
      <c r="AL3668" s="107"/>
      <c r="AM3668" s="107"/>
      <c r="AN3668" s="107"/>
      <c r="AO3668" s="107"/>
      <c r="AP3668" s="107"/>
      <c r="AQ3668" s="107"/>
      <c r="AR3668" s="107"/>
      <c r="AS3668" s="107"/>
      <c r="AT3668" s="107"/>
      <c r="AZ3668" s="117"/>
      <c r="BK3668" s="39"/>
    </row>
    <row r="3669" spans="1:63" x14ac:dyDescent="0.25">
      <c r="A3669" s="92"/>
      <c r="B3669" s="93"/>
      <c r="C3669" s="93"/>
      <c r="D3669" s="93"/>
      <c r="E3669" s="92"/>
      <c r="F3669" s="92"/>
      <c r="G3669" s="92"/>
      <c r="H3669" s="92"/>
      <c r="I3669" s="92"/>
      <c r="J3669" s="92"/>
      <c r="K3669" s="92"/>
      <c r="L3669" s="92"/>
      <c r="M3669" s="92"/>
      <c r="N3669" s="94"/>
      <c r="AG3669" s="107"/>
      <c r="AH3669" s="107"/>
      <c r="AI3669" s="107"/>
      <c r="AJ3669" s="107"/>
      <c r="AK3669" s="107"/>
      <c r="AL3669" s="107"/>
      <c r="AM3669" s="107"/>
      <c r="AN3669" s="107"/>
      <c r="AO3669" s="107"/>
      <c r="AP3669" s="107"/>
      <c r="AQ3669" s="107"/>
      <c r="AR3669" s="107"/>
      <c r="AS3669" s="107"/>
      <c r="AT3669" s="107"/>
      <c r="AZ3669" s="117"/>
      <c r="BK3669" s="39"/>
    </row>
    <row r="3670" spans="1:63" x14ac:dyDescent="0.25">
      <c r="A3670" s="92"/>
      <c r="B3670" s="92"/>
      <c r="C3670" s="92"/>
      <c r="D3670" s="93"/>
      <c r="E3670" s="92"/>
      <c r="F3670" s="92"/>
      <c r="G3670" s="92"/>
      <c r="H3670" s="92"/>
      <c r="I3670" s="92"/>
      <c r="J3670" s="92"/>
      <c r="K3670" s="92"/>
      <c r="L3670" s="92"/>
      <c r="M3670" s="92"/>
      <c r="N3670" s="92"/>
      <c r="AG3670" s="107"/>
      <c r="AH3670" s="107"/>
      <c r="AI3670" s="107"/>
      <c r="AJ3670" s="107"/>
      <c r="AK3670" s="107"/>
      <c r="AL3670" s="107"/>
      <c r="AM3670" s="107"/>
      <c r="AN3670" s="107"/>
      <c r="AO3670" s="107"/>
      <c r="AP3670" s="107"/>
      <c r="AQ3670" s="107"/>
      <c r="AR3670" s="107"/>
      <c r="AS3670" s="107"/>
      <c r="AT3670" s="107"/>
      <c r="AZ3670" s="117"/>
      <c r="BK3670" s="39"/>
    </row>
    <row r="3671" spans="1:63" x14ac:dyDescent="0.25">
      <c r="A3671" s="92"/>
      <c r="B3671" s="92"/>
      <c r="C3671" s="92"/>
      <c r="D3671" s="93"/>
      <c r="E3671" s="92"/>
      <c r="F3671" s="92"/>
      <c r="G3671" s="92"/>
      <c r="H3671" s="92"/>
      <c r="I3671" s="92"/>
      <c r="J3671" s="92"/>
      <c r="K3671" s="92"/>
      <c r="L3671" s="92"/>
      <c r="M3671" s="92"/>
      <c r="N3671" s="92"/>
      <c r="AG3671" s="107"/>
      <c r="AH3671" s="107"/>
      <c r="AI3671" s="107"/>
      <c r="AJ3671" s="107"/>
      <c r="AK3671" s="107"/>
      <c r="AL3671" s="107"/>
      <c r="AM3671" s="107"/>
      <c r="AN3671" s="107"/>
      <c r="AO3671" s="107"/>
      <c r="AP3671" s="107"/>
      <c r="AQ3671" s="107"/>
      <c r="AR3671" s="107"/>
      <c r="AS3671" s="107"/>
      <c r="AT3671" s="107"/>
      <c r="AZ3671" s="117"/>
      <c r="BA3671" s="117"/>
      <c r="BK3671" s="39"/>
    </row>
    <row r="3672" spans="1:63" x14ac:dyDescent="0.25">
      <c r="A3672" s="92"/>
      <c r="B3672" s="93"/>
      <c r="C3672" s="93"/>
      <c r="D3672" s="92"/>
      <c r="E3672" s="92"/>
      <c r="F3672" s="92"/>
      <c r="G3672" s="92"/>
      <c r="H3672" s="92"/>
      <c r="I3672" s="92"/>
      <c r="J3672" s="92"/>
      <c r="K3672" s="92"/>
      <c r="L3672" s="92"/>
      <c r="M3672" s="92"/>
      <c r="N3672" s="94"/>
      <c r="AG3672" s="107"/>
      <c r="AH3672" s="117"/>
      <c r="AI3672" s="117"/>
      <c r="AJ3672" s="107"/>
      <c r="AK3672" s="107"/>
      <c r="AL3672" s="107"/>
      <c r="AM3672" s="107"/>
      <c r="AN3672" s="107"/>
      <c r="AO3672" s="107"/>
      <c r="AP3672" s="107"/>
      <c r="AQ3672" s="107"/>
      <c r="AR3672" s="107"/>
      <c r="AS3672" s="107"/>
      <c r="AT3672" s="39"/>
    </row>
    <row r="3673" spans="1:63" x14ac:dyDescent="0.25">
      <c r="A3673" s="92"/>
      <c r="B3673" s="93"/>
      <c r="C3673" s="93"/>
      <c r="D3673" s="93"/>
      <c r="E3673" s="92"/>
      <c r="F3673" s="92"/>
      <c r="G3673" s="92"/>
      <c r="H3673" s="92"/>
      <c r="I3673" s="92"/>
      <c r="J3673" s="92"/>
      <c r="K3673" s="92"/>
      <c r="L3673" s="92"/>
      <c r="M3673" s="92"/>
      <c r="N3673" s="94"/>
      <c r="AG3673" s="107"/>
      <c r="AH3673" s="117"/>
      <c r="AI3673" s="117"/>
      <c r="AJ3673" s="107"/>
      <c r="AK3673" s="107"/>
      <c r="AL3673" s="107"/>
      <c r="AM3673" s="107"/>
      <c r="AN3673" s="107"/>
      <c r="AO3673" s="107"/>
      <c r="AP3673" s="107"/>
      <c r="AQ3673" s="107"/>
      <c r="AR3673" s="107"/>
      <c r="AS3673" s="107"/>
      <c r="AT3673" s="39"/>
    </row>
    <row r="3674" spans="1:63" x14ac:dyDescent="0.25">
      <c r="A3674" s="92"/>
      <c r="B3674" s="92"/>
      <c r="C3674" s="92"/>
      <c r="D3674" s="93"/>
      <c r="E3674" s="92"/>
      <c r="F3674" s="92"/>
      <c r="G3674" s="92"/>
      <c r="H3674" s="92"/>
      <c r="I3674" s="92"/>
      <c r="J3674" s="92"/>
      <c r="K3674" s="92"/>
      <c r="L3674" s="92"/>
      <c r="M3674" s="92"/>
      <c r="N3674" s="92"/>
      <c r="AG3674" s="107"/>
      <c r="AH3674" s="117"/>
      <c r="AI3674" s="117"/>
      <c r="AJ3674" s="107"/>
      <c r="AK3674" s="107"/>
      <c r="AL3674" s="107"/>
      <c r="AM3674" s="107"/>
      <c r="AN3674" s="107"/>
      <c r="AO3674" s="107"/>
      <c r="AP3674" s="107"/>
      <c r="AQ3674" s="107"/>
      <c r="AR3674" s="107"/>
      <c r="AS3674" s="107"/>
      <c r="AT3674" s="39"/>
    </row>
    <row r="3675" spans="1:63" x14ac:dyDescent="0.25">
      <c r="A3675" s="92"/>
      <c r="B3675" s="93"/>
      <c r="C3675" s="93"/>
      <c r="D3675" s="93"/>
      <c r="E3675" s="92"/>
      <c r="F3675" s="92"/>
      <c r="G3675" s="92"/>
      <c r="H3675" s="92"/>
      <c r="I3675" s="92"/>
      <c r="J3675" s="92"/>
      <c r="K3675" s="92"/>
      <c r="L3675" s="92"/>
      <c r="M3675" s="92"/>
      <c r="N3675" s="94"/>
      <c r="AG3675" s="107"/>
      <c r="AH3675" s="117"/>
      <c r="AI3675" s="117"/>
      <c r="AJ3675" s="107"/>
      <c r="AK3675" s="107"/>
      <c r="AL3675" s="107"/>
      <c r="AM3675" s="107"/>
      <c r="AN3675" s="107"/>
      <c r="AO3675" s="107"/>
      <c r="AP3675" s="107"/>
      <c r="AQ3675" s="107"/>
      <c r="AR3675" s="107"/>
      <c r="AS3675" s="107"/>
      <c r="AT3675" s="39"/>
      <c r="AZ3675" s="117"/>
      <c r="BK3675" s="39"/>
    </row>
    <row r="3676" spans="1:63" x14ac:dyDescent="0.25">
      <c r="A3676" s="92"/>
      <c r="B3676" s="92"/>
      <c r="C3676" s="92"/>
      <c r="D3676" s="92"/>
      <c r="E3676" s="92"/>
      <c r="F3676" s="92"/>
      <c r="G3676" s="92"/>
      <c r="H3676" s="92"/>
      <c r="I3676" s="92"/>
      <c r="J3676" s="92"/>
      <c r="K3676" s="92"/>
      <c r="L3676" s="92"/>
      <c r="M3676" s="92"/>
      <c r="N3676" s="92"/>
      <c r="AG3676" s="107"/>
      <c r="AH3676" s="117"/>
      <c r="AI3676" s="117"/>
      <c r="AJ3676" s="107"/>
      <c r="AK3676" s="107"/>
      <c r="AL3676" s="107"/>
      <c r="AM3676" s="107"/>
      <c r="AN3676" s="107"/>
      <c r="AO3676" s="107"/>
      <c r="AP3676" s="107"/>
      <c r="AQ3676" s="107"/>
      <c r="AR3676" s="107"/>
      <c r="AS3676" s="107"/>
      <c r="AT3676" s="39"/>
      <c r="AZ3676" s="117"/>
      <c r="BK3676" s="39"/>
    </row>
    <row r="3677" spans="1:63" x14ac:dyDescent="0.25">
      <c r="A3677" s="92"/>
      <c r="B3677" s="92"/>
      <c r="C3677" s="92"/>
      <c r="D3677" s="92"/>
      <c r="E3677" s="92"/>
      <c r="F3677" s="92"/>
      <c r="G3677" s="92"/>
      <c r="H3677" s="92"/>
      <c r="I3677" s="92"/>
      <c r="J3677" s="92"/>
      <c r="K3677" s="92"/>
      <c r="L3677" s="92"/>
      <c r="M3677" s="92"/>
      <c r="N3677" s="92"/>
      <c r="AG3677" s="107"/>
      <c r="AH3677" s="117"/>
      <c r="AI3677" s="117"/>
      <c r="AJ3677" s="107"/>
      <c r="AK3677" s="107"/>
      <c r="AL3677" s="107"/>
      <c r="AM3677" s="107"/>
      <c r="AN3677" s="107"/>
      <c r="AO3677" s="107"/>
      <c r="AP3677" s="107"/>
      <c r="AQ3677" s="107"/>
      <c r="AR3677" s="107"/>
      <c r="AS3677" s="107"/>
      <c r="AT3677" s="39"/>
      <c r="AZ3677" s="117"/>
      <c r="BA3677" s="117"/>
      <c r="BK3677" s="39"/>
    </row>
    <row r="3678" spans="1:63" x14ac:dyDescent="0.25">
      <c r="A3678" s="92"/>
      <c r="B3678" s="92"/>
      <c r="C3678" s="92"/>
      <c r="D3678" s="92"/>
      <c r="E3678" s="92"/>
      <c r="F3678" s="92"/>
      <c r="G3678" s="92"/>
      <c r="H3678" s="92"/>
      <c r="I3678" s="92"/>
      <c r="J3678" s="92"/>
      <c r="K3678" s="92"/>
      <c r="L3678" s="92"/>
      <c r="M3678" s="92"/>
      <c r="N3678" s="92"/>
      <c r="AG3678" s="107"/>
      <c r="AH3678" s="117"/>
      <c r="AI3678" s="117"/>
      <c r="AJ3678" s="107"/>
      <c r="AK3678" s="107"/>
      <c r="AL3678" s="107"/>
      <c r="AM3678" s="107"/>
      <c r="AN3678" s="107"/>
      <c r="AO3678" s="107"/>
      <c r="AP3678" s="107"/>
      <c r="AQ3678" s="107"/>
      <c r="AR3678" s="107"/>
      <c r="AS3678" s="107"/>
      <c r="AT3678" s="39"/>
      <c r="BA3678" s="117"/>
    </row>
    <row r="3679" spans="1:63" x14ac:dyDescent="0.25">
      <c r="A3679" s="92"/>
      <c r="B3679" s="92"/>
      <c r="C3679" s="92"/>
      <c r="D3679" s="92"/>
      <c r="E3679" s="92"/>
      <c r="F3679" s="92"/>
      <c r="G3679" s="92"/>
      <c r="H3679" s="92"/>
      <c r="I3679" s="92"/>
      <c r="J3679" s="92"/>
      <c r="K3679" s="92"/>
      <c r="L3679" s="92"/>
      <c r="M3679" s="92"/>
      <c r="N3679" s="92"/>
      <c r="AG3679" s="107"/>
      <c r="AH3679" s="117"/>
      <c r="AI3679" s="117"/>
      <c r="AJ3679" s="107"/>
      <c r="AK3679" s="107"/>
      <c r="AL3679" s="107"/>
      <c r="AM3679" s="107"/>
      <c r="AN3679" s="107"/>
      <c r="AO3679" s="107"/>
      <c r="AP3679" s="107"/>
      <c r="AQ3679" s="107"/>
      <c r="AR3679" s="107"/>
      <c r="AS3679" s="107"/>
      <c r="AT3679" s="39"/>
      <c r="BA3679" s="117"/>
    </row>
    <row r="3680" spans="1:63" x14ac:dyDescent="0.25">
      <c r="A3680" s="92"/>
      <c r="B3680" s="92"/>
      <c r="C3680" s="92"/>
      <c r="D3680" s="92"/>
      <c r="E3680" s="92"/>
      <c r="F3680" s="92"/>
      <c r="G3680" s="92"/>
      <c r="H3680" s="92"/>
      <c r="I3680" s="92"/>
      <c r="J3680" s="92"/>
      <c r="K3680" s="92"/>
      <c r="L3680" s="92"/>
      <c r="M3680" s="92"/>
      <c r="N3680" s="92"/>
      <c r="AG3680" s="107"/>
      <c r="AH3680" s="107"/>
      <c r="AI3680" s="107"/>
      <c r="AJ3680" s="107"/>
      <c r="AK3680" s="107"/>
      <c r="AL3680" s="107"/>
      <c r="AM3680" s="107"/>
      <c r="AN3680" s="107"/>
      <c r="AO3680" s="107"/>
      <c r="AP3680" s="107"/>
      <c r="AQ3680" s="107"/>
      <c r="AR3680" s="107"/>
      <c r="AS3680" s="107"/>
      <c r="AT3680" s="107"/>
      <c r="BA3680" s="117"/>
    </row>
    <row r="3681" spans="1:63" x14ac:dyDescent="0.25">
      <c r="A3681" s="92"/>
      <c r="B3681" s="92"/>
      <c r="C3681" s="92"/>
      <c r="D3681" s="92"/>
      <c r="E3681" s="92"/>
      <c r="F3681" s="92"/>
      <c r="G3681" s="92"/>
      <c r="H3681" s="92"/>
      <c r="I3681" s="92"/>
      <c r="J3681" s="92"/>
      <c r="K3681" s="92"/>
      <c r="L3681" s="92"/>
      <c r="M3681" s="92"/>
      <c r="N3681" s="92"/>
      <c r="AG3681" s="107"/>
      <c r="AH3681" s="107"/>
      <c r="AI3681" s="107"/>
      <c r="AJ3681" s="107"/>
      <c r="AK3681" s="107"/>
      <c r="AL3681" s="107"/>
      <c r="AM3681" s="107"/>
      <c r="AN3681" s="107"/>
      <c r="AO3681" s="107"/>
      <c r="AP3681" s="107"/>
      <c r="AQ3681" s="107"/>
      <c r="AR3681" s="107"/>
      <c r="AS3681" s="107"/>
      <c r="AT3681" s="107"/>
      <c r="AZ3681" s="117"/>
      <c r="BK3681" s="39"/>
    </row>
    <row r="3682" spans="1:63" x14ac:dyDescent="0.25">
      <c r="A3682" s="92"/>
      <c r="B3682" s="92"/>
      <c r="C3682" s="92"/>
      <c r="D3682" s="92"/>
      <c r="E3682" s="92"/>
      <c r="F3682" s="92"/>
      <c r="G3682" s="92"/>
      <c r="H3682" s="92"/>
      <c r="I3682" s="92"/>
      <c r="J3682" s="92"/>
      <c r="K3682" s="92"/>
      <c r="L3682" s="92"/>
      <c r="M3682" s="92"/>
      <c r="N3682" s="92"/>
      <c r="AG3682" s="107"/>
      <c r="AH3682" s="107"/>
      <c r="AI3682" s="107"/>
      <c r="AJ3682" s="107"/>
      <c r="AK3682" s="107"/>
      <c r="AL3682" s="107"/>
      <c r="AM3682" s="107"/>
      <c r="AN3682" s="107"/>
      <c r="AO3682" s="107"/>
      <c r="AP3682" s="107"/>
      <c r="AQ3682" s="107"/>
      <c r="AR3682" s="107"/>
      <c r="AS3682" s="107"/>
      <c r="AT3682" s="107"/>
      <c r="AZ3682" s="117"/>
      <c r="BK3682" s="39"/>
    </row>
    <row r="3683" spans="1:63" x14ac:dyDescent="0.25">
      <c r="A3683" s="92"/>
      <c r="B3683" s="93"/>
      <c r="C3683" s="93"/>
      <c r="D3683" s="92"/>
      <c r="E3683" s="92"/>
      <c r="F3683" s="92"/>
      <c r="G3683" s="92"/>
      <c r="H3683" s="92"/>
      <c r="I3683" s="92"/>
      <c r="J3683" s="92"/>
      <c r="K3683" s="92"/>
      <c r="L3683" s="92"/>
      <c r="M3683" s="92"/>
      <c r="N3683" s="94"/>
      <c r="AG3683" s="107"/>
      <c r="AH3683" s="107"/>
      <c r="AI3683" s="107"/>
      <c r="AJ3683" s="107"/>
      <c r="AK3683" s="107"/>
      <c r="AL3683" s="107"/>
      <c r="AM3683" s="107"/>
      <c r="AN3683" s="107"/>
      <c r="AO3683" s="107"/>
      <c r="AP3683" s="107"/>
      <c r="AQ3683" s="107"/>
      <c r="AR3683" s="107"/>
      <c r="AS3683" s="107"/>
      <c r="AT3683" s="107"/>
      <c r="AZ3683" s="117"/>
      <c r="BK3683" s="39"/>
    </row>
    <row r="3684" spans="1:63" x14ac:dyDescent="0.25">
      <c r="A3684" s="92"/>
      <c r="B3684" s="93"/>
      <c r="C3684" s="93"/>
      <c r="D3684" s="92"/>
      <c r="E3684" s="92"/>
      <c r="F3684" s="92"/>
      <c r="G3684" s="92"/>
      <c r="H3684" s="92"/>
      <c r="I3684" s="92"/>
      <c r="J3684" s="92"/>
      <c r="K3684" s="92"/>
      <c r="L3684" s="92"/>
      <c r="M3684" s="92"/>
      <c r="N3684" s="94"/>
      <c r="AG3684" s="107"/>
      <c r="AH3684" s="107"/>
      <c r="AI3684" s="107"/>
      <c r="AJ3684" s="107"/>
      <c r="AK3684" s="107"/>
      <c r="AL3684" s="107"/>
      <c r="AM3684" s="107"/>
      <c r="AN3684" s="107"/>
      <c r="AO3684" s="107"/>
      <c r="AP3684" s="107"/>
      <c r="AQ3684" s="107"/>
      <c r="AR3684" s="107"/>
      <c r="AS3684" s="107"/>
      <c r="AT3684" s="107"/>
      <c r="AZ3684" s="117"/>
      <c r="BK3684" s="39"/>
    </row>
    <row r="3685" spans="1:63" x14ac:dyDescent="0.25">
      <c r="A3685" s="92"/>
      <c r="B3685" s="93"/>
      <c r="C3685" s="93"/>
      <c r="D3685" s="92"/>
      <c r="E3685" s="92"/>
      <c r="F3685" s="92"/>
      <c r="G3685" s="92"/>
      <c r="H3685" s="92"/>
      <c r="I3685" s="92"/>
      <c r="J3685" s="92"/>
      <c r="K3685" s="92"/>
      <c r="L3685" s="92"/>
      <c r="M3685" s="92"/>
      <c r="N3685" s="94"/>
      <c r="AG3685" s="107"/>
      <c r="AH3685" s="107"/>
      <c r="AI3685" s="107"/>
      <c r="AJ3685" s="107"/>
      <c r="AK3685" s="107"/>
      <c r="AL3685" s="107"/>
      <c r="AM3685" s="107"/>
      <c r="AN3685" s="107"/>
      <c r="AO3685" s="107"/>
      <c r="AP3685" s="107"/>
      <c r="AQ3685" s="107"/>
      <c r="AR3685" s="107"/>
      <c r="AS3685" s="107"/>
      <c r="AT3685" s="107"/>
    </row>
    <row r="3686" spans="1:63" x14ac:dyDescent="0.25">
      <c r="A3686" s="92"/>
      <c r="B3686" s="93"/>
      <c r="C3686" s="93"/>
      <c r="D3686" s="92"/>
      <c r="E3686" s="92"/>
      <c r="F3686" s="92"/>
      <c r="G3686" s="92"/>
      <c r="H3686" s="92"/>
      <c r="I3686" s="92"/>
      <c r="J3686" s="92"/>
      <c r="K3686" s="92"/>
      <c r="L3686" s="92"/>
      <c r="M3686" s="92"/>
      <c r="N3686" s="94"/>
      <c r="AG3686" s="107"/>
      <c r="AH3686" s="107"/>
      <c r="AI3686" s="107"/>
      <c r="AJ3686" s="107"/>
      <c r="AK3686" s="107"/>
      <c r="AL3686" s="107"/>
      <c r="AM3686" s="107"/>
      <c r="AN3686" s="107"/>
      <c r="AO3686" s="107"/>
      <c r="AP3686" s="107"/>
      <c r="AQ3686" s="107"/>
      <c r="AR3686" s="107"/>
      <c r="AS3686" s="107"/>
      <c r="AT3686" s="107"/>
      <c r="AZ3686" s="117"/>
      <c r="BK3686" s="39"/>
    </row>
    <row r="3687" spans="1:63" x14ac:dyDescent="0.25">
      <c r="A3687" s="92"/>
      <c r="B3687" s="93"/>
      <c r="C3687" s="93"/>
      <c r="D3687" s="93"/>
      <c r="E3687" s="92"/>
      <c r="F3687" s="92"/>
      <c r="G3687" s="92"/>
      <c r="H3687" s="92"/>
      <c r="I3687" s="92"/>
      <c r="J3687" s="92"/>
      <c r="K3687" s="92"/>
      <c r="L3687" s="92"/>
      <c r="M3687" s="92"/>
      <c r="N3687" s="94"/>
      <c r="AG3687" s="107"/>
      <c r="AH3687" s="117"/>
      <c r="AI3687" s="117"/>
      <c r="AJ3687" s="107"/>
      <c r="AK3687" s="107"/>
      <c r="AL3687" s="107"/>
      <c r="AM3687" s="107"/>
      <c r="AN3687" s="107"/>
      <c r="AO3687" s="107"/>
      <c r="AP3687" s="107"/>
      <c r="AQ3687" s="107"/>
      <c r="AR3687" s="107"/>
      <c r="AS3687" s="107"/>
      <c r="AT3687" s="39"/>
      <c r="AZ3687" s="117"/>
      <c r="BK3687" s="39"/>
    </row>
    <row r="3688" spans="1:63" x14ac:dyDescent="0.25">
      <c r="A3688" s="92"/>
      <c r="B3688" s="92"/>
      <c r="C3688" s="92"/>
      <c r="D3688" s="92"/>
      <c r="E3688" s="92"/>
      <c r="F3688" s="92"/>
      <c r="G3688" s="92"/>
      <c r="H3688" s="92"/>
      <c r="I3688" s="92"/>
      <c r="J3688" s="92"/>
      <c r="K3688" s="92"/>
      <c r="L3688" s="92"/>
      <c r="M3688" s="92"/>
      <c r="N3688" s="92"/>
      <c r="AG3688" s="107"/>
      <c r="AH3688" s="107"/>
      <c r="AI3688" s="107"/>
      <c r="AJ3688" s="107"/>
      <c r="AK3688" s="107"/>
      <c r="AL3688" s="107"/>
      <c r="AM3688" s="107"/>
      <c r="AN3688" s="107"/>
      <c r="AO3688" s="107"/>
      <c r="AP3688" s="107"/>
      <c r="AQ3688" s="107"/>
      <c r="AR3688" s="107"/>
      <c r="AS3688" s="107"/>
      <c r="AT3688" s="107"/>
      <c r="AZ3688" s="117"/>
      <c r="BK3688" s="39"/>
    </row>
    <row r="3689" spans="1:63" x14ac:dyDescent="0.25">
      <c r="A3689" s="92"/>
      <c r="B3689" s="92"/>
      <c r="C3689" s="92"/>
      <c r="D3689" s="92"/>
      <c r="E3689" s="92"/>
      <c r="F3689" s="92"/>
      <c r="G3689" s="92"/>
      <c r="H3689" s="92"/>
      <c r="I3689" s="92"/>
      <c r="J3689" s="92"/>
      <c r="K3689" s="92"/>
      <c r="L3689" s="92"/>
      <c r="M3689" s="92"/>
      <c r="N3689" s="92"/>
      <c r="AG3689" s="107"/>
      <c r="AH3689" s="107"/>
      <c r="AI3689" s="107"/>
      <c r="AJ3689" s="107"/>
      <c r="AK3689" s="107"/>
      <c r="AL3689" s="107"/>
      <c r="AM3689" s="107"/>
      <c r="AN3689" s="107"/>
      <c r="AO3689" s="107"/>
      <c r="AP3689" s="107"/>
      <c r="AQ3689" s="107"/>
      <c r="AR3689" s="107"/>
      <c r="AS3689" s="107"/>
      <c r="AT3689" s="107"/>
      <c r="AZ3689" s="117"/>
      <c r="BK3689" s="39"/>
    </row>
    <row r="3690" spans="1:63" x14ac:dyDescent="0.25">
      <c r="A3690" s="92"/>
      <c r="B3690" s="92"/>
      <c r="C3690" s="92"/>
      <c r="D3690" s="92"/>
      <c r="E3690" s="92"/>
      <c r="F3690" s="92"/>
      <c r="G3690" s="92"/>
      <c r="H3690" s="92"/>
      <c r="I3690" s="92"/>
      <c r="J3690" s="92"/>
      <c r="K3690" s="92"/>
      <c r="L3690" s="92"/>
      <c r="M3690" s="92"/>
      <c r="N3690" s="92"/>
      <c r="AG3690" s="107"/>
      <c r="AH3690" s="107"/>
      <c r="AI3690" s="107"/>
      <c r="AJ3690" s="107"/>
      <c r="AK3690" s="107"/>
      <c r="AL3690" s="107"/>
      <c r="AM3690" s="107"/>
      <c r="AN3690" s="107"/>
      <c r="AO3690" s="107"/>
      <c r="AP3690" s="107"/>
      <c r="AQ3690" s="107"/>
      <c r="AR3690" s="107"/>
      <c r="AS3690" s="107"/>
      <c r="AT3690" s="107"/>
    </row>
    <row r="3691" spans="1:63" x14ac:dyDescent="0.25">
      <c r="A3691" s="92"/>
      <c r="B3691" s="93"/>
      <c r="C3691" s="93"/>
      <c r="D3691" s="92"/>
      <c r="E3691" s="92"/>
      <c r="F3691" s="92"/>
      <c r="G3691" s="92"/>
      <c r="H3691" s="92"/>
      <c r="I3691" s="92"/>
      <c r="J3691" s="92"/>
      <c r="K3691" s="92"/>
      <c r="L3691" s="92"/>
      <c r="M3691" s="92"/>
      <c r="N3691" s="94"/>
      <c r="AG3691" s="107"/>
      <c r="AH3691" s="107"/>
      <c r="AI3691" s="107"/>
      <c r="AJ3691" s="107"/>
      <c r="AK3691" s="107"/>
      <c r="AL3691" s="107"/>
      <c r="AM3691" s="107"/>
      <c r="AN3691" s="107"/>
      <c r="AO3691" s="107"/>
      <c r="AP3691" s="107"/>
      <c r="AQ3691" s="107"/>
      <c r="AR3691" s="107"/>
      <c r="AS3691" s="107"/>
      <c r="AT3691" s="107"/>
    </row>
    <row r="3692" spans="1:63" x14ac:dyDescent="0.25">
      <c r="A3692" s="92"/>
      <c r="B3692" s="93"/>
      <c r="C3692" s="93"/>
      <c r="D3692" s="92"/>
      <c r="E3692" s="92"/>
      <c r="F3692" s="92"/>
      <c r="G3692" s="92"/>
      <c r="H3692" s="92"/>
      <c r="I3692" s="92"/>
      <c r="J3692" s="92"/>
      <c r="K3692" s="92"/>
      <c r="L3692" s="92"/>
      <c r="M3692" s="92"/>
      <c r="N3692" s="94"/>
      <c r="AG3692" s="107"/>
      <c r="AH3692" s="107"/>
      <c r="AI3692" s="107"/>
      <c r="AJ3692" s="107"/>
      <c r="AK3692" s="107"/>
      <c r="AL3692" s="107"/>
      <c r="AM3692" s="107"/>
      <c r="AN3692" s="107"/>
      <c r="AO3692" s="107"/>
      <c r="AP3692" s="107"/>
      <c r="AQ3692" s="107"/>
      <c r="AR3692" s="107"/>
      <c r="AS3692" s="107"/>
      <c r="AT3692" s="107"/>
    </row>
    <row r="3693" spans="1:63" x14ac:dyDescent="0.25">
      <c r="A3693" s="92"/>
      <c r="B3693" s="93"/>
      <c r="C3693" s="93"/>
      <c r="D3693" s="93"/>
      <c r="E3693" s="92"/>
      <c r="F3693" s="92"/>
      <c r="G3693" s="92"/>
      <c r="H3693" s="92"/>
      <c r="I3693" s="92"/>
      <c r="J3693" s="92"/>
      <c r="K3693" s="92"/>
      <c r="L3693" s="92"/>
      <c r="M3693" s="92"/>
      <c r="N3693" s="94"/>
      <c r="AG3693" s="107"/>
      <c r="AH3693" s="107"/>
      <c r="AI3693" s="107"/>
      <c r="AJ3693" s="107"/>
      <c r="AK3693" s="107"/>
      <c r="AL3693" s="107"/>
      <c r="AM3693" s="107"/>
      <c r="AN3693" s="107"/>
      <c r="AO3693" s="107"/>
      <c r="AP3693" s="107"/>
      <c r="AQ3693" s="107"/>
      <c r="AR3693" s="107"/>
      <c r="AS3693" s="107"/>
      <c r="AT3693" s="107"/>
      <c r="AZ3693" s="117"/>
      <c r="BK3693" s="39"/>
    </row>
    <row r="3694" spans="1:63" x14ac:dyDescent="0.25">
      <c r="A3694" s="92"/>
      <c r="B3694" s="92"/>
      <c r="C3694" s="92"/>
      <c r="D3694" s="93"/>
      <c r="E3694" s="92"/>
      <c r="F3694" s="92"/>
      <c r="G3694" s="92"/>
      <c r="H3694" s="92"/>
      <c r="I3694" s="92"/>
      <c r="J3694" s="92"/>
      <c r="K3694" s="92"/>
      <c r="L3694" s="92"/>
      <c r="M3694" s="92"/>
      <c r="N3694" s="92"/>
      <c r="AG3694" s="107"/>
      <c r="AH3694" s="107"/>
      <c r="AI3694" s="107"/>
      <c r="AJ3694" s="107"/>
      <c r="AK3694" s="107"/>
      <c r="AL3694" s="107"/>
      <c r="AM3694" s="107"/>
      <c r="AN3694" s="107"/>
      <c r="AO3694" s="107"/>
      <c r="AP3694" s="107"/>
      <c r="AQ3694" s="107"/>
      <c r="AR3694" s="107"/>
      <c r="AS3694" s="107"/>
      <c r="AT3694" s="107"/>
      <c r="AZ3694" s="117"/>
      <c r="BA3694" s="117"/>
      <c r="BK3694" s="39"/>
    </row>
    <row r="3695" spans="1:63" x14ac:dyDescent="0.25">
      <c r="A3695" s="92"/>
      <c r="B3695" s="92"/>
      <c r="C3695" s="92"/>
      <c r="D3695" s="93"/>
      <c r="E3695" s="92"/>
      <c r="F3695" s="92"/>
      <c r="G3695" s="92"/>
      <c r="H3695" s="92"/>
      <c r="I3695" s="92"/>
      <c r="J3695" s="92"/>
      <c r="K3695" s="92"/>
      <c r="L3695" s="92"/>
      <c r="M3695" s="92"/>
      <c r="N3695" s="92"/>
      <c r="AG3695" s="107"/>
      <c r="AH3695" s="117"/>
      <c r="AI3695" s="117"/>
      <c r="AJ3695" s="107"/>
      <c r="AK3695" s="107"/>
      <c r="AL3695" s="107"/>
      <c r="AM3695" s="107"/>
      <c r="AN3695" s="107"/>
      <c r="AO3695" s="107"/>
      <c r="AP3695" s="107"/>
      <c r="AQ3695" s="107"/>
      <c r="AR3695" s="107"/>
      <c r="AS3695" s="107"/>
      <c r="AT3695" s="39"/>
    </row>
    <row r="3696" spans="1:63" x14ac:dyDescent="0.25">
      <c r="A3696" s="92"/>
      <c r="B3696" s="92"/>
      <c r="C3696" s="92"/>
      <c r="D3696" s="93"/>
      <c r="E3696" s="92"/>
      <c r="F3696" s="92"/>
      <c r="G3696" s="92"/>
      <c r="H3696" s="92"/>
      <c r="I3696" s="92"/>
      <c r="J3696" s="92"/>
      <c r="K3696" s="92"/>
      <c r="L3696" s="92"/>
      <c r="M3696" s="92"/>
      <c r="N3696" s="92"/>
      <c r="AG3696" s="107"/>
      <c r="AH3696" s="107"/>
      <c r="AI3696" s="107"/>
      <c r="AJ3696" s="107"/>
      <c r="AK3696" s="107"/>
      <c r="AL3696" s="107"/>
      <c r="AM3696" s="107"/>
      <c r="AN3696" s="107"/>
      <c r="AO3696" s="107"/>
      <c r="AP3696" s="107"/>
      <c r="AQ3696" s="107"/>
      <c r="AR3696" s="107"/>
      <c r="AS3696" s="107"/>
      <c r="AT3696" s="107"/>
    </row>
    <row r="3697" spans="1:63" x14ac:dyDescent="0.25">
      <c r="A3697" s="92"/>
      <c r="B3697" s="93"/>
      <c r="C3697" s="93"/>
      <c r="D3697" s="92"/>
      <c r="E3697" s="92"/>
      <c r="F3697" s="92"/>
      <c r="G3697" s="92"/>
      <c r="H3697" s="92"/>
      <c r="I3697" s="92"/>
      <c r="J3697" s="92"/>
      <c r="K3697" s="92"/>
      <c r="L3697" s="92"/>
      <c r="M3697" s="92"/>
      <c r="N3697" s="94"/>
      <c r="AG3697" s="107"/>
      <c r="AH3697" s="117"/>
      <c r="AI3697" s="117"/>
      <c r="AJ3697" s="117"/>
      <c r="AK3697" s="107"/>
      <c r="AL3697" s="107"/>
      <c r="AM3697" s="107"/>
      <c r="AN3697" s="107"/>
      <c r="AO3697" s="107"/>
      <c r="AP3697" s="107"/>
      <c r="AQ3697" s="107"/>
      <c r="AR3697" s="107"/>
      <c r="AS3697" s="107"/>
      <c r="AT3697" s="39"/>
    </row>
    <row r="3698" spans="1:63" x14ac:dyDescent="0.25">
      <c r="A3698" s="92"/>
      <c r="B3698" s="93"/>
      <c r="C3698" s="93"/>
      <c r="D3698" s="92"/>
      <c r="E3698" s="92"/>
      <c r="F3698" s="92"/>
      <c r="G3698" s="92"/>
      <c r="H3698" s="92"/>
      <c r="I3698" s="92"/>
      <c r="J3698" s="92"/>
      <c r="K3698" s="92"/>
      <c r="L3698" s="92"/>
      <c r="M3698" s="92"/>
      <c r="N3698" s="94"/>
      <c r="AG3698" s="107"/>
      <c r="AH3698" s="107"/>
      <c r="AI3698" s="107"/>
      <c r="AJ3698" s="117"/>
      <c r="AK3698" s="107"/>
      <c r="AL3698" s="107"/>
      <c r="AM3698" s="107"/>
      <c r="AN3698" s="107"/>
      <c r="AO3698" s="107"/>
      <c r="AP3698" s="107"/>
      <c r="AQ3698" s="107"/>
      <c r="AR3698" s="107"/>
      <c r="AS3698" s="107"/>
      <c r="AT3698" s="107"/>
    </row>
    <row r="3699" spans="1:63" x14ac:dyDescent="0.25">
      <c r="A3699" s="92"/>
      <c r="B3699" s="93"/>
      <c r="C3699" s="93"/>
      <c r="D3699" s="92"/>
      <c r="E3699" s="92"/>
      <c r="F3699" s="92"/>
      <c r="G3699" s="92"/>
      <c r="H3699" s="92"/>
      <c r="I3699" s="92"/>
      <c r="J3699" s="92"/>
      <c r="K3699" s="92"/>
      <c r="L3699" s="92"/>
      <c r="M3699" s="92"/>
      <c r="N3699" s="94"/>
      <c r="AG3699" s="107"/>
      <c r="AH3699" s="117"/>
      <c r="AI3699" s="117"/>
      <c r="AJ3699" s="117"/>
      <c r="AK3699" s="107"/>
      <c r="AL3699" s="107"/>
      <c r="AM3699" s="107"/>
      <c r="AN3699" s="107"/>
      <c r="AO3699" s="107"/>
      <c r="AP3699" s="107"/>
      <c r="AQ3699" s="107"/>
      <c r="AR3699" s="107"/>
      <c r="AS3699" s="107"/>
      <c r="AT3699" s="39"/>
      <c r="AZ3699" s="117"/>
      <c r="BK3699" s="39"/>
    </row>
    <row r="3700" spans="1:63" x14ac:dyDescent="0.25">
      <c r="A3700" s="92"/>
      <c r="B3700" s="93"/>
      <c r="C3700" s="93"/>
      <c r="D3700" s="92"/>
      <c r="E3700" s="92"/>
      <c r="F3700" s="92"/>
      <c r="G3700" s="92"/>
      <c r="H3700" s="92"/>
      <c r="I3700" s="92"/>
      <c r="J3700" s="92"/>
      <c r="K3700" s="92"/>
      <c r="L3700" s="92"/>
      <c r="M3700" s="92"/>
      <c r="N3700" s="94"/>
      <c r="AG3700" s="107"/>
      <c r="AH3700" s="107"/>
      <c r="AI3700" s="107"/>
      <c r="AJ3700" s="107"/>
      <c r="AK3700" s="107"/>
      <c r="AL3700" s="107"/>
      <c r="AM3700" s="107"/>
      <c r="AN3700" s="107"/>
      <c r="AO3700" s="107"/>
      <c r="AP3700" s="107"/>
      <c r="AQ3700" s="107"/>
      <c r="AR3700" s="107"/>
      <c r="AS3700" s="107"/>
      <c r="AT3700" s="107"/>
    </row>
    <row r="3701" spans="1:63" x14ac:dyDescent="0.25">
      <c r="A3701" s="92"/>
      <c r="B3701" s="92"/>
      <c r="C3701" s="92"/>
      <c r="D3701" s="92"/>
      <c r="E3701" s="92"/>
      <c r="F3701" s="92"/>
      <c r="G3701" s="92"/>
      <c r="H3701" s="92"/>
      <c r="I3701" s="92"/>
      <c r="J3701" s="92"/>
      <c r="K3701" s="92"/>
      <c r="L3701" s="92"/>
      <c r="M3701" s="92"/>
      <c r="N3701" s="92"/>
      <c r="AG3701" s="107"/>
      <c r="AH3701" s="107"/>
      <c r="AI3701" s="107"/>
      <c r="AJ3701" s="107"/>
      <c r="AK3701" s="107"/>
      <c r="AL3701" s="107"/>
      <c r="AM3701" s="107"/>
      <c r="AN3701" s="107"/>
      <c r="AO3701" s="107"/>
      <c r="AP3701" s="107"/>
      <c r="AQ3701" s="107"/>
      <c r="AR3701" s="107"/>
      <c r="AS3701" s="107"/>
      <c r="AT3701" s="107"/>
      <c r="AZ3701" s="117"/>
      <c r="BA3701" s="117"/>
      <c r="BK3701" s="39"/>
    </row>
    <row r="3702" spans="1:63" x14ac:dyDescent="0.25">
      <c r="A3702" s="92"/>
      <c r="B3702" s="93"/>
      <c r="C3702" s="93"/>
      <c r="D3702" s="92"/>
      <c r="E3702" s="92"/>
      <c r="F3702" s="92"/>
      <c r="G3702" s="92"/>
      <c r="H3702" s="92"/>
      <c r="I3702" s="92"/>
      <c r="J3702" s="92"/>
      <c r="K3702" s="92"/>
      <c r="L3702" s="92"/>
      <c r="M3702" s="92"/>
      <c r="N3702" s="94"/>
      <c r="AG3702" s="107"/>
      <c r="AH3702" s="107"/>
      <c r="AI3702" s="107"/>
      <c r="AJ3702" s="107"/>
      <c r="AK3702" s="107"/>
      <c r="AL3702" s="107"/>
      <c r="AM3702" s="107"/>
      <c r="AN3702" s="107"/>
      <c r="AO3702" s="107"/>
      <c r="AP3702" s="107"/>
      <c r="AQ3702" s="107"/>
      <c r="AR3702" s="107"/>
      <c r="AS3702" s="107"/>
      <c r="AT3702" s="107"/>
      <c r="BA3702" s="117"/>
    </row>
    <row r="3703" spans="1:63" x14ac:dyDescent="0.25">
      <c r="A3703" s="92"/>
      <c r="B3703" s="93"/>
      <c r="C3703" s="93"/>
      <c r="D3703" s="92"/>
      <c r="E3703" s="92"/>
      <c r="F3703" s="92"/>
      <c r="G3703" s="92"/>
      <c r="H3703" s="92"/>
      <c r="I3703" s="92"/>
      <c r="J3703" s="92"/>
      <c r="K3703" s="92"/>
      <c r="L3703" s="92"/>
      <c r="M3703" s="92"/>
      <c r="N3703" s="94"/>
      <c r="AG3703" s="107"/>
      <c r="AH3703" s="107"/>
      <c r="AI3703" s="107"/>
      <c r="AJ3703" s="107"/>
      <c r="AK3703" s="107"/>
      <c r="AL3703" s="107"/>
      <c r="AM3703" s="107"/>
      <c r="AN3703" s="107"/>
      <c r="AO3703" s="107"/>
      <c r="AP3703" s="107"/>
      <c r="AQ3703" s="107"/>
      <c r="AR3703" s="107"/>
      <c r="AS3703" s="107"/>
      <c r="AT3703" s="107"/>
    </row>
    <row r="3704" spans="1:63" x14ac:dyDescent="0.25">
      <c r="A3704" s="92"/>
      <c r="B3704" s="93"/>
      <c r="C3704" s="93"/>
      <c r="D3704" s="92"/>
      <c r="E3704" s="92"/>
      <c r="F3704" s="92"/>
      <c r="G3704" s="92"/>
      <c r="H3704" s="92"/>
      <c r="I3704" s="92"/>
      <c r="J3704" s="92"/>
      <c r="K3704" s="92"/>
      <c r="L3704" s="92"/>
      <c r="M3704" s="92"/>
      <c r="N3704" s="94"/>
      <c r="AG3704" s="107"/>
      <c r="AH3704" s="107"/>
      <c r="AI3704" s="107"/>
      <c r="AJ3704" s="107"/>
      <c r="AK3704" s="107"/>
      <c r="AL3704" s="107"/>
      <c r="AM3704" s="107"/>
      <c r="AN3704" s="107"/>
      <c r="AO3704" s="107"/>
      <c r="AP3704" s="107"/>
      <c r="AQ3704" s="107"/>
      <c r="AR3704" s="107"/>
      <c r="AS3704" s="107"/>
      <c r="AT3704" s="107"/>
    </row>
    <row r="3705" spans="1:63" x14ac:dyDescent="0.25">
      <c r="A3705" s="92"/>
      <c r="B3705" s="93"/>
      <c r="C3705" s="93"/>
      <c r="D3705" s="92"/>
      <c r="E3705" s="92"/>
      <c r="F3705" s="92"/>
      <c r="G3705" s="92"/>
      <c r="H3705" s="92"/>
      <c r="I3705" s="92"/>
      <c r="J3705" s="92"/>
      <c r="K3705" s="92"/>
      <c r="L3705" s="92"/>
      <c r="M3705" s="92"/>
      <c r="N3705" s="94"/>
      <c r="AG3705" s="107"/>
      <c r="AH3705" s="107"/>
      <c r="AI3705" s="107"/>
      <c r="AJ3705" s="107"/>
      <c r="AK3705" s="107"/>
      <c r="AL3705" s="107"/>
      <c r="AM3705" s="107"/>
      <c r="AN3705" s="107"/>
      <c r="AO3705" s="107"/>
      <c r="AP3705" s="107"/>
      <c r="AQ3705" s="107"/>
      <c r="AR3705" s="107"/>
      <c r="AS3705" s="107"/>
      <c r="AT3705" s="107"/>
      <c r="AZ3705" s="117"/>
      <c r="BA3705" s="117"/>
      <c r="BK3705" s="39"/>
    </row>
    <row r="3706" spans="1:63" x14ac:dyDescent="0.25">
      <c r="A3706" s="92"/>
      <c r="B3706" s="92"/>
      <c r="C3706" s="92"/>
      <c r="D3706" s="92"/>
      <c r="E3706" s="92"/>
      <c r="F3706" s="92"/>
      <c r="G3706" s="92"/>
      <c r="H3706" s="92"/>
      <c r="I3706" s="92"/>
      <c r="J3706" s="92"/>
      <c r="K3706" s="92"/>
      <c r="L3706" s="92"/>
      <c r="M3706" s="92"/>
      <c r="N3706" s="92"/>
      <c r="AG3706" s="107"/>
      <c r="AH3706" s="107"/>
      <c r="AI3706" s="107"/>
      <c r="AJ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Z3706" s="117"/>
      <c r="BA3706" s="117"/>
      <c r="BK3706" s="39"/>
    </row>
    <row r="3707" spans="1:63" x14ac:dyDescent="0.25">
      <c r="A3707" s="92"/>
      <c r="B3707" s="92"/>
      <c r="C3707" s="92"/>
      <c r="D3707" s="92"/>
      <c r="E3707" s="92"/>
      <c r="F3707" s="92"/>
      <c r="G3707" s="92"/>
      <c r="H3707" s="92"/>
      <c r="I3707" s="92"/>
      <c r="J3707" s="92"/>
      <c r="K3707" s="92"/>
      <c r="L3707" s="92"/>
      <c r="M3707" s="92"/>
      <c r="N3707" s="92"/>
      <c r="AG3707" s="107"/>
      <c r="AH3707" s="117"/>
      <c r="AI3707" s="117"/>
      <c r="AJ3707" s="107"/>
      <c r="AK3707" s="107"/>
      <c r="AL3707" s="107"/>
      <c r="AM3707" s="107"/>
      <c r="AN3707" s="107"/>
      <c r="AO3707" s="107"/>
      <c r="AP3707" s="107"/>
      <c r="AQ3707" s="107"/>
      <c r="AR3707" s="107"/>
      <c r="AS3707" s="107"/>
      <c r="AT3707" s="39"/>
      <c r="AZ3707" s="117"/>
      <c r="BK3707" s="39"/>
    </row>
    <row r="3708" spans="1:63" x14ac:dyDescent="0.25">
      <c r="A3708" s="92"/>
      <c r="B3708" s="92"/>
      <c r="C3708" s="92"/>
      <c r="D3708" s="92"/>
      <c r="E3708" s="92"/>
      <c r="F3708" s="92"/>
      <c r="G3708" s="92"/>
      <c r="H3708" s="92"/>
      <c r="I3708" s="92"/>
      <c r="J3708" s="92"/>
      <c r="K3708" s="92"/>
      <c r="L3708" s="92"/>
      <c r="M3708" s="92"/>
      <c r="N3708" s="92"/>
      <c r="AG3708" s="107"/>
      <c r="AH3708" s="107"/>
      <c r="AI3708" s="107"/>
      <c r="AJ3708" s="107"/>
      <c r="AK3708" s="107"/>
      <c r="AL3708" s="107"/>
      <c r="AM3708" s="107"/>
      <c r="AN3708" s="107"/>
      <c r="AO3708" s="107"/>
      <c r="AP3708" s="107"/>
      <c r="AQ3708" s="107"/>
      <c r="AR3708" s="107"/>
      <c r="AS3708" s="107"/>
      <c r="AT3708" s="107"/>
    </row>
    <row r="3709" spans="1:63" x14ac:dyDescent="0.25">
      <c r="A3709" s="92"/>
      <c r="B3709" s="93"/>
      <c r="C3709" s="93"/>
      <c r="D3709" s="92"/>
      <c r="E3709" s="92"/>
      <c r="F3709" s="92"/>
      <c r="G3709" s="92"/>
      <c r="H3709" s="92"/>
      <c r="I3709" s="92"/>
      <c r="J3709" s="92"/>
      <c r="K3709" s="92"/>
      <c r="L3709" s="92"/>
      <c r="M3709" s="92"/>
      <c r="N3709" s="94"/>
      <c r="AG3709" s="107"/>
      <c r="AH3709" s="117"/>
      <c r="AI3709" s="117"/>
      <c r="AJ3709" s="107"/>
      <c r="AK3709" s="107"/>
      <c r="AL3709" s="107"/>
      <c r="AM3709" s="107"/>
      <c r="AN3709" s="107"/>
      <c r="AO3709" s="107"/>
      <c r="AP3709" s="107"/>
      <c r="AQ3709" s="107"/>
      <c r="AR3709" s="107"/>
      <c r="AS3709" s="107"/>
      <c r="AT3709" s="39"/>
    </row>
    <row r="3710" spans="1:63" x14ac:dyDescent="0.25">
      <c r="A3710" s="92"/>
      <c r="B3710" s="93"/>
      <c r="C3710" s="93"/>
      <c r="D3710" s="93"/>
      <c r="E3710" s="92"/>
      <c r="F3710" s="92"/>
      <c r="G3710" s="92"/>
      <c r="H3710" s="92"/>
      <c r="I3710" s="92"/>
      <c r="J3710" s="92"/>
      <c r="K3710" s="92"/>
      <c r="L3710" s="92"/>
      <c r="M3710" s="92"/>
      <c r="N3710" s="94"/>
      <c r="AG3710" s="107"/>
      <c r="AH3710" s="117"/>
      <c r="AI3710" s="117"/>
      <c r="AJ3710" s="107"/>
      <c r="AK3710" s="107"/>
      <c r="AL3710" s="107"/>
      <c r="AM3710" s="107"/>
      <c r="AN3710" s="107"/>
      <c r="AO3710" s="107"/>
      <c r="AP3710" s="107"/>
      <c r="AQ3710" s="107"/>
      <c r="AR3710" s="107"/>
      <c r="AS3710" s="107"/>
      <c r="AT3710" s="39"/>
    </row>
    <row r="3711" spans="1:63" x14ac:dyDescent="0.25">
      <c r="A3711" s="92"/>
      <c r="B3711" s="92"/>
      <c r="C3711" s="92"/>
      <c r="D3711" s="92"/>
      <c r="E3711" s="92"/>
      <c r="F3711" s="92"/>
      <c r="G3711" s="92"/>
      <c r="H3711" s="92"/>
      <c r="I3711" s="92"/>
      <c r="J3711" s="92"/>
      <c r="K3711" s="92"/>
      <c r="L3711" s="92"/>
      <c r="M3711" s="92"/>
      <c r="N3711" s="92"/>
      <c r="AG3711" s="107"/>
      <c r="AH3711" s="107"/>
      <c r="AI3711" s="107"/>
      <c r="AJ3711" s="107"/>
      <c r="AK3711" s="107"/>
      <c r="AL3711" s="107"/>
      <c r="AM3711" s="107"/>
      <c r="AN3711" s="107"/>
      <c r="AO3711" s="107"/>
      <c r="AP3711" s="107"/>
      <c r="AQ3711" s="107"/>
      <c r="AR3711" s="107"/>
      <c r="AS3711" s="107"/>
      <c r="AT3711" s="107"/>
    </row>
    <row r="3712" spans="1:63" x14ac:dyDescent="0.25">
      <c r="A3712" s="92"/>
      <c r="B3712" s="92"/>
      <c r="C3712" s="92"/>
      <c r="D3712" s="92"/>
      <c r="E3712" s="92"/>
      <c r="F3712" s="92"/>
      <c r="G3712" s="92"/>
      <c r="H3712" s="92"/>
      <c r="I3712" s="92"/>
      <c r="J3712" s="92"/>
      <c r="K3712" s="92"/>
      <c r="L3712" s="92"/>
      <c r="M3712" s="92"/>
      <c r="N3712" s="92"/>
      <c r="AG3712" s="107"/>
      <c r="AH3712" s="107"/>
      <c r="AI3712" s="107"/>
      <c r="AJ3712" s="107"/>
      <c r="AK3712" s="107"/>
      <c r="AL3712" s="107"/>
      <c r="AM3712" s="107"/>
      <c r="AN3712" s="107"/>
      <c r="AO3712" s="107"/>
      <c r="AP3712" s="107"/>
      <c r="AQ3712" s="107"/>
      <c r="AR3712" s="107"/>
      <c r="AS3712" s="107"/>
      <c r="AT3712" s="107"/>
      <c r="AZ3712" s="117"/>
      <c r="BA3712" s="117"/>
      <c r="BK3712" s="39"/>
    </row>
    <row r="3713" spans="1:63" x14ac:dyDescent="0.25">
      <c r="A3713" s="92"/>
      <c r="B3713" s="92"/>
      <c r="C3713" s="92"/>
      <c r="D3713" s="92"/>
      <c r="E3713" s="92"/>
      <c r="F3713" s="92"/>
      <c r="G3713" s="92"/>
      <c r="H3713" s="92"/>
      <c r="I3713" s="92"/>
      <c r="J3713" s="92"/>
      <c r="K3713" s="92"/>
      <c r="L3713" s="92"/>
      <c r="M3713" s="92"/>
      <c r="N3713" s="92"/>
      <c r="AG3713" s="107"/>
      <c r="AH3713" s="107"/>
      <c r="AI3713" s="107"/>
      <c r="AJ3713" s="107"/>
      <c r="AK3713" s="107"/>
      <c r="AL3713" s="107"/>
      <c r="AM3713" s="107"/>
      <c r="AN3713" s="107"/>
      <c r="AO3713" s="107"/>
      <c r="AP3713" s="107"/>
      <c r="AQ3713" s="107"/>
      <c r="AR3713" s="107"/>
      <c r="AS3713" s="107"/>
      <c r="AT3713" s="107"/>
      <c r="BA3713" s="117"/>
    </row>
    <row r="3714" spans="1:63" x14ac:dyDescent="0.25">
      <c r="A3714" s="92"/>
      <c r="B3714" s="92"/>
      <c r="C3714" s="92"/>
      <c r="D3714" s="92"/>
      <c r="E3714" s="92"/>
      <c r="F3714" s="92"/>
      <c r="G3714" s="92"/>
      <c r="H3714" s="92"/>
      <c r="I3714" s="92"/>
      <c r="J3714" s="92"/>
      <c r="K3714" s="92"/>
      <c r="L3714" s="92"/>
      <c r="M3714" s="92"/>
      <c r="N3714" s="92"/>
      <c r="AG3714" s="107"/>
      <c r="AH3714" s="117"/>
      <c r="AI3714" s="117"/>
      <c r="AJ3714" s="107"/>
      <c r="AK3714" s="107"/>
      <c r="AL3714" s="107"/>
      <c r="AM3714" s="107"/>
      <c r="AN3714" s="107"/>
      <c r="AO3714" s="107"/>
      <c r="AP3714" s="107"/>
      <c r="AQ3714" s="107"/>
      <c r="AR3714" s="107"/>
      <c r="AS3714" s="107"/>
      <c r="AT3714" s="39"/>
      <c r="AZ3714" s="117"/>
      <c r="BK3714" s="39"/>
    </row>
    <row r="3715" spans="1:63" x14ac:dyDescent="0.25">
      <c r="A3715" s="92"/>
      <c r="B3715" s="93"/>
      <c r="C3715" s="93"/>
      <c r="D3715" s="92"/>
      <c r="E3715" s="92"/>
      <c r="F3715" s="92"/>
      <c r="G3715" s="92"/>
      <c r="H3715" s="92"/>
      <c r="I3715" s="92"/>
      <c r="J3715" s="92"/>
      <c r="K3715" s="92"/>
      <c r="L3715" s="92"/>
      <c r="M3715" s="92"/>
      <c r="N3715" s="94"/>
      <c r="AG3715" s="107"/>
      <c r="AH3715" s="117"/>
      <c r="AI3715" s="117"/>
      <c r="AJ3715" s="117"/>
      <c r="AK3715" s="107"/>
      <c r="AL3715" s="107"/>
      <c r="AM3715" s="107"/>
      <c r="AN3715" s="107"/>
      <c r="AO3715" s="107"/>
      <c r="AP3715" s="107"/>
      <c r="AQ3715" s="107"/>
      <c r="AR3715" s="107"/>
      <c r="AS3715" s="107"/>
      <c r="AT3715" s="39"/>
      <c r="AZ3715" s="117"/>
      <c r="BA3715" s="117"/>
      <c r="BK3715" s="39"/>
    </row>
    <row r="3716" spans="1:63" x14ac:dyDescent="0.25">
      <c r="A3716" s="92"/>
      <c r="B3716" s="92"/>
      <c r="C3716" s="92"/>
      <c r="D3716" s="92"/>
      <c r="E3716" s="92"/>
      <c r="F3716" s="92"/>
      <c r="G3716" s="92"/>
      <c r="H3716" s="92"/>
      <c r="I3716" s="92"/>
      <c r="J3716" s="92"/>
      <c r="K3716" s="92"/>
      <c r="L3716" s="92"/>
      <c r="M3716" s="92"/>
      <c r="N3716" s="92"/>
      <c r="AG3716" s="107"/>
      <c r="AH3716" s="117"/>
      <c r="AI3716" s="117"/>
      <c r="AJ3716" s="107"/>
      <c r="AK3716" s="107"/>
      <c r="AL3716" s="107"/>
      <c r="AM3716" s="107"/>
      <c r="AN3716" s="107"/>
      <c r="AO3716" s="107"/>
      <c r="AP3716" s="107"/>
      <c r="AQ3716" s="107"/>
      <c r="AR3716" s="107"/>
      <c r="AS3716" s="107"/>
      <c r="AT3716" s="39"/>
      <c r="BA3716" s="117"/>
    </row>
    <row r="3717" spans="1:63" x14ac:dyDescent="0.25">
      <c r="A3717" s="92"/>
      <c r="B3717" s="93"/>
      <c r="C3717" s="93"/>
      <c r="D3717" s="93"/>
      <c r="E3717" s="92"/>
      <c r="F3717" s="92"/>
      <c r="G3717" s="92"/>
      <c r="H3717" s="92"/>
      <c r="I3717" s="92"/>
      <c r="J3717" s="92"/>
      <c r="K3717" s="92"/>
      <c r="L3717" s="92"/>
      <c r="M3717" s="92"/>
      <c r="N3717" s="94"/>
      <c r="AG3717" s="107"/>
      <c r="AH3717" s="107"/>
      <c r="AI3717" s="107"/>
      <c r="AJ3717" s="107"/>
      <c r="AK3717" s="107"/>
      <c r="AL3717" s="107"/>
      <c r="AM3717" s="107"/>
      <c r="AN3717" s="107"/>
      <c r="AO3717" s="107"/>
      <c r="AP3717" s="107"/>
      <c r="AQ3717" s="107"/>
      <c r="AR3717" s="107"/>
      <c r="AS3717" s="107"/>
      <c r="AT3717" s="107"/>
      <c r="BA3717" s="117"/>
    </row>
    <row r="3718" spans="1:63" x14ac:dyDescent="0.25">
      <c r="A3718" s="92"/>
      <c r="B3718" s="92"/>
      <c r="C3718" s="92"/>
      <c r="D3718" s="93"/>
      <c r="E3718" s="92"/>
      <c r="F3718" s="92"/>
      <c r="G3718" s="92"/>
      <c r="H3718" s="92"/>
      <c r="I3718" s="92"/>
      <c r="J3718" s="92"/>
      <c r="K3718" s="92"/>
      <c r="L3718" s="92"/>
      <c r="M3718" s="92"/>
      <c r="N3718" s="92"/>
      <c r="AG3718" s="107"/>
      <c r="AH3718" s="117"/>
      <c r="AI3718" s="117"/>
      <c r="AJ3718" s="117"/>
      <c r="AK3718" s="107"/>
      <c r="AL3718" s="107"/>
      <c r="AM3718" s="107"/>
      <c r="AN3718" s="107"/>
      <c r="AO3718" s="107"/>
      <c r="AP3718" s="107"/>
      <c r="AQ3718" s="107"/>
      <c r="AR3718" s="107"/>
      <c r="AS3718" s="107"/>
      <c r="AT3718" s="39"/>
      <c r="BA3718" s="117"/>
    </row>
    <row r="3719" spans="1:63" x14ac:dyDescent="0.25">
      <c r="A3719" s="92"/>
      <c r="B3719" s="92"/>
      <c r="C3719" s="92"/>
      <c r="D3719" s="92"/>
      <c r="E3719" s="92"/>
      <c r="F3719" s="92"/>
      <c r="G3719" s="92"/>
      <c r="H3719" s="92"/>
      <c r="I3719" s="92"/>
      <c r="J3719" s="92"/>
      <c r="K3719" s="92"/>
      <c r="L3719" s="92"/>
      <c r="M3719" s="92"/>
      <c r="N3719" s="92"/>
      <c r="AG3719" s="107"/>
      <c r="AH3719" s="117"/>
      <c r="AI3719" s="117"/>
      <c r="AJ3719" s="107"/>
      <c r="AK3719" s="107"/>
      <c r="AL3719" s="107"/>
      <c r="AM3719" s="107"/>
      <c r="AN3719" s="107"/>
      <c r="AO3719" s="107"/>
      <c r="AP3719" s="107"/>
      <c r="AQ3719" s="107"/>
      <c r="AR3719" s="107"/>
      <c r="AS3719" s="107"/>
      <c r="AT3719" s="39"/>
      <c r="BA3719" s="117"/>
    </row>
    <row r="3720" spans="1:63" x14ac:dyDescent="0.25">
      <c r="A3720" s="92"/>
      <c r="B3720" s="92"/>
      <c r="C3720" s="92"/>
      <c r="D3720" s="92"/>
      <c r="E3720" s="92"/>
      <c r="F3720" s="92"/>
      <c r="G3720" s="92"/>
      <c r="H3720" s="92"/>
      <c r="I3720" s="92"/>
      <c r="J3720" s="92"/>
      <c r="K3720" s="92"/>
      <c r="L3720" s="92"/>
      <c r="M3720" s="92"/>
      <c r="N3720" s="92"/>
      <c r="AG3720" s="107"/>
      <c r="AH3720" s="107"/>
      <c r="AI3720" s="107"/>
      <c r="AJ3720" s="107"/>
      <c r="AK3720" s="107"/>
      <c r="AL3720" s="107"/>
      <c r="AM3720" s="107"/>
      <c r="AN3720" s="107"/>
      <c r="AO3720" s="107"/>
      <c r="AP3720" s="107"/>
      <c r="AQ3720" s="107"/>
      <c r="AR3720" s="107"/>
      <c r="AS3720" s="107"/>
      <c r="AT3720" s="107"/>
      <c r="AZ3720" s="117"/>
      <c r="BA3720" s="117"/>
      <c r="BK3720" s="39"/>
    </row>
    <row r="3721" spans="1:63" x14ac:dyDescent="0.25">
      <c r="A3721" s="92"/>
      <c r="B3721" s="93"/>
      <c r="C3721" s="93"/>
      <c r="D3721" s="93"/>
      <c r="E3721" s="92"/>
      <c r="F3721" s="92"/>
      <c r="G3721" s="92"/>
      <c r="H3721" s="92"/>
      <c r="I3721" s="92"/>
      <c r="J3721" s="92"/>
      <c r="K3721" s="92"/>
      <c r="L3721" s="92"/>
      <c r="M3721" s="92"/>
      <c r="N3721" s="94"/>
      <c r="AG3721" s="107"/>
      <c r="AH3721" s="107"/>
      <c r="AI3721" s="107"/>
      <c r="AJ3721" s="107"/>
      <c r="AK3721" s="107"/>
      <c r="AL3721" s="107"/>
      <c r="AM3721" s="107"/>
      <c r="AN3721" s="107"/>
      <c r="AO3721" s="107"/>
      <c r="AP3721" s="107"/>
      <c r="AQ3721" s="107"/>
      <c r="AR3721" s="107"/>
      <c r="AS3721" s="107"/>
      <c r="AT3721" s="107"/>
      <c r="AZ3721" s="117"/>
      <c r="BA3721" s="117"/>
      <c r="BK3721" s="39"/>
    </row>
    <row r="3722" spans="1:63" x14ac:dyDescent="0.25">
      <c r="A3722" s="92"/>
      <c r="B3722" s="93"/>
      <c r="C3722" s="93"/>
      <c r="D3722" s="93"/>
      <c r="E3722" s="92"/>
      <c r="F3722" s="92"/>
      <c r="G3722" s="92"/>
      <c r="H3722" s="92"/>
      <c r="I3722" s="92"/>
      <c r="J3722" s="92"/>
      <c r="K3722" s="92"/>
      <c r="L3722" s="92"/>
      <c r="M3722" s="92"/>
      <c r="N3722" s="94"/>
      <c r="AG3722" s="107"/>
      <c r="AH3722" s="107"/>
      <c r="AI3722" s="107"/>
      <c r="AJ3722" s="107"/>
      <c r="AK3722" s="107"/>
      <c r="AL3722" s="107"/>
      <c r="AM3722" s="107"/>
      <c r="AN3722" s="107"/>
      <c r="AO3722" s="107"/>
      <c r="AP3722" s="107"/>
      <c r="AQ3722" s="107"/>
      <c r="AR3722" s="107"/>
      <c r="AS3722" s="107"/>
      <c r="AT3722" s="107"/>
      <c r="AZ3722" s="117"/>
      <c r="BA3722" s="117"/>
      <c r="BK3722" s="39"/>
    </row>
    <row r="3723" spans="1:63" x14ac:dyDescent="0.25">
      <c r="A3723" s="92"/>
      <c r="B3723" s="93"/>
      <c r="C3723" s="93"/>
      <c r="D3723" s="92"/>
      <c r="E3723" s="92"/>
      <c r="F3723" s="92"/>
      <c r="G3723" s="92"/>
      <c r="H3723" s="92"/>
      <c r="I3723" s="92"/>
      <c r="J3723" s="92"/>
      <c r="K3723" s="92"/>
      <c r="L3723" s="92"/>
      <c r="M3723" s="92"/>
      <c r="N3723" s="94"/>
      <c r="AG3723" s="107"/>
      <c r="AH3723" s="117"/>
      <c r="AI3723" s="117"/>
      <c r="AJ3723" s="117"/>
      <c r="AK3723" s="107"/>
      <c r="AL3723" s="107"/>
      <c r="AM3723" s="107"/>
      <c r="AN3723" s="107"/>
      <c r="AO3723" s="107"/>
      <c r="AP3723" s="107"/>
      <c r="AQ3723" s="107"/>
      <c r="AR3723" s="107"/>
      <c r="AS3723" s="107"/>
      <c r="AT3723" s="39"/>
      <c r="AZ3723" s="117"/>
      <c r="BK3723" s="39"/>
    </row>
    <row r="3724" spans="1:63" x14ac:dyDescent="0.25">
      <c r="A3724" s="92"/>
      <c r="B3724" s="92"/>
      <c r="C3724" s="92"/>
      <c r="D3724" s="92"/>
      <c r="E3724" s="92"/>
      <c r="F3724" s="92"/>
      <c r="G3724" s="92"/>
      <c r="H3724" s="92"/>
      <c r="I3724" s="92"/>
      <c r="J3724" s="92"/>
      <c r="K3724" s="92"/>
      <c r="L3724" s="92"/>
      <c r="M3724" s="92"/>
      <c r="N3724" s="92"/>
      <c r="AG3724" s="107"/>
      <c r="AH3724" s="107"/>
      <c r="AI3724" s="107"/>
      <c r="AJ3724" s="117"/>
      <c r="AK3724" s="107"/>
      <c r="AL3724" s="107"/>
      <c r="AM3724" s="107"/>
      <c r="AN3724" s="107"/>
      <c r="AO3724" s="107"/>
      <c r="AP3724" s="107"/>
      <c r="AQ3724" s="107"/>
      <c r="AR3724" s="107"/>
      <c r="AS3724" s="107"/>
      <c r="AT3724" s="107"/>
      <c r="AZ3724" s="117"/>
      <c r="BK3724" s="39"/>
    </row>
    <row r="3725" spans="1:63" x14ac:dyDescent="0.25">
      <c r="A3725" s="92"/>
      <c r="B3725" s="92"/>
      <c r="C3725" s="92"/>
      <c r="D3725" s="92"/>
      <c r="E3725" s="92"/>
      <c r="F3725" s="92"/>
      <c r="G3725" s="92"/>
      <c r="H3725" s="92"/>
      <c r="I3725" s="92"/>
      <c r="J3725" s="92"/>
      <c r="K3725" s="92"/>
      <c r="L3725" s="92"/>
      <c r="M3725" s="92"/>
      <c r="N3725" s="92"/>
      <c r="AG3725" s="107"/>
      <c r="AH3725" s="107"/>
      <c r="AI3725" s="107"/>
      <c r="AJ3725" s="107"/>
      <c r="AK3725" s="107"/>
      <c r="AL3725" s="107"/>
      <c r="AM3725" s="107"/>
      <c r="AN3725" s="107"/>
      <c r="AO3725" s="107"/>
      <c r="AP3725" s="107"/>
      <c r="AQ3725" s="107"/>
      <c r="AR3725" s="107"/>
      <c r="AS3725" s="107"/>
      <c r="AT3725" s="107"/>
    </row>
    <row r="3726" spans="1:63" x14ac:dyDescent="0.25">
      <c r="A3726" s="92"/>
      <c r="B3726" s="92"/>
      <c r="C3726" s="92"/>
      <c r="D3726" s="92"/>
      <c r="E3726" s="92"/>
      <c r="F3726" s="92"/>
      <c r="G3726" s="92"/>
      <c r="H3726" s="92"/>
      <c r="I3726" s="92"/>
      <c r="J3726" s="92"/>
      <c r="K3726" s="92"/>
      <c r="L3726" s="92"/>
      <c r="M3726" s="92"/>
      <c r="N3726" s="92"/>
      <c r="AG3726" s="107"/>
      <c r="AH3726" s="107"/>
      <c r="AI3726" s="107"/>
      <c r="AJ3726" s="107"/>
      <c r="AK3726" s="107"/>
      <c r="AL3726" s="107"/>
      <c r="AM3726" s="107"/>
      <c r="AN3726" s="107"/>
      <c r="AO3726" s="107"/>
      <c r="AP3726" s="107"/>
      <c r="AQ3726" s="107"/>
      <c r="AR3726" s="107"/>
      <c r="AS3726" s="107"/>
      <c r="AT3726" s="107"/>
    </row>
    <row r="3727" spans="1:63" x14ac:dyDescent="0.25">
      <c r="A3727" s="92"/>
      <c r="B3727" s="92"/>
      <c r="C3727" s="92"/>
      <c r="D3727" s="92"/>
      <c r="E3727" s="92"/>
      <c r="F3727" s="92"/>
      <c r="G3727" s="92"/>
      <c r="H3727" s="92"/>
      <c r="I3727" s="92"/>
      <c r="J3727" s="92"/>
      <c r="K3727" s="92"/>
      <c r="L3727" s="92"/>
      <c r="M3727" s="92"/>
      <c r="N3727" s="92"/>
      <c r="AG3727" s="107"/>
      <c r="AH3727" s="107"/>
      <c r="AI3727" s="107"/>
      <c r="AJ3727" s="107"/>
      <c r="AK3727" s="107"/>
      <c r="AL3727" s="107"/>
      <c r="AM3727" s="107"/>
      <c r="AN3727" s="107"/>
      <c r="AO3727" s="107"/>
      <c r="AP3727" s="107"/>
      <c r="AQ3727" s="107"/>
      <c r="AR3727" s="107"/>
      <c r="AS3727" s="107"/>
      <c r="AT3727" s="107"/>
    </row>
    <row r="3728" spans="1:63" x14ac:dyDescent="0.25">
      <c r="A3728" s="92"/>
      <c r="B3728" s="93"/>
      <c r="C3728" s="93"/>
      <c r="D3728" s="93"/>
      <c r="E3728" s="92"/>
      <c r="F3728" s="92"/>
      <c r="G3728" s="92"/>
      <c r="H3728" s="92"/>
      <c r="I3728" s="92"/>
      <c r="J3728" s="92"/>
      <c r="K3728" s="92"/>
      <c r="L3728" s="92"/>
      <c r="M3728" s="92"/>
      <c r="N3728" s="94"/>
      <c r="AG3728" s="107"/>
      <c r="AH3728" s="107"/>
      <c r="AI3728" s="107"/>
      <c r="AJ3728" s="107"/>
      <c r="AK3728" s="107"/>
      <c r="AL3728" s="107"/>
      <c r="AM3728" s="107"/>
      <c r="AN3728" s="107"/>
      <c r="AO3728" s="107"/>
      <c r="AP3728" s="107"/>
      <c r="AQ3728" s="107"/>
      <c r="AR3728" s="107"/>
      <c r="AS3728" s="107"/>
      <c r="AT3728" s="107"/>
    </row>
    <row r="3729" spans="1:63" x14ac:dyDescent="0.25">
      <c r="A3729" s="92"/>
      <c r="B3729" s="92"/>
      <c r="C3729" s="92"/>
      <c r="D3729" s="93"/>
      <c r="E3729" s="92"/>
      <c r="F3729" s="92"/>
      <c r="G3729" s="92"/>
      <c r="H3729" s="92"/>
      <c r="I3729" s="92"/>
      <c r="J3729" s="92"/>
      <c r="K3729" s="92"/>
      <c r="L3729" s="92"/>
      <c r="M3729" s="92"/>
      <c r="N3729" s="92"/>
      <c r="AG3729" s="107"/>
      <c r="AH3729" s="107"/>
      <c r="AI3729" s="107"/>
      <c r="AJ3729" s="107"/>
      <c r="AK3729" s="107"/>
      <c r="AL3729" s="107"/>
      <c r="AM3729" s="107"/>
      <c r="AN3729" s="107"/>
      <c r="AO3729" s="107"/>
      <c r="AP3729" s="107"/>
      <c r="AQ3729" s="107"/>
      <c r="AR3729" s="107"/>
      <c r="AS3729" s="107"/>
      <c r="AT3729" s="107"/>
      <c r="AZ3729" s="117"/>
      <c r="BK3729" s="39"/>
    </row>
    <row r="3730" spans="1:63" x14ac:dyDescent="0.25">
      <c r="A3730" s="92"/>
      <c r="B3730" s="93"/>
      <c r="C3730" s="93"/>
      <c r="D3730" s="92"/>
      <c r="E3730" s="92"/>
      <c r="F3730" s="92"/>
      <c r="G3730" s="92"/>
      <c r="H3730" s="92"/>
      <c r="I3730" s="92"/>
      <c r="J3730" s="92"/>
      <c r="K3730" s="92"/>
      <c r="L3730" s="92"/>
      <c r="M3730" s="92"/>
      <c r="N3730" s="94"/>
      <c r="AG3730" s="107"/>
      <c r="AH3730" s="117"/>
      <c r="AI3730" s="117"/>
      <c r="AJ3730" s="107"/>
      <c r="AK3730" s="107"/>
      <c r="AL3730" s="107"/>
      <c r="AM3730" s="107"/>
      <c r="AN3730" s="107"/>
      <c r="AO3730" s="107"/>
      <c r="AP3730" s="107"/>
      <c r="AQ3730" s="107"/>
      <c r="AR3730" s="107"/>
      <c r="AS3730" s="107"/>
      <c r="AT3730" s="39"/>
      <c r="AZ3730" s="117"/>
      <c r="BK3730" s="39"/>
    </row>
    <row r="3731" spans="1:63" x14ac:dyDescent="0.25">
      <c r="A3731" s="92"/>
      <c r="B3731" s="93"/>
      <c r="C3731" s="93"/>
      <c r="D3731" s="93"/>
      <c r="E3731" s="92"/>
      <c r="F3731" s="92"/>
      <c r="G3731" s="92"/>
      <c r="H3731" s="92"/>
      <c r="I3731" s="92"/>
      <c r="J3731" s="92"/>
      <c r="K3731" s="92"/>
      <c r="L3731" s="92"/>
      <c r="M3731" s="92"/>
      <c r="N3731" s="94"/>
      <c r="AG3731" s="107"/>
      <c r="AH3731" s="117"/>
      <c r="AI3731" s="117"/>
      <c r="AJ3731" s="107"/>
      <c r="AK3731" s="107"/>
      <c r="AL3731" s="107"/>
      <c r="AM3731" s="107"/>
      <c r="AN3731" s="107"/>
      <c r="AO3731" s="107"/>
      <c r="AP3731" s="107"/>
      <c r="AQ3731" s="107"/>
      <c r="AR3731" s="107"/>
      <c r="AS3731" s="107"/>
      <c r="AT3731" s="39"/>
      <c r="AZ3731" s="117"/>
      <c r="BK3731" s="39"/>
    </row>
    <row r="3732" spans="1:63" x14ac:dyDescent="0.25">
      <c r="A3732" s="92"/>
      <c r="B3732" s="92"/>
      <c r="C3732" s="92"/>
      <c r="D3732" s="93"/>
      <c r="E3732" s="92"/>
      <c r="F3732" s="92"/>
      <c r="G3732" s="92"/>
      <c r="H3732" s="92"/>
      <c r="I3732" s="92"/>
      <c r="J3732" s="92"/>
      <c r="K3732" s="92"/>
      <c r="L3732" s="92"/>
      <c r="M3732" s="92"/>
      <c r="N3732" s="92"/>
      <c r="AG3732" s="107"/>
      <c r="AH3732" s="107"/>
      <c r="AI3732" s="107"/>
      <c r="AJ3732" s="107"/>
      <c r="AK3732" s="107"/>
      <c r="AL3732" s="107"/>
      <c r="AM3732" s="107"/>
      <c r="AN3732" s="107"/>
      <c r="AO3732" s="107"/>
      <c r="AP3732" s="107"/>
      <c r="AQ3732" s="107"/>
      <c r="AR3732" s="107"/>
      <c r="AS3732" s="107"/>
      <c r="AT3732" s="107"/>
      <c r="AZ3732" s="117"/>
      <c r="BA3732" s="117"/>
      <c r="BK3732" s="39"/>
    </row>
    <row r="3733" spans="1:63" x14ac:dyDescent="0.25">
      <c r="A3733" s="92"/>
      <c r="B3733" s="92"/>
      <c r="C3733" s="92"/>
      <c r="D3733" s="93"/>
      <c r="E3733" s="92"/>
      <c r="F3733" s="92"/>
      <c r="G3733" s="92"/>
      <c r="H3733" s="92"/>
      <c r="I3733" s="92"/>
      <c r="J3733" s="92"/>
      <c r="K3733" s="92"/>
      <c r="L3733" s="92"/>
      <c r="M3733" s="92"/>
      <c r="N3733" s="92"/>
      <c r="AG3733" s="107"/>
      <c r="AH3733" s="117"/>
      <c r="AI3733" s="117"/>
      <c r="AJ3733" s="107"/>
      <c r="AK3733" s="107"/>
      <c r="AL3733" s="107"/>
      <c r="AM3733" s="107"/>
      <c r="AN3733" s="107"/>
      <c r="AO3733" s="107"/>
      <c r="AP3733" s="107"/>
      <c r="AQ3733" s="107"/>
      <c r="AR3733" s="107"/>
      <c r="AS3733" s="107"/>
      <c r="AT3733" s="39"/>
      <c r="AZ3733" s="117"/>
      <c r="BK3733" s="39"/>
    </row>
    <row r="3734" spans="1:63" x14ac:dyDescent="0.25">
      <c r="A3734" s="92"/>
      <c r="B3734" s="92"/>
      <c r="C3734" s="92"/>
      <c r="D3734" s="93"/>
      <c r="E3734" s="92"/>
      <c r="F3734" s="92"/>
      <c r="G3734" s="92"/>
      <c r="H3734" s="92"/>
      <c r="I3734" s="92"/>
      <c r="J3734" s="92"/>
      <c r="K3734" s="92"/>
      <c r="L3734" s="92"/>
      <c r="M3734" s="92"/>
      <c r="N3734" s="92"/>
      <c r="AG3734" s="107"/>
      <c r="AH3734" s="107"/>
      <c r="AI3734" s="107"/>
      <c r="AJ3734" s="107"/>
      <c r="AK3734" s="107"/>
      <c r="AL3734" s="107"/>
      <c r="AM3734" s="107"/>
      <c r="AN3734" s="107"/>
      <c r="AO3734" s="107"/>
      <c r="AP3734" s="107"/>
      <c r="AQ3734" s="107"/>
      <c r="AR3734" s="107"/>
      <c r="AS3734" s="107"/>
      <c r="AT3734" s="107"/>
    </row>
    <row r="3735" spans="1:63" x14ac:dyDescent="0.25">
      <c r="A3735" s="92"/>
      <c r="B3735" s="92"/>
      <c r="C3735" s="92"/>
      <c r="D3735" s="93"/>
      <c r="E3735" s="92"/>
      <c r="F3735" s="92"/>
      <c r="G3735" s="92"/>
      <c r="H3735" s="92"/>
      <c r="I3735" s="92"/>
      <c r="J3735" s="92"/>
      <c r="K3735" s="92"/>
      <c r="L3735" s="92"/>
      <c r="M3735" s="92"/>
      <c r="N3735" s="92"/>
      <c r="AG3735" s="107"/>
      <c r="AH3735" s="117"/>
      <c r="AI3735" s="107"/>
      <c r="AJ3735" s="117"/>
      <c r="AK3735" s="107"/>
      <c r="AL3735" s="107"/>
      <c r="AM3735" s="107"/>
      <c r="AN3735" s="107"/>
      <c r="AO3735" s="107"/>
      <c r="AP3735" s="107"/>
      <c r="AQ3735" s="107"/>
      <c r="AR3735" s="107"/>
      <c r="AS3735" s="107"/>
      <c r="AT3735" s="39"/>
    </row>
    <row r="3736" spans="1:63" x14ac:dyDescent="0.25">
      <c r="A3736" s="92"/>
      <c r="B3736" s="93"/>
      <c r="C3736" s="93"/>
      <c r="D3736" s="93"/>
      <c r="E3736" s="92"/>
      <c r="F3736" s="92"/>
      <c r="G3736" s="92"/>
      <c r="H3736" s="92"/>
      <c r="I3736" s="92"/>
      <c r="J3736" s="92"/>
      <c r="K3736" s="92"/>
      <c r="L3736" s="92"/>
      <c r="M3736" s="92"/>
      <c r="N3736" s="94"/>
      <c r="AG3736" s="107"/>
      <c r="AH3736" s="117"/>
      <c r="AI3736" s="107"/>
      <c r="AJ3736" s="117"/>
      <c r="AK3736" s="107"/>
      <c r="AL3736" s="107"/>
      <c r="AM3736" s="107"/>
      <c r="AN3736" s="107"/>
      <c r="AO3736" s="107"/>
      <c r="AP3736" s="107"/>
      <c r="AQ3736" s="107"/>
      <c r="AR3736" s="107"/>
      <c r="AS3736" s="107"/>
      <c r="AT3736" s="39"/>
    </row>
    <row r="3737" spans="1:63" x14ac:dyDescent="0.25">
      <c r="A3737" s="92"/>
      <c r="B3737" s="93"/>
      <c r="C3737" s="93"/>
      <c r="D3737" s="93"/>
      <c r="E3737" s="92"/>
      <c r="F3737" s="92"/>
      <c r="G3737" s="92"/>
      <c r="H3737" s="92"/>
      <c r="I3737" s="92"/>
      <c r="J3737" s="92"/>
      <c r="K3737" s="92"/>
      <c r="L3737" s="92"/>
      <c r="M3737" s="92"/>
      <c r="N3737" s="94"/>
      <c r="AG3737" s="107"/>
      <c r="AH3737" s="117"/>
      <c r="AI3737" s="107"/>
      <c r="AJ3737" s="117"/>
      <c r="AK3737" s="107"/>
      <c r="AL3737" s="107"/>
      <c r="AM3737" s="107"/>
      <c r="AN3737" s="107"/>
      <c r="AO3737" s="107"/>
      <c r="AP3737" s="107"/>
      <c r="AQ3737" s="107"/>
      <c r="AR3737" s="107"/>
      <c r="AS3737" s="107"/>
      <c r="AT3737" s="39"/>
    </row>
    <row r="3738" spans="1:63" x14ac:dyDescent="0.25">
      <c r="A3738" s="92"/>
      <c r="B3738" s="93"/>
      <c r="C3738" s="93"/>
      <c r="D3738" s="93"/>
      <c r="E3738" s="92"/>
      <c r="F3738" s="92"/>
      <c r="G3738" s="92"/>
      <c r="H3738" s="92"/>
      <c r="I3738" s="92"/>
      <c r="J3738" s="92"/>
      <c r="K3738" s="92"/>
      <c r="L3738" s="92"/>
      <c r="M3738" s="92"/>
      <c r="N3738" s="94"/>
      <c r="AG3738" s="107"/>
      <c r="AH3738" s="117"/>
      <c r="AI3738" s="117"/>
      <c r="AJ3738" s="107"/>
      <c r="AK3738" s="107"/>
      <c r="AL3738" s="107"/>
      <c r="AM3738" s="107"/>
      <c r="AN3738" s="107"/>
      <c r="AO3738" s="107"/>
      <c r="AP3738" s="107"/>
      <c r="AQ3738" s="107"/>
      <c r="AR3738" s="107"/>
      <c r="AS3738" s="107"/>
      <c r="AT3738" s="39"/>
    </row>
    <row r="3739" spans="1:63" x14ac:dyDescent="0.25">
      <c r="A3739" s="92"/>
      <c r="B3739" s="93"/>
      <c r="C3739" s="93"/>
      <c r="D3739" s="92"/>
      <c r="E3739" s="92"/>
      <c r="F3739" s="92"/>
      <c r="G3739" s="92"/>
      <c r="H3739" s="92"/>
      <c r="I3739" s="92"/>
      <c r="J3739" s="92"/>
      <c r="K3739" s="92"/>
      <c r="L3739" s="92"/>
      <c r="M3739" s="92"/>
      <c r="N3739" s="94"/>
      <c r="AG3739" s="107"/>
      <c r="AH3739" s="117"/>
      <c r="AI3739" s="117"/>
      <c r="AJ3739" s="107"/>
      <c r="AK3739" s="107"/>
      <c r="AL3739" s="107"/>
      <c r="AM3739" s="107"/>
      <c r="AN3739" s="107"/>
      <c r="AO3739" s="107"/>
      <c r="AP3739" s="107"/>
      <c r="AQ3739" s="107"/>
      <c r="AR3739" s="107"/>
      <c r="AS3739" s="107"/>
      <c r="AT3739" s="39"/>
    </row>
    <row r="3740" spans="1:63" x14ac:dyDescent="0.25">
      <c r="A3740" s="92"/>
      <c r="B3740" s="93"/>
      <c r="C3740" s="93"/>
      <c r="D3740" s="92"/>
      <c r="E3740" s="92"/>
      <c r="F3740" s="92"/>
      <c r="G3740" s="92"/>
      <c r="H3740" s="92"/>
      <c r="I3740" s="92"/>
      <c r="J3740" s="92"/>
      <c r="K3740" s="92"/>
      <c r="L3740" s="92"/>
      <c r="M3740" s="92"/>
      <c r="N3740" s="94"/>
      <c r="AG3740" s="107"/>
      <c r="AH3740" s="107"/>
      <c r="AI3740" s="107"/>
      <c r="AJ3740" s="107"/>
      <c r="AK3740" s="107"/>
      <c r="AL3740" s="107"/>
      <c r="AM3740" s="107"/>
      <c r="AN3740" s="107"/>
      <c r="AO3740" s="107"/>
      <c r="AP3740" s="107"/>
      <c r="AQ3740" s="107"/>
      <c r="AR3740" s="107"/>
      <c r="AS3740" s="107"/>
      <c r="AT3740" s="107"/>
      <c r="AZ3740" s="117"/>
      <c r="BK3740" s="39"/>
    </row>
    <row r="3741" spans="1:63" x14ac:dyDescent="0.25">
      <c r="A3741" s="92"/>
      <c r="B3741" s="92"/>
      <c r="C3741" s="92"/>
      <c r="D3741" s="92"/>
      <c r="E3741" s="92"/>
      <c r="F3741" s="92"/>
      <c r="G3741" s="92"/>
      <c r="H3741" s="92"/>
      <c r="I3741" s="92"/>
      <c r="J3741" s="92"/>
      <c r="K3741" s="92"/>
      <c r="L3741" s="92"/>
      <c r="M3741" s="92"/>
      <c r="N3741" s="92"/>
      <c r="AG3741" s="107"/>
      <c r="AH3741" s="117"/>
      <c r="AI3741" s="117"/>
      <c r="AJ3741" s="107"/>
      <c r="AK3741" s="107"/>
      <c r="AL3741" s="107"/>
      <c r="AM3741" s="107"/>
      <c r="AN3741" s="107"/>
      <c r="AO3741" s="107"/>
      <c r="AP3741" s="107"/>
      <c r="AQ3741" s="107"/>
      <c r="AR3741" s="107"/>
      <c r="AS3741" s="107"/>
      <c r="AT3741" s="39"/>
    </row>
    <row r="3742" spans="1:63" x14ac:dyDescent="0.25">
      <c r="A3742" s="92"/>
      <c r="B3742" s="92"/>
      <c r="C3742" s="92"/>
      <c r="D3742" s="92"/>
      <c r="E3742" s="92"/>
      <c r="F3742" s="92"/>
      <c r="G3742" s="92"/>
      <c r="H3742" s="92"/>
      <c r="I3742" s="92"/>
      <c r="J3742" s="92"/>
      <c r="K3742" s="92"/>
      <c r="L3742" s="92"/>
      <c r="M3742" s="92"/>
      <c r="N3742" s="92"/>
      <c r="AG3742" s="107"/>
      <c r="AH3742" s="117"/>
      <c r="AI3742" s="117"/>
      <c r="AJ3742" s="107"/>
      <c r="AK3742" s="107"/>
      <c r="AL3742" s="107"/>
      <c r="AM3742" s="107"/>
      <c r="AN3742" s="107"/>
      <c r="AO3742" s="107"/>
      <c r="AP3742" s="107"/>
      <c r="AQ3742" s="107"/>
      <c r="AR3742" s="107"/>
      <c r="AS3742" s="107"/>
      <c r="AT3742" s="39"/>
    </row>
    <row r="3743" spans="1:63" x14ac:dyDescent="0.25">
      <c r="A3743" s="92"/>
      <c r="B3743" s="92"/>
      <c r="C3743" s="92"/>
      <c r="D3743" s="92"/>
      <c r="E3743" s="92"/>
      <c r="F3743" s="92"/>
      <c r="G3743" s="92"/>
      <c r="H3743" s="92"/>
      <c r="I3743" s="92"/>
      <c r="J3743" s="92"/>
      <c r="K3743" s="92"/>
      <c r="L3743" s="92"/>
      <c r="M3743" s="92"/>
      <c r="N3743" s="92"/>
      <c r="AG3743" s="107"/>
      <c r="AH3743" s="107"/>
      <c r="AI3743" s="107"/>
      <c r="AJ3743" s="107"/>
      <c r="AK3743" s="107"/>
      <c r="AL3743" s="107"/>
      <c r="AM3743" s="107"/>
      <c r="AN3743" s="107"/>
      <c r="AO3743" s="107"/>
      <c r="AP3743" s="107"/>
      <c r="AQ3743" s="107"/>
      <c r="AR3743" s="107"/>
      <c r="AS3743" s="107"/>
      <c r="AT3743" s="107"/>
    </row>
    <row r="3744" spans="1:63" x14ac:dyDescent="0.25">
      <c r="A3744" s="92"/>
      <c r="B3744" s="92"/>
      <c r="C3744" s="92"/>
      <c r="D3744" s="92"/>
      <c r="E3744" s="92"/>
      <c r="F3744" s="92"/>
      <c r="G3744" s="92"/>
      <c r="H3744" s="92"/>
      <c r="I3744" s="92"/>
      <c r="J3744" s="92"/>
      <c r="K3744" s="92"/>
      <c r="L3744" s="92"/>
      <c r="M3744" s="92"/>
      <c r="N3744" s="92"/>
      <c r="AG3744" s="107"/>
      <c r="AH3744" s="107"/>
      <c r="AI3744" s="107"/>
      <c r="AJ3744" s="107"/>
      <c r="AK3744" s="107"/>
      <c r="AL3744" s="107"/>
      <c r="AM3744" s="107"/>
      <c r="AN3744" s="107"/>
      <c r="AO3744" s="107"/>
      <c r="AP3744" s="107"/>
      <c r="AQ3744" s="107"/>
      <c r="AR3744" s="107"/>
      <c r="AS3744" s="107"/>
      <c r="AT3744" s="107"/>
      <c r="AZ3744" s="117"/>
      <c r="BA3744" s="117"/>
      <c r="BK3744" s="39"/>
    </row>
    <row r="3745" spans="1:63" x14ac:dyDescent="0.25">
      <c r="A3745" s="92"/>
      <c r="B3745" s="93"/>
      <c r="C3745" s="93"/>
      <c r="D3745" s="92"/>
      <c r="E3745" s="92"/>
      <c r="F3745" s="92"/>
      <c r="G3745" s="92"/>
      <c r="H3745" s="92"/>
      <c r="I3745" s="92"/>
      <c r="J3745" s="92"/>
      <c r="K3745" s="92"/>
      <c r="L3745" s="92"/>
      <c r="M3745" s="92"/>
      <c r="N3745" s="94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Z3745" s="117"/>
      <c r="BK3745" s="39"/>
    </row>
    <row r="3746" spans="1:63" x14ac:dyDescent="0.25">
      <c r="A3746" s="92"/>
      <c r="B3746" s="93"/>
      <c r="C3746" s="93"/>
      <c r="D3746" s="92"/>
      <c r="E3746" s="92"/>
      <c r="F3746" s="92"/>
      <c r="G3746" s="92"/>
      <c r="H3746" s="92"/>
      <c r="I3746" s="92"/>
      <c r="J3746" s="92"/>
      <c r="K3746" s="92"/>
      <c r="L3746" s="92"/>
      <c r="M3746" s="92"/>
      <c r="N3746" s="94"/>
      <c r="AG3746" s="107"/>
      <c r="AH3746" s="117"/>
      <c r="AI3746" s="117"/>
      <c r="AJ3746" s="107"/>
      <c r="AK3746" s="107"/>
      <c r="AL3746" s="107"/>
      <c r="AM3746" s="107"/>
      <c r="AN3746" s="107"/>
      <c r="AO3746" s="107"/>
      <c r="AP3746" s="107"/>
      <c r="AQ3746" s="107"/>
      <c r="AR3746" s="107"/>
      <c r="AS3746" s="107"/>
      <c r="AT3746" s="39"/>
      <c r="AZ3746" s="117"/>
      <c r="BK3746" s="39"/>
    </row>
    <row r="3747" spans="1:63" x14ac:dyDescent="0.25">
      <c r="A3747" s="92"/>
      <c r="B3747" s="93"/>
      <c r="C3747" s="93"/>
      <c r="D3747" s="92"/>
      <c r="E3747" s="92"/>
      <c r="F3747" s="92"/>
      <c r="G3747" s="92"/>
      <c r="H3747" s="92"/>
      <c r="I3747" s="92"/>
      <c r="J3747" s="92"/>
      <c r="K3747" s="92"/>
      <c r="L3747" s="92"/>
      <c r="M3747" s="92"/>
      <c r="N3747" s="94"/>
      <c r="AG3747" s="107"/>
      <c r="AH3747" s="117"/>
      <c r="AI3747" s="117"/>
      <c r="AJ3747" s="117"/>
      <c r="AK3747" s="107"/>
      <c r="AL3747" s="107"/>
      <c r="AM3747" s="107"/>
      <c r="AN3747" s="107"/>
      <c r="AO3747" s="107"/>
      <c r="AP3747" s="107"/>
      <c r="AQ3747" s="107"/>
      <c r="AR3747" s="107"/>
      <c r="AS3747" s="107"/>
      <c r="AT3747" s="39"/>
    </row>
    <row r="3748" spans="1:63" x14ac:dyDescent="0.25">
      <c r="A3748" s="92"/>
      <c r="B3748" s="93"/>
      <c r="C3748" s="93"/>
      <c r="D3748" s="93"/>
      <c r="E3748" s="92"/>
      <c r="F3748" s="92"/>
      <c r="G3748" s="92"/>
      <c r="H3748" s="92"/>
      <c r="I3748" s="92"/>
      <c r="J3748" s="92"/>
      <c r="K3748" s="92"/>
      <c r="L3748" s="92"/>
      <c r="M3748" s="92"/>
      <c r="N3748" s="94"/>
      <c r="AG3748" s="107"/>
      <c r="AH3748" s="107"/>
      <c r="AI3748" s="107"/>
      <c r="AJ3748" s="107"/>
      <c r="AK3748" s="107"/>
      <c r="AL3748" s="107"/>
      <c r="AM3748" s="107"/>
      <c r="AN3748" s="107"/>
      <c r="AO3748" s="107"/>
      <c r="AP3748" s="107"/>
      <c r="AQ3748" s="107"/>
      <c r="AR3748" s="107"/>
      <c r="AS3748" s="107"/>
      <c r="AT3748" s="107"/>
    </row>
    <row r="3749" spans="1:63" x14ac:dyDescent="0.25">
      <c r="A3749" s="92"/>
      <c r="B3749" s="93"/>
      <c r="C3749" s="93"/>
      <c r="D3749" s="92"/>
      <c r="E3749" s="92"/>
      <c r="F3749" s="92"/>
      <c r="G3749" s="92"/>
      <c r="H3749" s="92"/>
      <c r="I3749" s="92"/>
      <c r="J3749" s="92"/>
      <c r="K3749" s="92"/>
      <c r="L3749" s="92"/>
      <c r="M3749" s="92"/>
      <c r="N3749" s="94"/>
      <c r="AG3749" s="107"/>
      <c r="AH3749" s="117"/>
      <c r="AI3749" s="117"/>
      <c r="AJ3749" s="117"/>
      <c r="AK3749" s="107"/>
      <c r="AL3749" s="107"/>
      <c r="AM3749" s="107"/>
      <c r="AN3749" s="107"/>
      <c r="AO3749" s="107"/>
      <c r="AP3749" s="107"/>
      <c r="AQ3749" s="107"/>
      <c r="AR3749" s="107"/>
      <c r="AS3749" s="107"/>
      <c r="AT3749" s="39"/>
    </row>
    <row r="3750" spans="1:63" x14ac:dyDescent="0.25">
      <c r="A3750" s="92"/>
      <c r="B3750" s="92"/>
      <c r="C3750" s="92"/>
      <c r="D3750" s="92"/>
      <c r="E3750" s="92"/>
      <c r="F3750" s="92"/>
      <c r="G3750" s="92"/>
      <c r="H3750" s="92"/>
      <c r="I3750" s="92"/>
      <c r="J3750" s="92"/>
      <c r="K3750" s="92"/>
      <c r="L3750" s="92"/>
      <c r="M3750" s="92"/>
      <c r="N3750" s="92"/>
      <c r="AG3750" s="107"/>
      <c r="AH3750" s="107"/>
      <c r="AI3750" s="107"/>
      <c r="AJ3750" s="117"/>
      <c r="AK3750" s="107"/>
      <c r="AL3750" s="107"/>
      <c r="AM3750" s="107"/>
      <c r="AN3750" s="107"/>
      <c r="AO3750" s="107"/>
      <c r="AP3750" s="107"/>
      <c r="AQ3750" s="107"/>
      <c r="AR3750" s="107"/>
      <c r="AS3750" s="107"/>
      <c r="AT3750" s="107"/>
    </row>
    <row r="3751" spans="1:63" x14ac:dyDescent="0.25">
      <c r="A3751" s="92"/>
      <c r="B3751" s="92"/>
      <c r="C3751" s="92"/>
      <c r="D3751" s="92"/>
      <c r="E3751" s="92"/>
      <c r="F3751" s="92"/>
      <c r="G3751" s="92"/>
      <c r="H3751" s="92"/>
      <c r="I3751" s="92"/>
      <c r="J3751" s="92"/>
      <c r="K3751" s="92"/>
      <c r="L3751" s="92"/>
      <c r="M3751" s="92"/>
      <c r="N3751" s="92"/>
      <c r="AG3751" s="107"/>
      <c r="AH3751" s="117"/>
      <c r="AI3751" s="117"/>
      <c r="AJ3751" s="107"/>
      <c r="AK3751" s="107"/>
      <c r="AL3751" s="107"/>
      <c r="AM3751" s="107"/>
      <c r="AN3751" s="107"/>
      <c r="AO3751" s="107"/>
      <c r="AP3751" s="107"/>
      <c r="AQ3751" s="107"/>
      <c r="AR3751" s="107"/>
      <c r="AS3751" s="107"/>
      <c r="AT3751" s="39"/>
    </row>
    <row r="3752" spans="1:63" x14ac:dyDescent="0.25">
      <c r="A3752" s="92"/>
      <c r="B3752" s="92"/>
      <c r="C3752" s="92"/>
      <c r="D3752" s="92"/>
      <c r="E3752" s="92"/>
      <c r="F3752" s="92"/>
      <c r="G3752" s="92"/>
      <c r="H3752" s="92"/>
      <c r="I3752" s="92"/>
      <c r="J3752" s="92"/>
      <c r="K3752" s="92"/>
      <c r="L3752" s="92"/>
      <c r="M3752" s="92"/>
      <c r="N3752" s="92"/>
      <c r="AG3752" s="107"/>
      <c r="AH3752" s="117"/>
      <c r="AI3752" s="117"/>
      <c r="AJ3752" s="107"/>
      <c r="AK3752" s="107"/>
      <c r="AL3752" s="107"/>
      <c r="AM3752" s="107"/>
      <c r="AN3752" s="107"/>
      <c r="AO3752" s="107"/>
      <c r="AP3752" s="107"/>
      <c r="AQ3752" s="107"/>
      <c r="AR3752" s="107"/>
      <c r="AS3752" s="107"/>
      <c r="AT3752" s="39"/>
      <c r="AZ3752" s="117"/>
      <c r="BK3752" s="39"/>
    </row>
    <row r="3753" spans="1:63" x14ac:dyDescent="0.25">
      <c r="A3753" s="92"/>
      <c r="B3753" s="92"/>
      <c r="C3753" s="92"/>
      <c r="D3753" s="92"/>
      <c r="E3753" s="92"/>
      <c r="F3753" s="92"/>
      <c r="G3753" s="92"/>
      <c r="H3753" s="92"/>
      <c r="I3753" s="92"/>
      <c r="J3753" s="92"/>
      <c r="K3753" s="92"/>
      <c r="L3753" s="92"/>
      <c r="M3753" s="92"/>
      <c r="N3753" s="92"/>
      <c r="AG3753" s="107"/>
      <c r="AH3753" s="117"/>
      <c r="AI3753" s="117"/>
      <c r="AJ3753" s="107"/>
      <c r="AK3753" s="107"/>
      <c r="AL3753" s="107"/>
      <c r="AM3753" s="107"/>
      <c r="AN3753" s="107"/>
      <c r="AO3753" s="107"/>
      <c r="AP3753" s="107"/>
      <c r="AQ3753" s="107"/>
      <c r="AR3753" s="107"/>
      <c r="AS3753" s="107"/>
      <c r="AT3753" s="39"/>
    </row>
    <row r="3754" spans="1:63" x14ac:dyDescent="0.25">
      <c r="A3754" s="92"/>
      <c r="B3754" s="92"/>
      <c r="C3754" s="92"/>
      <c r="D3754" s="92"/>
      <c r="E3754" s="92"/>
      <c r="F3754" s="92"/>
      <c r="G3754" s="92"/>
      <c r="H3754" s="92"/>
      <c r="I3754" s="92"/>
      <c r="J3754" s="92"/>
      <c r="K3754" s="92"/>
      <c r="L3754" s="92"/>
      <c r="M3754" s="92"/>
      <c r="N3754" s="92"/>
      <c r="AG3754" s="107"/>
      <c r="AH3754" s="117"/>
      <c r="AI3754" s="117"/>
      <c r="AJ3754" s="107"/>
      <c r="AK3754" s="107"/>
      <c r="AL3754" s="107"/>
      <c r="AM3754" s="107"/>
      <c r="AN3754" s="107"/>
      <c r="AO3754" s="107"/>
      <c r="AP3754" s="107"/>
      <c r="AQ3754" s="107"/>
      <c r="AR3754" s="107"/>
      <c r="AS3754" s="107"/>
      <c r="AT3754" s="39"/>
    </row>
    <row r="3755" spans="1:63" x14ac:dyDescent="0.25">
      <c r="A3755" s="92"/>
      <c r="B3755" s="92"/>
      <c r="C3755" s="92"/>
      <c r="D3755" s="92"/>
      <c r="E3755" s="92"/>
      <c r="F3755" s="92"/>
      <c r="G3755" s="92"/>
      <c r="H3755" s="92"/>
      <c r="I3755" s="92"/>
      <c r="J3755" s="92"/>
      <c r="K3755" s="92"/>
      <c r="L3755" s="92"/>
      <c r="M3755" s="92"/>
      <c r="N3755" s="92"/>
      <c r="AG3755" s="107"/>
      <c r="AH3755" s="117"/>
      <c r="AI3755" s="117"/>
      <c r="AJ3755" s="107"/>
      <c r="AK3755" s="107"/>
      <c r="AL3755" s="107"/>
      <c r="AM3755" s="107"/>
      <c r="AN3755" s="107"/>
      <c r="AO3755" s="107"/>
      <c r="AP3755" s="107"/>
      <c r="AQ3755" s="107"/>
      <c r="AR3755" s="107"/>
      <c r="AS3755" s="107"/>
      <c r="AT3755" s="39"/>
    </row>
    <row r="3756" spans="1:63" x14ac:dyDescent="0.25">
      <c r="A3756" s="92"/>
      <c r="B3756" s="93"/>
      <c r="C3756" s="93"/>
      <c r="D3756" s="92"/>
      <c r="E3756" s="92"/>
      <c r="F3756" s="92"/>
      <c r="G3756" s="92"/>
      <c r="H3756" s="92"/>
      <c r="I3756" s="92"/>
      <c r="J3756" s="92"/>
      <c r="K3756" s="92"/>
      <c r="L3756" s="92"/>
      <c r="M3756" s="92"/>
      <c r="N3756" s="94"/>
      <c r="AG3756" s="107"/>
      <c r="AH3756" s="117"/>
      <c r="AI3756" s="117"/>
      <c r="AJ3756" s="107"/>
      <c r="AK3756" s="107"/>
      <c r="AL3756" s="107"/>
      <c r="AM3756" s="107"/>
      <c r="AN3756" s="107"/>
      <c r="AO3756" s="107"/>
      <c r="AP3756" s="107"/>
      <c r="AQ3756" s="107"/>
      <c r="AR3756" s="107"/>
      <c r="AS3756" s="107"/>
      <c r="AT3756" s="39"/>
    </row>
    <row r="3757" spans="1:63" x14ac:dyDescent="0.25">
      <c r="A3757" s="92"/>
      <c r="B3757" s="92"/>
      <c r="C3757" s="92"/>
      <c r="D3757" s="92"/>
      <c r="E3757" s="92"/>
      <c r="F3757" s="92"/>
      <c r="G3757" s="92"/>
      <c r="H3757" s="92"/>
      <c r="I3757" s="92"/>
      <c r="J3757" s="92"/>
      <c r="K3757" s="92"/>
      <c r="L3757" s="92"/>
      <c r="M3757" s="92"/>
      <c r="N3757" s="92"/>
      <c r="AG3757" s="107"/>
      <c r="AH3757" s="117"/>
      <c r="AI3757" s="117"/>
      <c r="AJ3757" s="107"/>
      <c r="AK3757" s="107"/>
      <c r="AL3757" s="107"/>
      <c r="AM3757" s="107"/>
      <c r="AN3757" s="107"/>
      <c r="AO3757" s="107"/>
      <c r="AP3757" s="107"/>
      <c r="AQ3757" s="107"/>
      <c r="AR3757" s="107"/>
      <c r="AS3757" s="107"/>
      <c r="AT3757" s="39"/>
      <c r="AZ3757" s="117"/>
      <c r="BA3757" s="117"/>
      <c r="BK3757" s="39"/>
    </row>
    <row r="3758" spans="1:63" x14ac:dyDescent="0.25">
      <c r="A3758" s="92"/>
      <c r="B3758" s="92"/>
      <c r="C3758" s="92"/>
      <c r="D3758" s="92"/>
      <c r="E3758" s="92"/>
      <c r="F3758" s="92"/>
      <c r="G3758" s="92"/>
      <c r="H3758" s="92"/>
      <c r="I3758" s="92"/>
      <c r="J3758" s="92"/>
      <c r="K3758" s="92"/>
      <c r="L3758" s="92"/>
      <c r="M3758" s="92"/>
      <c r="N3758" s="92"/>
      <c r="AG3758" s="107"/>
      <c r="AH3758" s="107"/>
      <c r="AI3758" s="107"/>
      <c r="AJ3758" s="107"/>
      <c r="AK3758" s="107"/>
      <c r="AL3758" s="107"/>
      <c r="AM3758" s="107"/>
      <c r="AN3758" s="107"/>
      <c r="AO3758" s="107"/>
      <c r="AP3758" s="107"/>
      <c r="AQ3758" s="107"/>
      <c r="AR3758" s="107"/>
      <c r="AS3758" s="107"/>
      <c r="AT3758" s="107"/>
    </row>
    <row r="3759" spans="1:63" x14ac:dyDescent="0.25">
      <c r="A3759" s="92"/>
      <c r="B3759" s="92"/>
      <c r="C3759" s="92"/>
      <c r="D3759" s="92"/>
      <c r="E3759" s="92"/>
      <c r="F3759" s="92"/>
      <c r="G3759" s="92"/>
      <c r="H3759" s="92"/>
      <c r="I3759" s="92"/>
      <c r="J3759" s="92"/>
      <c r="K3759" s="92"/>
      <c r="L3759" s="92"/>
      <c r="M3759" s="92"/>
      <c r="N3759" s="92"/>
      <c r="AG3759" s="107"/>
      <c r="AH3759" s="107"/>
      <c r="AI3759" s="107"/>
      <c r="AJ3759" s="107"/>
      <c r="AK3759" s="107"/>
      <c r="AL3759" s="107"/>
      <c r="AM3759" s="107"/>
      <c r="AN3759" s="107"/>
      <c r="AO3759" s="107"/>
      <c r="AP3759" s="107"/>
      <c r="AQ3759" s="107"/>
      <c r="AR3759" s="107"/>
      <c r="AS3759" s="107"/>
      <c r="AT3759" s="107"/>
      <c r="AZ3759" s="117"/>
      <c r="BK3759" s="39"/>
    </row>
    <row r="3760" spans="1:63" x14ac:dyDescent="0.25">
      <c r="A3760" s="92"/>
      <c r="B3760" s="93"/>
      <c r="C3760" s="93"/>
      <c r="D3760" s="93"/>
      <c r="E3760" s="92"/>
      <c r="F3760" s="92"/>
      <c r="G3760" s="92"/>
      <c r="H3760" s="92"/>
      <c r="I3760" s="92"/>
      <c r="J3760" s="92"/>
      <c r="K3760" s="92"/>
      <c r="L3760" s="92"/>
      <c r="M3760" s="92"/>
      <c r="N3760" s="94"/>
      <c r="AG3760" s="107"/>
      <c r="AH3760" s="107"/>
      <c r="AI3760" s="107"/>
      <c r="AJ3760" s="107"/>
      <c r="AK3760" s="107"/>
      <c r="AL3760" s="107"/>
      <c r="AM3760" s="107"/>
      <c r="AN3760" s="107"/>
      <c r="AO3760" s="107"/>
      <c r="AP3760" s="107"/>
      <c r="AQ3760" s="107"/>
      <c r="AR3760" s="107"/>
      <c r="AS3760" s="107"/>
      <c r="AT3760" s="107"/>
    </row>
    <row r="3761" spans="1:63" x14ac:dyDescent="0.25">
      <c r="A3761" s="92"/>
      <c r="B3761" s="93"/>
      <c r="C3761" s="93"/>
      <c r="D3761" s="92"/>
      <c r="E3761" s="92"/>
      <c r="F3761" s="92"/>
      <c r="G3761" s="92"/>
      <c r="H3761" s="92"/>
      <c r="I3761" s="92"/>
      <c r="J3761" s="92"/>
      <c r="K3761" s="92"/>
      <c r="L3761" s="92"/>
      <c r="M3761" s="92"/>
      <c r="N3761" s="94"/>
      <c r="AG3761" s="107"/>
      <c r="AH3761" s="107"/>
      <c r="AI3761" s="107"/>
      <c r="AJ3761" s="107"/>
      <c r="AK3761" s="107"/>
      <c r="AL3761" s="107"/>
      <c r="AM3761" s="107"/>
      <c r="AN3761" s="107"/>
      <c r="AO3761" s="107"/>
      <c r="AP3761" s="107"/>
      <c r="AQ3761" s="107"/>
      <c r="AR3761" s="107"/>
      <c r="AS3761" s="107"/>
      <c r="AT3761" s="107"/>
    </row>
    <row r="3762" spans="1:63" x14ac:dyDescent="0.25">
      <c r="A3762" s="92"/>
      <c r="B3762" s="93"/>
      <c r="C3762" s="93"/>
      <c r="D3762" s="92"/>
      <c r="E3762" s="92"/>
      <c r="F3762" s="92"/>
      <c r="G3762" s="92"/>
      <c r="H3762" s="92"/>
      <c r="I3762" s="92"/>
      <c r="J3762" s="92"/>
      <c r="K3762" s="92"/>
      <c r="L3762" s="92"/>
      <c r="M3762" s="92"/>
      <c r="N3762" s="94"/>
      <c r="AG3762" s="107"/>
      <c r="AH3762" s="117"/>
      <c r="AI3762" s="117"/>
      <c r="AJ3762" s="107"/>
      <c r="AK3762" s="107"/>
      <c r="AL3762" s="107"/>
      <c r="AM3762" s="107"/>
      <c r="AN3762" s="107"/>
      <c r="AO3762" s="107"/>
      <c r="AP3762" s="107"/>
      <c r="AQ3762" s="107"/>
      <c r="AR3762" s="107"/>
      <c r="AS3762" s="107"/>
      <c r="AT3762" s="39"/>
    </row>
    <row r="3763" spans="1:63" x14ac:dyDescent="0.25">
      <c r="A3763" s="92"/>
      <c r="B3763" s="92"/>
      <c r="C3763" s="92"/>
      <c r="D3763" s="92"/>
      <c r="E3763" s="92"/>
      <c r="F3763" s="92"/>
      <c r="G3763" s="92"/>
      <c r="H3763" s="92"/>
      <c r="I3763" s="92"/>
      <c r="J3763" s="92"/>
      <c r="K3763" s="92"/>
      <c r="L3763" s="92"/>
      <c r="M3763" s="92"/>
      <c r="N3763" s="92"/>
      <c r="AG3763" s="107"/>
      <c r="AH3763" s="107"/>
      <c r="AI3763" s="107"/>
      <c r="AJ3763" s="107"/>
      <c r="AK3763" s="107"/>
      <c r="AL3763" s="107"/>
      <c r="AM3763" s="107"/>
      <c r="AN3763" s="107"/>
      <c r="AO3763" s="107"/>
      <c r="AP3763" s="107"/>
      <c r="AQ3763" s="107"/>
      <c r="AR3763" s="107"/>
      <c r="AS3763" s="107"/>
      <c r="AT3763" s="107"/>
      <c r="AZ3763" s="117"/>
      <c r="BK3763" s="39"/>
    </row>
    <row r="3764" spans="1:63" x14ac:dyDescent="0.25">
      <c r="A3764" s="92"/>
      <c r="B3764" s="92"/>
      <c r="C3764" s="92"/>
      <c r="D3764" s="92"/>
      <c r="E3764" s="92"/>
      <c r="F3764" s="92"/>
      <c r="G3764" s="92"/>
      <c r="H3764" s="92"/>
      <c r="I3764" s="92"/>
      <c r="J3764" s="92"/>
      <c r="K3764" s="92"/>
      <c r="L3764" s="92"/>
      <c r="M3764" s="92"/>
      <c r="N3764" s="92"/>
      <c r="AG3764" s="107"/>
      <c r="AH3764" s="117"/>
      <c r="AI3764" s="117"/>
      <c r="AJ3764" s="107"/>
      <c r="AK3764" s="107"/>
      <c r="AL3764" s="107"/>
      <c r="AM3764" s="107"/>
      <c r="AN3764" s="107"/>
      <c r="AO3764" s="107"/>
      <c r="AP3764" s="107"/>
      <c r="AQ3764" s="107"/>
      <c r="AR3764" s="107"/>
      <c r="AS3764" s="107"/>
      <c r="AT3764" s="39"/>
      <c r="AZ3764" s="117"/>
      <c r="BK3764" s="39"/>
    </row>
    <row r="3765" spans="1:63" x14ac:dyDescent="0.25">
      <c r="A3765" s="92"/>
      <c r="B3765" s="92"/>
      <c r="C3765" s="92"/>
      <c r="D3765" s="92"/>
      <c r="E3765" s="92"/>
      <c r="F3765" s="92"/>
      <c r="G3765" s="92"/>
      <c r="H3765" s="92"/>
      <c r="I3765" s="92"/>
      <c r="J3765" s="92"/>
      <c r="K3765" s="92"/>
      <c r="L3765" s="92"/>
      <c r="M3765" s="92"/>
      <c r="N3765" s="92"/>
      <c r="AG3765" s="107"/>
      <c r="AH3765" s="117"/>
      <c r="AI3765" s="117"/>
      <c r="AJ3765" s="107"/>
      <c r="AK3765" s="107"/>
      <c r="AL3765" s="107"/>
      <c r="AM3765" s="107"/>
      <c r="AN3765" s="107"/>
      <c r="AO3765" s="107"/>
      <c r="AP3765" s="107"/>
      <c r="AQ3765" s="107"/>
      <c r="AR3765" s="107"/>
      <c r="AS3765" s="107"/>
      <c r="AT3765" s="39"/>
      <c r="AZ3765" s="117"/>
      <c r="BK3765" s="39"/>
    </row>
    <row r="3766" spans="1:63" x14ac:dyDescent="0.25">
      <c r="A3766" s="92"/>
      <c r="B3766" s="92"/>
      <c r="C3766" s="92"/>
      <c r="D3766" s="92"/>
      <c r="E3766" s="92"/>
      <c r="F3766" s="92"/>
      <c r="G3766" s="92"/>
      <c r="H3766" s="92"/>
      <c r="I3766" s="92"/>
      <c r="J3766" s="92"/>
      <c r="K3766" s="92"/>
      <c r="L3766" s="92"/>
      <c r="M3766" s="92"/>
      <c r="N3766" s="92"/>
      <c r="AG3766" s="107"/>
      <c r="AH3766" s="107"/>
      <c r="AI3766" s="107"/>
      <c r="AJ3766" s="107"/>
      <c r="AK3766" s="107"/>
      <c r="AL3766" s="107"/>
      <c r="AM3766" s="107"/>
      <c r="AN3766" s="107"/>
      <c r="AO3766" s="107"/>
      <c r="AP3766" s="107"/>
      <c r="AQ3766" s="107"/>
      <c r="AR3766" s="107"/>
      <c r="AS3766" s="107"/>
      <c r="AT3766" s="107"/>
    </row>
    <row r="3767" spans="1:63" x14ac:dyDescent="0.25">
      <c r="A3767" s="92"/>
      <c r="B3767" s="92"/>
      <c r="C3767" s="92"/>
      <c r="D3767" s="92"/>
      <c r="E3767" s="92"/>
      <c r="F3767" s="92"/>
      <c r="G3767" s="92"/>
      <c r="H3767" s="92"/>
      <c r="I3767" s="92"/>
      <c r="J3767" s="92"/>
      <c r="K3767" s="92"/>
      <c r="L3767" s="92"/>
      <c r="M3767" s="92"/>
      <c r="N3767" s="92"/>
      <c r="AG3767" s="107"/>
      <c r="AH3767" s="117"/>
      <c r="AI3767" s="117"/>
      <c r="AJ3767" s="107"/>
      <c r="AK3767" s="107"/>
      <c r="AL3767" s="107"/>
      <c r="AM3767" s="107"/>
      <c r="AN3767" s="107"/>
      <c r="AO3767" s="107"/>
      <c r="AP3767" s="107"/>
      <c r="AQ3767" s="107"/>
      <c r="AR3767" s="107"/>
      <c r="AS3767" s="107"/>
      <c r="AT3767" s="39"/>
      <c r="AZ3767" s="117"/>
      <c r="BK3767" s="39"/>
    </row>
    <row r="3768" spans="1:63" x14ac:dyDescent="0.25">
      <c r="A3768" s="92"/>
      <c r="B3768" s="93"/>
      <c r="C3768" s="93"/>
      <c r="D3768" s="92"/>
      <c r="E3768" s="92"/>
      <c r="F3768" s="92"/>
      <c r="G3768" s="92"/>
      <c r="H3768" s="92"/>
      <c r="I3768" s="92"/>
      <c r="J3768" s="92"/>
      <c r="K3768" s="92"/>
      <c r="L3768" s="92"/>
      <c r="M3768" s="92"/>
      <c r="N3768" s="94"/>
      <c r="AG3768" s="107"/>
      <c r="AH3768" s="107"/>
      <c r="AI3768" s="107"/>
      <c r="AJ3768" s="107"/>
      <c r="AK3768" s="107"/>
      <c r="AL3768" s="107"/>
      <c r="AM3768" s="107"/>
      <c r="AN3768" s="107"/>
      <c r="AO3768" s="107"/>
      <c r="AP3768" s="107"/>
      <c r="AQ3768" s="107"/>
      <c r="AR3768" s="107"/>
      <c r="AS3768" s="107"/>
      <c r="AT3768" s="107"/>
      <c r="AZ3768" s="117"/>
      <c r="BK3768" s="39"/>
    </row>
    <row r="3769" spans="1:63" x14ac:dyDescent="0.25">
      <c r="A3769" s="92"/>
      <c r="B3769" s="92"/>
      <c r="C3769" s="92"/>
      <c r="D3769" s="92"/>
      <c r="E3769" s="92"/>
      <c r="F3769" s="92"/>
      <c r="G3769" s="92"/>
      <c r="H3769" s="92"/>
      <c r="I3769" s="92"/>
      <c r="J3769" s="92"/>
      <c r="K3769" s="92"/>
      <c r="L3769" s="92"/>
      <c r="M3769" s="92"/>
      <c r="N3769" s="92"/>
      <c r="AG3769" s="107"/>
      <c r="AH3769" s="107"/>
      <c r="AI3769" s="107"/>
      <c r="AJ3769" s="107"/>
      <c r="AK3769" s="107"/>
      <c r="AL3769" s="107"/>
      <c r="AM3769" s="107"/>
      <c r="AN3769" s="107"/>
      <c r="AO3769" s="107"/>
      <c r="AP3769" s="107"/>
      <c r="AQ3769" s="107"/>
      <c r="AR3769" s="107"/>
      <c r="AS3769" s="107"/>
      <c r="AT3769" s="107"/>
      <c r="AZ3769" s="117"/>
      <c r="BA3769" s="117"/>
      <c r="BK3769" s="39"/>
    </row>
    <row r="3770" spans="1:63" x14ac:dyDescent="0.25">
      <c r="A3770" s="92"/>
      <c r="B3770" s="92"/>
      <c r="C3770" s="92"/>
      <c r="D3770" s="92"/>
      <c r="E3770" s="92"/>
      <c r="F3770" s="92"/>
      <c r="G3770" s="92"/>
      <c r="H3770" s="92"/>
      <c r="I3770" s="92"/>
      <c r="J3770" s="92"/>
      <c r="K3770" s="92"/>
      <c r="L3770" s="92"/>
      <c r="M3770" s="92"/>
      <c r="N3770" s="92"/>
      <c r="AG3770" s="107"/>
      <c r="AH3770" s="107"/>
      <c r="AI3770" s="107"/>
      <c r="AJ3770" s="107"/>
      <c r="AK3770" s="107"/>
      <c r="AL3770" s="107"/>
      <c r="AM3770" s="107"/>
      <c r="AN3770" s="107"/>
      <c r="AO3770" s="107"/>
      <c r="AP3770" s="107"/>
      <c r="AQ3770" s="107"/>
      <c r="AR3770" s="107"/>
      <c r="AS3770" s="107"/>
      <c r="AT3770" s="107"/>
      <c r="BA3770" s="117"/>
    </row>
    <row r="3771" spans="1:63" x14ac:dyDescent="0.25">
      <c r="A3771" s="92"/>
      <c r="B3771" s="92"/>
      <c r="C3771" s="92"/>
      <c r="D3771" s="92"/>
      <c r="E3771" s="92"/>
      <c r="F3771" s="92"/>
      <c r="G3771" s="92"/>
      <c r="H3771" s="92"/>
      <c r="I3771" s="92"/>
      <c r="J3771" s="92"/>
      <c r="K3771" s="92"/>
      <c r="L3771" s="92"/>
      <c r="M3771" s="92"/>
      <c r="N3771" s="92"/>
      <c r="AG3771" s="107"/>
      <c r="AH3771" s="117"/>
      <c r="AI3771" s="117"/>
      <c r="AJ3771" s="107"/>
      <c r="AK3771" s="107"/>
      <c r="AL3771" s="107"/>
      <c r="AM3771" s="107"/>
      <c r="AN3771" s="107"/>
      <c r="AO3771" s="107"/>
      <c r="AP3771" s="107"/>
      <c r="AQ3771" s="107"/>
      <c r="AR3771" s="107"/>
      <c r="AS3771" s="107"/>
      <c r="AT3771" s="39"/>
      <c r="BA3771" s="117"/>
    </row>
    <row r="3772" spans="1:63" x14ac:dyDescent="0.25">
      <c r="A3772" s="92"/>
      <c r="B3772" s="92"/>
      <c r="C3772" s="92"/>
      <c r="D3772" s="92"/>
      <c r="E3772" s="92"/>
      <c r="F3772" s="92"/>
      <c r="G3772" s="92"/>
      <c r="H3772" s="92"/>
      <c r="I3772" s="92"/>
      <c r="J3772" s="92"/>
      <c r="K3772" s="92"/>
      <c r="L3772" s="92"/>
      <c r="M3772" s="92"/>
      <c r="N3772" s="92"/>
      <c r="AG3772" s="107"/>
      <c r="AH3772" s="117"/>
      <c r="AI3772" s="117"/>
      <c r="AJ3772" s="107"/>
      <c r="AK3772" s="107"/>
      <c r="AL3772" s="107"/>
      <c r="AM3772" s="107"/>
      <c r="AN3772" s="107"/>
      <c r="AO3772" s="107"/>
      <c r="AP3772" s="107"/>
      <c r="AQ3772" s="107"/>
      <c r="AR3772" s="107"/>
      <c r="AS3772" s="107"/>
      <c r="AT3772" s="39"/>
      <c r="BA3772" s="117"/>
    </row>
    <row r="3773" spans="1:63" x14ac:dyDescent="0.25">
      <c r="A3773" s="92"/>
      <c r="B3773" s="93"/>
      <c r="C3773" s="93"/>
      <c r="D3773" s="93"/>
      <c r="E3773" s="92"/>
      <c r="F3773" s="92"/>
      <c r="G3773" s="92"/>
      <c r="H3773" s="92"/>
      <c r="I3773" s="92"/>
      <c r="J3773" s="92"/>
      <c r="K3773" s="92"/>
      <c r="L3773" s="92"/>
      <c r="M3773" s="92"/>
      <c r="N3773" s="94"/>
      <c r="AG3773" s="107"/>
      <c r="AH3773" s="117"/>
      <c r="AI3773" s="117"/>
      <c r="AJ3773" s="117"/>
      <c r="AK3773" s="107"/>
      <c r="AL3773" s="107"/>
      <c r="AM3773" s="107"/>
      <c r="AN3773" s="107"/>
      <c r="AO3773" s="107"/>
      <c r="AP3773" s="107"/>
      <c r="AQ3773" s="107"/>
      <c r="AR3773" s="107"/>
      <c r="AS3773" s="107"/>
      <c r="AT3773" s="39"/>
    </row>
    <row r="3774" spans="1:63" x14ac:dyDescent="0.25">
      <c r="A3774" s="92"/>
      <c r="B3774" s="92"/>
      <c r="C3774" s="92"/>
      <c r="D3774" s="92"/>
      <c r="E3774" s="92"/>
      <c r="F3774" s="92"/>
      <c r="G3774" s="92"/>
      <c r="H3774" s="92"/>
      <c r="I3774" s="92"/>
      <c r="J3774" s="92"/>
      <c r="K3774" s="92"/>
      <c r="L3774" s="92"/>
      <c r="M3774" s="92"/>
      <c r="N3774" s="92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</row>
    <row r="3775" spans="1:63" x14ac:dyDescent="0.25">
      <c r="A3775" s="92"/>
      <c r="B3775" s="93"/>
      <c r="C3775" s="93"/>
      <c r="D3775" s="92"/>
      <c r="E3775" s="92"/>
      <c r="F3775" s="92"/>
      <c r="G3775" s="92"/>
      <c r="H3775" s="92"/>
      <c r="I3775" s="92"/>
      <c r="J3775" s="92"/>
      <c r="K3775" s="92"/>
      <c r="L3775" s="92"/>
      <c r="M3775" s="92"/>
      <c r="N3775" s="94"/>
      <c r="AG3775" s="107"/>
      <c r="AH3775" s="107"/>
      <c r="AI3775" s="107"/>
      <c r="AJ3775" s="107"/>
      <c r="AK3775" s="107"/>
      <c r="AL3775" s="107"/>
      <c r="AM3775" s="107"/>
      <c r="AN3775" s="107"/>
      <c r="AO3775" s="107"/>
      <c r="AP3775" s="107"/>
      <c r="AQ3775" s="107"/>
      <c r="AR3775" s="107"/>
      <c r="AS3775" s="107"/>
      <c r="AT3775" s="107"/>
      <c r="AZ3775" s="117"/>
      <c r="BK3775" s="39"/>
    </row>
    <row r="3776" spans="1:63" x14ac:dyDescent="0.25">
      <c r="A3776" s="92"/>
      <c r="B3776" s="92"/>
      <c r="C3776" s="92"/>
      <c r="D3776" s="92"/>
      <c r="E3776" s="92"/>
      <c r="F3776" s="92"/>
      <c r="G3776" s="92"/>
      <c r="H3776" s="92"/>
      <c r="I3776" s="92"/>
      <c r="J3776" s="92"/>
      <c r="K3776" s="92"/>
      <c r="L3776" s="92"/>
      <c r="M3776" s="92"/>
      <c r="N3776" s="92"/>
      <c r="AG3776" s="107"/>
      <c r="AH3776" s="117"/>
      <c r="AI3776" s="117"/>
      <c r="AJ3776" s="107"/>
      <c r="AK3776" s="107"/>
      <c r="AL3776" s="107"/>
      <c r="AM3776" s="107"/>
      <c r="AN3776" s="107"/>
      <c r="AO3776" s="107"/>
      <c r="AP3776" s="107"/>
      <c r="AQ3776" s="107"/>
      <c r="AR3776" s="107"/>
      <c r="AS3776" s="107"/>
      <c r="AT3776" s="39"/>
    </row>
    <row r="3777" spans="1:63" x14ac:dyDescent="0.25">
      <c r="A3777" s="92"/>
      <c r="B3777" s="92"/>
      <c r="C3777" s="92"/>
      <c r="D3777" s="92"/>
      <c r="E3777" s="92"/>
      <c r="F3777" s="92"/>
      <c r="G3777" s="92"/>
      <c r="H3777" s="92"/>
      <c r="I3777" s="92"/>
      <c r="J3777" s="92"/>
      <c r="K3777" s="92"/>
      <c r="L3777" s="92"/>
      <c r="M3777" s="92"/>
      <c r="N3777" s="92"/>
      <c r="AG3777" s="107"/>
      <c r="AH3777" s="107"/>
      <c r="AI3777" s="107"/>
      <c r="AJ3777" s="107"/>
      <c r="AK3777" s="107"/>
      <c r="AL3777" s="107"/>
      <c r="AM3777" s="107"/>
      <c r="AN3777" s="107"/>
      <c r="AO3777" s="107"/>
      <c r="AP3777" s="107"/>
      <c r="AQ3777" s="107"/>
      <c r="AR3777" s="107"/>
      <c r="AS3777" s="107"/>
      <c r="AT3777" s="107"/>
      <c r="AZ3777" s="117"/>
      <c r="BK3777" s="39"/>
    </row>
    <row r="3778" spans="1:63" x14ac:dyDescent="0.25">
      <c r="A3778" s="92"/>
      <c r="B3778" s="92"/>
      <c r="C3778" s="92"/>
      <c r="D3778" s="92"/>
      <c r="E3778" s="92"/>
      <c r="F3778" s="92"/>
      <c r="G3778" s="92"/>
      <c r="H3778" s="92"/>
      <c r="I3778" s="92"/>
      <c r="J3778" s="92"/>
      <c r="K3778" s="92"/>
      <c r="L3778" s="92"/>
      <c r="M3778" s="92"/>
      <c r="N3778" s="92"/>
      <c r="AG3778" s="107"/>
      <c r="AH3778" s="107"/>
      <c r="AI3778" s="107"/>
      <c r="AJ3778" s="107"/>
      <c r="AK3778" s="107"/>
      <c r="AL3778" s="107"/>
      <c r="AM3778" s="107"/>
      <c r="AN3778" s="107"/>
      <c r="AO3778" s="107"/>
      <c r="AP3778" s="107"/>
      <c r="AQ3778" s="107"/>
      <c r="AR3778" s="107"/>
      <c r="AS3778" s="107"/>
      <c r="AT3778" s="107"/>
      <c r="AZ3778" s="117"/>
      <c r="BK3778" s="39"/>
    </row>
    <row r="3779" spans="1:63" x14ac:dyDescent="0.25">
      <c r="A3779" s="92"/>
      <c r="B3779" s="93"/>
      <c r="C3779" s="93"/>
      <c r="D3779" s="92"/>
      <c r="E3779" s="92"/>
      <c r="F3779" s="92"/>
      <c r="G3779" s="92"/>
      <c r="H3779" s="92"/>
      <c r="I3779" s="92"/>
      <c r="J3779" s="92"/>
      <c r="K3779" s="92"/>
      <c r="L3779" s="92"/>
      <c r="M3779" s="92"/>
      <c r="N3779" s="94"/>
      <c r="AG3779" s="107"/>
      <c r="AH3779" s="117"/>
      <c r="AI3779" s="117"/>
      <c r="AJ3779" s="107"/>
      <c r="AK3779" s="107"/>
      <c r="AL3779" s="107"/>
      <c r="AM3779" s="107"/>
      <c r="AN3779" s="107"/>
      <c r="AO3779" s="107"/>
      <c r="AP3779" s="107"/>
      <c r="AQ3779" s="107"/>
      <c r="AR3779" s="107"/>
      <c r="AS3779" s="107"/>
      <c r="AT3779" s="39"/>
    </row>
    <row r="3780" spans="1:63" x14ac:dyDescent="0.25">
      <c r="A3780" s="92"/>
      <c r="B3780" s="93"/>
      <c r="C3780" s="93"/>
      <c r="D3780" s="92"/>
      <c r="E3780" s="92"/>
      <c r="F3780" s="92"/>
      <c r="G3780" s="92"/>
      <c r="H3780" s="92"/>
      <c r="I3780" s="92"/>
      <c r="J3780" s="92"/>
      <c r="K3780" s="92"/>
      <c r="L3780" s="92"/>
      <c r="M3780" s="92"/>
      <c r="N3780" s="94"/>
      <c r="AG3780" s="107"/>
      <c r="AH3780" s="117"/>
      <c r="AI3780" s="117"/>
      <c r="AJ3780" s="107"/>
      <c r="AK3780" s="107"/>
      <c r="AL3780" s="107"/>
      <c r="AM3780" s="107"/>
      <c r="AN3780" s="107"/>
      <c r="AO3780" s="107"/>
      <c r="AP3780" s="107"/>
      <c r="AQ3780" s="107"/>
      <c r="AR3780" s="107"/>
      <c r="AS3780" s="107"/>
      <c r="AT3780" s="39"/>
    </row>
    <row r="3781" spans="1:63" x14ac:dyDescent="0.25">
      <c r="A3781" s="92"/>
      <c r="B3781" s="93"/>
      <c r="C3781" s="93"/>
      <c r="D3781" s="92"/>
      <c r="E3781" s="92"/>
      <c r="F3781" s="92"/>
      <c r="G3781" s="92"/>
      <c r="H3781" s="92"/>
      <c r="I3781" s="92"/>
      <c r="J3781" s="92"/>
      <c r="K3781" s="92"/>
      <c r="L3781" s="92"/>
      <c r="M3781" s="92"/>
      <c r="N3781" s="94"/>
      <c r="AG3781" s="107"/>
      <c r="AH3781" s="107"/>
      <c r="AI3781" s="107"/>
      <c r="AJ3781" s="107"/>
      <c r="AK3781" s="107"/>
      <c r="AL3781" s="107"/>
      <c r="AM3781" s="107"/>
      <c r="AN3781" s="107"/>
      <c r="AO3781" s="107"/>
      <c r="AP3781" s="107"/>
      <c r="AQ3781" s="107"/>
      <c r="AR3781" s="107"/>
      <c r="AS3781" s="107"/>
      <c r="AT3781" s="107"/>
      <c r="AZ3781" s="117"/>
      <c r="BA3781" s="117"/>
      <c r="BK3781" s="39"/>
    </row>
    <row r="3782" spans="1:63" x14ac:dyDescent="0.25">
      <c r="A3782" s="92"/>
      <c r="B3782" s="92"/>
      <c r="C3782" s="92"/>
      <c r="D3782" s="92"/>
      <c r="E3782" s="92"/>
      <c r="F3782" s="92"/>
      <c r="G3782" s="92"/>
      <c r="H3782" s="92"/>
      <c r="I3782" s="92"/>
      <c r="J3782" s="92"/>
      <c r="K3782" s="92"/>
      <c r="L3782" s="92"/>
      <c r="M3782" s="92"/>
      <c r="N3782" s="92"/>
      <c r="AG3782" s="107"/>
      <c r="AH3782" s="117"/>
      <c r="AI3782" s="117"/>
      <c r="AJ3782" s="107"/>
      <c r="AK3782" s="107"/>
      <c r="AL3782" s="107"/>
      <c r="AM3782" s="107"/>
      <c r="AN3782" s="107"/>
      <c r="AO3782" s="107"/>
      <c r="AP3782" s="107"/>
      <c r="AQ3782" s="107"/>
      <c r="AR3782" s="107"/>
      <c r="AS3782" s="107"/>
      <c r="AT3782" s="39"/>
    </row>
    <row r="3783" spans="1:63" x14ac:dyDescent="0.25">
      <c r="A3783" s="92"/>
      <c r="B3783" s="93"/>
      <c r="C3783" s="93"/>
      <c r="D3783" s="92"/>
      <c r="E3783" s="92"/>
      <c r="F3783" s="92"/>
      <c r="G3783" s="92"/>
      <c r="H3783" s="92"/>
      <c r="I3783" s="92"/>
      <c r="J3783" s="92"/>
      <c r="K3783" s="92"/>
      <c r="L3783" s="92"/>
      <c r="M3783" s="92"/>
      <c r="N3783" s="94"/>
      <c r="AG3783" s="107"/>
      <c r="AH3783" s="117"/>
      <c r="AI3783" s="117"/>
      <c r="AJ3783" s="107"/>
      <c r="AK3783" s="107"/>
      <c r="AL3783" s="107"/>
      <c r="AM3783" s="107"/>
      <c r="AN3783" s="107"/>
      <c r="AO3783" s="107"/>
      <c r="AP3783" s="107"/>
      <c r="AQ3783" s="107"/>
      <c r="AR3783" s="107"/>
      <c r="AS3783" s="107"/>
      <c r="AT3783" s="39"/>
    </row>
    <row r="3784" spans="1:63" x14ac:dyDescent="0.25">
      <c r="A3784" s="92"/>
      <c r="B3784" s="93"/>
      <c r="C3784" s="93"/>
      <c r="D3784" s="92"/>
      <c r="E3784" s="92"/>
      <c r="F3784" s="92"/>
      <c r="G3784" s="92"/>
      <c r="H3784" s="92"/>
      <c r="I3784" s="92"/>
      <c r="J3784" s="92"/>
      <c r="K3784" s="92"/>
      <c r="L3784" s="92"/>
      <c r="M3784" s="92"/>
      <c r="N3784" s="94"/>
      <c r="AG3784" s="107"/>
      <c r="AH3784" s="117"/>
      <c r="AI3784" s="117"/>
      <c r="AJ3784" s="107"/>
      <c r="AK3784" s="107"/>
      <c r="AL3784" s="107"/>
      <c r="AM3784" s="107"/>
      <c r="AN3784" s="107"/>
      <c r="AO3784" s="107"/>
      <c r="AP3784" s="107"/>
      <c r="AQ3784" s="107"/>
      <c r="AR3784" s="107"/>
      <c r="AS3784" s="107"/>
      <c r="AT3784" s="39"/>
    </row>
    <row r="3785" spans="1:63" x14ac:dyDescent="0.25">
      <c r="A3785" s="92"/>
      <c r="B3785" s="93"/>
      <c r="C3785" s="93"/>
      <c r="D3785" s="93"/>
      <c r="E3785" s="92"/>
      <c r="F3785" s="92"/>
      <c r="G3785" s="92"/>
      <c r="H3785" s="92"/>
      <c r="I3785" s="92"/>
      <c r="J3785" s="92"/>
      <c r="K3785" s="92"/>
      <c r="L3785" s="92"/>
      <c r="M3785" s="92"/>
      <c r="N3785" s="94"/>
      <c r="AG3785" s="107"/>
      <c r="AH3785" s="117"/>
      <c r="AI3785" s="117"/>
      <c r="AJ3785" s="107"/>
      <c r="AK3785" s="107"/>
      <c r="AL3785" s="107"/>
      <c r="AM3785" s="107"/>
      <c r="AN3785" s="107"/>
      <c r="AO3785" s="107"/>
      <c r="AP3785" s="107"/>
      <c r="AQ3785" s="107"/>
      <c r="AR3785" s="107"/>
      <c r="AS3785" s="107"/>
      <c r="AT3785" s="39"/>
    </row>
    <row r="3786" spans="1:63" x14ac:dyDescent="0.25">
      <c r="A3786" s="92"/>
      <c r="B3786" s="92"/>
      <c r="C3786" s="92"/>
      <c r="D3786" s="93"/>
      <c r="E3786" s="92"/>
      <c r="F3786" s="92"/>
      <c r="G3786" s="92"/>
      <c r="H3786" s="92"/>
      <c r="I3786" s="92"/>
      <c r="J3786" s="92"/>
      <c r="K3786" s="92"/>
      <c r="L3786" s="92"/>
      <c r="M3786" s="92"/>
      <c r="N3786" s="92"/>
      <c r="AG3786" s="107"/>
      <c r="AH3786" s="117"/>
      <c r="AI3786" s="117"/>
      <c r="AJ3786" s="107"/>
      <c r="AK3786" s="107"/>
      <c r="AL3786" s="107"/>
      <c r="AM3786" s="107"/>
      <c r="AN3786" s="107"/>
      <c r="AO3786" s="107"/>
      <c r="AP3786" s="107"/>
      <c r="AQ3786" s="107"/>
      <c r="AR3786" s="107"/>
      <c r="AS3786" s="107"/>
      <c r="AT3786" s="39"/>
      <c r="AZ3786" s="117"/>
      <c r="BK3786" s="39"/>
    </row>
    <row r="3787" spans="1:63" x14ac:dyDescent="0.25">
      <c r="A3787" s="92"/>
      <c r="B3787" s="92"/>
      <c r="C3787" s="92"/>
      <c r="D3787" s="93"/>
      <c r="E3787" s="92"/>
      <c r="F3787" s="92"/>
      <c r="G3787" s="92"/>
      <c r="H3787" s="92"/>
      <c r="I3787" s="92"/>
      <c r="J3787" s="92"/>
      <c r="K3787" s="92"/>
      <c r="L3787" s="92"/>
      <c r="M3787" s="92"/>
      <c r="N3787" s="92"/>
      <c r="AG3787" s="107"/>
      <c r="AH3787" s="117"/>
      <c r="AI3787" s="117"/>
      <c r="AJ3787" s="107"/>
      <c r="AK3787" s="107"/>
      <c r="AL3787" s="107"/>
      <c r="AM3787" s="107"/>
      <c r="AN3787" s="107"/>
      <c r="AO3787" s="107"/>
      <c r="AP3787" s="107"/>
      <c r="AQ3787" s="107"/>
      <c r="AR3787" s="107"/>
      <c r="AS3787" s="107"/>
      <c r="AT3787" s="39"/>
      <c r="AZ3787" s="117"/>
      <c r="BK3787" s="39"/>
    </row>
    <row r="3788" spans="1:63" x14ac:dyDescent="0.25">
      <c r="A3788" s="92"/>
      <c r="B3788" s="92"/>
      <c r="C3788" s="92"/>
      <c r="D3788" s="93"/>
      <c r="E3788" s="92"/>
      <c r="F3788" s="92"/>
      <c r="G3788" s="92"/>
      <c r="H3788" s="92"/>
      <c r="I3788" s="92"/>
      <c r="J3788" s="92"/>
      <c r="K3788" s="92"/>
      <c r="L3788" s="92"/>
      <c r="M3788" s="92"/>
      <c r="N3788" s="92"/>
      <c r="AG3788" s="107"/>
      <c r="AH3788" s="107"/>
      <c r="AI3788" s="107"/>
      <c r="AJ3788" s="107"/>
      <c r="AK3788" s="107"/>
      <c r="AL3788" s="107"/>
      <c r="AM3788" s="107"/>
      <c r="AN3788" s="107"/>
      <c r="AO3788" s="107"/>
      <c r="AP3788" s="107"/>
      <c r="AQ3788" s="107"/>
      <c r="AR3788" s="107"/>
      <c r="AS3788" s="107"/>
      <c r="AT3788" s="107"/>
      <c r="AZ3788" s="117"/>
      <c r="BK3788" s="39"/>
    </row>
    <row r="3789" spans="1:63" x14ac:dyDescent="0.25">
      <c r="A3789" s="92"/>
      <c r="B3789" s="92"/>
      <c r="C3789" s="92"/>
      <c r="D3789" s="92"/>
      <c r="E3789" s="92"/>
      <c r="F3789" s="92"/>
      <c r="G3789" s="92"/>
      <c r="H3789" s="92"/>
      <c r="I3789" s="92"/>
      <c r="J3789" s="92"/>
      <c r="K3789" s="92"/>
      <c r="L3789" s="92"/>
      <c r="M3789" s="92"/>
      <c r="N3789" s="92"/>
      <c r="AG3789" s="107"/>
      <c r="AH3789" s="117"/>
      <c r="AI3789" s="117"/>
      <c r="AJ3789" s="107"/>
      <c r="AK3789" s="107"/>
      <c r="AL3789" s="107"/>
      <c r="AM3789" s="107"/>
      <c r="AN3789" s="107"/>
      <c r="AO3789" s="107"/>
      <c r="AP3789" s="107"/>
      <c r="AQ3789" s="107"/>
      <c r="AR3789" s="107"/>
      <c r="AS3789" s="107"/>
      <c r="AT3789" s="39"/>
      <c r="AZ3789" s="117"/>
      <c r="BK3789" s="39"/>
    </row>
    <row r="3790" spans="1:63" x14ac:dyDescent="0.25">
      <c r="A3790" s="92"/>
      <c r="B3790" s="92"/>
      <c r="C3790" s="92"/>
      <c r="D3790" s="92"/>
      <c r="E3790" s="92"/>
      <c r="F3790" s="92"/>
      <c r="G3790" s="92"/>
      <c r="H3790" s="92"/>
      <c r="I3790" s="92"/>
      <c r="J3790" s="92"/>
      <c r="K3790" s="92"/>
      <c r="L3790" s="92"/>
      <c r="M3790" s="92"/>
      <c r="N3790" s="92"/>
      <c r="AG3790" s="107"/>
      <c r="AH3790" s="117"/>
      <c r="AI3790" s="117"/>
      <c r="AJ3790" s="107"/>
      <c r="AK3790" s="107"/>
      <c r="AL3790" s="107"/>
      <c r="AM3790" s="107"/>
      <c r="AN3790" s="107"/>
      <c r="AO3790" s="107"/>
      <c r="AP3790" s="107"/>
      <c r="AQ3790" s="107"/>
      <c r="AR3790" s="107"/>
      <c r="AS3790" s="107"/>
      <c r="AT3790" s="39"/>
      <c r="AZ3790" s="117"/>
      <c r="BK3790" s="39"/>
    </row>
    <row r="3791" spans="1:63" x14ac:dyDescent="0.25">
      <c r="A3791" s="92"/>
      <c r="B3791" s="93"/>
      <c r="C3791" s="93"/>
      <c r="D3791" s="92"/>
      <c r="E3791" s="92"/>
      <c r="F3791" s="92"/>
      <c r="G3791" s="92"/>
      <c r="H3791" s="92"/>
      <c r="I3791" s="92"/>
      <c r="J3791" s="92"/>
      <c r="K3791" s="92"/>
      <c r="L3791" s="92"/>
      <c r="M3791" s="92"/>
      <c r="N3791" s="94"/>
      <c r="AG3791" s="107"/>
      <c r="AH3791" s="117"/>
      <c r="AI3791" s="117"/>
      <c r="AJ3791" s="107"/>
      <c r="AK3791" s="107"/>
      <c r="AL3791" s="107"/>
      <c r="AM3791" s="107"/>
      <c r="AN3791" s="107"/>
      <c r="AO3791" s="107"/>
      <c r="AP3791" s="107"/>
      <c r="AQ3791" s="107"/>
      <c r="AR3791" s="107"/>
      <c r="AS3791" s="107"/>
      <c r="AT3791" s="39"/>
    </row>
    <row r="3792" spans="1:63" x14ac:dyDescent="0.25">
      <c r="A3792" s="92"/>
      <c r="B3792" s="92"/>
      <c r="C3792" s="92"/>
      <c r="D3792" s="92"/>
      <c r="E3792" s="92"/>
      <c r="F3792" s="92"/>
      <c r="G3792" s="92"/>
      <c r="H3792" s="92"/>
      <c r="I3792" s="92"/>
      <c r="J3792" s="92"/>
      <c r="K3792" s="92"/>
      <c r="L3792" s="92"/>
      <c r="M3792" s="92"/>
      <c r="N3792" s="92"/>
      <c r="AG3792" s="107"/>
      <c r="AH3792" s="117"/>
      <c r="AI3792" s="117"/>
      <c r="AJ3792" s="107"/>
      <c r="AK3792" s="107"/>
      <c r="AL3792" s="107"/>
      <c r="AM3792" s="107"/>
      <c r="AN3792" s="107"/>
      <c r="AO3792" s="107"/>
      <c r="AP3792" s="107"/>
      <c r="AQ3792" s="107"/>
      <c r="AR3792" s="107"/>
      <c r="AS3792" s="107"/>
      <c r="AT3792" s="39"/>
    </row>
    <row r="3793" spans="1:63" x14ac:dyDescent="0.25">
      <c r="A3793" s="92"/>
      <c r="B3793" s="93"/>
      <c r="C3793" s="93"/>
      <c r="D3793" s="92"/>
      <c r="E3793" s="92"/>
      <c r="F3793" s="92"/>
      <c r="G3793" s="92"/>
      <c r="H3793" s="92"/>
      <c r="I3793" s="92"/>
      <c r="J3793" s="92"/>
      <c r="K3793" s="92"/>
      <c r="L3793" s="92"/>
      <c r="M3793" s="92"/>
      <c r="N3793" s="94"/>
      <c r="AG3793" s="107"/>
      <c r="AH3793" s="117"/>
      <c r="AI3793" s="117"/>
      <c r="AJ3793" s="107"/>
      <c r="AK3793" s="107"/>
      <c r="AL3793" s="107"/>
      <c r="AM3793" s="107"/>
      <c r="AN3793" s="107"/>
      <c r="AO3793" s="107"/>
      <c r="AP3793" s="107"/>
      <c r="AQ3793" s="107"/>
      <c r="AR3793" s="107"/>
      <c r="AS3793" s="107"/>
      <c r="AT3793" s="39"/>
    </row>
    <row r="3794" spans="1:63" x14ac:dyDescent="0.25">
      <c r="A3794" s="92"/>
      <c r="B3794" s="93"/>
      <c r="C3794" s="93"/>
      <c r="D3794" s="92"/>
      <c r="E3794" s="92"/>
      <c r="F3794" s="92"/>
      <c r="G3794" s="92"/>
      <c r="H3794" s="92"/>
      <c r="I3794" s="92"/>
      <c r="J3794" s="92"/>
      <c r="K3794" s="92"/>
      <c r="L3794" s="92"/>
      <c r="M3794" s="92"/>
      <c r="N3794" s="94"/>
      <c r="AG3794" s="107"/>
      <c r="AH3794" s="117"/>
      <c r="AI3794" s="117"/>
      <c r="AJ3794" s="107"/>
      <c r="AK3794" s="107"/>
      <c r="AL3794" s="107"/>
      <c r="AM3794" s="107"/>
      <c r="AN3794" s="107"/>
      <c r="AO3794" s="107"/>
      <c r="AP3794" s="107"/>
      <c r="AQ3794" s="107"/>
      <c r="AR3794" s="107"/>
      <c r="AS3794" s="107"/>
      <c r="AT3794" s="39"/>
      <c r="AZ3794" s="117"/>
      <c r="BK3794" s="39"/>
    </row>
    <row r="3795" spans="1:63" x14ac:dyDescent="0.25">
      <c r="A3795" s="92"/>
      <c r="B3795" s="92"/>
      <c r="C3795" s="92"/>
      <c r="D3795" s="92"/>
      <c r="E3795" s="92"/>
      <c r="F3795" s="92"/>
      <c r="G3795" s="92"/>
      <c r="H3795" s="92"/>
      <c r="I3795" s="92"/>
      <c r="J3795" s="92"/>
      <c r="K3795" s="92"/>
      <c r="L3795" s="92"/>
      <c r="M3795" s="92"/>
      <c r="N3795" s="92"/>
      <c r="AG3795" s="107"/>
      <c r="AH3795" s="117"/>
      <c r="AI3795" s="117"/>
      <c r="AJ3795" s="117"/>
      <c r="AK3795" s="107"/>
      <c r="AL3795" s="107"/>
      <c r="AM3795" s="107"/>
      <c r="AN3795" s="107"/>
      <c r="AO3795" s="107"/>
      <c r="AP3795" s="107"/>
      <c r="AQ3795" s="107"/>
      <c r="AR3795" s="107"/>
      <c r="AS3795" s="107"/>
      <c r="AT3795" s="39"/>
      <c r="AZ3795" s="117"/>
      <c r="BK3795" s="39"/>
    </row>
    <row r="3796" spans="1:63" x14ac:dyDescent="0.25">
      <c r="A3796" s="92"/>
      <c r="B3796" s="92"/>
      <c r="C3796" s="92"/>
      <c r="D3796" s="92"/>
      <c r="E3796" s="92"/>
      <c r="F3796" s="92"/>
      <c r="G3796" s="92"/>
      <c r="H3796" s="92"/>
      <c r="I3796" s="92"/>
      <c r="J3796" s="92"/>
      <c r="K3796" s="92"/>
      <c r="L3796" s="92"/>
      <c r="M3796" s="92"/>
      <c r="N3796" s="92"/>
      <c r="AG3796" s="107"/>
      <c r="AH3796" s="107"/>
      <c r="AI3796" s="107"/>
      <c r="AJ3796" s="107"/>
      <c r="AK3796" s="107"/>
      <c r="AL3796" s="107"/>
      <c r="AM3796" s="107"/>
      <c r="AN3796" s="107"/>
      <c r="AO3796" s="107"/>
      <c r="AP3796" s="107"/>
      <c r="AQ3796" s="107"/>
      <c r="AR3796" s="107"/>
      <c r="AS3796" s="107"/>
      <c r="AT3796" s="107"/>
      <c r="AZ3796" s="117"/>
      <c r="BK3796" s="39"/>
    </row>
    <row r="3797" spans="1:63" x14ac:dyDescent="0.25">
      <c r="A3797" s="92"/>
      <c r="B3797" s="93"/>
      <c r="C3797" s="93"/>
      <c r="D3797" s="93"/>
      <c r="E3797" s="92"/>
      <c r="F3797" s="92"/>
      <c r="G3797" s="92"/>
      <c r="H3797" s="92"/>
      <c r="I3797" s="92"/>
      <c r="J3797" s="92"/>
      <c r="K3797" s="92"/>
      <c r="L3797" s="92"/>
      <c r="M3797" s="92"/>
      <c r="N3797" s="94"/>
      <c r="AG3797" s="107"/>
      <c r="AH3797" s="117"/>
      <c r="AI3797" s="117"/>
      <c r="AJ3797" s="107"/>
      <c r="AK3797" s="107"/>
      <c r="AL3797" s="107"/>
      <c r="AM3797" s="107"/>
      <c r="AN3797" s="107"/>
      <c r="AO3797" s="107"/>
      <c r="AP3797" s="107"/>
      <c r="AQ3797" s="107"/>
      <c r="AR3797" s="107"/>
      <c r="AS3797" s="107"/>
      <c r="AT3797" s="39"/>
      <c r="AZ3797" s="117"/>
      <c r="BK3797" s="39"/>
    </row>
    <row r="3798" spans="1:63" x14ac:dyDescent="0.25">
      <c r="A3798" s="92"/>
      <c r="B3798" s="92"/>
      <c r="C3798" s="92"/>
      <c r="D3798" s="92"/>
      <c r="E3798" s="92"/>
      <c r="F3798" s="92"/>
      <c r="G3798" s="92"/>
      <c r="H3798" s="92"/>
      <c r="I3798" s="92"/>
      <c r="J3798" s="92"/>
      <c r="K3798" s="92"/>
      <c r="L3798" s="92"/>
      <c r="M3798" s="92"/>
      <c r="N3798" s="92"/>
      <c r="AG3798" s="107"/>
      <c r="AH3798" s="107"/>
      <c r="AI3798" s="107"/>
      <c r="AJ3798" s="107"/>
      <c r="AK3798" s="107"/>
      <c r="AL3798" s="107"/>
      <c r="AM3798" s="107"/>
      <c r="AN3798" s="107"/>
      <c r="AO3798" s="107"/>
      <c r="AP3798" s="107"/>
      <c r="AQ3798" s="107"/>
      <c r="AR3798" s="107"/>
      <c r="AS3798" s="107"/>
      <c r="AT3798" s="107"/>
      <c r="AZ3798" s="117"/>
      <c r="BK3798" s="39"/>
    </row>
    <row r="3799" spans="1:63" x14ac:dyDescent="0.25">
      <c r="A3799" s="92"/>
      <c r="B3799" s="92"/>
      <c r="C3799" s="92"/>
      <c r="D3799" s="92"/>
      <c r="E3799" s="92"/>
      <c r="F3799" s="92"/>
      <c r="G3799" s="92"/>
      <c r="H3799" s="92"/>
      <c r="I3799" s="92"/>
      <c r="J3799" s="92"/>
      <c r="K3799" s="92"/>
      <c r="L3799" s="92"/>
      <c r="M3799" s="92"/>
      <c r="N3799" s="92"/>
      <c r="AG3799" s="107"/>
      <c r="AH3799" s="117"/>
      <c r="AI3799" s="117"/>
      <c r="AJ3799" s="107"/>
      <c r="AK3799" s="107"/>
      <c r="AL3799" s="107"/>
      <c r="AM3799" s="107"/>
      <c r="AN3799" s="107"/>
      <c r="AO3799" s="107"/>
      <c r="AP3799" s="107"/>
      <c r="AQ3799" s="107"/>
      <c r="AR3799" s="107"/>
      <c r="AS3799" s="107"/>
      <c r="AT3799" s="39"/>
      <c r="AZ3799" s="117"/>
      <c r="BK3799" s="39"/>
    </row>
    <row r="3800" spans="1:63" x14ac:dyDescent="0.25">
      <c r="A3800" s="92"/>
      <c r="B3800" s="92"/>
      <c r="C3800" s="92"/>
      <c r="D3800" s="92"/>
      <c r="E3800" s="92"/>
      <c r="F3800" s="92"/>
      <c r="G3800" s="92"/>
      <c r="H3800" s="92"/>
      <c r="I3800" s="92"/>
      <c r="J3800" s="92"/>
      <c r="K3800" s="92"/>
      <c r="L3800" s="92"/>
      <c r="M3800" s="92"/>
      <c r="N3800" s="92"/>
      <c r="AG3800" s="107"/>
      <c r="AH3800" s="107"/>
      <c r="AI3800" s="107"/>
      <c r="AJ3800" s="107"/>
      <c r="AK3800" s="107"/>
      <c r="AL3800" s="107"/>
      <c r="AM3800" s="107"/>
      <c r="AN3800" s="107"/>
      <c r="AO3800" s="107"/>
      <c r="AP3800" s="107"/>
      <c r="AQ3800" s="107"/>
      <c r="AR3800" s="107"/>
      <c r="AS3800" s="107"/>
      <c r="AT3800" s="107"/>
      <c r="AZ3800" s="117"/>
      <c r="BK3800" s="39"/>
    </row>
    <row r="3801" spans="1:63" x14ac:dyDescent="0.25">
      <c r="A3801" s="92"/>
      <c r="B3801" s="92"/>
      <c r="C3801" s="92"/>
      <c r="D3801" s="92"/>
      <c r="E3801" s="92"/>
      <c r="F3801" s="92"/>
      <c r="G3801" s="92"/>
      <c r="H3801" s="92"/>
      <c r="I3801" s="92"/>
      <c r="J3801" s="92"/>
      <c r="K3801" s="92"/>
      <c r="L3801" s="92"/>
      <c r="M3801" s="92"/>
      <c r="N3801" s="92"/>
      <c r="AG3801" s="107"/>
      <c r="AH3801" s="107"/>
      <c r="AI3801" s="107"/>
      <c r="AJ3801" s="107"/>
      <c r="AK3801" s="107"/>
      <c r="AL3801" s="107"/>
      <c r="AM3801" s="107"/>
      <c r="AN3801" s="107"/>
      <c r="AO3801" s="107"/>
      <c r="AP3801" s="107"/>
      <c r="AQ3801" s="107"/>
      <c r="AR3801" s="107"/>
      <c r="AS3801" s="107"/>
      <c r="AT3801" s="107"/>
      <c r="AZ3801" s="117"/>
      <c r="BK3801" s="39"/>
    </row>
    <row r="3802" spans="1:63" x14ac:dyDescent="0.25">
      <c r="A3802" s="92"/>
      <c r="B3802" s="93"/>
      <c r="C3802" s="93"/>
      <c r="D3802" s="92"/>
      <c r="E3802" s="92"/>
      <c r="F3802" s="92"/>
      <c r="G3802" s="92"/>
      <c r="H3802" s="92"/>
      <c r="I3802" s="92"/>
      <c r="J3802" s="92"/>
      <c r="K3802" s="92"/>
      <c r="L3802" s="92"/>
      <c r="M3802" s="92"/>
      <c r="N3802" s="94"/>
      <c r="AG3802" s="107"/>
      <c r="AH3802" s="107"/>
      <c r="AI3802" s="107"/>
      <c r="AJ3802" s="107"/>
      <c r="AK3802" s="107"/>
      <c r="AL3802" s="107"/>
      <c r="AM3802" s="107"/>
      <c r="AN3802" s="107"/>
      <c r="AO3802" s="107"/>
      <c r="AP3802" s="107"/>
      <c r="AQ3802" s="107"/>
      <c r="AR3802" s="107"/>
      <c r="AS3802" s="107"/>
      <c r="AT3802" s="107"/>
      <c r="AZ3802" s="117"/>
      <c r="BA3802" s="117"/>
      <c r="BK3802" s="39"/>
    </row>
    <row r="3803" spans="1:63" x14ac:dyDescent="0.25">
      <c r="A3803" s="92"/>
      <c r="B3803" s="93"/>
      <c r="C3803" s="93"/>
      <c r="D3803" s="92"/>
      <c r="E3803" s="92"/>
      <c r="F3803" s="92"/>
      <c r="G3803" s="92"/>
      <c r="H3803" s="92"/>
      <c r="I3803" s="92"/>
      <c r="J3803" s="92"/>
      <c r="K3803" s="92"/>
      <c r="L3803" s="92"/>
      <c r="M3803" s="92"/>
      <c r="N3803" s="94"/>
      <c r="AG3803" s="107"/>
      <c r="AH3803" s="117"/>
      <c r="AI3803" s="117"/>
      <c r="AJ3803" s="107"/>
      <c r="AK3803" s="107"/>
      <c r="AL3803" s="107"/>
      <c r="AM3803" s="107"/>
      <c r="AN3803" s="107"/>
      <c r="AO3803" s="107"/>
      <c r="AP3803" s="107"/>
      <c r="AQ3803" s="107"/>
      <c r="AR3803" s="107"/>
      <c r="AS3803" s="107"/>
      <c r="AT3803" s="39"/>
    </row>
    <row r="3804" spans="1:63" x14ac:dyDescent="0.25">
      <c r="A3804" s="92"/>
      <c r="B3804" s="93"/>
      <c r="C3804" s="93"/>
      <c r="D3804" s="92"/>
      <c r="E3804" s="92"/>
      <c r="F3804" s="92"/>
      <c r="G3804" s="92"/>
      <c r="H3804" s="92"/>
      <c r="I3804" s="92"/>
      <c r="J3804" s="92"/>
      <c r="K3804" s="92"/>
      <c r="L3804" s="92"/>
      <c r="M3804" s="92"/>
      <c r="N3804" s="94"/>
      <c r="AG3804" s="107"/>
      <c r="AH3804" s="117"/>
      <c r="AI3804" s="117"/>
      <c r="AJ3804" s="107"/>
      <c r="AK3804" s="107"/>
      <c r="AL3804" s="107"/>
      <c r="AM3804" s="107"/>
      <c r="AN3804" s="107"/>
      <c r="AO3804" s="107"/>
      <c r="AP3804" s="107"/>
      <c r="AQ3804" s="107"/>
      <c r="AR3804" s="107"/>
      <c r="AS3804" s="107"/>
      <c r="AT3804" s="39"/>
    </row>
    <row r="3805" spans="1:63" x14ac:dyDescent="0.25">
      <c r="A3805" s="92"/>
      <c r="B3805" s="93"/>
      <c r="C3805" s="93"/>
      <c r="D3805" s="92"/>
      <c r="E3805" s="92"/>
      <c r="F3805" s="92"/>
      <c r="G3805" s="92"/>
      <c r="H3805" s="92"/>
      <c r="I3805" s="92"/>
      <c r="J3805" s="92"/>
      <c r="K3805" s="92"/>
      <c r="L3805" s="92"/>
      <c r="M3805" s="92"/>
      <c r="N3805" s="94"/>
      <c r="AG3805" s="107"/>
      <c r="AH3805" s="117"/>
      <c r="AI3805" s="117"/>
      <c r="AJ3805" s="107"/>
      <c r="AK3805" s="107"/>
      <c r="AL3805" s="107"/>
      <c r="AM3805" s="107"/>
      <c r="AN3805" s="107"/>
      <c r="AO3805" s="107"/>
      <c r="AP3805" s="107"/>
      <c r="AQ3805" s="107"/>
      <c r="AR3805" s="107"/>
      <c r="AS3805" s="107"/>
      <c r="AT3805" s="39"/>
    </row>
    <row r="3806" spans="1:63" x14ac:dyDescent="0.25">
      <c r="A3806" s="92"/>
      <c r="B3806" s="93"/>
      <c r="C3806" s="93"/>
      <c r="D3806" s="92"/>
      <c r="E3806" s="92"/>
      <c r="F3806" s="92"/>
      <c r="G3806" s="92"/>
      <c r="H3806" s="92"/>
      <c r="I3806" s="92"/>
      <c r="J3806" s="92"/>
      <c r="K3806" s="92"/>
      <c r="L3806" s="92"/>
      <c r="M3806" s="92"/>
      <c r="N3806" s="94"/>
      <c r="AG3806" s="107"/>
      <c r="AH3806" s="117"/>
      <c r="AI3806" s="117"/>
      <c r="AJ3806" s="107"/>
      <c r="AK3806" s="107"/>
      <c r="AL3806" s="107"/>
      <c r="AM3806" s="107"/>
      <c r="AN3806" s="107"/>
      <c r="AO3806" s="107"/>
      <c r="AP3806" s="107"/>
      <c r="AQ3806" s="107"/>
      <c r="AR3806" s="107"/>
      <c r="AS3806" s="107"/>
      <c r="AT3806" s="39"/>
    </row>
    <row r="3807" spans="1:63" x14ac:dyDescent="0.25">
      <c r="A3807" s="92"/>
      <c r="B3807" s="92"/>
      <c r="C3807" s="92"/>
      <c r="D3807" s="92"/>
      <c r="E3807" s="92"/>
      <c r="F3807" s="92"/>
      <c r="G3807" s="92"/>
      <c r="H3807" s="92"/>
      <c r="I3807" s="92"/>
      <c r="J3807" s="92"/>
      <c r="K3807" s="92"/>
      <c r="L3807" s="92"/>
      <c r="M3807" s="92"/>
      <c r="N3807" s="92"/>
      <c r="AG3807" s="107"/>
      <c r="AH3807" s="117"/>
      <c r="AI3807" s="117"/>
      <c r="AJ3807" s="107"/>
      <c r="AK3807" s="107"/>
      <c r="AL3807" s="107"/>
      <c r="AM3807" s="107"/>
      <c r="AN3807" s="107"/>
      <c r="AO3807" s="107"/>
      <c r="AP3807" s="107"/>
      <c r="AQ3807" s="107"/>
      <c r="AR3807" s="107"/>
      <c r="AS3807" s="107"/>
      <c r="AT3807" s="39"/>
    </row>
    <row r="3808" spans="1:63" x14ac:dyDescent="0.25">
      <c r="A3808" s="92"/>
      <c r="B3808" s="92"/>
      <c r="C3808" s="92"/>
      <c r="D3808" s="92"/>
      <c r="E3808" s="92"/>
      <c r="F3808" s="92"/>
      <c r="G3808" s="92"/>
      <c r="H3808" s="92"/>
      <c r="I3808" s="92"/>
      <c r="J3808" s="92"/>
      <c r="K3808" s="92"/>
      <c r="L3808" s="92"/>
      <c r="M3808" s="92"/>
      <c r="N3808" s="92"/>
      <c r="AG3808" s="107"/>
      <c r="AH3808" s="117"/>
      <c r="AI3808" s="117"/>
      <c r="AJ3808" s="107"/>
      <c r="AK3808" s="107"/>
      <c r="AL3808" s="107"/>
      <c r="AM3808" s="107"/>
      <c r="AN3808" s="107"/>
      <c r="AO3808" s="107"/>
      <c r="AP3808" s="107"/>
      <c r="AQ3808" s="107"/>
      <c r="AR3808" s="107"/>
      <c r="AS3808" s="107"/>
      <c r="AT3808" s="39"/>
    </row>
    <row r="3809" spans="1:63" x14ac:dyDescent="0.25">
      <c r="A3809" s="92"/>
      <c r="B3809" s="92"/>
      <c r="C3809" s="92"/>
      <c r="D3809" s="92"/>
      <c r="E3809" s="92"/>
      <c r="F3809" s="92"/>
      <c r="G3809" s="92"/>
      <c r="H3809" s="92"/>
      <c r="I3809" s="92"/>
      <c r="J3809" s="92"/>
      <c r="K3809" s="92"/>
      <c r="L3809" s="92"/>
      <c r="M3809" s="92"/>
      <c r="N3809" s="92"/>
      <c r="AG3809" s="107"/>
      <c r="AH3809" s="107"/>
      <c r="AI3809" s="107"/>
      <c r="AJ3809" s="107"/>
      <c r="AK3809" s="107"/>
      <c r="AL3809" s="107"/>
      <c r="AM3809" s="107"/>
      <c r="AN3809" s="107"/>
      <c r="AO3809" s="107"/>
      <c r="AP3809" s="107"/>
      <c r="AQ3809" s="107"/>
      <c r="AR3809" s="107"/>
      <c r="AS3809" s="107"/>
      <c r="AT3809" s="107"/>
    </row>
    <row r="3810" spans="1:63" x14ac:dyDescent="0.25">
      <c r="A3810" s="92"/>
      <c r="B3810" s="93"/>
      <c r="C3810" s="93"/>
      <c r="D3810" s="92"/>
      <c r="E3810" s="92"/>
      <c r="F3810" s="92"/>
      <c r="G3810" s="92"/>
      <c r="H3810" s="92"/>
      <c r="I3810" s="92"/>
      <c r="J3810" s="92"/>
      <c r="K3810" s="92"/>
      <c r="L3810" s="92"/>
      <c r="M3810" s="92"/>
      <c r="N3810" s="94"/>
      <c r="AG3810" s="107"/>
      <c r="AH3810" s="107"/>
      <c r="AI3810" s="107"/>
      <c r="AJ3810" s="107"/>
      <c r="AK3810" s="107"/>
      <c r="AL3810" s="107"/>
      <c r="AM3810" s="107"/>
      <c r="AN3810" s="107"/>
      <c r="AO3810" s="107"/>
      <c r="AP3810" s="107"/>
      <c r="AQ3810" s="107"/>
      <c r="AR3810" s="107"/>
      <c r="AS3810" s="107"/>
      <c r="AT3810" s="107"/>
      <c r="AZ3810" s="117"/>
      <c r="BK3810" s="39"/>
    </row>
    <row r="3811" spans="1:63" x14ac:dyDescent="0.25">
      <c r="A3811" s="92"/>
      <c r="B3811" s="93"/>
      <c r="C3811" s="93"/>
      <c r="D3811" s="92"/>
      <c r="E3811" s="92"/>
      <c r="F3811" s="92"/>
      <c r="G3811" s="92"/>
      <c r="H3811" s="92"/>
      <c r="I3811" s="92"/>
      <c r="J3811" s="92"/>
      <c r="K3811" s="92"/>
      <c r="L3811" s="92"/>
      <c r="M3811" s="92"/>
      <c r="N3811" s="94"/>
      <c r="AG3811" s="107"/>
      <c r="AH3811" s="107"/>
      <c r="AI3811" s="107"/>
      <c r="AJ3811" s="107"/>
      <c r="AK3811" s="107"/>
      <c r="AL3811" s="107"/>
      <c r="AM3811" s="107"/>
      <c r="AN3811" s="107"/>
      <c r="AO3811" s="107"/>
      <c r="AP3811" s="107"/>
      <c r="AQ3811" s="107"/>
      <c r="AR3811" s="107"/>
      <c r="AS3811" s="107"/>
      <c r="AT3811" s="107"/>
      <c r="AZ3811" s="117"/>
      <c r="BK3811" s="39"/>
    </row>
    <row r="3812" spans="1:63" x14ac:dyDescent="0.25">
      <c r="A3812" s="92"/>
      <c r="B3812" s="93"/>
      <c r="C3812" s="93"/>
      <c r="D3812" s="92"/>
      <c r="E3812" s="92"/>
      <c r="F3812" s="92"/>
      <c r="G3812" s="92"/>
      <c r="H3812" s="92"/>
      <c r="I3812" s="92"/>
      <c r="J3812" s="92"/>
      <c r="K3812" s="92"/>
      <c r="L3812" s="92"/>
      <c r="M3812" s="92"/>
      <c r="N3812" s="94"/>
      <c r="AG3812" s="107"/>
      <c r="AH3812" s="107"/>
      <c r="AI3812" s="107"/>
      <c r="AJ3812" s="107"/>
      <c r="AK3812" s="107"/>
      <c r="AL3812" s="107"/>
      <c r="AM3812" s="107"/>
      <c r="AN3812" s="107"/>
      <c r="AO3812" s="107"/>
      <c r="AP3812" s="107"/>
      <c r="AQ3812" s="107"/>
      <c r="AR3812" s="107"/>
      <c r="AS3812" s="107"/>
      <c r="AT3812" s="107"/>
      <c r="AZ3812" s="117"/>
      <c r="BA3812" s="117"/>
      <c r="BK3812" s="39"/>
    </row>
    <row r="3813" spans="1:63" x14ac:dyDescent="0.25">
      <c r="A3813" s="92"/>
      <c r="B3813" s="93"/>
      <c r="C3813" s="93"/>
      <c r="D3813" s="92"/>
      <c r="E3813" s="92"/>
      <c r="F3813" s="92"/>
      <c r="G3813" s="92"/>
      <c r="H3813" s="92"/>
      <c r="I3813" s="92"/>
      <c r="J3813" s="92"/>
      <c r="K3813" s="92"/>
      <c r="L3813" s="92"/>
      <c r="M3813" s="92"/>
      <c r="N3813" s="94"/>
      <c r="AG3813" s="107"/>
      <c r="AH3813" s="117"/>
      <c r="AI3813" s="117"/>
      <c r="AJ3813" s="117"/>
      <c r="AK3813" s="107"/>
      <c r="AL3813" s="107"/>
      <c r="AM3813" s="107"/>
      <c r="AN3813" s="107"/>
      <c r="AO3813" s="107"/>
      <c r="AP3813" s="107"/>
      <c r="AQ3813" s="107"/>
      <c r="AR3813" s="107"/>
      <c r="AS3813" s="107"/>
      <c r="AT3813" s="39"/>
      <c r="BA3813" s="117"/>
    </row>
    <row r="3814" spans="1:63" x14ac:dyDescent="0.25">
      <c r="A3814" s="92"/>
      <c r="B3814" s="93"/>
      <c r="C3814" s="93"/>
      <c r="D3814" s="92"/>
      <c r="E3814" s="92"/>
      <c r="F3814" s="92"/>
      <c r="G3814" s="92"/>
      <c r="H3814" s="92"/>
      <c r="I3814" s="92"/>
      <c r="J3814" s="92"/>
      <c r="K3814" s="92"/>
      <c r="L3814" s="92"/>
      <c r="M3814" s="92"/>
      <c r="N3814" s="94"/>
      <c r="AG3814" s="107"/>
      <c r="AH3814" s="107"/>
      <c r="AI3814" s="107"/>
      <c r="AJ3814" s="107"/>
      <c r="AK3814" s="107"/>
      <c r="AL3814" s="107"/>
      <c r="AM3814" s="107"/>
      <c r="AN3814" s="107"/>
      <c r="AO3814" s="107"/>
      <c r="AP3814" s="107"/>
      <c r="AQ3814" s="107"/>
      <c r="AR3814" s="107"/>
      <c r="AS3814" s="107"/>
      <c r="AT3814" s="107"/>
      <c r="AZ3814" s="117"/>
      <c r="BK3814" s="39"/>
    </row>
    <row r="3815" spans="1:63" x14ac:dyDescent="0.25">
      <c r="A3815" s="92"/>
      <c r="B3815" s="93"/>
      <c r="C3815" s="93"/>
      <c r="D3815" s="92"/>
      <c r="E3815" s="92"/>
      <c r="F3815" s="92"/>
      <c r="G3815" s="92"/>
      <c r="H3815" s="92"/>
      <c r="I3815" s="92"/>
      <c r="J3815" s="92"/>
      <c r="K3815" s="92"/>
      <c r="L3815" s="92"/>
      <c r="M3815" s="92"/>
      <c r="N3815" s="94"/>
      <c r="AG3815" s="107"/>
      <c r="AH3815" s="107"/>
      <c r="AI3815" s="107"/>
      <c r="AJ3815" s="107"/>
      <c r="AK3815" s="107"/>
      <c r="AL3815" s="107"/>
      <c r="AM3815" s="107"/>
      <c r="AN3815" s="107"/>
      <c r="AO3815" s="107"/>
      <c r="AP3815" s="107"/>
      <c r="AQ3815" s="107"/>
      <c r="AR3815" s="107"/>
      <c r="AS3815" s="107"/>
      <c r="AT3815" s="107"/>
      <c r="AZ3815" s="117"/>
      <c r="BK3815" s="39"/>
    </row>
    <row r="3816" spans="1:63" x14ac:dyDescent="0.25">
      <c r="A3816" s="92"/>
      <c r="B3816" s="93"/>
      <c r="C3816" s="93"/>
      <c r="D3816" s="92"/>
      <c r="E3816" s="92"/>
      <c r="F3816" s="92"/>
      <c r="G3816" s="92"/>
      <c r="H3816" s="92"/>
      <c r="I3816" s="92"/>
      <c r="J3816" s="92"/>
      <c r="K3816" s="92"/>
      <c r="L3816" s="92"/>
      <c r="M3816" s="92"/>
      <c r="N3816" s="94"/>
      <c r="AG3816" s="107"/>
      <c r="AH3816" s="117"/>
      <c r="AI3816" s="117"/>
      <c r="AJ3816" s="107"/>
      <c r="AK3816" s="107"/>
      <c r="AL3816" s="107"/>
      <c r="AM3816" s="107"/>
      <c r="AN3816" s="107"/>
      <c r="AO3816" s="107"/>
      <c r="AP3816" s="107"/>
      <c r="AQ3816" s="107"/>
      <c r="AR3816" s="107"/>
      <c r="AS3816" s="107"/>
      <c r="AT3816" s="39"/>
      <c r="AZ3816" s="117"/>
      <c r="BK3816" s="39"/>
    </row>
    <row r="3817" spans="1:63" x14ac:dyDescent="0.25">
      <c r="A3817" s="92"/>
      <c r="B3817" s="93"/>
      <c r="C3817" s="93"/>
      <c r="D3817" s="92"/>
      <c r="E3817" s="92"/>
      <c r="F3817" s="92"/>
      <c r="G3817" s="92"/>
      <c r="H3817" s="92"/>
      <c r="I3817" s="92"/>
      <c r="J3817" s="92"/>
      <c r="K3817" s="92"/>
      <c r="L3817" s="92"/>
      <c r="M3817" s="92"/>
      <c r="N3817" s="94"/>
      <c r="AG3817" s="107"/>
      <c r="AH3817" s="117"/>
      <c r="AI3817" s="117"/>
      <c r="AJ3817" s="117"/>
      <c r="AK3817" s="107"/>
      <c r="AL3817" s="107"/>
      <c r="AM3817" s="107"/>
      <c r="AN3817" s="107"/>
      <c r="AO3817" s="107"/>
      <c r="AP3817" s="107"/>
      <c r="AQ3817" s="107"/>
      <c r="AR3817" s="107"/>
      <c r="AS3817" s="107"/>
      <c r="AT3817" s="39"/>
    </row>
    <row r="3818" spans="1:63" x14ac:dyDescent="0.25">
      <c r="A3818" s="92"/>
      <c r="B3818" s="93"/>
      <c r="C3818" s="93"/>
      <c r="D3818" s="93"/>
      <c r="E3818" s="92"/>
      <c r="F3818" s="92"/>
      <c r="G3818" s="92"/>
      <c r="H3818" s="92"/>
      <c r="I3818" s="92"/>
      <c r="J3818" s="92"/>
      <c r="K3818" s="92"/>
      <c r="L3818" s="92"/>
      <c r="M3818" s="92"/>
      <c r="N3818" s="94"/>
      <c r="AG3818" s="107"/>
      <c r="AH3818" s="107"/>
      <c r="AI3818" s="107"/>
      <c r="AJ3818" s="107"/>
      <c r="AK3818" s="107"/>
      <c r="AL3818" s="107"/>
      <c r="AM3818" s="107"/>
      <c r="AN3818" s="107"/>
      <c r="AO3818" s="107"/>
      <c r="AP3818" s="107"/>
      <c r="AQ3818" s="107"/>
      <c r="AR3818" s="107"/>
      <c r="AS3818" s="107"/>
      <c r="AT3818" s="107"/>
    </row>
    <row r="3819" spans="1:63" x14ac:dyDescent="0.25">
      <c r="A3819" s="92"/>
      <c r="B3819" s="92"/>
      <c r="C3819" s="92"/>
      <c r="D3819" s="93"/>
      <c r="E3819" s="92"/>
      <c r="F3819" s="92"/>
      <c r="G3819" s="92"/>
      <c r="H3819" s="92"/>
      <c r="I3819" s="92"/>
      <c r="J3819" s="92"/>
      <c r="K3819" s="92"/>
      <c r="L3819" s="92"/>
      <c r="M3819" s="92"/>
      <c r="N3819" s="92"/>
      <c r="AG3819" s="107"/>
      <c r="AH3819" s="107"/>
      <c r="AI3819" s="107"/>
      <c r="AJ3819" s="107"/>
      <c r="AK3819" s="107"/>
      <c r="AL3819" s="107"/>
      <c r="AM3819" s="107"/>
      <c r="AN3819" s="107"/>
      <c r="AO3819" s="107"/>
      <c r="AP3819" s="107"/>
      <c r="AQ3819" s="107"/>
      <c r="AR3819" s="107"/>
      <c r="AS3819" s="107"/>
      <c r="AT3819" s="107"/>
    </row>
    <row r="3820" spans="1:63" x14ac:dyDescent="0.25">
      <c r="A3820" s="92"/>
      <c r="B3820" s="92"/>
      <c r="C3820" s="92"/>
      <c r="D3820" s="92"/>
      <c r="E3820" s="92"/>
      <c r="F3820" s="92"/>
      <c r="G3820" s="92"/>
      <c r="H3820" s="92"/>
      <c r="I3820" s="92"/>
      <c r="J3820" s="92"/>
      <c r="K3820" s="92"/>
      <c r="L3820" s="92"/>
      <c r="M3820" s="92"/>
      <c r="N3820" s="92"/>
      <c r="AG3820" s="107"/>
      <c r="AH3820" s="117"/>
      <c r="AI3820" s="117"/>
      <c r="AJ3820" s="107"/>
      <c r="AK3820" s="107"/>
      <c r="AL3820" s="107"/>
      <c r="AM3820" s="107"/>
      <c r="AN3820" s="107"/>
      <c r="AO3820" s="107"/>
      <c r="AP3820" s="107"/>
      <c r="AQ3820" s="107"/>
      <c r="AR3820" s="107"/>
      <c r="AS3820" s="107"/>
      <c r="AT3820" s="39"/>
    </row>
    <row r="3821" spans="1:63" x14ac:dyDescent="0.25">
      <c r="A3821" s="92"/>
      <c r="B3821" s="92"/>
      <c r="C3821" s="92"/>
      <c r="D3821" s="92"/>
      <c r="E3821" s="92"/>
      <c r="F3821" s="92"/>
      <c r="G3821" s="92"/>
      <c r="H3821" s="92"/>
      <c r="I3821" s="92"/>
      <c r="J3821" s="92"/>
      <c r="K3821" s="92"/>
      <c r="L3821" s="92"/>
      <c r="M3821" s="92"/>
      <c r="N3821" s="92"/>
      <c r="AG3821" s="107"/>
      <c r="AH3821" s="117"/>
      <c r="AI3821" s="117"/>
      <c r="AJ3821" s="107"/>
      <c r="AK3821" s="107"/>
      <c r="AL3821" s="107"/>
      <c r="AM3821" s="107"/>
      <c r="AN3821" s="107"/>
      <c r="AO3821" s="107"/>
      <c r="AP3821" s="107"/>
      <c r="AQ3821" s="107"/>
      <c r="AR3821" s="107"/>
      <c r="AS3821" s="107"/>
      <c r="AT3821" s="39"/>
    </row>
    <row r="3822" spans="1:63" x14ac:dyDescent="0.25">
      <c r="A3822" s="92"/>
      <c r="B3822" s="92"/>
      <c r="C3822" s="92"/>
      <c r="D3822" s="92"/>
      <c r="E3822" s="92"/>
      <c r="F3822" s="92"/>
      <c r="G3822" s="92"/>
      <c r="H3822" s="92"/>
      <c r="I3822" s="92"/>
      <c r="J3822" s="92"/>
      <c r="K3822" s="92"/>
      <c r="L3822" s="92"/>
      <c r="M3822" s="92"/>
      <c r="N3822" s="92"/>
      <c r="AG3822" s="107"/>
      <c r="AH3822" s="107"/>
      <c r="AI3822" s="107"/>
      <c r="AJ3822" s="107"/>
      <c r="AK3822" s="107"/>
      <c r="AL3822" s="107"/>
      <c r="AM3822" s="107"/>
      <c r="AN3822" s="107"/>
      <c r="AO3822" s="107"/>
      <c r="AP3822" s="107"/>
      <c r="AQ3822" s="107"/>
      <c r="AR3822" s="107"/>
      <c r="AS3822" s="107"/>
      <c r="AT3822" s="107"/>
    </row>
    <row r="3823" spans="1:63" x14ac:dyDescent="0.25">
      <c r="A3823" s="92"/>
      <c r="B3823" s="92"/>
      <c r="C3823" s="92"/>
      <c r="D3823" s="92"/>
      <c r="E3823" s="92"/>
      <c r="F3823" s="92"/>
      <c r="G3823" s="92"/>
      <c r="H3823" s="92"/>
      <c r="I3823" s="92"/>
      <c r="J3823" s="92"/>
      <c r="K3823" s="92"/>
      <c r="L3823" s="92"/>
      <c r="M3823" s="92"/>
      <c r="N3823" s="92"/>
      <c r="AG3823" s="107"/>
      <c r="AH3823" s="117"/>
      <c r="AI3823" s="117"/>
      <c r="AJ3823" s="107"/>
      <c r="AK3823" s="107"/>
      <c r="AL3823" s="107"/>
      <c r="AM3823" s="107"/>
      <c r="AN3823" s="107"/>
      <c r="AO3823" s="107"/>
      <c r="AP3823" s="107"/>
      <c r="AQ3823" s="107"/>
      <c r="AR3823" s="107"/>
      <c r="AS3823" s="107"/>
      <c r="AT3823" s="39"/>
    </row>
    <row r="3824" spans="1:63" x14ac:dyDescent="0.25">
      <c r="A3824" s="92"/>
      <c r="B3824" s="92"/>
      <c r="C3824" s="92"/>
      <c r="D3824" s="92"/>
      <c r="E3824" s="92"/>
      <c r="F3824" s="92"/>
      <c r="G3824" s="92"/>
      <c r="H3824" s="92"/>
      <c r="I3824" s="92"/>
      <c r="J3824" s="92"/>
      <c r="K3824" s="92"/>
      <c r="L3824" s="92"/>
      <c r="M3824" s="92"/>
      <c r="N3824" s="92"/>
      <c r="AG3824" s="107"/>
      <c r="AH3824" s="117"/>
      <c r="AI3824" s="117"/>
      <c r="AJ3824" s="107"/>
      <c r="AK3824" s="107"/>
      <c r="AL3824" s="107"/>
      <c r="AM3824" s="107"/>
      <c r="AN3824" s="107"/>
      <c r="AO3824" s="107"/>
      <c r="AP3824" s="107"/>
      <c r="AQ3824" s="107"/>
      <c r="AR3824" s="107"/>
      <c r="AS3824" s="107"/>
      <c r="AT3824" s="39"/>
      <c r="AZ3824" s="117"/>
      <c r="BK3824" s="39"/>
    </row>
    <row r="3825" spans="1:63" x14ac:dyDescent="0.25">
      <c r="A3825" s="92"/>
      <c r="B3825" s="92"/>
      <c r="C3825" s="92"/>
      <c r="D3825" s="92"/>
      <c r="E3825" s="92"/>
      <c r="F3825" s="92"/>
      <c r="G3825" s="92"/>
      <c r="H3825" s="92"/>
      <c r="I3825" s="92"/>
      <c r="J3825" s="92"/>
      <c r="K3825" s="92"/>
      <c r="L3825" s="92"/>
      <c r="M3825" s="92"/>
      <c r="N3825" s="92"/>
      <c r="AG3825" s="107"/>
      <c r="AH3825" s="107"/>
      <c r="AI3825" s="107"/>
      <c r="AJ3825" s="107"/>
      <c r="AK3825" s="107"/>
      <c r="AL3825" s="107"/>
      <c r="AM3825" s="107"/>
      <c r="AN3825" s="107"/>
      <c r="AO3825" s="107"/>
      <c r="AP3825" s="107"/>
      <c r="AQ3825" s="107"/>
      <c r="AR3825" s="107"/>
      <c r="AS3825" s="107"/>
      <c r="AT3825" s="107"/>
      <c r="AZ3825" s="117"/>
      <c r="BK3825" s="39"/>
    </row>
    <row r="3826" spans="1:63" x14ac:dyDescent="0.25">
      <c r="A3826" s="92"/>
      <c r="B3826" s="93"/>
      <c r="C3826" s="93"/>
      <c r="D3826" s="92"/>
      <c r="E3826" s="92"/>
      <c r="F3826" s="92"/>
      <c r="G3826" s="92"/>
      <c r="H3826" s="92"/>
      <c r="I3826" s="92"/>
      <c r="J3826" s="92"/>
      <c r="K3826" s="92"/>
      <c r="L3826" s="92"/>
      <c r="M3826" s="92"/>
      <c r="N3826" s="94"/>
      <c r="AG3826" s="107"/>
      <c r="AH3826" s="107"/>
      <c r="AI3826" s="107"/>
      <c r="AJ3826" s="107"/>
      <c r="AK3826" s="107"/>
      <c r="AL3826" s="107"/>
      <c r="AM3826" s="107"/>
      <c r="AN3826" s="107"/>
      <c r="AO3826" s="107"/>
      <c r="AP3826" s="107"/>
      <c r="AQ3826" s="107"/>
      <c r="AR3826" s="107"/>
      <c r="AS3826" s="107"/>
      <c r="AT3826" s="107"/>
      <c r="AZ3826" s="117"/>
      <c r="BK3826" s="39"/>
    </row>
    <row r="3827" spans="1:63" x14ac:dyDescent="0.25">
      <c r="A3827" s="92"/>
      <c r="B3827" s="93"/>
      <c r="C3827" s="93"/>
      <c r="D3827" s="92"/>
      <c r="E3827" s="92"/>
      <c r="F3827" s="92"/>
      <c r="G3827" s="92"/>
      <c r="H3827" s="92"/>
      <c r="I3827" s="92"/>
      <c r="J3827" s="92"/>
      <c r="K3827" s="92"/>
      <c r="L3827" s="92"/>
      <c r="M3827" s="92"/>
      <c r="N3827" s="94"/>
      <c r="AG3827" s="107"/>
      <c r="AH3827" s="117"/>
      <c r="AI3827" s="117"/>
      <c r="AJ3827" s="107"/>
      <c r="AK3827" s="107"/>
      <c r="AL3827" s="107"/>
      <c r="AM3827" s="107"/>
      <c r="AN3827" s="107"/>
      <c r="AO3827" s="107"/>
      <c r="AP3827" s="107"/>
      <c r="AQ3827" s="107"/>
      <c r="AR3827" s="107"/>
      <c r="AS3827" s="107"/>
      <c r="AT3827" s="39"/>
      <c r="AZ3827" s="117"/>
      <c r="BK3827" s="39"/>
    </row>
    <row r="3828" spans="1:63" x14ac:dyDescent="0.25">
      <c r="A3828" s="92"/>
      <c r="B3828" s="93"/>
      <c r="C3828" s="93"/>
      <c r="D3828" s="93"/>
      <c r="E3828" s="92"/>
      <c r="F3828" s="92"/>
      <c r="G3828" s="92"/>
      <c r="H3828" s="92"/>
      <c r="I3828" s="92"/>
      <c r="J3828" s="92"/>
      <c r="K3828" s="92"/>
      <c r="L3828" s="92"/>
      <c r="M3828" s="92"/>
      <c r="N3828" s="94"/>
      <c r="AG3828" s="107"/>
      <c r="AH3828" s="117"/>
      <c r="AI3828" s="117"/>
      <c r="AJ3828" s="107"/>
      <c r="AK3828" s="107"/>
      <c r="AL3828" s="107"/>
      <c r="AM3828" s="107"/>
      <c r="AN3828" s="107"/>
      <c r="AO3828" s="107"/>
      <c r="AP3828" s="107"/>
      <c r="AQ3828" s="107"/>
      <c r="AR3828" s="107"/>
      <c r="AS3828" s="107"/>
      <c r="AT3828" s="39"/>
      <c r="AZ3828" s="117"/>
      <c r="BK3828" s="39"/>
    </row>
    <row r="3829" spans="1:63" x14ac:dyDescent="0.25">
      <c r="A3829" s="92"/>
      <c r="B3829" s="92"/>
      <c r="C3829" s="92"/>
      <c r="D3829" s="93"/>
      <c r="E3829" s="92"/>
      <c r="F3829" s="92"/>
      <c r="G3829" s="92"/>
      <c r="H3829" s="92"/>
      <c r="I3829" s="92"/>
      <c r="J3829" s="92"/>
      <c r="K3829" s="92"/>
      <c r="L3829" s="92"/>
      <c r="M3829" s="92"/>
      <c r="N3829" s="92"/>
      <c r="AG3829" s="107"/>
      <c r="AH3829" s="117"/>
      <c r="AI3829" s="117"/>
      <c r="AJ3829" s="117"/>
      <c r="AK3829" s="107"/>
      <c r="AL3829" s="107"/>
      <c r="AM3829" s="107"/>
      <c r="AN3829" s="107"/>
      <c r="AO3829" s="107"/>
      <c r="AP3829" s="107"/>
      <c r="AQ3829" s="107"/>
      <c r="AR3829" s="107"/>
      <c r="AS3829" s="107"/>
      <c r="AT3829" s="39"/>
      <c r="AZ3829" s="117"/>
      <c r="BK3829" s="39"/>
    </row>
    <row r="3830" spans="1:63" x14ac:dyDescent="0.25">
      <c r="A3830" s="92"/>
      <c r="B3830" s="93"/>
      <c r="C3830" s="93"/>
      <c r="D3830" s="92"/>
      <c r="E3830" s="92"/>
      <c r="F3830" s="92"/>
      <c r="G3830" s="92"/>
      <c r="H3830" s="92"/>
      <c r="I3830" s="92"/>
      <c r="J3830" s="92"/>
      <c r="K3830" s="92"/>
      <c r="L3830" s="92"/>
      <c r="M3830" s="92"/>
      <c r="N3830" s="94"/>
      <c r="AG3830" s="107"/>
      <c r="AH3830" s="107"/>
      <c r="AI3830" s="107"/>
      <c r="AJ3830" s="107"/>
      <c r="AK3830" s="107"/>
      <c r="AL3830" s="107"/>
      <c r="AM3830" s="107"/>
      <c r="AN3830" s="107"/>
      <c r="AO3830" s="107"/>
      <c r="AP3830" s="107"/>
      <c r="AQ3830" s="107"/>
      <c r="AR3830" s="107"/>
      <c r="AS3830" s="107"/>
      <c r="AT3830" s="107"/>
    </row>
    <row r="3831" spans="1:63" x14ac:dyDescent="0.25">
      <c r="A3831" s="92"/>
      <c r="B3831" s="93"/>
      <c r="C3831" s="93"/>
      <c r="D3831" s="92"/>
      <c r="E3831" s="92"/>
      <c r="F3831" s="92"/>
      <c r="G3831" s="92"/>
      <c r="H3831" s="92"/>
      <c r="I3831" s="92"/>
      <c r="J3831" s="92"/>
      <c r="K3831" s="92"/>
      <c r="L3831" s="92"/>
      <c r="M3831" s="92"/>
      <c r="N3831" s="94"/>
      <c r="AG3831" s="107"/>
      <c r="AH3831" s="107"/>
      <c r="AI3831" s="107"/>
      <c r="AJ3831" s="107"/>
      <c r="AK3831" s="107"/>
      <c r="AL3831" s="107"/>
      <c r="AM3831" s="107"/>
      <c r="AN3831" s="107"/>
      <c r="AO3831" s="107"/>
      <c r="AP3831" s="107"/>
      <c r="AQ3831" s="107"/>
      <c r="AR3831" s="107"/>
      <c r="AS3831" s="107"/>
      <c r="AT3831" s="107"/>
    </row>
    <row r="3832" spans="1:63" x14ac:dyDescent="0.25">
      <c r="A3832" s="92"/>
      <c r="B3832" s="93"/>
      <c r="C3832" s="93"/>
      <c r="D3832" s="92"/>
      <c r="E3832" s="92"/>
      <c r="F3832" s="92"/>
      <c r="G3832" s="92"/>
      <c r="H3832" s="92"/>
      <c r="I3832" s="92"/>
      <c r="J3832" s="92"/>
      <c r="K3832" s="92"/>
      <c r="L3832" s="92"/>
      <c r="M3832" s="92"/>
      <c r="N3832" s="94"/>
      <c r="AG3832" s="107"/>
      <c r="AH3832" s="107"/>
      <c r="AI3832" s="107"/>
      <c r="AJ3832" s="107"/>
      <c r="AK3832" s="107"/>
      <c r="AL3832" s="107"/>
      <c r="AM3832" s="107"/>
      <c r="AN3832" s="107"/>
      <c r="AO3832" s="107"/>
      <c r="AP3832" s="107"/>
      <c r="AQ3832" s="107"/>
      <c r="AR3832" s="107"/>
      <c r="AS3832" s="107"/>
      <c r="AT3832" s="107"/>
    </row>
    <row r="3833" spans="1:63" x14ac:dyDescent="0.25">
      <c r="A3833" s="92"/>
      <c r="B3833" s="92"/>
      <c r="C3833" s="92"/>
      <c r="D3833" s="92"/>
      <c r="E3833" s="92"/>
      <c r="F3833" s="92"/>
      <c r="G3833" s="92"/>
      <c r="H3833" s="92"/>
      <c r="I3833" s="92"/>
      <c r="J3833" s="92"/>
      <c r="K3833" s="92"/>
      <c r="L3833" s="92"/>
      <c r="M3833" s="92"/>
      <c r="N3833" s="92"/>
      <c r="AG3833" s="107"/>
      <c r="AH3833" s="117"/>
      <c r="AI3833" s="117"/>
      <c r="AJ3833" s="117"/>
      <c r="AK3833" s="107"/>
      <c r="AL3833" s="107"/>
      <c r="AM3833" s="107"/>
      <c r="AN3833" s="107"/>
      <c r="AO3833" s="107"/>
      <c r="AP3833" s="107"/>
      <c r="AQ3833" s="107"/>
      <c r="AR3833" s="107"/>
      <c r="AS3833" s="107"/>
      <c r="AT3833" s="39"/>
    </row>
    <row r="3834" spans="1:63" x14ac:dyDescent="0.25">
      <c r="A3834" s="92"/>
      <c r="B3834" s="92"/>
      <c r="C3834" s="92"/>
      <c r="D3834" s="92"/>
      <c r="E3834" s="92"/>
      <c r="F3834" s="92"/>
      <c r="G3834" s="92"/>
      <c r="H3834" s="92"/>
      <c r="I3834" s="92"/>
      <c r="J3834" s="92"/>
      <c r="K3834" s="92"/>
      <c r="L3834" s="92"/>
      <c r="M3834" s="92"/>
      <c r="N3834" s="92"/>
      <c r="AG3834" s="107"/>
      <c r="AH3834" s="107"/>
      <c r="AI3834" s="107"/>
      <c r="AJ3834" s="107"/>
      <c r="AK3834" s="107"/>
      <c r="AL3834" s="107"/>
      <c r="AM3834" s="107"/>
      <c r="AN3834" s="107"/>
      <c r="AO3834" s="107"/>
      <c r="AP3834" s="107"/>
      <c r="AQ3834" s="107"/>
      <c r="AR3834" s="107"/>
      <c r="AS3834" s="107"/>
      <c r="AT3834" s="107"/>
      <c r="AZ3834" s="117"/>
      <c r="BK3834" s="39"/>
    </row>
    <row r="3835" spans="1:63" x14ac:dyDescent="0.25">
      <c r="A3835" s="92"/>
      <c r="B3835" s="92"/>
      <c r="C3835" s="92"/>
      <c r="D3835" s="92"/>
      <c r="E3835" s="92"/>
      <c r="F3835" s="92"/>
      <c r="G3835" s="92"/>
      <c r="H3835" s="92"/>
      <c r="I3835" s="92"/>
      <c r="J3835" s="92"/>
      <c r="K3835" s="92"/>
      <c r="L3835" s="92"/>
      <c r="M3835" s="92"/>
      <c r="N3835" s="92"/>
      <c r="AG3835" s="107"/>
      <c r="AH3835" s="117"/>
      <c r="AI3835" s="117"/>
      <c r="AJ3835" s="107"/>
      <c r="AK3835" s="107"/>
      <c r="AL3835" s="107"/>
      <c r="AM3835" s="107"/>
      <c r="AN3835" s="107"/>
      <c r="AO3835" s="107"/>
      <c r="AP3835" s="107"/>
      <c r="AQ3835" s="107"/>
      <c r="AR3835" s="107"/>
      <c r="AS3835" s="107"/>
      <c r="AT3835" s="39"/>
      <c r="AZ3835" s="117"/>
      <c r="BK3835" s="39"/>
    </row>
    <row r="3836" spans="1:63" x14ac:dyDescent="0.25">
      <c r="A3836" s="92"/>
      <c r="B3836" s="92"/>
      <c r="C3836" s="92"/>
      <c r="D3836" s="92"/>
      <c r="E3836" s="92"/>
      <c r="F3836" s="92"/>
      <c r="G3836" s="92"/>
      <c r="H3836" s="92"/>
      <c r="I3836" s="92"/>
      <c r="J3836" s="92"/>
      <c r="K3836" s="92"/>
      <c r="L3836" s="92"/>
      <c r="M3836" s="92"/>
      <c r="N3836" s="92"/>
      <c r="AG3836" s="107"/>
      <c r="AH3836" s="117"/>
      <c r="AI3836" s="117"/>
      <c r="AJ3836" s="107"/>
      <c r="AK3836" s="107"/>
      <c r="AL3836" s="107"/>
      <c r="AM3836" s="107"/>
      <c r="AN3836" s="107"/>
      <c r="AO3836" s="107"/>
      <c r="AP3836" s="107"/>
      <c r="AQ3836" s="107"/>
      <c r="AR3836" s="107"/>
      <c r="AS3836" s="107"/>
      <c r="AT3836" s="39"/>
      <c r="AZ3836" s="117"/>
      <c r="BK3836" s="39"/>
    </row>
    <row r="3837" spans="1:63" x14ac:dyDescent="0.25">
      <c r="A3837" s="92"/>
      <c r="B3837" s="92"/>
      <c r="C3837" s="92"/>
      <c r="D3837" s="92"/>
      <c r="E3837" s="92"/>
      <c r="F3837" s="92"/>
      <c r="G3837" s="92"/>
      <c r="H3837" s="92"/>
      <c r="I3837" s="92"/>
      <c r="J3837" s="92"/>
      <c r="K3837" s="92"/>
      <c r="L3837" s="92"/>
      <c r="M3837" s="92"/>
      <c r="N3837" s="92"/>
      <c r="AG3837" s="107"/>
      <c r="AH3837" s="107"/>
      <c r="AI3837" s="107"/>
      <c r="AJ3837" s="107"/>
      <c r="AK3837" s="107"/>
      <c r="AL3837" s="107"/>
      <c r="AM3837" s="107"/>
      <c r="AN3837" s="107"/>
      <c r="AO3837" s="107"/>
      <c r="AP3837" s="107"/>
      <c r="AQ3837" s="107"/>
      <c r="AR3837" s="107"/>
      <c r="AS3837" s="107"/>
      <c r="AT3837" s="107"/>
      <c r="AZ3837" s="117"/>
      <c r="BK3837" s="39"/>
    </row>
    <row r="3838" spans="1:63" x14ac:dyDescent="0.25">
      <c r="A3838" s="92"/>
      <c r="B3838" s="92"/>
      <c r="C3838" s="92"/>
      <c r="D3838" s="92"/>
      <c r="E3838" s="92"/>
      <c r="F3838" s="92"/>
      <c r="G3838" s="92"/>
      <c r="H3838" s="92"/>
      <c r="I3838" s="92"/>
      <c r="J3838" s="92"/>
      <c r="K3838" s="92"/>
      <c r="L3838" s="92"/>
      <c r="M3838" s="92"/>
      <c r="N3838" s="92"/>
      <c r="AG3838" s="107"/>
      <c r="AH3838" s="107"/>
      <c r="AI3838" s="107"/>
      <c r="AJ3838" s="107"/>
      <c r="AK3838" s="107"/>
      <c r="AL3838" s="107"/>
      <c r="AM3838" s="107"/>
      <c r="AN3838" s="107"/>
      <c r="AO3838" s="107"/>
      <c r="AP3838" s="107"/>
      <c r="AQ3838" s="107"/>
      <c r="AR3838" s="107"/>
      <c r="AS3838" s="107"/>
      <c r="AT3838" s="107"/>
      <c r="AZ3838" s="117"/>
      <c r="BK3838" s="39"/>
    </row>
    <row r="3839" spans="1:63" x14ac:dyDescent="0.25">
      <c r="A3839" s="92"/>
      <c r="B3839" s="92"/>
      <c r="C3839" s="92"/>
      <c r="D3839" s="92"/>
      <c r="E3839" s="92"/>
      <c r="F3839" s="92"/>
      <c r="G3839" s="92"/>
      <c r="H3839" s="92"/>
      <c r="I3839" s="92"/>
      <c r="J3839" s="92"/>
      <c r="K3839" s="92"/>
      <c r="L3839" s="92"/>
      <c r="M3839" s="92"/>
      <c r="N3839" s="92"/>
      <c r="AG3839" s="107"/>
      <c r="AH3839" s="107"/>
      <c r="AI3839" s="107"/>
      <c r="AJ3839" s="107"/>
      <c r="AK3839" s="107"/>
      <c r="AL3839" s="107"/>
      <c r="AM3839" s="107"/>
      <c r="AN3839" s="107"/>
      <c r="AO3839" s="107"/>
      <c r="AP3839" s="107"/>
      <c r="AQ3839" s="107"/>
      <c r="AR3839" s="107"/>
      <c r="AS3839" s="107"/>
      <c r="AT3839" s="107"/>
      <c r="AZ3839" s="117"/>
      <c r="BK3839" s="39"/>
    </row>
    <row r="3840" spans="1:63" x14ac:dyDescent="0.25">
      <c r="A3840" s="92"/>
      <c r="B3840" s="93"/>
      <c r="C3840" s="93"/>
      <c r="D3840" s="92"/>
      <c r="E3840" s="92"/>
      <c r="F3840" s="92"/>
      <c r="G3840" s="92"/>
      <c r="H3840" s="92"/>
      <c r="I3840" s="92"/>
      <c r="J3840" s="92"/>
      <c r="K3840" s="92"/>
      <c r="L3840" s="92"/>
      <c r="M3840" s="92"/>
      <c r="N3840" s="94"/>
      <c r="AG3840" s="107"/>
      <c r="AH3840" s="117"/>
      <c r="AI3840" s="117"/>
      <c r="AJ3840" s="117"/>
      <c r="AK3840" s="107"/>
      <c r="AL3840" s="107"/>
      <c r="AM3840" s="107"/>
      <c r="AN3840" s="107"/>
      <c r="AO3840" s="107"/>
      <c r="AP3840" s="107"/>
      <c r="AQ3840" s="107"/>
      <c r="AR3840" s="107"/>
      <c r="AS3840" s="107"/>
      <c r="AT3840" s="39"/>
      <c r="AZ3840" s="117"/>
      <c r="BK3840" s="39"/>
    </row>
    <row r="3841" spans="1:63" x14ac:dyDescent="0.25">
      <c r="A3841" s="92"/>
      <c r="B3841" s="93"/>
      <c r="C3841" s="93"/>
      <c r="D3841" s="92"/>
      <c r="E3841" s="92"/>
      <c r="F3841" s="92"/>
      <c r="G3841" s="92"/>
      <c r="H3841" s="92"/>
      <c r="I3841" s="92"/>
      <c r="J3841" s="92"/>
      <c r="K3841" s="92"/>
      <c r="L3841" s="92"/>
      <c r="M3841" s="92"/>
      <c r="N3841" s="94"/>
      <c r="AG3841" s="107"/>
      <c r="AH3841" s="107"/>
      <c r="AI3841" s="107"/>
      <c r="AJ3841" s="107"/>
      <c r="AK3841" s="107"/>
      <c r="AL3841" s="107"/>
      <c r="AM3841" s="107"/>
      <c r="AN3841" s="107"/>
      <c r="AO3841" s="107"/>
      <c r="AP3841" s="107"/>
      <c r="AQ3841" s="107"/>
      <c r="AR3841" s="107"/>
      <c r="AS3841" s="107"/>
      <c r="AT3841" s="107"/>
      <c r="AZ3841" s="117"/>
      <c r="BK3841" s="39"/>
    </row>
    <row r="3842" spans="1:63" x14ac:dyDescent="0.25">
      <c r="A3842" s="92"/>
      <c r="B3842" s="93"/>
      <c r="C3842" s="93"/>
      <c r="D3842" s="92"/>
      <c r="E3842" s="92"/>
      <c r="F3842" s="92"/>
      <c r="G3842" s="92"/>
      <c r="H3842" s="92"/>
      <c r="I3842" s="92"/>
      <c r="J3842" s="92"/>
      <c r="K3842" s="92"/>
      <c r="L3842" s="92"/>
      <c r="M3842" s="92"/>
      <c r="N3842" s="94"/>
      <c r="AG3842" s="107"/>
      <c r="AH3842" s="107"/>
      <c r="AI3842" s="107"/>
      <c r="AJ3842" s="107"/>
      <c r="AK3842" s="107"/>
      <c r="AL3842" s="107"/>
      <c r="AM3842" s="107"/>
      <c r="AN3842" s="107"/>
      <c r="AO3842" s="107"/>
      <c r="AP3842" s="107"/>
      <c r="AQ3842" s="107"/>
      <c r="AR3842" s="107"/>
      <c r="AS3842" s="107"/>
      <c r="AT3842" s="107"/>
    </row>
    <row r="3843" spans="1:63" x14ac:dyDescent="0.25">
      <c r="A3843" s="92"/>
      <c r="B3843" s="93"/>
      <c r="C3843" s="93"/>
      <c r="D3843" s="92"/>
      <c r="E3843" s="92"/>
      <c r="F3843" s="92"/>
      <c r="G3843" s="92"/>
      <c r="H3843" s="92"/>
      <c r="I3843" s="92"/>
      <c r="J3843" s="92"/>
      <c r="K3843" s="92"/>
      <c r="L3843" s="92"/>
      <c r="M3843" s="92"/>
      <c r="N3843" s="94"/>
      <c r="AG3843" s="107"/>
      <c r="AH3843" s="107"/>
      <c r="AI3843" s="107"/>
      <c r="AJ3843" s="107"/>
      <c r="AK3843" s="107"/>
      <c r="AL3843" s="107"/>
      <c r="AM3843" s="107"/>
      <c r="AN3843" s="107"/>
      <c r="AO3843" s="107"/>
      <c r="AP3843" s="107"/>
      <c r="AQ3843" s="107"/>
      <c r="AR3843" s="107"/>
      <c r="AS3843" s="107"/>
      <c r="AT3843" s="107"/>
    </row>
    <row r="3844" spans="1:63" x14ac:dyDescent="0.25">
      <c r="A3844" s="92"/>
      <c r="B3844" s="93"/>
      <c r="C3844" s="93"/>
      <c r="D3844" s="92"/>
      <c r="E3844" s="92"/>
      <c r="F3844" s="92"/>
      <c r="G3844" s="92"/>
      <c r="H3844" s="92"/>
      <c r="I3844" s="92"/>
      <c r="J3844" s="92"/>
      <c r="K3844" s="92"/>
      <c r="L3844" s="92"/>
      <c r="M3844" s="92"/>
      <c r="N3844" s="94"/>
      <c r="AG3844" s="107"/>
      <c r="AH3844" s="107"/>
      <c r="AI3844" s="107"/>
      <c r="AJ3844" s="107"/>
      <c r="AK3844" s="107"/>
      <c r="AL3844" s="107"/>
      <c r="AM3844" s="107"/>
      <c r="AN3844" s="107"/>
      <c r="AO3844" s="107"/>
      <c r="AP3844" s="107"/>
      <c r="AQ3844" s="107"/>
      <c r="AR3844" s="107"/>
      <c r="AS3844" s="107"/>
      <c r="AT3844" s="107"/>
    </row>
    <row r="3845" spans="1:63" x14ac:dyDescent="0.25">
      <c r="A3845" s="92"/>
      <c r="B3845" s="93"/>
      <c r="C3845" s="93"/>
      <c r="D3845" s="93"/>
      <c r="E3845" s="92"/>
      <c r="F3845" s="92"/>
      <c r="G3845" s="92"/>
      <c r="H3845" s="92"/>
      <c r="I3845" s="92"/>
      <c r="J3845" s="92"/>
      <c r="K3845" s="92"/>
      <c r="L3845" s="92"/>
      <c r="M3845" s="92"/>
      <c r="N3845" s="94"/>
      <c r="AG3845" s="107"/>
      <c r="AH3845" s="107"/>
      <c r="AI3845" s="107"/>
      <c r="AJ3845" s="107"/>
      <c r="AK3845" s="107"/>
      <c r="AL3845" s="107"/>
      <c r="AM3845" s="107"/>
      <c r="AN3845" s="107"/>
      <c r="AO3845" s="107"/>
      <c r="AP3845" s="107"/>
      <c r="AQ3845" s="107"/>
      <c r="AR3845" s="107"/>
      <c r="AS3845" s="107"/>
      <c r="AT3845" s="107"/>
    </row>
    <row r="3846" spans="1:63" x14ac:dyDescent="0.25">
      <c r="A3846" s="92"/>
      <c r="B3846" s="92"/>
      <c r="C3846" s="92"/>
      <c r="D3846" s="93"/>
      <c r="E3846" s="92"/>
      <c r="F3846" s="92"/>
      <c r="G3846" s="92"/>
      <c r="H3846" s="92"/>
      <c r="I3846" s="92"/>
      <c r="J3846" s="92"/>
      <c r="K3846" s="92"/>
      <c r="L3846" s="92"/>
      <c r="M3846" s="92"/>
      <c r="N3846" s="92"/>
      <c r="AG3846" s="107"/>
      <c r="AH3846" s="107"/>
      <c r="AI3846" s="107"/>
      <c r="AJ3846" s="107"/>
      <c r="AK3846" s="107"/>
      <c r="AL3846" s="107"/>
      <c r="AM3846" s="107"/>
      <c r="AN3846" s="107"/>
      <c r="AO3846" s="107"/>
      <c r="AP3846" s="107"/>
      <c r="AQ3846" s="107"/>
      <c r="AR3846" s="107"/>
      <c r="AS3846" s="107"/>
      <c r="AT3846" s="107"/>
    </row>
    <row r="3847" spans="1:63" x14ac:dyDescent="0.25">
      <c r="A3847" s="92"/>
      <c r="B3847" s="92"/>
      <c r="C3847" s="92"/>
      <c r="D3847" s="92"/>
      <c r="E3847" s="92"/>
      <c r="F3847" s="92"/>
      <c r="G3847" s="92"/>
      <c r="H3847" s="92"/>
      <c r="I3847" s="92"/>
      <c r="J3847" s="92"/>
      <c r="K3847" s="92"/>
      <c r="L3847" s="92"/>
      <c r="M3847" s="92"/>
      <c r="N3847" s="92"/>
      <c r="AG3847" s="107"/>
      <c r="AH3847" s="107"/>
      <c r="AI3847" s="107"/>
      <c r="AJ3847" s="107"/>
      <c r="AK3847" s="107"/>
      <c r="AL3847" s="107"/>
      <c r="AM3847" s="107"/>
      <c r="AN3847" s="107"/>
      <c r="AO3847" s="107"/>
      <c r="AP3847" s="107"/>
      <c r="AQ3847" s="107"/>
      <c r="AR3847" s="107"/>
      <c r="AS3847" s="107"/>
      <c r="AT3847" s="107"/>
    </row>
    <row r="3848" spans="1:63" x14ac:dyDescent="0.25">
      <c r="A3848" s="92"/>
      <c r="B3848" s="92"/>
      <c r="C3848" s="92"/>
      <c r="D3848" s="92"/>
      <c r="E3848" s="92"/>
      <c r="F3848" s="92"/>
      <c r="G3848" s="92"/>
      <c r="H3848" s="92"/>
      <c r="I3848" s="92"/>
      <c r="J3848" s="92"/>
      <c r="K3848" s="92"/>
      <c r="L3848" s="92"/>
      <c r="M3848" s="92"/>
      <c r="N3848" s="92"/>
      <c r="AG3848" s="107"/>
      <c r="AH3848" s="107"/>
      <c r="AI3848" s="107"/>
      <c r="AJ3848" s="107"/>
      <c r="AK3848" s="107"/>
      <c r="AL3848" s="107"/>
      <c r="AM3848" s="107"/>
      <c r="AN3848" s="107"/>
      <c r="AO3848" s="107"/>
      <c r="AP3848" s="107"/>
      <c r="AQ3848" s="107"/>
      <c r="AR3848" s="107"/>
      <c r="AS3848" s="107"/>
      <c r="AT3848" s="107"/>
    </row>
    <row r="3849" spans="1:63" x14ac:dyDescent="0.25">
      <c r="A3849" s="92"/>
      <c r="B3849" s="92"/>
      <c r="C3849" s="92"/>
      <c r="D3849" s="92"/>
      <c r="E3849" s="92"/>
      <c r="F3849" s="92"/>
      <c r="G3849" s="92"/>
      <c r="H3849" s="92"/>
      <c r="I3849" s="92"/>
      <c r="J3849" s="92"/>
      <c r="K3849" s="92"/>
      <c r="L3849" s="92"/>
      <c r="M3849" s="92"/>
      <c r="N3849" s="92"/>
      <c r="AG3849" s="107"/>
      <c r="AH3849" s="107"/>
      <c r="AI3849" s="107"/>
      <c r="AJ3849" s="107"/>
      <c r="AK3849" s="107"/>
      <c r="AL3849" s="107"/>
      <c r="AM3849" s="107"/>
      <c r="AN3849" s="107"/>
      <c r="AO3849" s="107"/>
      <c r="AP3849" s="107"/>
      <c r="AQ3849" s="107"/>
      <c r="AR3849" s="107"/>
      <c r="AS3849" s="107"/>
      <c r="AT3849" s="107"/>
      <c r="AZ3849" s="117"/>
      <c r="BK3849" s="39"/>
    </row>
    <row r="3850" spans="1:63" x14ac:dyDescent="0.25">
      <c r="A3850" s="92"/>
      <c r="B3850" s="93"/>
      <c r="C3850" s="93"/>
      <c r="D3850" s="92"/>
      <c r="E3850" s="92"/>
      <c r="F3850" s="92"/>
      <c r="G3850" s="92"/>
      <c r="H3850" s="92"/>
      <c r="I3850" s="92"/>
      <c r="J3850" s="92"/>
      <c r="K3850" s="92"/>
      <c r="L3850" s="92"/>
      <c r="M3850" s="92"/>
      <c r="N3850" s="94"/>
      <c r="AG3850" s="107"/>
      <c r="AH3850" s="117"/>
      <c r="AI3850" s="117"/>
      <c r="AJ3850" s="117"/>
      <c r="AK3850" s="107"/>
      <c r="AL3850" s="107"/>
      <c r="AM3850" s="107"/>
      <c r="AN3850" s="107"/>
      <c r="AO3850" s="107"/>
      <c r="AP3850" s="107"/>
      <c r="AQ3850" s="107"/>
      <c r="AR3850" s="107"/>
      <c r="AS3850" s="107"/>
      <c r="AT3850" s="39"/>
    </row>
    <row r="3851" spans="1:63" x14ac:dyDescent="0.25">
      <c r="A3851" s="92"/>
      <c r="B3851" s="93"/>
      <c r="C3851" s="93"/>
      <c r="D3851" s="92"/>
      <c r="E3851" s="92"/>
      <c r="F3851" s="92"/>
      <c r="G3851" s="92"/>
      <c r="H3851" s="92"/>
      <c r="I3851" s="92"/>
      <c r="J3851" s="92"/>
      <c r="K3851" s="92"/>
      <c r="L3851" s="92"/>
      <c r="M3851" s="92"/>
      <c r="N3851" s="94"/>
      <c r="AG3851" s="107"/>
      <c r="AH3851" s="107"/>
      <c r="AI3851" s="107"/>
      <c r="AJ3851" s="117"/>
      <c r="AK3851" s="107"/>
      <c r="AL3851" s="107"/>
      <c r="AM3851" s="107"/>
      <c r="AN3851" s="107"/>
      <c r="AO3851" s="107"/>
      <c r="AP3851" s="107"/>
      <c r="AQ3851" s="107"/>
      <c r="AR3851" s="107"/>
      <c r="AS3851" s="107"/>
      <c r="AT3851" s="107"/>
    </row>
    <row r="3852" spans="1:63" x14ac:dyDescent="0.25">
      <c r="A3852" s="92"/>
      <c r="B3852" s="93"/>
      <c r="C3852" s="93"/>
      <c r="D3852" s="92"/>
      <c r="E3852" s="92"/>
      <c r="F3852" s="92"/>
      <c r="G3852" s="92"/>
      <c r="H3852" s="92"/>
      <c r="I3852" s="92"/>
      <c r="J3852" s="92"/>
      <c r="K3852" s="92"/>
      <c r="L3852" s="92"/>
      <c r="M3852" s="92"/>
      <c r="N3852" s="94"/>
      <c r="AG3852" s="107"/>
      <c r="AH3852" s="117"/>
      <c r="AI3852" s="117"/>
      <c r="AJ3852" s="107"/>
      <c r="AK3852" s="107"/>
      <c r="AL3852" s="107"/>
      <c r="AM3852" s="107"/>
      <c r="AN3852" s="107"/>
      <c r="AO3852" s="107"/>
      <c r="AP3852" s="107"/>
      <c r="AQ3852" s="107"/>
      <c r="AR3852" s="107"/>
      <c r="AS3852" s="107"/>
      <c r="AT3852" s="39"/>
    </row>
    <row r="3853" spans="1:63" x14ac:dyDescent="0.25">
      <c r="A3853" s="92"/>
      <c r="B3853" s="93"/>
      <c r="C3853" s="93"/>
      <c r="D3853" s="92"/>
      <c r="E3853" s="92"/>
      <c r="F3853" s="92"/>
      <c r="G3853" s="92"/>
      <c r="H3853" s="92"/>
      <c r="I3853" s="92"/>
      <c r="J3853" s="92"/>
      <c r="K3853" s="92"/>
      <c r="L3853" s="92"/>
      <c r="M3853" s="92"/>
      <c r="N3853" s="94"/>
      <c r="AG3853" s="107"/>
      <c r="AH3853" s="117"/>
      <c r="AI3853" s="117"/>
      <c r="AJ3853" s="117"/>
      <c r="AK3853" s="107"/>
      <c r="AL3853" s="107"/>
      <c r="AM3853" s="107"/>
      <c r="AN3853" s="107"/>
      <c r="AO3853" s="107"/>
      <c r="AP3853" s="107"/>
      <c r="AQ3853" s="107"/>
      <c r="AR3853" s="107"/>
      <c r="AS3853" s="107"/>
      <c r="AT3853" s="39"/>
    </row>
    <row r="3854" spans="1:63" x14ac:dyDescent="0.25">
      <c r="A3854" s="92"/>
      <c r="B3854" s="93"/>
      <c r="C3854" s="93"/>
      <c r="D3854" s="92"/>
      <c r="E3854" s="92"/>
      <c r="F3854" s="92"/>
      <c r="G3854" s="92"/>
      <c r="H3854" s="92"/>
      <c r="I3854" s="92"/>
      <c r="J3854" s="92"/>
      <c r="K3854" s="92"/>
      <c r="L3854" s="92"/>
      <c r="M3854" s="92"/>
      <c r="N3854" s="94"/>
      <c r="AG3854" s="107"/>
      <c r="AH3854" s="107"/>
      <c r="AI3854" s="107"/>
      <c r="AJ3854" s="117"/>
      <c r="AK3854" s="107"/>
      <c r="AL3854" s="107"/>
      <c r="AM3854" s="107"/>
      <c r="AN3854" s="107"/>
      <c r="AO3854" s="107"/>
      <c r="AP3854" s="107"/>
      <c r="AQ3854" s="107"/>
      <c r="AR3854" s="107"/>
      <c r="AS3854" s="107"/>
      <c r="AT3854" s="107"/>
    </row>
    <row r="3855" spans="1:63" x14ac:dyDescent="0.25">
      <c r="A3855" s="92"/>
      <c r="B3855" s="93"/>
      <c r="C3855" s="93"/>
      <c r="D3855" s="92"/>
      <c r="E3855" s="92"/>
      <c r="F3855" s="92"/>
      <c r="G3855" s="92"/>
      <c r="H3855" s="92"/>
      <c r="I3855" s="92"/>
      <c r="J3855" s="92"/>
      <c r="K3855" s="92"/>
      <c r="L3855" s="92"/>
      <c r="M3855" s="92"/>
      <c r="N3855" s="94"/>
      <c r="AG3855" s="107"/>
      <c r="AH3855" s="107"/>
      <c r="AI3855" s="107"/>
      <c r="AJ3855" s="117"/>
      <c r="AK3855" s="107"/>
      <c r="AL3855" s="107"/>
      <c r="AM3855" s="107"/>
      <c r="AN3855" s="107"/>
      <c r="AO3855" s="107"/>
      <c r="AP3855" s="107"/>
      <c r="AQ3855" s="107"/>
      <c r="AR3855" s="107"/>
      <c r="AS3855" s="107"/>
      <c r="AT3855" s="107"/>
    </row>
    <row r="3856" spans="1:63" x14ac:dyDescent="0.25">
      <c r="A3856" s="92"/>
      <c r="B3856" s="93"/>
      <c r="C3856" s="93"/>
      <c r="D3856" s="92"/>
      <c r="E3856" s="92"/>
      <c r="F3856" s="92"/>
      <c r="G3856" s="92"/>
      <c r="H3856" s="92"/>
      <c r="I3856" s="92"/>
      <c r="J3856" s="92"/>
      <c r="K3856" s="92"/>
      <c r="L3856" s="92"/>
      <c r="M3856" s="92"/>
      <c r="N3856" s="94"/>
      <c r="AG3856" s="107"/>
      <c r="AH3856" s="107"/>
      <c r="AI3856" s="107"/>
      <c r="AJ3856" s="117"/>
      <c r="AK3856" s="107"/>
      <c r="AL3856" s="107"/>
      <c r="AM3856" s="107"/>
      <c r="AN3856" s="107"/>
      <c r="AO3856" s="107"/>
      <c r="AP3856" s="107"/>
      <c r="AQ3856" s="107"/>
      <c r="AR3856" s="107"/>
      <c r="AS3856" s="107"/>
      <c r="AT3856" s="107"/>
    </row>
    <row r="3857" spans="1:63" x14ac:dyDescent="0.25">
      <c r="A3857" s="92"/>
      <c r="B3857" s="93"/>
      <c r="C3857" s="93"/>
      <c r="D3857" s="92"/>
      <c r="E3857" s="92"/>
      <c r="F3857" s="92"/>
      <c r="G3857" s="92"/>
      <c r="H3857" s="92"/>
      <c r="I3857" s="92"/>
      <c r="J3857" s="92"/>
      <c r="K3857" s="92"/>
      <c r="L3857" s="92"/>
      <c r="M3857" s="92"/>
      <c r="N3857" s="94"/>
      <c r="AG3857" s="107"/>
      <c r="AH3857" s="107"/>
      <c r="AI3857" s="107"/>
      <c r="AJ3857" s="117"/>
      <c r="AK3857" s="107"/>
      <c r="AL3857" s="107"/>
      <c r="AM3857" s="107"/>
      <c r="AN3857" s="107"/>
      <c r="AO3857" s="107"/>
      <c r="AP3857" s="107"/>
      <c r="AQ3857" s="107"/>
      <c r="AR3857" s="107"/>
      <c r="AS3857" s="107"/>
      <c r="AT3857" s="107"/>
      <c r="AZ3857" s="117"/>
      <c r="BK3857" s="39"/>
    </row>
    <row r="3858" spans="1:63" x14ac:dyDescent="0.25">
      <c r="A3858" s="92"/>
      <c r="B3858" s="92"/>
      <c r="C3858" s="92"/>
      <c r="D3858" s="92"/>
      <c r="E3858" s="92"/>
      <c r="F3858" s="92"/>
      <c r="G3858" s="92"/>
      <c r="H3858" s="92"/>
      <c r="I3858" s="92"/>
      <c r="J3858" s="92"/>
      <c r="K3858" s="92"/>
      <c r="L3858" s="92"/>
      <c r="M3858" s="92"/>
      <c r="N3858" s="92"/>
      <c r="AG3858" s="107"/>
      <c r="AH3858" s="107"/>
      <c r="AI3858" s="107"/>
      <c r="AJ3858" s="117"/>
      <c r="AK3858" s="107"/>
      <c r="AL3858" s="107"/>
      <c r="AM3858" s="107"/>
      <c r="AN3858" s="107"/>
      <c r="AO3858" s="107"/>
      <c r="AP3858" s="107"/>
      <c r="AQ3858" s="107"/>
      <c r="AR3858" s="107"/>
      <c r="AS3858" s="107"/>
      <c r="AT3858" s="107"/>
    </row>
    <row r="3859" spans="1:63" x14ac:dyDescent="0.25">
      <c r="A3859" s="92"/>
      <c r="B3859" s="92"/>
      <c r="C3859" s="92"/>
      <c r="D3859" s="92"/>
      <c r="E3859" s="92"/>
      <c r="F3859" s="92"/>
      <c r="G3859" s="92"/>
      <c r="H3859" s="92"/>
      <c r="I3859" s="92"/>
      <c r="J3859" s="92"/>
      <c r="K3859" s="92"/>
      <c r="L3859" s="92"/>
      <c r="M3859" s="92"/>
      <c r="N3859" s="92"/>
      <c r="AG3859" s="107"/>
      <c r="AH3859" s="107"/>
      <c r="AI3859" s="107"/>
      <c r="AJ3859" s="117"/>
      <c r="AK3859" s="107"/>
      <c r="AL3859" s="107"/>
      <c r="AM3859" s="107"/>
      <c r="AN3859" s="107"/>
      <c r="AO3859" s="107"/>
      <c r="AP3859" s="107"/>
      <c r="AQ3859" s="107"/>
      <c r="AR3859" s="107"/>
      <c r="AS3859" s="107"/>
      <c r="AT3859" s="107"/>
      <c r="AZ3859" s="117"/>
      <c r="BA3859" s="117"/>
      <c r="BK3859" s="39"/>
    </row>
    <row r="3860" spans="1:63" x14ac:dyDescent="0.25">
      <c r="A3860" s="92"/>
      <c r="B3860" s="92"/>
      <c r="C3860" s="92"/>
      <c r="D3860" s="92"/>
      <c r="E3860" s="92"/>
      <c r="F3860" s="92"/>
      <c r="G3860" s="92"/>
      <c r="H3860" s="92"/>
      <c r="I3860" s="92"/>
      <c r="J3860" s="92"/>
      <c r="K3860" s="92"/>
      <c r="L3860" s="92"/>
      <c r="M3860" s="92"/>
      <c r="N3860" s="92"/>
      <c r="AG3860" s="107"/>
      <c r="AH3860" s="107"/>
      <c r="AI3860" s="107"/>
      <c r="AJ3860" s="117"/>
      <c r="AK3860" s="107"/>
      <c r="AL3860" s="107"/>
      <c r="AM3860" s="107"/>
      <c r="AN3860" s="107"/>
      <c r="AO3860" s="107"/>
      <c r="AP3860" s="107"/>
      <c r="AQ3860" s="107"/>
      <c r="AR3860" s="107"/>
      <c r="AS3860" s="107"/>
      <c r="AT3860" s="107"/>
      <c r="BA3860" s="117"/>
    </row>
    <row r="3861" spans="1:63" x14ac:dyDescent="0.25">
      <c r="A3861" s="92"/>
      <c r="B3861" s="92"/>
      <c r="C3861" s="92"/>
      <c r="D3861" s="92"/>
      <c r="E3861" s="92"/>
      <c r="F3861" s="92"/>
      <c r="G3861" s="92"/>
      <c r="H3861" s="92"/>
      <c r="I3861" s="92"/>
      <c r="J3861" s="92"/>
      <c r="K3861" s="92"/>
      <c r="L3861" s="92"/>
      <c r="M3861" s="92"/>
      <c r="N3861" s="92"/>
      <c r="AG3861" s="107"/>
      <c r="AH3861" s="107"/>
      <c r="AI3861" s="107"/>
      <c r="AJ3861" s="117"/>
      <c r="AK3861" s="107"/>
      <c r="AL3861" s="107"/>
      <c r="AM3861" s="107"/>
      <c r="AN3861" s="107"/>
      <c r="AO3861" s="107"/>
      <c r="AP3861" s="107"/>
      <c r="AQ3861" s="107"/>
      <c r="AR3861" s="107"/>
      <c r="AS3861" s="107"/>
      <c r="AT3861" s="107"/>
      <c r="AZ3861" s="117"/>
      <c r="BA3861" s="117"/>
      <c r="BK3861" s="39"/>
    </row>
    <row r="3862" spans="1:63" x14ac:dyDescent="0.25">
      <c r="A3862" s="92"/>
      <c r="B3862" s="92"/>
      <c r="C3862" s="92"/>
      <c r="D3862" s="92"/>
      <c r="E3862" s="92"/>
      <c r="F3862" s="92"/>
      <c r="G3862" s="92"/>
      <c r="H3862" s="92"/>
      <c r="I3862" s="92"/>
      <c r="J3862" s="92"/>
      <c r="K3862" s="92"/>
      <c r="L3862" s="92"/>
      <c r="M3862" s="92"/>
      <c r="N3862" s="92"/>
      <c r="AG3862" s="107"/>
      <c r="AH3862" s="107"/>
      <c r="AI3862" s="107"/>
      <c r="AJ3862" s="117"/>
      <c r="AK3862" s="107"/>
      <c r="AL3862" s="107"/>
      <c r="AM3862" s="107"/>
      <c r="AN3862" s="107"/>
      <c r="AO3862" s="107"/>
      <c r="AP3862" s="107"/>
      <c r="AQ3862" s="107"/>
      <c r="AR3862" s="107"/>
      <c r="AS3862" s="107"/>
      <c r="AT3862" s="107"/>
    </row>
    <row r="3863" spans="1:63" x14ac:dyDescent="0.25">
      <c r="A3863" s="92"/>
      <c r="B3863" s="92"/>
      <c r="C3863" s="92"/>
      <c r="D3863" s="92"/>
      <c r="E3863" s="92"/>
      <c r="F3863" s="92"/>
      <c r="G3863" s="92"/>
      <c r="H3863" s="92"/>
      <c r="I3863" s="92"/>
      <c r="J3863" s="92"/>
      <c r="K3863" s="92"/>
      <c r="L3863" s="92"/>
      <c r="M3863" s="92"/>
      <c r="N3863" s="92"/>
      <c r="AG3863" s="107"/>
      <c r="AH3863" s="107"/>
      <c r="AI3863" s="107"/>
      <c r="AJ3863" s="11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</row>
    <row r="3864" spans="1:63" x14ac:dyDescent="0.25">
      <c r="A3864" s="92"/>
      <c r="B3864" s="92"/>
      <c r="C3864" s="92"/>
      <c r="D3864" s="92"/>
      <c r="E3864" s="92"/>
      <c r="F3864" s="92"/>
      <c r="G3864" s="92"/>
      <c r="H3864" s="92"/>
      <c r="I3864" s="92"/>
      <c r="J3864" s="92"/>
      <c r="K3864" s="92"/>
      <c r="L3864" s="92"/>
      <c r="M3864" s="92"/>
      <c r="N3864" s="92"/>
      <c r="AG3864" s="107"/>
      <c r="AH3864" s="107"/>
      <c r="AI3864" s="107"/>
      <c r="AJ3864" s="117"/>
      <c r="AK3864" s="107"/>
      <c r="AL3864" s="107"/>
      <c r="AM3864" s="107"/>
      <c r="AN3864" s="107"/>
      <c r="AO3864" s="107"/>
      <c r="AP3864" s="107"/>
      <c r="AQ3864" s="107"/>
      <c r="AR3864" s="107"/>
      <c r="AS3864" s="107"/>
      <c r="AT3864" s="107"/>
    </row>
    <row r="3865" spans="1:63" x14ac:dyDescent="0.25">
      <c r="A3865" s="92"/>
      <c r="B3865" s="93"/>
      <c r="C3865" s="93"/>
      <c r="D3865" s="92"/>
      <c r="E3865" s="92"/>
      <c r="F3865" s="92"/>
      <c r="G3865" s="92"/>
      <c r="H3865" s="92"/>
      <c r="I3865" s="92"/>
      <c r="J3865" s="92"/>
      <c r="K3865" s="92"/>
      <c r="L3865" s="92"/>
      <c r="M3865" s="92"/>
      <c r="N3865" s="94"/>
      <c r="AG3865" s="107"/>
      <c r="AH3865" s="107"/>
      <c r="AI3865" s="107"/>
      <c r="AJ3865" s="117"/>
      <c r="AK3865" s="107"/>
      <c r="AL3865" s="107"/>
      <c r="AM3865" s="107"/>
      <c r="AN3865" s="107"/>
      <c r="AO3865" s="107"/>
      <c r="AP3865" s="107"/>
      <c r="AQ3865" s="107"/>
      <c r="AR3865" s="107"/>
      <c r="AS3865" s="107"/>
      <c r="AT3865" s="107"/>
    </row>
    <row r="3866" spans="1:63" x14ac:dyDescent="0.25">
      <c r="A3866" s="92"/>
      <c r="B3866" s="92"/>
      <c r="C3866" s="92"/>
      <c r="D3866" s="92"/>
      <c r="E3866" s="92"/>
      <c r="F3866" s="92"/>
      <c r="G3866" s="92"/>
      <c r="H3866" s="92"/>
      <c r="I3866" s="92"/>
      <c r="J3866" s="92"/>
      <c r="K3866" s="92"/>
      <c r="L3866" s="92"/>
      <c r="M3866" s="92"/>
      <c r="N3866" s="92"/>
      <c r="AG3866" s="107"/>
      <c r="AH3866" s="107"/>
      <c r="AI3866" s="107"/>
      <c r="AJ3866" s="117"/>
      <c r="AK3866" s="107"/>
      <c r="AL3866" s="107"/>
      <c r="AM3866" s="107"/>
      <c r="AN3866" s="107"/>
      <c r="AO3866" s="107"/>
      <c r="AP3866" s="107"/>
      <c r="AQ3866" s="107"/>
      <c r="AR3866" s="107"/>
      <c r="AS3866" s="107"/>
      <c r="AT3866" s="107"/>
    </row>
    <row r="3867" spans="1:63" x14ac:dyDescent="0.25">
      <c r="A3867" s="92"/>
      <c r="B3867" s="92"/>
      <c r="C3867" s="92"/>
      <c r="D3867" s="92"/>
      <c r="E3867" s="92"/>
      <c r="F3867" s="92"/>
      <c r="G3867" s="92"/>
      <c r="H3867" s="92"/>
      <c r="I3867" s="92"/>
      <c r="J3867" s="92"/>
      <c r="K3867" s="92"/>
      <c r="L3867" s="92"/>
      <c r="M3867" s="92"/>
      <c r="N3867" s="92"/>
      <c r="AG3867" s="107"/>
      <c r="AH3867" s="117"/>
      <c r="AI3867" s="117"/>
      <c r="AJ3867" s="107"/>
      <c r="AK3867" s="107"/>
      <c r="AL3867" s="107"/>
      <c r="AM3867" s="107"/>
      <c r="AN3867" s="107"/>
      <c r="AO3867" s="107"/>
      <c r="AP3867" s="107"/>
      <c r="AQ3867" s="107"/>
      <c r="AR3867" s="107"/>
      <c r="AS3867" s="107"/>
      <c r="AT3867" s="39"/>
    </row>
    <row r="3868" spans="1:63" x14ac:dyDescent="0.25">
      <c r="A3868" s="92"/>
      <c r="B3868" s="92"/>
      <c r="C3868" s="92"/>
      <c r="D3868" s="92"/>
      <c r="E3868" s="92"/>
      <c r="F3868" s="92"/>
      <c r="G3868" s="92"/>
      <c r="H3868" s="92"/>
      <c r="I3868" s="92"/>
      <c r="J3868" s="92"/>
      <c r="K3868" s="92"/>
      <c r="L3868" s="92"/>
      <c r="M3868" s="92"/>
      <c r="N3868" s="92"/>
      <c r="AG3868" s="107"/>
      <c r="AH3868" s="117"/>
      <c r="AI3868" s="117"/>
      <c r="AJ3868" s="107"/>
      <c r="AK3868" s="107"/>
      <c r="AL3868" s="107"/>
      <c r="AM3868" s="107"/>
      <c r="AN3868" s="107"/>
      <c r="AO3868" s="107"/>
      <c r="AP3868" s="107"/>
      <c r="AQ3868" s="107"/>
      <c r="AR3868" s="107"/>
      <c r="AS3868" s="107"/>
      <c r="AT3868" s="39"/>
    </row>
    <row r="3869" spans="1:63" x14ac:dyDescent="0.25">
      <c r="A3869" s="92"/>
      <c r="B3869" s="92"/>
      <c r="C3869" s="92"/>
      <c r="D3869" s="92"/>
      <c r="E3869" s="92"/>
      <c r="F3869" s="92"/>
      <c r="G3869" s="92"/>
      <c r="H3869" s="92"/>
      <c r="I3869" s="92"/>
      <c r="J3869" s="92"/>
      <c r="K3869" s="92"/>
      <c r="L3869" s="92"/>
      <c r="M3869" s="92"/>
      <c r="N3869" s="92"/>
      <c r="AG3869" s="107"/>
      <c r="AH3869" s="107"/>
      <c r="AI3869" s="107"/>
      <c r="AJ3869" s="107"/>
      <c r="AK3869" s="107"/>
      <c r="AL3869" s="107"/>
      <c r="AM3869" s="107"/>
      <c r="AN3869" s="107"/>
      <c r="AO3869" s="107"/>
      <c r="AP3869" s="107"/>
      <c r="AQ3869" s="107"/>
      <c r="AR3869" s="107"/>
      <c r="AS3869" s="107"/>
      <c r="AT3869" s="107"/>
      <c r="AZ3869" s="117"/>
      <c r="BK3869" s="39"/>
    </row>
    <row r="3870" spans="1:63" x14ac:dyDescent="0.25">
      <c r="A3870" s="92"/>
      <c r="B3870" s="92"/>
      <c r="C3870" s="92"/>
      <c r="D3870" s="92"/>
      <c r="E3870" s="92"/>
      <c r="F3870" s="92"/>
      <c r="G3870" s="92"/>
      <c r="H3870" s="92"/>
      <c r="I3870" s="92"/>
      <c r="J3870" s="92"/>
      <c r="K3870" s="92"/>
      <c r="L3870" s="92"/>
      <c r="M3870" s="92"/>
      <c r="N3870" s="92"/>
      <c r="AG3870" s="107"/>
      <c r="AH3870" s="107"/>
      <c r="AI3870" s="107"/>
      <c r="AJ3870" s="107"/>
      <c r="AK3870" s="107"/>
      <c r="AL3870" s="107"/>
      <c r="AM3870" s="107"/>
      <c r="AN3870" s="107"/>
      <c r="AO3870" s="107"/>
      <c r="AP3870" s="107"/>
      <c r="AQ3870" s="107"/>
      <c r="AR3870" s="107"/>
      <c r="AS3870" s="107"/>
      <c r="AT3870" s="107"/>
    </row>
    <row r="3871" spans="1:63" x14ac:dyDescent="0.25">
      <c r="A3871" s="92"/>
      <c r="B3871" s="92"/>
      <c r="C3871" s="92"/>
      <c r="D3871" s="92"/>
      <c r="E3871" s="92"/>
      <c r="F3871" s="92"/>
      <c r="G3871" s="92"/>
      <c r="H3871" s="92"/>
      <c r="I3871" s="92"/>
      <c r="J3871" s="92"/>
      <c r="K3871" s="92"/>
      <c r="L3871" s="92"/>
      <c r="M3871" s="92"/>
      <c r="N3871" s="92"/>
      <c r="AG3871" s="107"/>
      <c r="AH3871" s="117"/>
      <c r="AI3871" s="117"/>
      <c r="AJ3871" s="117"/>
      <c r="AK3871" s="107"/>
      <c r="AL3871" s="107"/>
      <c r="AM3871" s="107"/>
      <c r="AN3871" s="107"/>
      <c r="AO3871" s="107"/>
      <c r="AP3871" s="107"/>
      <c r="AQ3871" s="107"/>
      <c r="AR3871" s="107"/>
      <c r="AS3871" s="107"/>
      <c r="AT3871" s="39"/>
      <c r="AZ3871" s="117"/>
      <c r="BK3871" s="39"/>
    </row>
    <row r="3872" spans="1:63" x14ac:dyDescent="0.25">
      <c r="A3872" s="92"/>
      <c r="B3872" s="92"/>
      <c r="C3872" s="92"/>
      <c r="D3872" s="92"/>
      <c r="E3872" s="92"/>
      <c r="F3872" s="92"/>
      <c r="G3872" s="92"/>
      <c r="H3872" s="92"/>
      <c r="I3872" s="92"/>
      <c r="J3872" s="92"/>
      <c r="K3872" s="92"/>
      <c r="L3872" s="92"/>
      <c r="M3872" s="92"/>
      <c r="N3872" s="92"/>
      <c r="AG3872" s="107"/>
      <c r="AH3872" s="107"/>
      <c r="AI3872" s="107"/>
      <c r="AJ3872" s="117"/>
      <c r="AK3872" s="107"/>
      <c r="AL3872" s="107"/>
      <c r="AM3872" s="107"/>
      <c r="AN3872" s="107"/>
      <c r="AO3872" s="107"/>
      <c r="AP3872" s="107"/>
      <c r="AQ3872" s="107"/>
      <c r="AR3872" s="107"/>
      <c r="AS3872" s="107"/>
      <c r="AT3872" s="107"/>
      <c r="AZ3872" s="117"/>
      <c r="BK3872" s="39"/>
    </row>
    <row r="3873" spans="1:63" x14ac:dyDescent="0.25">
      <c r="A3873" s="92"/>
      <c r="B3873" s="93"/>
      <c r="C3873" s="93"/>
      <c r="D3873" s="92"/>
      <c r="E3873" s="92"/>
      <c r="F3873" s="92"/>
      <c r="G3873" s="92"/>
      <c r="H3873" s="92"/>
      <c r="I3873" s="92"/>
      <c r="J3873" s="92"/>
      <c r="K3873" s="92"/>
      <c r="L3873" s="92"/>
      <c r="M3873" s="92"/>
      <c r="N3873" s="94"/>
      <c r="AG3873" s="107"/>
      <c r="AH3873" s="117"/>
      <c r="AI3873" s="117"/>
      <c r="AJ3873" s="117"/>
      <c r="AK3873" s="107"/>
      <c r="AL3873" s="107"/>
      <c r="AM3873" s="107"/>
      <c r="AN3873" s="107"/>
      <c r="AO3873" s="107"/>
      <c r="AP3873" s="107"/>
      <c r="AQ3873" s="107"/>
      <c r="AR3873" s="107"/>
      <c r="AS3873" s="107"/>
      <c r="AT3873" s="39"/>
    </row>
    <row r="3874" spans="1:63" x14ac:dyDescent="0.25">
      <c r="A3874" s="92"/>
      <c r="B3874" s="92"/>
      <c r="C3874" s="92"/>
      <c r="D3874" s="92"/>
      <c r="E3874" s="92"/>
      <c r="F3874" s="92"/>
      <c r="G3874" s="92"/>
      <c r="H3874" s="92"/>
      <c r="I3874" s="92"/>
      <c r="J3874" s="92"/>
      <c r="K3874" s="92"/>
      <c r="L3874" s="92"/>
      <c r="M3874" s="92"/>
      <c r="N3874" s="92"/>
      <c r="AG3874" s="107"/>
      <c r="AH3874" s="107"/>
      <c r="AI3874" s="107"/>
      <c r="AJ3874" s="107"/>
      <c r="AK3874" s="107"/>
      <c r="AL3874" s="107"/>
      <c r="AM3874" s="107"/>
      <c r="AN3874" s="107"/>
      <c r="AO3874" s="107"/>
      <c r="AP3874" s="107"/>
      <c r="AQ3874" s="107"/>
      <c r="AR3874" s="107"/>
      <c r="AS3874" s="107"/>
      <c r="AT3874" s="107"/>
    </row>
    <row r="3875" spans="1:63" x14ac:dyDescent="0.25">
      <c r="A3875" s="92"/>
      <c r="B3875" s="93"/>
      <c r="C3875" s="93"/>
      <c r="D3875" s="93"/>
      <c r="E3875" s="92"/>
      <c r="F3875" s="92"/>
      <c r="G3875" s="92"/>
      <c r="H3875" s="92"/>
      <c r="I3875" s="92"/>
      <c r="J3875" s="92"/>
      <c r="K3875" s="92"/>
      <c r="L3875" s="92"/>
      <c r="M3875" s="92"/>
      <c r="N3875" s="94"/>
      <c r="AG3875" s="107"/>
      <c r="AH3875" s="107"/>
      <c r="AI3875" s="107"/>
      <c r="AJ3875" s="107"/>
      <c r="AK3875" s="107"/>
      <c r="AL3875" s="107"/>
      <c r="AM3875" s="107"/>
      <c r="AN3875" s="107"/>
      <c r="AO3875" s="107"/>
      <c r="AP3875" s="107"/>
      <c r="AQ3875" s="107"/>
      <c r="AR3875" s="107"/>
      <c r="AS3875" s="107"/>
      <c r="AT3875" s="107"/>
    </row>
    <row r="3876" spans="1:63" x14ac:dyDescent="0.25">
      <c r="A3876" s="92"/>
      <c r="B3876" s="92"/>
      <c r="C3876" s="92"/>
      <c r="D3876" s="93"/>
      <c r="E3876" s="92"/>
      <c r="F3876" s="92"/>
      <c r="G3876" s="92"/>
      <c r="H3876" s="92"/>
      <c r="I3876" s="92"/>
      <c r="J3876" s="92"/>
      <c r="K3876" s="92"/>
      <c r="L3876" s="92"/>
      <c r="M3876" s="92"/>
      <c r="N3876" s="92"/>
      <c r="AG3876" s="107"/>
      <c r="AH3876" s="117"/>
      <c r="AI3876" s="117"/>
      <c r="AJ3876" s="107"/>
      <c r="AK3876" s="107"/>
      <c r="AL3876" s="107"/>
      <c r="AM3876" s="107"/>
      <c r="AN3876" s="107"/>
      <c r="AO3876" s="107"/>
      <c r="AP3876" s="107"/>
      <c r="AQ3876" s="107"/>
      <c r="AR3876" s="107"/>
      <c r="AS3876" s="107"/>
      <c r="AT3876" s="39"/>
      <c r="AZ3876" s="117"/>
      <c r="BK3876" s="39"/>
    </row>
    <row r="3877" spans="1:63" x14ac:dyDescent="0.25">
      <c r="A3877" s="92"/>
      <c r="B3877" s="93"/>
      <c r="C3877" s="93"/>
      <c r="D3877" s="93"/>
      <c r="E3877" s="92"/>
      <c r="F3877" s="92"/>
      <c r="G3877" s="92"/>
      <c r="H3877" s="92"/>
      <c r="I3877" s="92"/>
      <c r="J3877" s="92"/>
      <c r="K3877" s="92"/>
      <c r="L3877" s="92"/>
      <c r="M3877" s="92"/>
      <c r="N3877" s="94"/>
      <c r="AG3877" s="107"/>
      <c r="AH3877" s="107"/>
      <c r="AI3877" s="107"/>
      <c r="AJ3877" s="107"/>
      <c r="AK3877" s="107"/>
      <c r="AL3877" s="107"/>
      <c r="AM3877" s="107"/>
      <c r="AN3877" s="107"/>
      <c r="AO3877" s="107"/>
      <c r="AP3877" s="107"/>
      <c r="AQ3877" s="107"/>
      <c r="AR3877" s="107"/>
      <c r="AS3877" s="107"/>
      <c r="AT3877" s="107"/>
      <c r="AZ3877" s="117"/>
      <c r="BA3877" s="117"/>
      <c r="BK3877" s="39"/>
    </row>
    <row r="3878" spans="1:63" x14ac:dyDescent="0.25">
      <c r="A3878" s="92"/>
      <c r="B3878" s="92"/>
      <c r="C3878" s="92"/>
      <c r="D3878" s="92"/>
      <c r="E3878" s="92"/>
      <c r="F3878" s="92"/>
      <c r="G3878" s="92"/>
      <c r="H3878" s="92"/>
      <c r="I3878" s="92"/>
      <c r="J3878" s="92"/>
      <c r="K3878" s="92"/>
      <c r="L3878" s="92"/>
      <c r="M3878" s="92"/>
      <c r="N3878" s="92"/>
      <c r="AG3878" s="107"/>
      <c r="AH3878" s="117"/>
      <c r="AI3878" s="117"/>
      <c r="AJ3878" s="107"/>
      <c r="AK3878" s="107"/>
      <c r="AL3878" s="107"/>
      <c r="AM3878" s="107"/>
      <c r="AN3878" s="107"/>
      <c r="AO3878" s="107"/>
      <c r="AP3878" s="107"/>
      <c r="AQ3878" s="107"/>
      <c r="AR3878" s="107"/>
      <c r="AS3878" s="107"/>
      <c r="AT3878" s="39"/>
      <c r="AZ3878" s="117"/>
      <c r="BK3878" s="39"/>
    </row>
    <row r="3879" spans="1:63" x14ac:dyDescent="0.25">
      <c r="A3879" s="92"/>
      <c r="B3879" s="92"/>
      <c r="C3879" s="92"/>
      <c r="D3879" s="92"/>
      <c r="E3879" s="92"/>
      <c r="F3879" s="92"/>
      <c r="G3879" s="92"/>
      <c r="H3879" s="92"/>
      <c r="I3879" s="92"/>
      <c r="J3879" s="92"/>
      <c r="K3879" s="92"/>
      <c r="L3879" s="92"/>
      <c r="M3879" s="92"/>
      <c r="N3879" s="92"/>
      <c r="AG3879" s="107"/>
      <c r="AH3879" s="117"/>
      <c r="AI3879" s="117"/>
      <c r="AJ3879" s="107"/>
      <c r="AK3879" s="107"/>
      <c r="AL3879" s="107"/>
      <c r="AM3879" s="107"/>
      <c r="AN3879" s="107"/>
      <c r="AO3879" s="107"/>
      <c r="AP3879" s="107"/>
      <c r="AQ3879" s="107"/>
      <c r="AR3879" s="107"/>
      <c r="AS3879" s="107"/>
      <c r="AT3879" s="39"/>
    </row>
    <row r="3880" spans="1:63" x14ac:dyDescent="0.25">
      <c r="A3880" s="92"/>
      <c r="B3880" s="92"/>
      <c r="C3880" s="92"/>
      <c r="D3880" s="92"/>
      <c r="E3880" s="92"/>
      <c r="F3880" s="92"/>
      <c r="G3880" s="92"/>
      <c r="H3880" s="92"/>
      <c r="I3880" s="92"/>
      <c r="J3880" s="92"/>
      <c r="K3880" s="92"/>
      <c r="L3880" s="92"/>
      <c r="M3880" s="92"/>
      <c r="N3880" s="92"/>
      <c r="AG3880" s="107"/>
      <c r="AH3880" s="117"/>
      <c r="AI3880" s="117"/>
      <c r="AJ3880" s="117"/>
      <c r="AK3880" s="107"/>
      <c r="AL3880" s="107"/>
      <c r="AM3880" s="107"/>
      <c r="AN3880" s="107"/>
      <c r="AO3880" s="107"/>
      <c r="AP3880" s="107"/>
      <c r="AQ3880" s="107"/>
      <c r="AR3880" s="107"/>
      <c r="AS3880" s="107"/>
      <c r="AT3880" s="39"/>
      <c r="AZ3880" s="117"/>
      <c r="BA3880" s="117"/>
      <c r="BK3880" s="39"/>
    </row>
    <row r="3881" spans="1:63" x14ac:dyDescent="0.25">
      <c r="A3881" s="92"/>
      <c r="B3881" s="92"/>
      <c r="C3881" s="92"/>
      <c r="D3881" s="92"/>
      <c r="E3881" s="92"/>
      <c r="F3881" s="92"/>
      <c r="G3881" s="92"/>
      <c r="H3881" s="92"/>
      <c r="I3881" s="92"/>
      <c r="J3881" s="92"/>
      <c r="K3881" s="92"/>
      <c r="L3881" s="92"/>
      <c r="M3881" s="92"/>
      <c r="N3881" s="92"/>
      <c r="AG3881" s="107"/>
      <c r="AH3881" s="107"/>
      <c r="AI3881" s="107"/>
      <c r="AJ3881" s="107"/>
      <c r="AK3881" s="107"/>
      <c r="AL3881" s="107"/>
      <c r="AM3881" s="107"/>
      <c r="AN3881" s="107"/>
      <c r="AO3881" s="107"/>
      <c r="AP3881" s="107"/>
      <c r="AQ3881" s="107"/>
      <c r="AR3881" s="107"/>
      <c r="AS3881" s="107"/>
      <c r="AT3881" s="107"/>
      <c r="AZ3881" s="117"/>
      <c r="BK3881" s="39"/>
    </row>
    <row r="3882" spans="1:63" x14ac:dyDescent="0.25">
      <c r="A3882" s="92"/>
      <c r="B3882" s="92"/>
      <c r="C3882" s="92"/>
      <c r="D3882" s="92"/>
      <c r="E3882" s="92"/>
      <c r="F3882" s="92"/>
      <c r="G3882" s="92"/>
      <c r="H3882" s="92"/>
      <c r="I3882" s="92"/>
      <c r="J3882" s="92"/>
      <c r="K3882" s="92"/>
      <c r="L3882" s="92"/>
      <c r="M3882" s="92"/>
      <c r="N3882" s="92"/>
      <c r="AG3882" s="107"/>
      <c r="AH3882" s="117"/>
      <c r="AI3882" s="117"/>
      <c r="AJ3882" s="107"/>
      <c r="AK3882" s="107"/>
      <c r="AL3882" s="107"/>
      <c r="AM3882" s="107"/>
      <c r="AN3882" s="107"/>
      <c r="AO3882" s="107"/>
      <c r="AP3882" s="107"/>
      <c r="AQ3882" s="107"/>
      <c r="AR3882" s="107"/>
      <c r="AS3882" s="107"/>
      <c r="AT3882" s="39"/>
    </row>
    <row r="3883" spans="1:63" x14ac:dyDescent="0.25">
      <c r="A3883" s="92"/>
      <c r="B3883" s="92"/>
      <c r="C3883" s="92"/>
      <c r="D3883" s="92"/>
      <c r="E3883" s="92"/>
      <c r="F3883" s="92"/>
      <c r="G3883" s="92"/>
      <c r="H3883" s="92"/>
      <c r="I3883" s="92"/>
      <c r="J3883" s="92"/>
      <c r="K3883" s="92"/>
      <c r="L3883" s="92"/>
      <c r="M3883" s="92"/>
      <c r="N3883" s="92"/>
      <c r="AG3883" s="107"/>
      <c r="AH3883" s="107"/>
      <c r="AI3883" s="107"/>
      <c r="AJ3883" s="107"/>
      <c r="AK3883" s="107"/>
      <c r="AL3883" s="107"/>
      <c r="AM3883" s="107"/>
      <c r="AN3883" s="107"/>
      <c r="AO3883" s="107"/>
      <c r="AP3883" s="107"/>
      <c r="AQ3883" s="107"/>
      <c r="AR3883" s="107"/>
      <c r="AS3883" s="107"/>
      <c r="AT3883" s="107"/>
    </row>
    <row r="3884" spans="1:63" x14ac:dyDescent="0.25">
      <c r="A3884" s="92"/>
      <c r="B3884" s="92"/>
      <c r="C3884" s="92"/>
      <c r="D3884" s="92"/>
      <c r="E3884" s="92"/>
      <c r="F3884" s="92"/>
      <c r="G3884" s="92"/>
      <c r="H3884" s="92"/>
      <c r="I3884" s="92"/>
      <c r="J3884" s="92"/>
      <c r="K3884" s="92"/>
      <c r="L3884" s="92"/>
      <c r="M3884" s="92"/>
      <c r="N3884" s="92"/>
      <c r="AG3884" s="107"/>
      <c r="AH3884" s="117"/>
      <c r="AI3884" s="117"/>
      <c r="AJ3884" s="107"/>
      <c r="AK3884" s="107"/>
      <c r="AL3884" s="107"/>
      <c r="AM3884" s="107"/>
      <c r="AN3884" s="107"/>
      <c r="AO3884" s="107"/>
      <c r="AP3884" s="107"/>
      <c r="AQ3884" s="107"/>
      <c r="AR3884" s="107"/>
      <c r="AS3884" s="107"/>
      <c r="AT3884" s="39"/>
    </row>
    <row r="3885" spans="1:63" x14ac:dyDescent="0.25">
      <c r="A3885" s="92"/>
      <c r="B3885" s="93"/>
      <c r="C3885" s="93"/>
      <c r="D3885" s="92"/>
      <c r="E3885" s="92"/>
      <c r="F3885" s="92"/>
      <c r="G3885" s="92"/>
      <c r="H3885" s="92"/>
      <c r="I3885" s="92"/>
      <c r="J3885" s="92"/>
      <c r="K3885" s="92"/>
      <c r="L3885" s="92"/>
      <c r="M3885" s="92"/>
      <c r="N3885" s="94"/>
      <c r="AG3885" s="107"/>
      <c r="AH3885" s="117"/>
      <c r="AI3885" s="117"/>
      <c r="AJ3885" s="117"/>
      <c r="AK3885" s="107"/>
      <c r="AL3885" s="107"/>
      <c r="AM3885" s="107"/>
      <c r="AN3885" s="107"/>
      <c r="AO3885" s="107"/>
      <c r="AP3885" s="107"/>
      <c r="AQ3885" s="107"/>
      <c r="AR3885" s="107"/>
      <c r="AS3885" s="107"/>
      <c r="AT3885" s="39"/>
      <c r="AZ3885" s="117"/>
      <c r="BA3885" s="117"/>
      <c r="BK3885" s="39"/>
    </row>
    <row r="3886" spans="1:63" x14ac:dyDescent="0.25">
      <c r="A3886" s="92"/>
      <c r="B3886" s="92"/>
      <c r="C3886" s="92"/>
      <c r="D3886" s="92"/>
      <c r="E3886" s="92"/>
      <c r="F3886" s="92"/>
      <c r="G3886" s="92"/>
      <c r="H3886" s="92"/>
      <c r="I3886" s="92"/>
      <c r="J3886" s="92"/>
      <c r="K3886" s="92"/>
      <c r="L3886" s="92"/>
      <c r="M3886" s="92"/>
      <c r="N3886" s="92"/>
      <c r="AG3886" s="107"/>
      <c r="AH3886" s="107"/>
      <c r="AI3886" s="107"/>
      <c r="AJ3886" s="117"/>
      <c r="AK3886" s="107"/>
      <c r="AL3886" s="107"/>
      <c r="AM3886" s="107"/>
      <c r="AN3886" s="107"/>
      <c r="AO3886" s="107"/>
      <c r="AP3886" s="107"/>
      <c r="AQ3886" s="107"/>
      <c r="AR3886" s="107"/>
      <c r="AS3886" s="107"/>
      <c r="AT3886" s="107"/>
      <c r="BA3886" s="117"/>
    </row>
    <row r="3887" spans="1:63" x14ac:dyDescent="0.25">
      <c r="A3887" s="92"/>
      <c r="B3887" s="93"/>
      <c r="C3887" s="93"/>
      <c r="D3887" s="92"/>
      <c r="E3887" s="92"/>
      <c r="F3887" s="92"/>
      <c r="G3887" s="92"/>
      <c r="H3887" s="92"/>
      <c r="I3887" s="92"/>
      <c r="J3887" s="92"/>
      <c r="K3887" s="92"/>
      <c r="L3887" s="92"/>
      <c r="M3887" s="92"/>
      <c r="N3887" s="94"/>
      <c r="AG3887" s="107"/>
      <c r="AH3887" s="107"/>
      <c r="AI3887" s="107"/>
      <c r="AJ3887" s="11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</row>
    <row r="3888" spans="1:63" x14ac:dyDescent="0.25">
      <c r="A3888" s="92"/>
      <c r="B3888" s="93"/>
      <c r="C3888" s="93"/>
      <c r="D3888" s="92"/>
      <c r="E3888" s="92"/>
      <c r="F3888" s="92"/>
      <c r="G3888" s="92"/>
      <c r="H3888" s="92"/>
      <c r="I3888" s="92"/>
      <c r="J3888" s="92"/>
      <c r="K3888" s="92"/>
      <c r="L3888" s="92"/>
      <c r="M3888" s="92"/>
      <c r="N3888" s="94"/>
      <c r="AG3888" s="107"/>
      <c r="AH3888" s="107"/>
      <c r="AI3888" s="107"/>
      <c r="AJ3888" s="117"/>
      <c r="AK3888" s="107"/>
      <c r="AL3888" s="107"/>
      <c r="AM3888" s="107"/>
      <c r="AN3888" s="107"/>
      <c r="AO3888" s="107"/>
      <c r="AP3888" s="107"/>
      <c r="AQ3888" s="107"/>
      <c r="AR3888" s="107"/>
      <c r="AS3888" s="107"/>
      <c r="AT3888" s="107"/>
    </row>
    <row r="3889" spans="1:63" x14ac:dyDescent="0.25">
      <c r="A3889" s="92"/>
      <c r="B3889" s="92"/>
      <c r="C3889" s="92"/>
      <c r="D3889" s="92"/>
      <c r="E3889" s="92"/>
      <c r="F3889" s="92"/>
      <c r="G3889" s="92"/>
      <c r="H3889" s="92"/>
      <c r="I3889" s="92"/>
      <c r="J3889" s="92"/>
      <c r="K3889" s="92"/>
      <c r="L3889" s="92"/>
      <c r="M3889" s="92"/>
      <c r="N3889" s="92"/>
      <c r="AG3889" s="107"/>
      <c r="AH3889" s="107"/>
      <c r="AI3889" s="107"/>
      <c r="AJ3889" s="117"/>
      <c r="AK3889" s="107"/>
      <c r="AL3889" s="107"/>
      <c r="AM3889" s="107"/>
      <c r="AN3889" s="107"/>
      <c r="AO3889" s="107"/>
      <c r="AP3889" s="107"/>
      <c r="AQ3889" s="107"/>
      <c r="AR3889" s="107"/>
      <c r="AS3889" s="107"/>
      <c r="AT3889" s="107"/>
    </row>
    <row r="3890" spans="1:63" x14ac:dyDescent="0.25">
      <c r="A3890" s="92"/>
      <c r="B3890" s="92"/>
      <c r="C3890" s="92"/>
      <c r="D3890" s="92"/>
      <c r="E3890" s="92"/>
      <c r="F3890" s="92"/>
      <c r="G3890" s="92"/>
      <c r="H3890" s="92"/>
      <c r="I3890" s="92"/>
      <c r="J3890" s="92"/>
      <c r="K3890" s="92"/>
      <c r="L3890" s="92"/>
      <c r="M3890" s="92"/>
      <c r="N3890" s="92"/>
      <c r="AG3890" s="107"/>
      <c r="AH3890" s="117"/>
      <c r="AI3890" s="117"/>
      <c r="AJ3890" s="117"/>
      <c r="AK3890" s="107"/>
      <c r="AL3890" s="107"/>
      <c r="AM3890" s="107"/>
      <c r="AN3890" s="107"/>
      <c r="AO3890" s="107"/>
      <c r="AP3890" s="107"/>
      <c r="AQ3890" s="107"/>
      <c r="AR3890" s="107"/>
      <c r="AS3890" s="107"/>
      <c r="AT3890" s="39"/>
    </row>
    <row r="3891" spans="1:63" x14ac:dyDescent="0.25">
      <c r="A3891" s="92"/>
      <c r="B3891" s="92"/>
      <c r="C3891" s="92"/>
      <c r="D3891" s="92"/>
      <c r="E3891" s="92"/>
      <c r="F3891" s="92"/>
      <c r="G3891" s="92"/>
      <c r="H3891" s="92"/>
      <c r="I3891" s="92"/>
      <c r="J3891" s="92"/>
      <c r="K3891" s="92"/>
      <c r="L3891" s="92"/>
      <c r="M3891" s="92"/>
      <c r="N3891" s="92"/>
      <c r="AG3891" s="107"/>
      <c r="AH3891" s="117"/>
      <c r="AI3891" s="117"/>
      <c r="AJ3891" s="107"/>
      <c r="AK3891" s="107"/>
      <c r="AL3891" s="107"/>
      <c r="AM3891" s="107"/>
      <c r="AN3891" s="107"/>
      <c r="AO3891" s="107"/>
      <c r="AP3891" s="107"/>
      <c r="AQ3891" s="107"/>
      <c r="AR3891" s="107"/>
      <c r="AS3891" s="107"/>
      <c r="AT3891" s="39"/>
    </row>
    <row r="3892" spans="1:63" x14ac:dyDescent="0.25">
      <c r="A3892" s="92"/>
      <c r="B3892" s="93"/>
      <c r="C3892" s="93"/>
      <c r="D3892" s="92"/>
      <c r="E3892" s="92"/>
      <c r="F3892" s="92"/>
      <c r="G3892" s="92"/>
      <c r="H3892" s="92"/>
      <c r="I3892" s="92"/>
      <c r="J3892" s="92"/>
      <c r="K3892" s="92"/>
      <c r="L3892" s="92"/>
      <c r="M3892" s="92"/>
      <c r="N3892" s="94"/>
      <c r="AG3892" s="107"/>
      <c r="AH3892" s="117"/>
      <c r="AI3892" s="117"/>
      <c r="AJ3892" s="117"/>
      <c r="AK3892" s="107"/>
      <c r="AL3892" s="107"/>
      <c r="AM3892" s="107"/>
      <c r="AN3892" s="107"/>
      <c r="AO3892" s="107"/>
      <c r="AP3892" s="107"/>
      <c r="AQ3892" s="107"/>
      <c r="AR3892" s="107"/>
      <c r="AS3892" s="107"/>
      <c r="AT3892" s="39"/>
      <c r="AZ3892" s="117"/>
      <c r="BK3892" s="39"/>
    </row>
    <row r="3893" spans="1:63" x14ac:dyDescent="0.25">
      <c r="A3893" s="92"/>
      <c r="B3893" s="93"/>
      <c r="C3893" s="93"/>
      <c r="D3893" s="93"/>
      <c r="E3893" s="92"/>
      <c r="F3893" s="92"/>
      <c r="G3893" s="92"/>
      <c r="H3893" s="92"/>
      <c r="I3893" s="92"/>
      <c r="J3893" s="92"/>
      <c r="K3893" s="92"/>
      <c r="L3893" s="92"/>
      <c r="M3893" s="92"/>
      <c r="N3893" s="94"/>
      <c r="AG3893" s="107"/>
      <c r="AH3893" s="107"/>
      <c r="AI3893" s="107"/>
      <c r="AJ3893" s="117"/>
      <c r="AK3893" s="107"/>
      <c r="AL3893" s="107"/>
      <c r="AM3893" s="107"/>
      <c r="AN3893" s="107"/>
      <c r="AO3893" s="107"/>
      <c r="AP3893" s="107"/>
      <c r="AQ3893" s="107"/>
      <c r="AR3893" s="107"/>
      <c r="AS3893" s="107"/>
      <c r="AT3893" s="107"/>
      <c r="AZ3893" s="117"/>
      <c r="BK3893" s="39"/>
    </row>
    <row r="3894" spans="1:63" x14ac:dyDescent="0.25">
      <c r="A3894" s="92"/>
      <c r="B3894" s="93"/>
      <c r="C3894" s="93"/>
      <c r="D3894" s="92"/>
      <c r="E3894" s="92"/>
      <c r="F3894" s="92"/>
      <c r="G3894" s="92"/>
      <c r="H3894" s="92"/>
      <c r="I3894" s="92"/>
      <c r="J3894" s="92"/>
      <c r="K3894" s="92"/>
      <c r="L3894" s="92"/>
      <c r="M3894" s="92"/>
      <c r="N3894" s="94"/>
      <c r="AG3894" s="107"/>
      <c r="AH3894" s="117"/>
      <c r="AI3894" s="117"/>
      <c r="AJ3894" s="11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39"/>
    </row>
    <row r="3895" spans="1:63" x14ac:dyDescent="0.25">
      <c r="A3895" s="92"/>
      <c r="B3895" s="92"/>
      <c r="C3895" s="92"/>
      <c r="D3895" s="92"/>
      <c r="E3895" s="92"/>
      <c r="F3895" s="92"/>
      <c r="G3895" s="92"/>
      <c r="H3895" s="92"/>
      <c r="I3895" s="92"/>
      <c r="J3895" s="92"/>
      <c r="K3895" s="92"/>
      <c r="L3895" s="92"/>
      <c r="M3895" s="92"/>
      <c r="N3895" s="92"/>
      <c r="AG3895" s="107"/>
      <c r="AH3895" s="107"/>
      <c r="AI3895" s="107"/>
      <c r="AJ3895" s="117"/>
      <c r="AK3895" s="107"/>
      <c r="AL3895" s="107"/>
      <c r="AM3895" s="107"/>
      <c r="AN3895" s="107"/>
      <c r="AO3895" s="107"/>
      <c r="AP3895" s="107"/>
      <c r="AQ3895" s="107"/>
      <c r="AR3895" s="107"/>
      <c r="AS3895" s="107"/>
      <c r="AT3895" s="107"/>
      <c r="AZ3895" s="117"/>
      <c r="BK3895" s="39"/>
    </row>
    <row r="3896" spans="1:63" x14ac:dyDescent="0.25">
      <c r="A3896" s="92"/>
      <c r="B3896" s="93"/>
      <c r="C3896" s="93"/>
      <c r="D3896" s="93"/>
      <c r="E3896" s="92"/>
      <c r="F3896" s="92"/>
      <c r="G3896" s="92"/>
      <c r="H3896" s="92"/>
      <c r="I3896" s="92"/>
      <c r="J3896" s="92"/>
      <c r="K3896" s="92"/>
      <c r="L3896" s="92"/>
      <c r="M3896" s="92"/>
      <c r="N3896" s="94"/>
      <c r="AG3896" s="107"/>
      <c r="AH3896" s="107"/>
      <c r="AI3896" s="107"/>
      <c r="AJ3896" s="117"/>
      <c r="AK3896" s="107"/>
      <c r="AL3896" s="107"/>
      <c r="AM3896" s="107"/>
      <c r="AN3896" s="107"/>
      <c r="AO3896" s="107"/>
      <c r="AP3896" s="107"/>
      <c r="AQ3896" s="107"/>
      <c r="AR3896" s="107"/>
      <c r="AS3896" s="107"/>
      <c r="AT3896" s="107"/>
    </row>
    <row r="3897" spans="1:63" x14ac:dyDescent="0.25">
      <c r="A3897" s="92"/>
      <c r="B3897" s="93"/>
      <c r="C3897" s="93"/>
      <c r="D3897" s="92"/>
      <c r="E3897" s="92"/>
      <c r="F3897" s="92"/>
      <c r="G3897" s="92"/>
      <c r="H3897" s="92"/>
      <c r="I3897" s="92"/>
      <c r="J3897" s="92"/>
      <c r="K3897" s="92"/>
      <c r="L3897" s="92"/>
      <c r="M3897" s="92"/>
      <c r="N3897" s="94"/>
      <c r="AG3897" s="107"/>
      <c r="AH3897" s="107"/>
      <c r="AI3897" s="107"/>
      <c r="AJ3897" s="117"/>
      <c r="AK3897" s="107"/>
      <c r="AL3897" s="107"/>
      <c r="AM3897" s="107"/>
      <c r="AN3897" s="107"/>
      <c r="AO3897" s="107"/>
      <c r="AP3897" s="107"/>
      <c r="AQ3897" s="107"/>
      <c r="AR3897" s="107"/>
      <c r="AS3897" s="107"/>
      <c r="AT3897" s="107"/>
      <c r="BA3897" s="117"/>
      <c r="BK3897" s="39"/>
    </row>
    <row r="3898" spans="1:63" x14ac:dyDescent="0.25">
      <c r="A3898" s="92"/>
      <c r="B3898" s="92"/>
      <c r="C3898" s="92"/>
      <c r="D3898" s="92"/>
      <c r="E3898" s="92"/>
      <c r="F3898" s="92"/>
      <c r="G3898" s="92"/>
      <c r="H3898" s="92"/>
      <c r="I3898" s="92"/>
      <c r="J3898" s="92"/>
      <c r="K3898" s="92"/>
      <c r="L3898" s="92"/>
      <c r="M3898" s="92"/>
      <c r="N3898" s="92"/>
      <c r="AG3898" s="107"/>
      <c r="AH3898" s="117"/>
      <c r="AI3898" s="117"/>
      <c r="AJ3898" s="107"/>
      <c r="AK3898" s="107"/>
      <c r="AL3898" s="107"/>
      <c r="AM3898" s="107"/>
      <c r="AN3898" s="107"/>
      <c r="AO3898" s="107"/>
      <c r="AP3898" s="107"/>
      <c r="AQ3898" s="107"/>
      <c r="AR3898" s="107"/>
      <c r="AS3898" s="107"/>
      <c r="AT3898" s="39"/>
      <c r="BA3898" s="117"/>
      <c r="BK3898" s="39"/>
    </row>
    <row r="3899" spans="1:63" x14ac:dyDescent="0.25">
      <c r="A3899" s="92"/>
      <c r="B3899" s="92"/>
      <c r="C3899" s="92"/>
      <c r="D3899" s="92"/>
      <c r="E3899" s="92"/>
      <c r="F3899" s="92"/>
      <c r="G3899" s="92"/>
      <c r="H3899" s="92"/>
      <c r="I3899" s="92"/>
      <c r="J3899" s="92"/>
      <c r="K3899" s="92"/>
      <c r="L3899" s="92"/>
      <c r="M3899" s="92"/>
      <c r="N3899" s="92"/>
      <c r="AG3899" s="107"/>
      <c r="AH3899" s="107"/>
      <c r="AI3899" s="107"/>
      <c r="AJ3899" s="107"/>
      <c r="AK3899" s="107"/>
      <c r="AL3899" s="107"/>
      <c r="AM3899" s="107"/>
      <c r="AN3899" s="107"/>
      <c r="AO3899" s="107"/>
      <c r="AP3899" s="107"/>
      <c r="AQ3899" s="107"/>
      <c r="AR3899" s="107"/>
      <c r="AS3899" s="107"/>
      <c r="AT3899" s="107"/>
      <c r="BA3899" s="117"/>
      <c r="BK3899" s="39"/>
    </row>
    <row r="3900" spans="1:63" x14ac:dyDescent="0.25">
      <c r="A3900" s="92"/>
      <c r="B3900" s="92"/>
      <c r="C3900" s="92"/>
      <c r="D3900" s="92"/>
      <c r="E3900" s="92"/>
      <c r="F3900" s="92"/>
      <c r="G3900" s="92"/>
      <c r="H3900" s="92"/>
      <c r="I3900" s="92"/>
      <c r="J3900" s="92"/>
      <c r="K3900" s="92"/>
      <c r="L3900" s="92"/>
      <c r="M3900" s="92"/>
      <c r="N3900" s="92"/>
      <c r="AG3900" s="107"/>
      <c r="AH3900" s="117"/>
      <c r="AI3900" s="117"/>
      <c r="AJ3900" s="117"/>
      <c r="AK3900" s="107"/>
      <c r="AL3900" s="107"/>
      <c r="AM3900" s="107"/>
      <c r="AN3900" s="107"/>
      <c r="AO3900" s="107"/>
      <c r="AP3900" s="107"/>
      <c r="AQ3900" s="107"/>
      <c r="AR3900" s="107"/>
      <c r="AS3900" s="107"/>
      <c r="AT3900" s="39"/>
      <c r="AZ3900" s="117"/>
      <c r="BK3900" s="39"/>
    </row>
    <row r="3901" spans="1:63" x14ac:dyDescent="0.25">
      <c r="A3901" s="92"/>
      <c r="B3901" s="93"/>
      <c r="C3901" s="93"/>
      <c r="D3901" s="93"/>
      <c r="E3901" s="92"/>
      <c r="F3901" s="92"/>
      <c r="G3901" s="92"/>
      <c r="H3901" s="92"/>
      <c r="I3901" s="92"/>
      <c r="J3901" s="92"/>
      <c r="K3901" s="92"/>
      <c r="L3901" s="92"/>
      <c r="M3901" s="92"/>
      <c r="N3901" s="94"/>
      <c r="AG3901" s="107"/>
      <c r="AH3901" s="107"/>
      <c r="AI3901" s="107"/>
      <c r="AJ3901" s="117"/>
      <c r="AK3901" s="107"/>
      <c r="AL3901" s="107"/>
      <c r="AM3901" s="107"/>
      <c r="AN3901" s="107"/>
      <c r="AO3901" s="107"/>
      <c r="AP3901" s="107"/>
      <c r="AQ3901" s="107"/>
      <c r="AR3901" s="107"/>
      <c r="AS3901" s="107"/>
      <c r="AT3901" s="107"/>
      <c r="AZ3901" s="117"/>
      <c r="BK3901" s="39"/>
    </row>
    <row r="3902" spans="1:63" x14ac:dyDescent="0.25">
      <c r="A3902" s="92"/>
      <c r="B3902" s="92"/>
      <c r="C3902" s="92"/>
      <c r="D3902" s="93"/>
      <c r="E3902" s="92"/>
      <c r="F3902" s="92"/>
      <c r="G3902" s="92"/>
      <c r="H3902" s="92"/>
      <c r="I3902" s="92"/>
      <c r="J3902" s="92"/>
      <c r="K3902" s="92"/>
      <c r="L3902" s="92"/>
      <c r="M3902" s="92"/>
      <c r="N3902" s="92"/>
      <c r="AG3902" s="107"/>
      <c r="AH3902" s="107"/>
      <c r="AI3902" s="107"/>
      <c r="AJ3902" s="117"/>
      <c r="AK3902" s="107"/>
      <c r="AL3902" s="107"/>
      <c r="AM3902" s="107"/>
      <c r="AN3902" s="107"/>
      <c r="AO3902" s="107"/>
      <c r="AP3902" s="107"/>
      <c r="AQ3902" s="107"/>
      <c r="AR3902" s="107"/>
      <c r="AS3902" s="107"/>
      <c r="AT3902" s="107"/>
    </row>
    <row r="3903" spans="1:63" x14ac:dyDescent="0.25">
      <c r="A3903" s="92"/>
      <c r="B3903" s="92"/>
      <c r="C3903" s="92"/>
      <c r="D3903" s="92"/>
      <c r="E3903" s="92"/>
      <c r="F3903" s="92"/>
      <c r="G3903" s="92"/>
      <c r="H3903" s="92"/>
      <c r="I3903" s="92"/>
      <c r="J3903" s="92"/>
      <c r="K3903" s="92"/>
      <c r="L3903" s="92"/>
      <c r="M3903" s="92"/>
      <c r="N3903" s="92"/>
      <c r="AG3903" s="107"/>
      <c r="AH3903" s="107"/>
      <c r="AI3903" s="107"/>
      <c r="AJ3903" s="117"/>
      <c r="AK3903" s="107"/>
      <c r="AL3903" s="107"/>
      <c r="AM3903" s="107"/>
      <c r="AN3903" s="107"/>
      <c r="AO3903" s="107"/>
      <c r="AP3903" s="107"/>
      <c r="AQ3903" s="107"/>
      <c r="AR3903" s="107"/>
      <c r="AS3903" s="107"/>
      <c r="AT3903" s="107"/>
      <c r="AZ3903" s="117"/>
      <c r="BK3903" s="39"/>
    </row>
    <row r="3904" spans="1:63" x14ac:dyDescent="0.25">
      <c r="A3904" s="92"/>
      <c r="B3904" s="92"/>
      <c r="C3904" s="92"/>
      <c r="D3904" s="92"/>
      <c r="E3904" s="92"/>
      <c r="F3904" s="92"/>
      <c r="G3904" s="92"/>
      <c r="H3904" s="92"/>
      <c r="I3904" s="92"/>
      <c r="J3904" s="92"/>
      <c r="K3904" s="92"/>
      <c r="L3904" s="92"/>
      <c r="M3904" s="92"/>
      <c r="N3904" s="92"/>
      <c r="AG3904" s="107"/>
      <c r="AH3904" s="107"/>
      <c r="AI3904" s="107"/>
      <c r="AJ3904" s="117"/>
      <c r="AK3904" s="107"/>
      <c r="AL3904" s="107"/>
      <c r="AM3904" s="107"/>
      <c r="AN3904" s="107"/>
      <c r="AO3904" s="107"/>
      <c r="AP3904" s="107"/>
      <c r="AQ3904" s="107"/>
      <c r="AR3904" s="107"/>
      <c r="AS3904" s="107"/>
      <c r="AT3904" s="107"/>
      <c r="AZ3904" s="117"/>
      <c r="BK3904" s="39"/>
    </row>
    <row r="3905" spans="1:63" x14ac:dyDescent="0.25">
      <c r="A3905" s="92"/>
      <c r="B3905" s="92"/>
      <c r="C3905" s="92"/>
      <c r="D3905" s="92"/>
      <c r="E3905" s="92"/>
      <c r="F3905" s="92"/>
      <c r="G3905" s="92"/>
      <c r="H3905" s="92"/>
      <c r="I3905" s="92"/>
      <c r="J3905" s="92"/>
      <c r="K3905" s="92"/>
      <c r="L3905" s="92"/>
      <c r="M3905" s="92"/>
      <c r="N3905" s="92"/>
      <c r="AG3905" s="107"/>
      <c r="AH3905" s="107"/>
      <c r="AI3905" s="107"/>
      <c r="AJ3905" s="117"/>
      <c r="AK3905" s="107"/>
      <c r="AL3905" s="107"/>
      <c r="AM3905" s="107"/>
      <c r="AN3905" s="107"/>
      <c r="AO3905" s="107"/>
      <c r="AP3905" s="107"/>
      <c r="AQ3905" s="107"/>
      <c r="AR3905" s="107"/>
      <c r="AS3905" s="107"/>
      <c r="AT3905" s="107"/>
    </row>
    <row r="3906" spans="1:63" x14ac:dyDescent="0.25">
      <c r="A3906" s="92"/>
      <c r="B3906" s="92"/>
      <c r="C3906" s="92"/>
      <c r="D3906" s="92"/>
      <c r="E3906" s="92"/>
      <c r="F3906" s="92"/>
      <c r="G3906" s="92"/>
      <c r="H3906" s="92"/>
      <c r="I3906" s="92"/>
      <c r="J3906" s="92"/>
      <c r="K3906" s="92"/>
      <c r="L3906" s="92"/>
      <c r="M3906" s="92"/>
      <c r="N3906" s="92"/>
      <c r="AG3906" s="107"/>
      <c r="AH3906" s="107"/>
      <c r="AI3906" s="107"/>
      <c r="AJ3906" s="117"/>
      <c r="AK3906" s="107"/>
      <c r="AL3906" s="107"/>
      <c r="AM3906" s="107"/>
      <c r="AN3906" s="107"/>
      <c r="AO3906" s="107"/>
      <c r="AP3906" s="107"/>
      <c r="AQ3906" s="107"/>
      <c r="AR3906" s="107"/>
      <c r="AS3906" s="107"/>
      <c r="AT3906" s="107"/>
    </row>
    <row r="3907" spans="1:63" x14ac:dyDescent="0.25">
      <c r="A3907" s="92"/>
      <c r="B3907" s="92"/>
      <c r="C3907" s="92"/>
      <c r="D3907" s="92"/>
      <c r="E3907" s="92"/>
      <c r="F3907" s="92"/>
      <c r="G3907" s="92"/>
      <c r="H3907" s="92"/>
      <c r="I3907" s="92"/>
      <c r="J3907" s="92"/>
      <c r="K3907" s="92"/>
      <c r="L3907" s="92"/>
      <c r="M3907" s="92"/>
      <c r="N3907" s="92"/>
      <c r="AG3907" s="107"/>
      <c r="AH3907" s="107"/>
      <c r="AI3907" s="107"/>
      <c r="AJ3907" s="107"/>
      <c r="AK3907" s="107"/>
      <c r="AL3907" s="107"/>
      <c r="AM3907" s="107"/>
      <c r="AN3907" s="107"/>
      <c r="AO3907" s="107"/>
      <c r="AP3907" s="107"/>
      <c r="AQ3907" s="107"/>
      <c r="AR3907" s="107"/>
      <c r="AS3907" s="107"/>
      <c r="AT3907" s="107"/>
    </row>
    <row r="3908" spans="1:63" x14ac:dyDescent="0.25">
      <c r="A3908" s="92"/>
      <c r="B3908" s="93"/>
      <c r="C3908" s="93"/>
      <c r="D3908" s="92"/>
      <c r="E3908" s="92"/>
      <c r="F3908" s="92"/>
      <c r="G3908" s="92"/>
      <c r="H3908" s="92"/>
      <c r="I3908" s="92"/>
      <c r="J3908" s="92"/>
      <c r="K3908" s="92"/>
      <c r="L3908" s="92"/>
      <c r="M3908" s="92"/>
      <c r="N3908" s="94"/>
      <c r="AG3908" s="107"/>
      <c r="AH3908" s="117"/>
      <c r="AI3908" s="117"/>
      <c r="AJ3908" s="117"/>
      <c r="AK3908" s="107"/>
      <c r="AL3908" s="107"/>
      <c r="AM3908" s="107"/>
      <c r="AN3908" s="107"/>
      <c r="AO3908" s="107"/>
      <c r="AP3908" s="107"/>
      <c r="AQ3908" s="107"/>
      <c r="AR3908" s="107"/>
      <c r="AS3908" s="107"/>
      <c r="AT3908" s="39"/>
      <c r="AZ3908" s="117"/>
      <c r="BK3908" s="39"/>
    </row>
    <row r="3909" spans="1:63" x14ac:dyDescent="0.25">
      <c r="A3909" s="92"/>
      <c r="B3909" s="93"/>
      <c r="C3909" s="93"/>
      <c r="D3909" s="92"/>
      <c r="E3909" s="92"/>
      <c r="F3909" s="92"/>
      <c r="G3909" s="92"/>
      <c r="H3909" s="92"/>
      <c r="I3909" s="92"/>
      <c r="J3909" s="92"/>
      <c r="K3909" s="92"/>
      <c r="L3909" s="92"/>
      <c r="M3909" s="92"/>
      <c r="N3909" s="94"/>
      <c r="AG3909" s="107"/>
      <c r="AH3909" s="107"/>
      <c r="AI3909" s="107"/>
      <c r="AJ3909" s="107"/>
      <c r="AK3909" s="107"/>
      <c r="AL3909" s="107"/>
      <c r="AM3909" s="107"/>
      <c r="AN3909" s="107"/>
      <c r="AO3909" s="107"/>
      <c r="AP3909" s="107"/>
      <c r="AQ3909" s="107"/>
      <c r="AR3909" s="107"/>
      <c r="AS3909" s="107"/>
      <c r="AT3909" s="107"/>
      <c r="AZ3909" s="117"/>
      <c r="BA3909" s="117"/>
      <c r="BK3909" s="39"/>
    </row>
    <row r="3910" spans="1:63" x14ac:dyDescent="0.25">
      <c r="A3910" s="92"/>
      <c r="B3910" s="92"/>
      <c r="C3910" s="92"/>
      <c r="D3910" s="92"/>
      <c r="E3910" s="92"/>
      <c r="F3910" s="92"/>
      <c r="G3910" s="92"/>
      <c r="H3910" s="92"/>
      <c r="I3910" s="92"/>
      <c r="J3910" s="92"/>
      <c r="K3910" s="92"/>
      <c r="L3910" s="92"/>
      <c r="M3910" s="92"/>
      <c r="N3910" s="92"/>
      <c r="AG3910" s="107"/>
      <c r="AH3910" s="107"/>
      <c r="AI3910" s="107"/>
      <c r="AJ3910" s="107"/>
      <c r="AK3910" s="107"/>
      <c r="AL3910" s="107"/>
      <c r="AM3910" s="107"/>
      <c r="AN3910" s="107"/>
      <c r="AO3910" s="107"/>
      <c r="AP3910" s="107"/>
      <c r="AQ3910" s="107"/>
      <c r="AR3910" s="107"/>
      <c r="AS3910" s="107"/>
      <c r="AT3910" s="107"/>
    </row>
    <row r="3911" spans="1:63" x14ac:dyDescent="0.25">
      <c r="A3911" s="92"/>
      <c r="B3911" s="93"/>
      <c r="C3911" s="93"/>
      <c r="D3911" s="92"/>
      <c r="E3911" s="92"/>
      <c r="F3911" s="92"/>
      <c r="G3911" s="92"/>
      <c r="H3911" s="92"/>
      <c r="I3911" s="92"/>
      <c r="J3911" s="92"/>
      <c r="K3911" s="92"/>
      <c r="L3911" s="92"/>
      <c r="M3911" s="92"/>
      <c r="N3911" s="94"/>
      <c r="AG3911" s="107"/>
      <c r="AH3911" s="107"/>
      <c r="AI3911" s="107"/>
      <c r="AJ3911" s="107"/>
      <c r="AK3911" s="107"/>
      <c r="AL3911" s="107"/>
      <c r="AM3911" s="107"/>
      <c r="AN3911" s="107"/>
      <c r="AO3911" s="107"/>
      <c r="AP3911" s="107"/>
      <c r="AQ3911" s="107"/>
      <c r="AR3911" s="107"/>
      <c r="AS3911" s="107"/>
      <c r="AT3911" s="107"/>
      <c r="AZ3911" s="117"/>
      <c r="BA3911" s="117"/>
      <c r="BK3911" s="39"/>
    </row>
    <row r="3912" spans="1:63" x14ac:dyDescent="0.25">
      <c r="A3912" s="92"/>
      <c r="B3912" s="92"/>
      <c r="C3912" s="92"/>
      <c r="D3912" s="92"/>
      <c r="E3912" s="92"/>
      <c r="F3912" s="92"/>
      <c r="G3912" s="92"/>
      <c r="H3912" s="92"/>
      <c r="I3912" s="92"/>
      <c r="J3912" s="92"/>
      <c r="K3912" s="92"/>
      <c r="L3912" s="92"/>
      <c r="M3912" s="92"/>
      <c r="N3912" s="92"/>
      <c r="AG3912" s="107"/>
      <c r="AH3912" s="107"/>
      <c r="AI3912" s="107"/>
      <c r="AJ3912" s="107"/>
      <c r="AK3912" s="107"/>
      <c r="AL3912" s="107"/>
      <c r="AM3912" s="107"/>
      <c r="AN3912" s="107"/>
      <c r="AO3912" s="107"/>
      <c r="AP3912" s="107"/>
      <c r="AQ3912" s="107"/>
      <c r="AR3912" s="107"/>
      <c r="AS3912" s="107"/>
      <c r="AT3912" s="107"/>
      <c r="BA3912" s="117"/>
    </row>
    <row r="3913" spans="1:63" x14ac:dyDescent="0.25">
      <c r="A3913" s="92"/>
      <c r="B3913" s="93"/>
      <c r="C3913" s="92"/>
      <c r="D3913" s="93"/>
      <c r="E3913" s="92"/>
      <c r="F3913" s="92"/>
      <c r="G3913" s="92"/>
      <c r="H3913" s="92"/>
      <c r="I3913" s="92"/>
      <c r="J3913" s="92"/>
      <c r="K3913" s="92"/>
      <c r="L3913" s="92"/>
      <c r="M3913" s="92"/>
      <c r="N3913" s="94"/>
      <c r="AG3913" s="107"/>
      <c r="AH3913" s="117"/>
      <c r="AI3913" s="117"/>
      <c r="AJ3913" s="107"/>
      <c r="AK3913" s="107"/>
      <c r="AL3913" s="107"/>
      <c r="AM3913" s="107"/>
      <c r="AN3913" s="107"/>
      <c r="AO3913" s="107"/>
      <c r="AP3913" s="107"/>
      <c r="AQ3913" s="107"/>
      <c r="AR3913" s="107"/>
      <c r="AS3913" s="107"/>
      <c r="AT3913" s="39"/>
      <c r="AZ3913" s="117"/>
      <c r="BK3913" s="39"/>
    </row>
    <row r="3914" spans="1:63" x14ac:dyDescent="0.25">
      <c r="A3914" s="92"/>
      <c r="B3914" s="93"/>
      <c r="C3914" s="92"/>
      <c r="D3914" s="93"/>
      <c r="E3914" s="92"/>
      <c r="F3914" s="92"/>
      <c r="G3914" s="92"/>
      <c r="H3914" s="92"/>
      <c r="I3914" s="92"/>
      <c r="J3914" s="92"/>
      <c r="K3914" s="92"/>
      <c r="L3914" s="92"/>
      <c r="M3914" s="92"/>
      <c r="N3914" s="94"/>
      <c r="AG3914" s="107"/>
      <c r="AH3914" s="117"/>
      <c r="AI3914" s="117"/>
      <c r="AJ3914" s="117"/>
      <c r="AK3914" s="107"/>
      <c r="AL3914" s="107"/>
      <c r="AM3914" s="107"/>
      <c r="AN3914" s="107"/>
      <c r="AO3914" s="107"/>
      <c r="AP3914" s="107"/>
      <c r="AQ3914" s="107"/>
      <c r="AR3914" s="107"/>
      <c r="AS3914" s="107"/>
      <c r="AT3914" s="39"/>
      <c r="AZ3914" s="117"/>
      <c r="BK3914" s="39"/>
    </row>
    <row r="3915" spans="1:63" x14ac:dyDescent="0.25">
      <c r="A3915" s="92"/>
      <c r="B3915" s="93"/>
      <c r="C3915" s="92"/>
      <c r="D3915" s="93"/>
      <c r="E3915" s="92"/>
      <c r="F3915" s="92"/>
      <c r="G3915" s="92"/>
      <c r="H3915" s="92"/>
      <c r="I3915" s="92"/>
      <c r="J3915" s="92"/>
      <c r="K3915" s="92"/>
      <c r="L3915" s="92"/>
      <c r="M3915" s="92"/>
      <c r="N3915" s="94"/>
      <c r="AG3915" s="107"/>
      <c r="AH3915" s="107"/>
      <c r="AI3915" s="107"/>
      <c r="AJ3915" s="117"/>
      <c r="AK3915" s="107"/>
      <c r="AL3915" s="107"/>
      <c r="AM3915" s="107"/>
      <c r="AN3915" s="107"/>
      <c r="AO3915" s="107"/>
      <c r="AP3915" s="107"/>
      <c r="AQ3915" s="107"/>
      <c r="AR3915" s="107"/>
      <c r="AS3915" s="107"/>
      <c r="AT3915" s="107"/>
      <c r="AZ3915" s="117"/>
      <c r="BK3915" s="39"/>
    </row>
    <row r="3916" spans="1:63" x14ac:dyDescent="0.25">
      <c r="A3916" s="92"/>
      <c r="B3916" s="93"/>
      <c r="C3916" s="93"/>
      <c r="D3916" s="92"/>
      <c r="E3916" s="92"/>
      <c r="F3916" s="92"/>
      <c r="G3916" s="92"/>
      <c r="H3916" s="92"/>
      <c r="I3916" s="92"/>
      <c r="J3916" s="92"/>
      <c r="K3916" s="92"/>
      <c r="L3916" s="92"/>
      <c r="M3916" s="92"/>
      <c r="N3916" s="94"/>
      <c r="AG3916" s="107"/>
      <c r="AH3916" s="107"/>
      <c r="AI3916" s="107"/>
      <c r="AJ3916" s="117"/>
      <c r="AK3916" s="107"/>
      <c r="AL3916" s="107"/>
      <c r="AM3916" s="107"/>
      <c r="AN3916" s="107"/>
      <c r="AO3916" s="107"/>
      <c r="AP3916" s="107"/>
      <c r="AQ3916" s="107"/>
      <c r="AR3916" s="107"/>
      <c r="AS3916" s="107"/>
      <c r="AT3916" s="107"/>
      <c r="AZ3916" s="117"/>
      <c r="BK3916" s="39"/>
    </row>
    <row r="3917" spans="1:63" x14ac:dyDescent="0.25">
      <c r="A3917" s="92"/>
      <c r="B3917" s="93"/>
      <c r="C3917" s="93"/>
      <c r="D3917" s="92"/>
      <c r="E3917" s="92"/>
      <c r="F3917" s="92"/>
      <c r="G3917" s="92"/>
      <c r="H3917" s="92"/>
      <c r="I3917" s="92"/>
      <c r="J3917" s="92"/>
      <c r="K3917" s="92"/>
      <c r="L3917" s="92"/>
      <c r="M3917" s="92"/>
      <c r="N3917" s="94"/>
      <c r="AG3917" s="107"/>
      <c r="AH3917" s="107"/>
      <c r="AI3917" s="107"/>
      <c r="AJ3917" s="11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Z3917" s="117"/>
      <c r="BK3917" s="39"/>
    </row>
    <row r="3918" spans="1:63" x14ac:dyDescent="0.25">
      <c r="A3918" s="92"/>
      <c r="B3918" s="92"/>
      <c r="C3918" s="92"/>
      <c r="D3918" s="92"/>
      <c r="E3918" s="92"/>
      <c r="F3918" s="92"/>
      <c r="G3918" s="92"/>
      <c r="H3918" s="92"/>
      <c r="I3918" s="92"/>
      <c r="J3918" s="92"/>
      <c r="K3918" s="92"/>
      <c r="L3918" s="92"/>
      <c r="M3918" s="92"/>
      <c r="N3918" s="92"/>
      <c r="AG3918" s="107"/>
      <c r="AH3918" s="107"/>
      <c r="AI3918" s="107"/>
      <c r="AJ3918" s="117"/>
      <c r="AK3918" s="107"/>
      <c r="AL3918" s="107"/>
      <c r="AM3918" s="107"/>
      <c r="AN3918" s="107"/>
      <c r="AO3918" s="107"/>
      <c r="AP3918" s="107"/>
      <c r="AQ3918" s="107"/>
      <c r="AR3918" s="107"/>
      <c r="AS3918" s="107"/>
      <c r="AT3918" s="107"/>
      <c r="AZ3918" s="117"/>
      <c r="BK3918" s="39"/>
    </row>
    <row r="3919" spans="1:63" x14ac:dyDescent="0.25">
      <c r="A3919" s="92"/>
      <c r="B3919" s="93"/>
      <c r="C3919" s="93"/>
      <c r="D3919" s="92"/>
      <c r="E3919" s="92"/>
      <c r="F3919" s="92"/>
      <c r="G3919" s="92"/>
      <c r="H3919" s="92"/>
      <c r="I3919" s="92"/>
      <c r="J3919" s="92"/>
      <c r="K3919" s="92"/>
      <c r="L3919" s="92"/>
      <c r="M3919" s="92"/>
      <c r="N3919" s="94"/>
      <c r="AG3919" s="107"/>
      <c r="AH3919" s="117"/>
      <c r="AI3919" s="117"/>
      <c r="AJ3919" s="107"/>
      <c r="AK3919" s="107"/>
      <c r="AL3919" s="107"/>
      <c r="AM3919" s="107"/>
      <c r="AN3919" s="107"/>
      <c r="AO3919" s="107"/>
      <c r="AP3919" s="107"/>
      <c r="AQ3919" s="107"/>
      <c r="AR3919" s="107"/>
      <c r="AS3919" s="107"/>
      <c r="AT3919" s="39"/>
      <c r="AZ3919" s="117"/>
      <c r="BK3919" s="39"/>
    </row>
    <row r="3920" spans="1:63" x14ac:dyDescent="0.25">
      <c r="A3920" s="92"/>
      <c r="B3920" s="93"/>
      <c r="C3920" s="93"/>
      <c r="D3920" s="92"/>
      <c r="E3920" s="92"/>
      <c r="F3920" s="92"/>
      <c r="G3920" s="92"/>
      <c r="H3920" s="92"/>
      <c r="I3920" s="92"/>
      <c r="J3920" s="92"/>
      <c r="K3920" s="92"/>
      <c r="L3920" s="92"/>
      <c r="M3920" s="92"/>
      <c r="N3920" s="94"/>
      <c r="AG3920" s="107"/>
      <c r="AH3920" s="117"/>
      <c r="AI3920" s="117"/>
      <c r="AJ3920" s="107"/>
      <c r="AK3920" s="107"/>
      <c r="AL3920" s="107"/>
      <c r="AM3920" s="107"/>
      <c r="AN3920" s="107"/>
      <c r="AO3920" s="107"/>
      <c r="AP3920" s="107"/>
      <c r="AQ3920" s="107"/>
      <c r="AR3920" s="107"/>
      <c r="AS3920" s="107"/>
      <c r="AT3920" s="39"/>
    </row>
    <row r="3921" spans="1:63" x14ac:dyDescent="0.25">
      <c r="A3921" s="92"/>
      <c r="B3921" s="92"/>
      <c r="C3921" s="92"/>
      <c r="D3921" s="92"/>
      <c r="E3921" s="92"/>
      <c r="F3921" s="92"/>
      <c r="G3921" s="92"/>
      <c r="H3921" s="92"/>
      <c r="I3921" s="92"/>
      <c r="J3921" s="92"/>
      <c r="K3921" s="92"/>
      <c r="L3921" s="92"/>
      <c r="M3921" s="92"/>
      <c r="N3921" s="92"/>
      <c r="AG3921" s="107"/>
      <c r="AH3921" s="117"/>
      <c r="AI3921" s="117"/>
      <c r="AJ3921" s="107"/>
      <c r="AK3921" s="107"/>
      <c r="AL3921" s="107"/>
      <c r="AM3921" s="107"/>
      <c r="AN3921" s="107"/>
      <c r="AO3921" s="107"/>
      <c r="AP3921" s="107"/>
      <c r="AQ3921" s="107"/>
      <c r="AR3921" s="107"/>
      <c r="AS3921" s="107"/>
      <c r="AT3921" s="39"/>
    </row>
    <row r="3922" spans="1:63" x14ac:dyDescent="0.25">
      <c r="A3922" s="92"/>
      <c r="B3922" s="92"/>
      <c r="C3922" s="92"/>
      <c r="D3922" s="92"/>
      <c r="E3922" s="92"/>
      <c r="F3922" s="92"/>
      <c r="G3922" s="92"/>
      <c r="H3922" s="92"/>
      <c r="I3922" s="92"/>
      <c r="J3922" s="92"/>
      <c r="K3922" s="92"/>
      <c r="L3922" s="92"/>
      <c r="M3922" s="92"/>
      <c r="N3922" s="92"/>
      <c r="AG3922" s="107"/>
      <c r="AH3922" s="107"/>
      <c r="AI3922" s="107"/>
      <c r="AJ3922" s="107"/>
      <c r="AK3922" s="107"/>
      <c r="AL3922" s="107"/>
      <c r="AM3922" s="107"/>
      <c r="AN3922" s="107"/>
      <c r="AO3922" s="107"/>
      <c r="AP3922" s="107"/>
      <c r="AQ3922" s="107"/>
      <c r="AR3922" s="107"/>
      <c r="AS3922" s="107"/>
      <c r="AT3922" s="107"/>
    </row>
    <row r="3923" spans="1:63" x14ac:dyDescent="0.25">
      <c r="A3923" s="92"/>
      <c r="B3923" s="92"/>
      <c r="C3923" s="92"/>
      <c r="D3923" s="92"/>
      <c r="E3923" s="92"/>
      <c r="F3923" s="92"/>
      <c r="G3923" s="92"/>
      <c r="H3923" s="92"/>
      <c r="I3923" s="92"/>
      <c r="J3923" s="92"/>
      <c r="K3923" s="92"/>
      <c r="L3923" s="92"/>
      <c r="M3923" s="92"/>
      <c r="N3923" s="92"/>
      <c r="AG3923" s="107"/>
      <c r="AH3923" s="107"/>
      <c r="AI3923" s="107"/>
      <c r="AJ3923" s="107"/>
      <c r="AK3923" s="107"/>
      <c r="AL3923" s="107"/>
      <c r="AM3923" s="107"/>
      <c r="AN3923" s="107"/>
      <c r="AO3923" s="107"/>
      <c r="AP3923" s="107"/>
      <c r="AQ3923" s="107"/>
      <c r="AR3923" s="107"/>
      <c r="AS3923" s="107"/>
      <c r="AT3923" s="107"/>
    </row>
    <row r="3924" spans="1:63" x14ac:dyDescent="0.25">
      <c r="A3924" s="92"/>
      <c r="B3924" s="93"/>
      <c r="C3924" s="93"/>
      <c r="D3924" s="92"/>
      <c r="E3924" s="92"/>
      <c r="F3924" s="92"/>
      <c r="G3924" s="92"/>
      <c r="H3924" s="92"/>
      <c r="I3924" s="92"/>
      <c r="J3924" s="92"/>
      <c r="K3924" s="92"/>
      <c r="L3924" s="92"/>
      <c r="M3924" s="92"/>
      <c r="N3924" s="94"/>
      <c r="AG3924" s="107"/>
      <c r="AH3924" s="107"/>
      <c r="AI3924" s="107"/>
      <c r="AJ3924" s="107"/>
      <c r="AK3924" s="107"/>
      <c r="AL3924" s="107"/>
      <c r="AM3924" s="107"/>
      <c r="AN3924" s="107"/>
      <c r="AO3924" s="107"/>
      <c r="AP3924" s="107"/>
      <c r="AQ3924" s="107"/>
      <c r="AR3924" s="107"/>
      <c r="AS3924" s="107"/>
      <c r="AT3924" s="107"/>
      <c r="AZ3924" s="117"/>
      <c r="BK3924" s="39"/>
    </row>
    <row r="3925" spans="1:63" x14ac:dyDescent="0.25">
      <c r="A3925" s="92"/>
      <c r="B3925" s="93"/>
      <c r="C3925" s="93"/>
      <c r="D3925" s="93"/>
      <c r="E3925" s="92"/>
      <c r="F3925" s="92"/>
      <c r="G3925" s="92"/>
      <c r="H3925" s="92"/>
      <c r="I3925" s="92"/>
      <c r="J3925" s="92"/>
      <c r="K3925" s="92"/>
      <c r="L3925" s="92"/>
      <c r="M3925" s="92"/>
      <c r="N3925" s="94"/>
      <c r="AG3925" s="107"/>
      <c r="AH3925" s="107"/>
      <c r="AI3925" s="107"/>
      <c r="AJ3925" s="107"/>
      <c r="AK3925" s="107"/>
      <c r="AL3925" s="107"/>
      <c r="AM3925" s="107"/>
      <c r="AN3925" s="107"/>
      <c r="AO3925" s="107"/>
      <c r="AP3925" s="107"/>
      <c r="AQ3925" s="107"/>
      <c r="AR3925" s="107"/>
      <c r="AS3925" s="107"/>
      <c r="AT3925" s="107"/>
    </row>
    <row r="3926" spans="1:63" x14ac:dyDescent="0.25">
      <c r="A3926" s="92"/>
      <c r="B3926" s="92"/>
      <c r="C3926" s="92"/>
      <c r="D3926" s="92"/>
      <c r="E3926" s="92"/>
      <c r="F3926" s="92"/>
      <c r="G3926" s="92"/>
      <c r="H3926" s="92"/>
      <c r="I3926" s="92"/>
      <c r="J3926" s="92"/>
      <c r="K3926" s="92"/>
      <c r="L3926" s="92"/>
      <c r="M3926" s="92"/>
      <c r="N3926" s="92"/>
      <c r="AG3926" s="107"/>
      <c r="AH3926" s="107"/>
      <c r="AI3926" s="107"/>
      <c r="AJ3926" s="107"/>
      <c r="AK3926" s="107"/>
      <c r="AL3926" s="107"/>
      <c r="AM3926" s="107"/>
      <c r="AN3926" s="107"/>
      <c r="AO3926" s="107"/>
      <c r="AP3926" s="107"/>
      <c r="AQ3926" s="107"/>
      <c r="AR3926" s="107"/>
      <c r="AS3926" s="107"/>
      <c r="AT3926" s="107"/>
      <c r="AZ3926" s="117"/>
      <c r="BK3926" s="39"/>
    </row>
    <row r="3927" spans="1:63" x14ac:dyDescent="0.25">
      <c r="A3927" s="92"/>
      <c r="B3927" s="93"/>
      <c r="C3927" s="93"/>
      <c r="D3927" s="93"/>
      <c r="E3927" s="92"/>
      <c r="F3927" s="92"/>
      <c r="G3927" s="92"/>
      <c r="H3927" s="92"/>
      <c r="I3927" s="92"/>
      <c r="J3927" s="92"/>
      <c r="K3927" s="92"/>
      <c r="L3927" s="92"/>
      <c r="M3927" s="92"/>
      <c r="N3927" s="94"/>
      <c r="AG3927" s="107"/>
      <c r="AH3927" s="107"/>
      <c r="AI3927" s="107"/>
      <c r="AJ3927" s="107"/>
      <c r="AK3927" s="107"/>
      <c r="AL3927" s="107"/>
      <c r="AM3927" s="107"/>
      <c r="AN3927" s="107"/>
      <c r="AO3927" s="107"/>
      <c r="AP3927" s="107"/>
      <c r="AQ3927" s="107"/>
      <c r="AR3927" s="107"/>
      <c r="AS3927" s="107"/>
      <c r="AT3927" s="107"/>
      <c r="AZ3927" s="117"/>
      <c r="BK3927" s="39"/>
    </row>
    <row r="3928" spans="1:63" x14ac:dyDescent="0.25">
      <c r="A3928" s="92"/>
      <c r="B3928" s="92"/>
      <c r="C3928" s="92"/>
      <c r="D3928" s="93"/>
      <c r="E3928" s="92"/>
      <c r="F3928" s="92"/>
      <c r="G3928" s="92"/>
      <c r="H3928" s="92"/>
      <c r="I3928" s="92"/>
      <c r="J3928" s="92"/>
      <c r="K3928" s="92"/>
      <c r="L3928" s="92"/>
      <c r="M3928" s="92"/>
      <c r="N3928" s="92"/>
      <c r="AG3928" s="107"/>
      <c r="AH3928" s="107"/>
      <c r="AI3928" s="107"/>
      <c r="AJ3928" s="107"/>
      <c r="AK3928" s="107"/>
      <c r="AL3928" s="107"/>
      <c r="AM3928" s="107"/>
      <c r="AN3928" s="107"/>
      <c r="AO3928" s="107"/>
      <c r="AP3928" s="107"/>
      <c r="AQ3928" s="107"/>
      <c r="AR3928" s="107"/>
      <c r="AS3928" s="107"/>
      <c r="AT3928" s="107"/>
    </row>
    <row r="3929" spans="1:63" x14ac:dyDescent="0.25">
      <c r="A3929" s="92"/>
      <c r="B3929" s="93"/>
      <c r="C3929" s="93"/>
      <c r="D3929" s="92"/>
      <c r="E3929" s="92"/>
      <c r="F3929" s="92"/>
      <c r="G3929" s="92"/>
      <c r="H3929" s="92"/>
      <c r="I3929" s="92"/>
      <c r="J3929" s="92"/>
      <c r="K3929" s="92"/>
      <c r="L3929" s="92"/>
      <c r="M3929" s="92"/>
      <c r="N3929" s="94"/>
      <c r="AG3929" s="107"/>
      <c r="AH3929" s="107"/>
      <c r="AI3929" s="107"/>
      <c r="AJ3929" s="107"/>
      <c r="AK3929" s="107"/>
      <c r="AL3929" s="107"/>
      <c r="AM3929" s="107"/>
      <c r="AN3929" s="107"/>
      <c r="AO3929" s="107"/>
      <c r="AP3929" s="107"/>
      <c r="AQ3929" s="107"/>
      <c r="AR3929" s="107"/>
      <c r="AS3929" s="107"/>
      <c r="AT3929" s="107"/>
      <c r="AZ3929" s="117"/>
      <c r="BK3929" s="39"/>
    </row>
    <row r="3930" spans="1:63" x14ac:dyDescent="0.25">
      <c r="A3930" s="92"/>
      <c r="B3930" s="93"/>
      <c r="C3930" s="93"/>
      <c r="D3930" s="92"/>
      <c r="E3930" s="92"/>
      <c r="F3930" s="92"/>
      <c r="G3930" s="92"/>
      <c r="H3930" s="92"/>
      <c r="I3930" s="92"/>
      <c r="J3930" s="92"/>
      <c r="K3930" s="92"/>
      <c r="L3930" s="92"/>
      <c r="M3930" s="92"/>
      <c r="N3930" s="94"/>
      <c r="AG3930" s="107"/>
      <c r="AH3930" s="107"/>
      <c r="AI3930" s="107"/>
      <c r="AJ3930" s="107"/>
      <c r="AK3930" s="107"/>
      <c r="AL3930" s="107"/>
      <c r="AM3930" s="107"/>
      <c r="AN3930" s="107"/>
      <c r="AO3930" s="107"/>
      <c r="AP3930" s="107"/>
      <c r="AQ3930" s="107"/>
      <c r="AR3930" s="107"/>
      <c r="AS3930" s="107"/>
      <c r="AT3930" s="107"/>
    </row>
    <row r="3931" spans="1:63" x14ac:dyDescent="0.25">
      <c r="A3931" s="92"/>
      <c r="B3931" s="93"/>
      <c r="C3931" s="93"/>
      <c r="D3931" s="92"/>
      <c r="E3931" s="92"/>
      <c r="F3931" s="92"/>
      <c r="G3931" s="92"/>
      <c r="H3931" s="92"/>
      <c r="I3931" s="92"/>
      <c r="J3931" s="92"/>
      <c r="K3931" s="92"/>
      <c r="L3931" s="92"/>
      <c r="M3931" s="92"/>
      <c r="N3931" s="94"/>
      <c r="AG3931" s="107"/>
      <c r="AH3931" s="107"/>
      <c r="AI3931" s="107"/>
      <c r="AJ3931" s="107"/>
      <c r="AK3931" s="107"/>
      <c r="AL3931" s="107"/>
      <c r="AM3931" s="107"/>
      <c r="AN3931" s="107"/>
      <c r="AO3931" s="107"/>
      <c r="AP3931" s="107"/>
      <c r="AQ3931" s="107"/>
      <c r="AR3931" s="107"/>
      <c r="AS3931" s="107"/>
      <c r="AT3931" s="107"/>
    </row>
    <row r="3932" spans="1:63" x14ac:dyDescent="0.25">
      <c r="A3932" s="92"/>
      <c r="B3932" s="93"/>
      <c r="C3932" s="93"/>
      <c r="D3932" s="92"/>
      <c r="E3932" s="92"/>
      <c r="F3932" s="92"/>
      <c r="G3932" s="92"/>
      <c r="H3932" s="92"/>
      <c r="I3932" s="92"/>
      <c r="J3932" s="92"/>
      <c r="K3932" s="92"/>
      <c r="L3932" s="92"/>
      <c r="M3932" s="92"/>
      <c r="N3932" s="94"/>
      <c r="AG3932" s="107"/>
      <c r="AH3932" s="107"/>
      <c r="AI3932" s="107"/>
      <c r="AJ3932" s="107"/>
      <c r="AK3932" s="107"/>
      <c r="AL3932" s="107"/>
      <c r="AM3932" s="107"/>
      <c r="AN3932" s="107"/>
      <c r="AO3932" s="107"/>
      <c r="AP3932" s="107"/>
      <c r="AQ3932" s="107"/>
      <c r="AR3932" s="107"/>
      <c r="AS3932" s="107"/>
      <c r="AT3932" s="107"/>
    </row>
    <row r="3933" spans="1:63" x14ac:dyDescent="0.25">
      <c r="A3933" s="92"/>
      <c r="B3933" s="93"/>
      <c r="C3933" s="93"/>
      <c r="D3933" s="92"/>
      <c r="E3933" s="92"/>
      <c r="F3933" s="92"/>
      <c r="G3933" s="92"/>
      <c r="H3933" s="92"/>
      <c r="I3933" s="92"/>
      <c r="J3933" s="92"/>
      <c r="K3933" s="92"/>
      <c r="L3933" s="92"/>
      <c r="M3933" s="92"/>
      <c r="N3933" s="94"/>
      <c r="AG3933" s="107"/>
      <c r="AH3933" s="107"/>
      <c r="AI3933" s="107"/>
      <c r="AJ3933" s="107"/>
      <c r="AK3933" s="107"/>
      <c r="AL3933" s="107"/>
      <c r="AM3933" s="107"/>
      <c r="AN3933" s="107"/>
      <c r="AO3933" s="107"/>
      <c r="AP3933" s="107"/>
      <c r="AQ3933" s="107"/>
      <c r="AR3933" s="107"/>
      <c r="AS3933" s="107"/>
      <c r="AT3933" s="107"/>
      <c r="AZ3933" s="117"/>
      <c r="BK3933" s="39"/>
    </row>
    <row r="3934" spans="1:63" x14ac:dyDescent="0.25">
      <c r="A3934" s="92"/>
      <c r="B3934" s="93"/>
      <c r="C3934" s="93"/>
      <c r="D3934" s="92"/>
      <c r="E3934" s="92"/>
      <c r="F3934" s="92"/>
      <c r="G3934" s="92"/>
      <c r="H3934" s="92"/>
      <c r="I3934" s="92"/>
      <c r="J3934" s="92"/>
      <c r="K3934" s="92"/>
      <c r="L3934" s="92"/>
      <c r="M3934" s="92"/>
      <c r="N3934" s="94"/>
      <c r="AG3934" s="107"/>
      <c r="AH3934" s="107"/>
      <c r="AI3934" s="107"/>
      <c r="AJ3934" s="107"/>
      <c r="AK3934" s="107"/>
      <c r="AL3934" s="107"/>
      <c r="AM3934" s="107"/>
      <c r="AN3934" s="107"/>
      <c r="AO3934" s="107"/>
      <c r="AP3934" s="107"/>
      <c r="AQ3934" s="107"/>
      <c r="AR3934" s="107"/>
      <c r="AS3934" s="107"/>
      <c r="AT3934" s="107"/>
      <c r="AZ3934" s="117"/>
      <c r="BK3934" s="39"/>
    </row>
    <row r="3935" spans="1:63" x14ac:dyDescent="0.25">
      <c r="A3935" s="92"/>
      <c r="B3935" s="93"/>
      <c r="C3935" s="93"/>
      <c r="D3935" s="92"/>
      <c r="E3935" s="92"/>
      <c r="F3935" s="92"/>
      <c r="G3935" s="92"/>
      <c r="H3935" s="92"/>
      <c r="I3935" s="92"/>
      <c r="J3935" s="92"/>
      <c r="K3935" s="92"/>
      <c r="L3935" s="92"/>
      <c r="M3935" s="92"/>
      <c r="N3935" s="94"/>
      <c r="AG3935" s="107"/>
      <c r="AH3935" s="117"/>
      <c r="AI3935" s="117"/>
      <c r="AJ3935" s="107"/>
      <c r="AK3935" s="107"/>
      <c r="AL3935" s="107"/>
      <c r="AM3935" s="107"/>
      <c r="AN3935" s="107"/>
      <c r="AO3935" s="107"/>
      <c r="AP3935" s="107"/>
      <c r="AQ3935" s="107"/>
      <c r="AR3935" s="107"/>
      <c r="AS3935" s="107"/>
      <c r="AT3935" s="39"/>
      <c r="AZ3935" s="117"/>
      <c r="BA3935" s="117"/>
      <c r="BK3935" s="39"/>
    </row>
    <row r="3936" spans="1:63" x14ac:dyDescent="0.25">
      <c r="A3936" s="92"/>
      <c r="B3936" s="92"/>
      <c r="C3936" s="92"/>
      <c r="D3936" s="92"/>
      <c r="E3936" s="92"/>
      <c r="F3936" s="92"/>
      <c r="G3936" s="92"/>
      <c r="H3936" s="92"/>
      <c r="I3936" s="92"/>
      <c r="J3936" s="92"/>
      <c r="K3936" s="92"/>
      <c r="L3936" s="92"/>
      <c r="M3936" s="92"/>
      <c r="N3936" s="92"/>
      <c r="AG3936" s="107"/>
      <c r="AH3936" s="117"/>
      <c r="AI3936" s="117"/>
      <c r="AJ3936" s="117"/>
      <c r="AK3936" s="107"/>
      <c r="AL3936" s="107"/>
      <c r="AM3936" s="107"/>
      <c r="AN3936" s="107"/>
      <c r="AO3936" s="107"/>
      <c r="AP3936" s="107"/>
      <c r="AQ3936" s="107"/>
      <c r="AR3936" s="107"/>
      <c r="AS3936" s="107"/>
      <c r="AT3936" s="39"/>
    </row>
    <row r="3937" spans="1:63" x14ac:dyDescent="0.25">
      <c r="A3937" s="92"/>
      <c r="B3937" s="92"/>
      <c r="C3937" s="92"/>
      <c r="D3937" s="92"/>
      <c r="E3937" s="92"/>
      <c r="F3937" s="92"/>
      <c r="G3937" s="92"/>
      <c r="H3937" s="92"/>
      <c r="I3937" s="92"/>
      <c r="J3937" s="92"/>
      <c r="K3937" s="92"/>
      <c r="L3937" s="92"/>
      <c r="M3937" s="92"/>
      <c r="N3937" s="92"/>
      <c r="AG3937" s="107"/>
      <c r="AH3937" s="107"/>
      <c r="AI3937" s="107"/>
      <c r="AJ3937" s="107"/>
      <c r="AK3937" s="107"/>
      <c r="AL3937" s="107"/>
      <c r="AM3937" s="107"/>
      <c r="AN3937" s="107"/>
      <c r="AO3937" s="107"/>
      <c r="AP3937" s="107"/>
      <c r="AQ3937" s="107"/>
      <c r="AR3937" s="107"/>
      <c r="AS3937" s="107"/>
      <c r="AT3937" s="107"/>
    </row>
    <row r="3938" spans="1:63" x14ac:dyDescent="0.25">
      <c r="A3938" s="92"/>
      <c r="B3938" s="92"/>
      <c r="C3938" s="92"/>
      <c r="D3938" s="92"/>
      <c r="E3938" s="92"/>
      <c r="F3938" s="92"/>
      <c r="G3938" s="92"/>
      <c r="H3938" s="92"/>
      <c r="I3938" s="92"/>
      <c r="J3938" s="92"/>
      <c r="K3938" s="92"/>
      <c r="L3938" s="92"/>
      <c r="M3938" s="92"/>
      <c r="N3938" s="92"/>
      <c r="AG3938" s="107"/>
      <c r="AH3938" s="117"/>
      <c r="AI3938" s="117"/>
      <c r="AJ3938" s="117"/>
      <c r="AK3938" s="107"/>
      <c r="AL3938" s="107"/>
      <c r="AM3938" s="107"/>
      <c r="AN3938" s="107"/>
      <c r="AO3938" s="107"/>
      <c r="AP3938" s="107"/>
      <c r="AQ3938" s="107"/>
      <c r="AR3938" s="107"/>
      <c r="AS3938" s="107"/>
      <c r="AT3938" s="39"/>
      <c r="AZ3938" s="117"/>
      <c r="BK3938" s="39"/>
    </row>
    <row r="3939" spans="1:63" x14ac:dyDescent="0.25">
      <c r="A3939" s="92"/>
      <c r="B3939" s="92"/>
      <c r="C3939" s="92"/>
      <c r="D3939" s="92"/>
      <c r="E3939" s="92"/>
      <c r="F3939" s="92"/>
      <c r="G3939" s="92"/>
      <c r="H3939" s="92"/>
      <c r="I3939" s="92"/>
      <c r="J3939" s="92"/>
      <c r="K3939" s="92"/>
      <c r="L3939" s="92"/>
      <c r="M3939" s="92"/>
      <c r="N3939" s="92"/>
      <c r="AG3939" s="107"/>
      <c r="AH3939" s="117"/>
      <c r="AI3939" s="117"/>
      <c r="AJ3939" s="107"/>
      <c r="AK3939" s="107"/>
      <c r="AL3939" s="107"/>
      <c r="AM3939" s="107"/>
      <c r="AN3939" s="107"/>
      <c r="AO3939" s="107"/>
      <c r="AP3939" s="107"/>
      <c r="AQ3939" s="107"/>
      <c r="AR3939" s="107"/>
      <c r="AS3939" s="107"/>
      <c r="AT3939" s="39"/>
    </row>
    <row r="3940" spans="1:63" x14ac:dyDescent="0.25">
      <c r="A3940" s="92"/>
      <c r="B3940" s="93"/>
      <c r="C3940" s="93"/>
      <c r="D3940" s="92"/>
      <c r="E3940" s="92"/>
      <c r="F3940" s="92"/>
      <c r="G3940" s="92"/>
      <c r="H3940" s="92"/>
      <c r="I3940" s="92"/>
      <c r="J3940" s="92"/>
      <c r="K3940" s="92"/>
      <c r="L3940" s="92"/>
      <c r="M3940" s="92"/>
      <c r="N3940" s="94"/>
      <c r="AG3940" s="107"/>
      <c r="AH3940" s="117"/>
      <c r="AI3940" s="117"/>
      <c r="AJ3940" s="107"/>
      <c r="AK3940" s="107"/>
      <c r="AL3940" s="107"/>
      <c r="AM3940" s="107"/>
      <c r="AN3940" s="107"/>
      <c r="AO3940" s="107"/>
      <c r="AP3940" s="107"/>
      <c r="AQ3940" s="107"/>
      <c r="AR3940" s="107"/>
      <c r="AS3940" s="107"/>
      <c r="AT3940" s="39"/>
    </row>
    <row r="3941" spans="1:63" x14ac:dyDescent="0.25">
      <c r="A3941" s="92"/>
      <c r="B3941" s="92"/>
      <c r="C3941" s="92"/>
      <c r="D3941" s="92"/>
      <c r="E3941" s="92"/>
      <c r="F3941" s="92"/>
      <c r="G3941" s="92"/>
      <c r="H3941" s="92"/>
      <c r="I3941" s="92"/>
      <c r="J3941" s="92"/>
      <c r="K3941" s="92"/>
      <c r="L3941" s="92"/>
      <c r="M3941" s="92"/>
      <c r="N3941" s="92"/>
      <c r="AG3941" s="107"/>
      <c r="AH3941" s="107"/>
      <c r="AI3941" s="107"/>
      <c r="AJ3941" s="107"/>
      <c r="AK3941" s="107"/>
      <c r="AL3941" s="107"/>
      <c r="AM3941" s="107"/>
      <c r="AN3941" s="107"/>
      <c r="AO3941" s="107"/>
      <c r="AP3941" s="107"/>
      <c r="AQ3941" s="107"/>
      <c r="AR3941" s="107"/>
      <c r="AS3941" s="107"/>
      <c r="AT3941" s="107"/>
      <c r="AZ3941" s="117"/>
      <c r="BK3941" s="39"/>
    </row>
    <row r="3942" spans="1:63" x14ac:dyDescent="0.25">
      <c r="A3942" s="92"/>
      <c r="B3942" s="93"/>
      <c r="C3942" s="93"/>
      <c r="D3942" s="92"/>
      <c r="E3942" s="92"/>
      <c r="F3942" s="92"/>
      <c r="G3942" s="92"/>
      <c r="H3942" s="92"/>
      <c r="I3942" s="92"/>
      <c r="J3942" s="92"/>
      <c r="K3942" s="92"/>
      <c r="L3942" s="92"/>
      <c r="M3942" s="92"/>
      <c r="N3942" s="94"/>
      <c r="AG3942" s="107"/>
      <c r="AH3942" s="107"/>
      <c r="AI3942" s="107"/>
      <c r="AJ3942" s="107"/>
      <c r="AK3942" s="107"/>
      <c r="AL3942" s="107"/>
      <c r="AM3942" s="107"/>
      <c r="AN3942" s="107"/>
      <c r="AO3942" s="107"/>
      <c r="AP3942" s="107"/>
      <c r="AQ3942" s="107"/>
      <c r="AR3942" s="107"/>
      <c r="AS3942" s="107"/>
      <c r="AT3942" s="107"/>
      <c r="AZ3942" s="117"/>
      <c r="BK3942" s="39"/>
    </row>
    <row r="3943" spans="1:63" x14ac:dyDescent="0.25">
      <c r="A3943" s="92"/>
      <c r="B3943" s="93"/>
      <c r="C3943" s="93"/>
      <c r="D3943" s="92"/>
      <c r="E3943" s="92"/>
      <c r="F3943" s="92"/>
      <c r="G3943" s="92"/>
      <c r="H3943" s="92"/>
      <c r="I3943" s="92"/>
      <c r="J3943" s="92"/>
      <c r="K3943" s="92"/>
      <c r="L3943" s="92"/>
      <c r="M3943" s="92"/>
      <c r="N3943" s="94"/>
      <c r="AG3943" s="107"/>
      <c r="AH3943" s="107"/>
      <c r="AI3943" s="107"/>
      <c r="AJ3943" s="107"/>
      <c r="AK3943" s="107"/>
      <c r="AL3943" s="107"/>
      <c r="AM3943" s="107"/>
      <c r="AN3943" s="107"/>
      <c r="AO3943" s="107"/>
      <c r="AP3943" s="107"/>
      <c r="AQ3943" s="107"/>
      <c r="AR3943" s="107"/>
      <c r="AS3943" s="107"/>
      <c r="AT3943" s="107"/>
    </row>
    <row r="3944" spans="1:63" x14ac:dyDescent="0.25">
      <c r="A3944" s="92"/>
      <c r="B3944" s="92"/>
      <c r="C3944" s="92"/>
      <c r="D3944" s="92"/>
      <c r="E3944" s="92"/>
      <c r="F3944" s="92"/>
      <c r="G3944" s="92"/>
      <c r="H3944" s="92"/>
      <c r="I3944" s="92"/>
      <c r="J3944" s="92"/>
      <c r="K3944" s="92"/>
      <c r="L3944" s="92"/>
      <c r="M3944" s="92"/>
      <c r="N3944" s="92"/>
      <c r="AG3944" s="107"/>
      <c r="AH3944" s="107"/>
      <c r="AI3944" s="107"/>
      <c r="AJ3944" s="107"/>
      <c r="AK3944" s="107"/>
      <c r="AL3944" s="107"/>
      <c r="AM3944" s="107"/>
      <c r="AN3944" s="107"/>
      <c r="AO3944" s="107"/>
      <c r="AP3944" s="107"/>
      <c r="AQ3944" s="107"/>
      <c r="AR3944" s="107"/>
      <c r="AS3944" s="107"/>
      <c r="AT3944" s="107"/>
      <c r="AZ3944" s="117"/>
      <c r="BK3944" s="39"/>
    </row>
    <row r="3945" spans="1:63" x14ac:dyDescent="0.25">
      <c r="A3945" s="92"/>
      <c r="B3945" s="93"/>
      <c r="C3945" s="93"/>
      <c r="D3945" s="92"/>
      <c r="E3945" s="92"/>
      <c r="F3945" s="92"/>
      <c r="G3945" s="92"/>
      <c r="H3945" s="92"/>
      <c r="I3945" s="92"/>
      <c r="J3945" s="92"/>
      <c r="K3945" s="92"/>
      <c r="L3945" s="92"/>
      <c r="M3945" s="92"/>
      <c r="N3945" s="94"/>
      <c r="AG3945" s="107"/>
      <c r="AH3945" s="107"/>
      <c r="AI3945" s="107"/>
      <c r="AJ3945" s="107"/>
      <c r="AK3945" s="107"/>
      <c r="AL3945" s="107"/>
      <c r="AM3945" s="107"/>
      <c r="AN3945" s="107"/>
      <c r="AO3945" s="107"/>
      <c r="AP3945" s="107"/>
      <c r="AQ3945" s="107"/>
      <c r="AR3945" s="107"/>
      <c r="AS3945" s="107"/>
      <c r="AT3945" s="107"/>
      <c r="AZ3945" s="117"/>
      <c r="BK3945" s="39"/>
    </row>
    <row r="3946" spans="1:63" x14ac:dyDescent="0.25">
      <c r="A3946" s="92"/>
      <c r="B3946" s="92"/>
      <c r="C3946" s="92"/>
      <c r="D3946" s="92"/>
      <c r="E3946" s="92"/>
      <c r="F3946" s="92"/>
      <c r="G3946" s="92"/>
      <c r="H3946" s="92"/>
      <c r="I3946" s="92"/>
      <c r="J3946" s="92"/>
      <c r="K3946" s="92"/>
      <c r="L3946" s="92"/>
      <c r="M3946" s="92"/>
      <c r="N3946" s="92"/>
      <c r="AG3946" s="107"/>
      <c r="AH3946" s="107"/>
      <c r="AI3946" s="107"/>
      <c r="AJ3946" s="107"/>
      <c r="AK3946" s="107"/>
      <c r="AL3946" s="107"/>
      <c r="AM3946" s="107"/>
      <c r="AN3946" s="107"/>
      <c r="AO3946" s="107"/>
      <c r="AP3946" s="107"/>
      <c r="AQ3946" s="107"/>
      <c r="AR3946" s="107"/>
      <c r="AS3946" s="107"/>
      <c r="AT3946" s="107"/>
      <c r="AZ3946" s="117"/>
      <c r="BK3946" s="39"/>
    </row>
    <row r="3947" spans="1:63" x14ac:dyDescent="0.25">
      <c r="A3947" s="92"/>
      <c r="B3947" s="92"/>
      <c r="C3947" s="92"/>
      <c r="D3947" s="92"/>
      <c r="E3947" s="92"/>
      <c r="F3947" s="92"/>
      <c r="G3947" s="92"/>
      <c r="H3947" s="92"/>
      <c r="I3947" s="92"/>
      <c r="J3947" s="92"/>
      <c r="K3947" s="92"/>
      <c r="L3947" s="92"/>
      <c r="M3947" s="92"/>
      <c r="N3947" s="92"/>
      <c r="AG3947" s="107"/>
      <c r="AH3947" s="107"/>
      <c r="AI3947" s="107"/>
      <c r="AJ3947" s="107"/>
      <c r="AK3947" s="107"/>
      <c r="AL3947" s="107"/>
      <c r="AM3947" s="107"/>
      <c r="AN3947" s="107"/>
      <c r="AO3947" s="107"/>
      <c r="AP3947" s="107"/>
      <c r="AQ3947" s="107"/>
      <c r="AR3947" s="107"/>
      <c r="AS3947" s="107"/>
      <c r="AT3947" s="107"/>
      <c r="AZ3947" s="117"/>
      <c r="BK3947" s="39"/>
    </row>
    <row r="3948" spans="1:63" x14ac:dyDescent="0.25">
      <c r="A3948" s="92"/>
      <c r="B3948" s="92"/>
      <c r="C3948" s="92"/>
      <c r="D3948" s="92"/>
      <c r="E3948" s="92"/>
      <c r="F3948" s="92"/>
      <c r="G3948" s="92"/>
      <c r="H3948" s="92"/>
      <c r="I3948" s="92"/>
      <c r="J3948" s="92"/>
      <c r="K3948" s="92"/>
      <c r="L3948" s="92"/>
      <c r="M3948" s="92"/>
      <c r="N3948" s="92"/>
      <c r="AG3948" s="107"/>
      <c r="AH3948" s="107"/>
      <c r="AI3948" s="107"/>
      <c r="AJ3948" s="107"/>
      <c r="AK3948" s="107"/>
      <c r="AL3948" s="107"/>
      <c r="AM3948" s="107"/>
      <c r="AN3948" s="107"/>
      <c r="AO3948" s="107"/>
      <c r="AP3948" s="107"/>
      <c r="AQ3948" s="107"/>
      <c r="AR3948" s="107"/>
      <c r="AS3948" s="107"/>
      <c r="AT3948" s="107"/>
      <c r="AZ3948" s="117"/>
      <c r="BK3948" s="39"/>
    </row>
    <row r="3949" spans="1:63" x14ac:dyDescent="0.25">
      <c r="A3949" s="92"/>
      <c r="B3949" s="93"/>
      <c r="C3949" s="93"/>
      <c r="D3949" s="92"/>
      <c r="E3949" s="92"/>
      <c r="F3949" s="92"/>
      <c r="G3949" s="92"/>
      <c r="H3949" s="92"/>
      <c r="I3949" s="92"/>
      <c r="J3949" s="92"/>
      <c r="K3949" s="92"/>
      <c r="L3949" s="92"/>
      <c r="M3949" s="92"/>
      <c r="N3949" s="94"/>
      <c r="AG3949" s="107"/>
      <c r="AH3949" s="107"/>
      <c r="AI3949" s="107"/>
      <c r="AJ3949" s="107"/>
      <c r="AK3949" s="107"/>
      <c r="AL3949" s="107"/>
      <c r="AM3949" s="107"/>
      <c r="AN3949" s="107"/>
      <c r="AO3949" s="107"/>
      <c r="AP3949" s="107"/>
      <c r="AQ3949" s="107"/>
      <c r="AR3949" s="107"/>
      <c r="AS3949" s="107"/>
      <c r="AT3949" s="107"/>
      <c r="AZ3949" s="117"/>
      <c r="BK3949" s="39"/>
    </row>
    <row r="3950" spans="1:63" x14ac:dyDescent="0.25">
      <c r="A3950" s="92"/>
      <c r="B3950" s="93"/>
      <c r="C3950" s="93"/>
      <c r="D3950" s="92"/>
      <c r="E3950" s="92"/>
      <c r="F3950" s="92"/>
      <c r="G3950" s="92"/>
      <c r="H3950" s="92"/>
      <c r="I3950" s="92"/>
      <c r="J3950" s="92"/>
      <c r="K3950" s="92"/>
      <c r="L3950" s="92"/>
      <c r="M3950" s="92"/>
      <c r="N3950" s="94"/>
      <c r="AG3950" s="107"/>
      <c r="AH3950" s="107"/>
      <c r="AI3950" s="107"/>
      <c r="AJ3950" s="107"/>
      <c r="AK3950" s="107"/>
      <c r="AL3950" s="107"/>
      <c r="AM3950" s="107"/>
      <c r="AN3950" s="107"/>
      <c r="AO3950" s="107"/>
      <c r="AP3950" s="107"/>
      <c r="AQ3950" s="107"/>
      <c r="AR3950" s="107"/>
      <c r="AS3950" s="107"/>
      <c r="AT3950" s="107"/>
    </row>
    <row r="3951" spans="1:63" x14ac:dyDescent="0.25">
      <c r="A3951" s="92"/>
      <c r="B3951" s="93"/>
      <c r="C3951" s="93"/>
      <c r="D3951" s="93"/>
      <c r="E3951" s="92"/>
      <c r="F3951" s="92"/>
      <c r="G3951" s="92"/>
      <c r="H3951" s="92"/>
      <c r="I3951" s="92"/>
      <c r="J3951" s="92"/>
      <c r="K3951" s="92"/>
      <c r="L3951" s="92"/>
      <c r="M3951" s="92"/>
      <c r="N3951" s="94"/>
      <c r="AG3951" s="107"/>
      <c r="AH3951" s="117"/>
      <c r="AI3951" s="117"/>
      <c r="AJ3951" s="117"/>
      <c r="AK3951" s="107"/>
      <c r="AL3951" s="107"/>
      <c r="AM3951" s="107"/>
      <c r="AN3951" s="107"/>
      <c r="AO3951" s="107"/>
      <c r="AP3951" s="107"/>
      <c r="AQ3951" s="107"/>
      <c r="AR3951" s="107"/>
      <c r="AS3951" s="107"/>
      <c r="AT3951" s="39"/>
      <c r="AZ3951" s="117"/>
      <c r="BK3951" s="39"/>
    </row>
    <row r="3952" spans="1:63" x14ac:dyDescent="0.25">
      <c r="A3952" s="92"/>
      <c r="B3952" s="92"/>
      <c r="C3952" s="92"/>
      <c r="D3952" s="92"/>
      <c r="E3952" s="92"/>
      <c r="F3952" s="92"/>
      <c r="G3952" s="92"/>
      <c r="H3952" s="92"/>
      <c r="I3952" s="92"/>
      <c r="J3952" s="92"/>
      <c r="K3952" s="92"/>
      <c r="L3952" s="92"/>
      <c r="M3952" s="92"/>
      <c r="N3952" s="92"/>
      <c r="AG3952" s="107"/>
      <c r="AH3952" s="107"/>
      <c r="AI3952" s="107"/>
      <c r="AJ3952" s="117"/>
      <c r="AK3952" s="107"/>
      <c r="AL3952" s="107"/>
      <c r="AM3952" s="107"/>
      <c r="AN3952" s="107"/>
      <c r="AO3952" s="107"/>
      <c r="AP3952" s="107"/>
      <c r="AQ3952" s="107"/>
      <c r="AR3952" s="107"/>
      <c r="AS3952" s="107"/>
      <c r="AT3952" s="107"/>
      <c r="AZ3952" s="117"/>
      <c r="BK3952" s="39"/>
    </row>
    <row r="3953" spans="1:63" x14ac:dyDescent="0.25">
      <c r="A3953" s="92"/>
      <c r="B3953" s="92"/>
      <c r="C3953" s="92"/>
      <c r="D3953" s="92"/>
      <c r="E3953" s="92"/>
      <c r="F3953" s="92"/>
      <c r="G3953" s="92"/>
      <c r="H3953" s="92"/>
      <c r="I3953" s="92"/>
      <c r="J3953" s="92"/>
      <c r="K3953" s="92"/>
      <c r="L3953" s="92"/>
      <c r="M3953" s="92"/>
      <c r="N3953" s="92"/>
      <c r="AG3953" s="107"/>
      <c r="AH3953" s="107"/>
      <c r="AI3953" s="107"/>
      <c r="AJ3953" s="117"/>
      <c r="AK3953" s="107"/>
      <c r="AL3953" s="107"/>
      <c r="AM3953" s="107"/>
      <c r="AN3953" s="107"/>
      <c r="AO3953" s="107"/>
      <c r="AP3953" s="107"/>
      <c r="AQ3953" s="107"/>
      <c r="AR3953" s="107"/>
      <c r="AS3953" s="107"/>
      <c r="AT3953" s="107"/>
      <c r="AZ3953" s="117"/>
      <c r="BK3953" s="39"/>
    </row>
    <row r="3954" spans="1:63" x14ac:dyDescent="0.25">
      <c r="A3954" s="92"/>
      <c r="B3954" s="93"/>
      <c r="C3954" s="93"/>
      <c r="D3954" s="92"/>
      <c r="E3954" s="92"/>
      <c r="F3954" s="92"/>
      <c r="G3954" s="92"/>
      <c r="H3954" s="92"/>
      <c r="I3954" s="92"/>
      <c r="J3954" s="92"/>
      <c r="K3954" s="92"/>
      <c r="L3954" s="92"/>
      <c r="M3954" s="92"/>
      <c r="N3954" s="94"/>
      <c r="AG3954" s="107"/>
      <c r="AH3954" s="107"/>
      <c r="AI3954" s="107"/>
      <c r="AJ3954" s="117"/>
      <c r="AK3954" s="107"/>
      <c r="AL3954" s="107"/>
      <c r="AM3954" s="107"/>
      <c r="AN3954" s="107"/>
      <c r="AO3954" s="107"/>
      <c r="AP3954" s="107"/>
      <c r="AQ3954" s="107"/>
      <c r="AR3954" s="107"/>
      <c r="AS3954" s="107"/>
      <c r="AT3954" s="107"/>
      <c r="AZ3954" s="117"/>
      <c r="BK3954" s="39"/>
    </row>
    <row r="3955" spans="1:63" x14ac:dyDescent="0.25">
      <c r="A3955" s="92"/>
      <c r="B3955" s="92"/>
      <c r="C3955" s="92"/>
      <c r="D3955" s="92"/>
      <c r="E3955" s="92"/>
      <c r="F3955" s="92"/>
      <c r="G3955" s="92"/>
      <c r="H3955" s="92"/>
      <c r="I3955" s="92"/>
      <c r="J3955" s="92"/>
      <c r="K3955" s="92"/>
      <c r="L3955" s="92"/>
      <c r="M3955" s="92"/>
      <c r="N3955" s="92"/>
      <c r="AG3955" s="107"/>
      <c r="AH3955" s="117"/>
      <c r="AI3955" s="117"/>
      <c r="AJ3955" s="117"/>
      <c r="AK3955" s="107"/>
      <c r="AL3955" s="107"/>
      <c r="AM3955" s="107"/>
      <c r="AN3955" s="107"/>
      <c r="AO3955" s="107"/>
      <c r="AP3955" s="107"/>
      <c r="AQ3955" s="107"/>
      <c r="AR3955" s="107"/>
      <c r="AS3955" s="107"/>
      <c r="AT3955" s="39"/>
      <c r="AZ3955" s="117"/>
      <c r="BK3955" s="39"/>
    </row>
    <row r="3956" spans="1:63" x14ac:dyDescent="0.25">
      <c r="A3956" s="92"/>
      <c r="B3956" s="92"/>
      <c r="C3956" s="92"/>
      <c r="D3956" s="92"/>
      <c r="E3956" s="92"/>
      <c r="F3956" s="92"/>
      <c r="G3956" s="92"/>
      <c r="H3956" s="92"/>
      <c r="I3956" s="92"/>
      <c r="J3956" s="92"/>
      <c r="K3956" s="92"/>
      <c r="L3956" s="92"/>
      <c r="M3956" s="92"/>
      <c r="N3956" s="92"/>
      <c r="AG3956" s="107"/>
      <c r="AH3956" s="107"/>
      <c r="AI3956" s="107"/>
      <c r="AJ3956" s="107"/>
      <c r="AK3956" s="107"/>
      <c r="AL3956" s="107"/>
      <c r="AM3956" s="107"/>
      <c r="AN3956" s="107"/>
      <c r="AO3956" s="107"/>
      <c r="AP3956" s="107"/>
      <c r="AQ3956" s="107"/>
      <c r="AR3956" s="107"/>
      <c r="AS3956" s="107"/>
      <c r="AT3956" s="107"/>
      <c r="AZ3956" s="117"/>
      <c r="BK3956" s="39"/>
    </row>
    <row r="3957" spans="1:63" x14ac:dyDescent="0.25">
      <c r="A3957" s="92"/>
      <c r="B3957" s="93"/>
      <c r="C3957" s="93"/>
      <c r="D3957" s="92"/>
      <c r="E3957" s="92"/>
      <c r="F3957" s="92"/>
      <c r="G3957" s="92"/>
      <c r="H3957" s="92"/>
      <c r="I3957" s="92"/>
      <c r="J3957" s="92"/>
      <c r="K3957" s="92"/>
      <c r="L3957" s="92"/>
      <c r="M3957" s="92"/>
      <c r="N3957" s="94"/>
      <c r="AG3957" s="107"/>
      <c r="AH3957" s="117"/>
      <c r="AI3957" s="117"/>
      <c r="AJ3957" s="107"/>
      <c r="AK3957" s="107"/>
      <c r="AL3957" s="107"/>
      <c r="AM3957" s="107"/>
      <c r="AN3957" s="107"/>
      <c r="AO3957" s="107"/>
      <c r="AP3957" s="107"/>
      <c r="AQ3957" s="107"/>
      <c r="AR3957" s="107"/>
      <c r="AS3957" s="107"/>
      <c r="AT3957" s="39"/>
      <c r="AZ3957" s="117"/>
      <c r="BA3957" s="117"/>
      <c r="BK3957" s="39"/>
    </row>
    <row r="3958" spans="1:63" x14ac:dyDescent="0.25">
      <c r="A3958" s="92"/>
      <c r="B3958" s="93"/>
      <c r="C3958" s="93"/>
      <c r="D3958" s="92"/>
      <c r="E3958" s="92"/>
      <c r="F3958" s="92"/>
      <c r="G3958" s="92"/>
      <c r="H3958" s="92"/>
      <c r="I3958" s="92"/>
      <c r="J3958" s="92"/>
      <c r="K3958" s="92"/>
      <c r="L3958" s="92"/>
      <c r="M3958" s="92"/>
      <c r="N3958" s="94"/>
      <c r="AG3958" s="107"/>
      <c r="AH3958" s="117"/>
      <c r="AI3958" s="117"/>
      <c r="AJ3958" s="107"/>
      <c r="AK3958" s="107"/>
      <c r="AL3958" s="107"/>
      <c r="AM3958" s="107"/>
      <c r="AN3958" s="107"/>
      <c r="AO3958" s="107"/>
      <c r="AP3958" s="107"/>
      <c r="AQ3958" s="107"/>
      <c r="AR3958" s="107"/>
      <c r="AS3958" s="107"/>
      <c r="AT3958" s="39"/>
    </row>
    <row r="3959" spans="1:63" x14ac:dyDescent="0.25">
      <c r="A3959" s="92"/>
      <c r="B3959" s="92"/>
      <c r="C3959" s="92"/>
      <c r="D3959" s="92"/>
      <c r="E3959" s="92"/>
      <c r="F3959" s="92"/>
      <c r="G3959" s="92"/>
      <c r="H3959" s="92"/>
      <c r="I3959" s="92"/>
      <c r="J3959" s="92"/>
      <c r="K3959" s="92"/>
      <c r="L3959" s="92"/>
      <c r="M3959" s="92"/>
      <c r="N3959" s="92"/>
      <c r="AG3959" s="107"/>
      <c r="AH3959" s="117"/>
      <c r="AI3959" s="117"/>
      <c r="AJ3959" s="107"/>
      <c r="AK3959" s="107"/>
      <c r="AL3959" s="107"/>
      <c r="AM3959" s="107"/>
      <c r="AN3959" s="107"/>
      <c r="AO3959" s="107"/>
      <c r="AP3959" s="107"/>
      <c r="AQ3959" s="107"/>
      <c r="AR3959" s="107"/>
      <c r="AS3959" s="107"/>
      <c r="AT3959" s="39"/>
      <c r="AZ3959" s="117"/>
      <c r="BK3959" s="39"/>
    </row>
    <row r="3960" spans="1:63" x14ac:dyDescent="0.25">
      <c r="A3960" s="92"/>
      <c r="B3960" s="93"/>
      <c r="C3960" s="93"/>
      <c r="D3960" s="92"/>
      <c r="E3960" s="92"/>
      <c r="F3960" s="92"/>
      <c r="G3960" s="92"/>
      <c r="H3960" s="92"/>
      <c r="I3960" s="92"/>
      <c r="J3960" s="92"/>
      <c r="K3960" s="92"/>
      <c r="L3960" s="92"/>
      <c r="M3960" s="92"/>
      <c r="N3960" s="94"/>
      <c r="AG3960" s="107"/>
      <c r="AH3960" s="117"/>
      <c r="AI3960" s="117"/>
      <c r="AJ3960" s="107"/>
      <c r="AK3960" s="107"/>
      <c r="AL3960" s="107"/>
      <c r="AM3960" s="107"/>
      <c r="AN3960" s="107"/>
      <c r="AO3960" s="107"/>
      <c r="AP3960" s="107"/>
      <c r="AQ3960" s="107"/>
      <c r="AR3960" s="107"/>
      <c r="AS3960" s="107"/>
      <c r="AT3960" s="39"/>
    </row>
    <row r="3961" spans="1:63" x14ac:dyDescent="0.25">
      <c r="A3961" s="92"/>
      <c r="B3961" s="93"/>
      <c r="C3961" s="93"/>
      <c r="D3961" s="92"/>
      <c r="E3961" s="92"/>
      <c r="F3961" s="92"/>
      <c r="G3961" s="92"/>
      <c r="H3961" s="92"/>
      <c r="I3961" s="92"/>
      <c r="J3961" s="92"/>
      <c r="K3961" s="92"/>
      <c r="L3961" s="92"/>
      <c r="M3961" s="92"/>
      <c r="N3961" s="94"/>
      <c r="AG3961" s="107"/>
      <c r="AH3961" s="117"/>
      <c r="AI3961" s="117"/>
      <c r="AJ3961" s="107"/>
      <c r="AK3961" s="107"/>
      <c r="AL3961" s="107"/>
      <c r="AM3961" s="107"/>
      <c r="AN3961" s="107"/>
      <c r="AO3961" s="107"/>
      <c r="AP3961" s="107"/>
      <c r="AQ3961" s="107"/>
      <c r="AR3961" s="107"/>
      <c r="AS3961" s="107"/>
      <c r="AT3961" s="39"/>
      <c r="AZ3961" s="117"/>
      <c r="BK3961" s="39"/>
    </row>
    <row r="3962" spans="1:63" x14ac:dyDescent="0.25">
      <c r="A3962" s="92"/>
      <c r="B3962" s="93"/>
      <c r="C3962" s="93"/>
      <c r="D3962" s="92"/>
      <c r="E3962" s="92"/>
      <c r="F3962" s="92"/>
      <c r="G3962" s="92"/>
      <c r="H3962" s="92"/>
      <c r="I3962" s="92"/>
      <c r="J3962" s="92"/>
      <c r="K3962" s="92"/>
      <c r="L3962" s="92"/>
      <c r="M3962" s="92"/>
      <c r="N3962" s="94"/>
      <c r="AG3962" s="107"/>
      <c r="AH3962" s="107"/>
      <c r="AI3962" s="107"/>
      <c r="AJ3962" s="107"/>
      <c r="AK3962" s="107"/>
      <c r="AL3962" s="107"/>
      <c r="AM3962" s="107"/>
      <c r="AN3962" s="107"/>
      <c r="AO3962" s="107"/>
      <c r="AP3962" s="107"/>
      <c r="AQ3962" s="107"/>
      <c r="AR3962" s="107"/>
      <c r="AS3962" s="107"/>
      <c r="AT3962" s="107"/>
    </row>
    <row r="3963" spans="1:63" x14ac:dyDescent="0.25">
      <c r="A3963" s="92"/>
      <c r="B3963" s="93"/>
      <c r="C3963" s="93"/>
      <c r="D3963" s="92"/>
      <c r="E3963" s="92"/>
      <c r="F3963" s="92"/>
      <c r="G3963" s="92"/>
      <c r="H3963" s="92"/>
      <c r="I3963" s="92"/>
      <c r="J3963" s="92"/>
      <c r="K3963" s="92"/>
      <c r="L3963" s="92"/>
      <c r="M3963" s="92"/>
      <c r="N3963" s="94"/>
      <c r="AG3963" s="107"/>
      <c r="AH3963" s="107"/>
      <c r="AI3963" s="107"/>
      <c r="AJ3963" s="107"/>
      <c r="AK3963" s="107"/>
      <c r="AL3963" s="107"/>
      <c r="AM3963" s="107"/>
      <c r="AN3963" s="107"/>
      <c r="AO3963" s="107"/>
      <c r="AP3963" s="107"/>
      <c r="AQ3963" s="107"/>
      <c r="AR3963" s="107"/>
      <c r="AS3963" s="107"/>
      <c r="AT3963" s="107"/>
    </row>
    <row r="3964" spans="1:63" x14ac:dyDescent="0.25">
      <c r="A3964" s="92"/>
      <c r="B3964" s="93"/>
      <c r="C3964" s="93"/>
      <c r="D3964" s="92"/>
      <c r="E3964" s="92"/>
      <c r="F3964" s="92"/>
      <c r="G3964" s="92"/>
      <c r="H3964" s="92"/>
      <c r="I3964" s="92"/>
      <c r="J3964" s="92"/>
      <c r="K3964" s="92"/>
      <c r="L3964" s="92"/>
      <c r="M3964" s="92"/>
      <c r="N3964" s="94"/>
      <c r="AG3964" s="107"/>
      <c r="AH3964" s="107"/>
      <c r="AI3964" s="107"/>
      <c r="AJ3964" s="107"/>
      <c r="AK3964" s="107"/>
      <c r="AL3964" s="107"/>
      <c r="AM3964" s="107"/>
      <c r="AN3964" s="107"/>
      <c r="AO3964" s="107"/>
      <c r="AP3964" s="107"/>
      <c r="AQ3964" s="107"/>
      <c r="AR3964" s="107"/>
      <c r="AS3964" s="107"/>
      <c r="AT3964" s="107"/>
    </row>
    <row r="3965" spans="1:63" x14ac:dyDescent="0.25">
      <c r="A3965" s="92"/>
      <c r="B3965" s="93"/>
      <c r="C3965" s="93"/>
      <c r="D3965" s="92"/>
      <c r="E3965" s="92"/>
      <c r="F3965" s="92"/>
      <c r="G3965" s="92"/>
      <c r="H3965" s="92"/>
      <c r="I3965" s="92"/>
      <c r="J3965" s="92"/>
      <c r="K3965" s="92"/>
      <c r="L3965" s="92"/>
      <c r="M3965" s="92"/>
      <c r="N3965" s="94"/>
      <c r="AG3965" s="107"/>
      <c r="AH3965" s="107"/>
      <c r="AI3965" s="107"/>
      <c r="AJ3965" s="107"/>
      <c r="AK3965" s="107"/>
      <c r="AL3965" s="107"/>
      <c r="AM3965" s="107"/>
      <c r="AN3965" s="107"/>
      <c r="AO3965" s="107"/>
      <c r="AP3965" s="107"/>
      <c r="AQ3965" s="107"/>
      <c r="AR3965" s="107"/>
      <c r="AS3965" s="107"/>
      <c r="AT3965" s="107"/>
      <c r="AZ3965" s="117"/>
      <c r="BK3965" s="39"/>
    </row>
    <row r="3966" spans="1:63" x14ac:dyDescent="0.25">
      <c r="A3966" s="92"/>
      <c r="B3966" s="92"/>
      <c r="C3966" s="92"/>
      <c r="D3966" s="92"/>
      <c r="E3966" s="92"/>
      <c r="F3966" s="92"/>
      <c r="G3966" s="92"/>
      <c r="H3966" s="92"/>
      <c r="I3966" s="92"/>
      <c r="J3966" s="92"/>
      <c r="K3966" s="92"/>
      <c r="L3966" s="92"/>
      <c r="M3966" s="92"/>
      <c r="N3966" s="92"/>
      <c r="AG3966" s="107"/>
      <c r="AH3966" s="107"/>
      <c r="AI3966" s="107"/>
      <c r="AJ3966" s="107"/>
      <c r="AK3966" s="107"/>
      <c r="AL3966" s="107"/>
      <c r="AM3966" s="107"/>
      <c r="AN3966" s="107"/>
      <c r="AO3966" s="107"/>
      <c r="AP3966" s="107"/>
      <c r="AQ3966" s="107"/>
      <c r="AR3966" s="107"/>
      <c r="AS3966" s="107"/>
      <c r="AT3966" s="107"/>
      <c r="AZ3966" s="117"/>
      <c r="BK3966" s="39"/>
    </row>
    <row r="3967" spans="1:63" x14ac:dyDescent="0.25">
      <c r="A3967" s="92"/>
      <c r="B3967" s="93"/>
      <c r="C3967" s="93"/>
      <c r="D3967" s="92"/>
      <c r="E3967" s="92"/>
      <c r="F3967" s="92"/>
      <c r="G3967" s="92"/>
      <c r="H3967" s="92"/>
      <c r="I3967" s="92"/>
      <c r="J3967" s="92"/>
      <c r="K3967" s="92"/>
      <c r="L3967" s="92"/>
      <c r="M3967" s="92"/>
      <c r="N3967" s="94"/>
      <c r="AG3967" s="107"/>
      <c r="AH3967" s="107"/>
      <c r="AI3967" s="107"/>
      <c r="AJ3967" s="107"/>
      <c r="AK3967" s="107"/>
      <c r="AL3967" s="107"/>
      <c r="AM3967" s="107"/>
      <c r="AN3967" s="107"/>
      <c r="AO3967" s="107"/>
      <c r="AP3967" s="107"/>
      <c r="AQ3967" s="107"/>
      <c r="AR3967" s="107"/>
      <c r="AS3967" s="107"/>
      <c r="AT3967" s="107"/>
      <c r="AZ3967" s="117"/>
      <c r="BK3967" s="39"/>
    </row>
    <row r="3968" spans="1:63" x14ac:dyDescent="0.25">
      <c r="A3968" s="92"/>
      <c r="B3968" s="93"/>
      <c r="C3968" s="93"/>
      <c r="D3968" s="92"/>
      <c r="E3968" s="92"/>
      <c r="F3968" s="92"/>
      <c r="G3968" s="92"/>
      <c r="H3968" s="92"/>
      <c r="I3968" s="92"/>
      <c r="J3968" s="92"/>
      <c r="K3968" s="92"/>
      <c r="L3968" s="92"/>
      <c r="M3968" s="92"/>
      <c r="N3968" s="94"/>
      <c r="AG3968" s="107"/>
      <c r="AH3968" s="107"/>
      <c r="AI3968" s="107"/>
      <c r="AJ3968" s="107"/>
      <c r="AK3968" s="107"/>
      <c r="AL3968" s="107"/>
      <c r="AM3968" s="107"/>
      <c r="AN3968" s="107"/>
      <c r="AO3968" s="107"/>
      <c r="AP3968" s="107"/>
      <c r="AQ3968" s="107"/>
      <c r="AR3968" s="107"/>
      <c r="AS3968" s="107"/>
      <c r="AT3968" s="107"/>
      <c r="AZ3968" s="117"/>
      <c r="BK3968" s="39"/>
    </row>
    <row r="3969" spans="1:63" x14ac:dyDescent="0.25">
      <c r="A3969" s="92"/>
      <c r="B3969" s="93"/>
      <c r="C3969" s="93"/>
      <c r="D3969" s="92"/>
      <c r="E3969" s="92"/>
      <c r="F3969" s="92"/>
      <c r="G3969" s="92"/>
      <c r="H3969" s="92"/>
      <c r="I3969" s="92"/>
      <c r="J3969" s="92"/>
      <c r="K3969" s="92"/>
      <c r="L3969" s="92"/>
      <c r="M3969" s="92"/>
      <c r="N3969" s="94"/>
      <c r="AG3969" s="107"/>
      <c r="AH3969" s="107"/>
      <c r="AI3969" s="107"/>
      <c r="AJ3969" s="107"/>
      <c r="AK3969" s="107"/>
      <c r="AL3969" s="107"/>
      <c r="AM3969" s="107"/>
      <c r="AN3969" s="107"/>
      <c r="AO3969" s="107"/>
      <c r="AP3969" s="107"/>
      <c r="AQ3969" s="107"/>
      <c r="AR3969" s="107"/>
      <c r="AS3969" s="107"/>
      <c r="AT3969" s="107"/>
      <c r="AZ3969" s="117"/>
      <c r="BK3969" s="39"/>
    </row>
    <row r="3970" spans="1:63" x14ac:dyDescent="0.25">
      <c r="A3970" s="92"/>
      <c r="B3970" s="93"/>
      <c r="C3970" s="93"/>
      <c r="D3970" s="92"/>
      <c r="E3970" s="92"/>
      <c r="F3970" s="92"/>
      <c r="G3970" s="92"/>
      <c r="H3970" s="92"/>
      <c r="I3970" s="92"/>
      <c r="J3970" s="92"/>
      <c r="K3970" s="92"/>
      <c r="L3970" s="92"/>
      <c r="M3970" s="92"/>
      <c r="N3970" s="94"/>
      <c r="AG3970" s="107"/>
      <c r="AH3970" s="117"/>
      <c r="AI3970" s="117"/>
      <c r="AJ3970" s="117"/>
      <c r="AK3970" s="107"/>
      <c r="AL3970" s="107"/>
      <c r="AM3970" s="107"/>
      <c r="AN3970" s="107"/>
      <c r="AO3970" s="107"/>
      <c r="AP3970" s="107"/>
      <c r="AQ3970" s="107"/>
      <c r="AR3970" s="107"/>
      <c r="AS3970" s="107"/>
      <c r="AT3970" s="39"/>
      <c r="AZ3970" s="117"/>
      <c r="BK3970" s="39"/>
    </row>
    <row r="3971" spans="1:63" x14ac:dyDescent="0.25">
      <c r="A3971" s="92"/>
      <c r="B3971" s="93"/>
      <c r="C3971" s="93"/>
      <c r="D3971" s="92"/>
      <c r="E3971" s="92"/>
      <c r="F3971" s="92"/>
      <c r="G3971" s="92"/>
      <c r="H3971" s="92"/>
      <c r="I3971" s="92"/>
      <c r="J3971" s="92"/>
      <c r="K3971" s="92"/>
      <c r="L3971" s="92"/>
      <c r="M3971" s="92"/>
      <c r="N3971" s="94"/>
      <c r="AG3971" s="107"/>
      <c r="AH3971" s="107"/>
      <c r="AI3971" s="107"/>
      <c r="AJ3971" s="117"/>
      <c r="AK3971" s="107"/>
      <c r="AL3971" s="107"/>
      <c r="AM3971" s="107"/>
      <c r="AN3971" s="107"/>
      <c r="AO3971" s="107"/>
      <c r="AP3971" s="107"/>
      <c r="AQ3971" s="107"/>
      <c r="AR3971" s="107"/>
      <c r="AS3971" s="107"/>
      <c r="AT3971" s="107"/>
    </row>
    <row r="3972" spans="1:63" x14ac:dyDescent="0.25">
      <c r="A3972" s="92"/>
      <c r="B3972" s="93"/>
      <c r="C3972" s="93"/>
      <c r="D3972" s="92"/>
      <c r="E3972" s="92"/>
      <c r="F3972" s="92"/>
      <c r="G3972" s="92"/>
      <c r="H3972" s="92"/>
      <c r="I3972" s="92"/>
      <c r="J3972" s="92"/>
      <c r="K3972" s="92"/>
      <c r="L3972" s="92"/>
      <c r="M3972" s="92"/>
      <c r="N3972" s="94"/>
      <c r="AG3972" s="107"/>
      <c r="AH3972" s="107"/>
      <c r="AI3972" s="107"/>
      <c r="AJ3972" s="117"/>
      <c r="AK3972" s="107"/>
      <c r="AL3972" s="107"/>
      <c r="AM3972" s="107"/>
      <c r="AN3972" s="107"/>
      <c r="AO3972" s="107"/>
      <c r="AP3972" s="107"/>
      <c r="AQ3972" s="107"/>
      <c r="AR3972" s="107"/>
      <c r="AS3972" s="107"/>
      <c r="AT3972" s="107"/>
    </row>
    <row r="3973" spans="1:63" x14ac:dyDescent="0.25">
      <c r="A3973" s="92"/>
      <c r="B3973" s="93"/>
      <c r="C3973" s="93"/>
      <c r="D3973" s="93"/>
      <c r="E3973" s="92"/>
      <c r="F3973" s="92"/>
      <c r="G3973" s="92"/>
      <c r="H3973" s="92"/>
      <c r="I3973" s="92"/>
      <c r="J3973" s="92"/>
      <c r="K3973" s="92"/>
      <c r="L3973" s="92"/>
      <c r="M3973" s="92"/>
      <c r="N3973" s="94"/>
      <c r="AG3973" s="107"/>
      <c r="AH3973" s="117"/>
      <c r="AI3973" s="117"/>
      <c r="AJ3973" s="117"/>
      <c r="AK3973" s="107"/>
      <c r="AL3973" s="107"/>
      <c r="AM3973" s="107"/>
      <c r="AN3973" s="107"/>
      <c r="AO3973" s="107"/>
      <c r="AP3973" s="107"/>
      <c r="AQ3973" s="107"/>
      <c r="AR3973" s="107"/>
      <c r="AS3973" s="107"/>
      <c r="AT3973" s="39"/>
    </row>
    <row r="3974" spans="1:63" x14ac:dyDescent="0.25">
      <c r="A3974" s="92"/>
      <c r="B3974" s="92"/>
      <c r="C3974" s="92"/>
      <c r="D3974" s="92"/>
      <c r="E3974" s="92"/>
      <c r="F3974" s="92"/>
      <c r="G3974" s="92"/>
      <c r="H3974" s="92"/>
      <c r="I3974" s="92"/>
      <c r="J3974" s="92"/>
      <c r="K3974" s="92"/>
      <c r="L3974" s="92"/>
      <c r="M3974" s="92"/>
      <c r="N3974" s="92"/>
      <c r="AG3974" s="107"/>
      <c r="AH3974" s="107"/>
      <c r="AI3974" s="107"/>
      <c r="AJ3974" s="107"/>
      <c r="AK3974" s="107"/>
      <c r="AL3974" s="107"/>
      <c r="AM3974" s="107"/>
      <c r="AN3974" s="107"/>
      <c r="AO3974" s="107"/>
      <c r="AP3974" s="107"/>
      <c r="AQ3974" s="107"/>
      <c r="AR3974" s="107"/>
      <c r="AS3974" s="107"/>
      <c r="AT3974" s="107"/>
    </row>
    <row r="3975" spans="1:63" x14ac:dyDescent="0.25">
      <c r="A3975" s="92"/>
      <c r="B3975" s="93"/>
      <c r="C3975" s="93"/>
      <c r="D3975" s="92"/>
      <c r="E3975" s="92"/>
      <c r="F3975" s="92"/>
      <c r="G3975" s="92"/>
      <c r="H3975" s="92"/>
      <c r="I3975" s="92"/>
      <c r="J3975" s="92"/>
      <c r="K3975" s="92"/>
      <c r="L3975" s="92"/>
      <c r="M3975" s="92"/>
      <c r="N3975" s="94"/>
      <c r="AG3975" s="107"/>
      <c r="AH3975" s="107"/>
      <c r="AI3975" s="107"/>
      <c r="AJ3975" s="107"/>
      <c r="AK3975" s="107"/>
      <c r="AL3975" s="107"/>
      <c r="AM3975" s="107"/>
      <c r="AN3975" s="107"/>
      <c r="AO3975" s="107"/>
      <c r="AP3975" s="107"/>
      <c r="AQ3975" s="107"/>
      <c r="AR3975" s="107"/>
      <c r="AS3975" s="107"/>
      <c r="AT3975" s="107"/>
      <c r="AZ3975" s="117"/>
      <c r="BA3975" s="117"/>
      <c r="BK3975" s="39"/>
    </row>
    <row r="3976" spans="1:63" x14ac:dyDescent="0.25">
      <c r="A3976" s="92"/>
      <c r="B3976" s="92"/>
      <c r="C3976" s="92"/>
      <c r="D3976" s="92"/>
      <c r="E3976" s="92"/>
      <c r="F3976" s="92"/>
      <c r="G3976" s="92"/>
      <c r="H3976" s="92"/>
      <c r="I3976" s="92"/>
      <c r="J3976" s="92"/>
      <c r="K3976" s="92"/>
      <c r="L3976" s="92"/>
      <c r="M3976" s="92"/>
      <c r="N3976" s="92"/>
      <c r="AG3976" s="107"/>
      <c r="AH3976" s="117"/>
      <c r="AI3976" s="117"/>
      <c r="AJ3976" s="117"/>
      <c r="AK3976" s="107"/>
      <c r="AL3976" s="107"/>
      <c r="AM3976" s="107"/>
      <c r="AN3976" s="107"/>
      <c r="AO3976" s="107"/>
      <c r="AP3976" s="107"/>
      <c r="AQ3976" s="107"/>
      <c r="AR3976" s="107"/>
      <c r="AS3976" s="107"/>
      <c r="AT3976" s="39"/>
    </row>
    <row r="3977" spans="1:63" x14ac:dyDescent="0.25">
      <c r="A3977" s="92"/>
      <c r="B3977" s="93"/>
      <c r="C3977" s="93"/>
      <c r="D3977" s="92"/>
      <c r="E3977" s="92"/>
      <c r="F3977" s="92"/>
      <c r="G3977" s="92"/>
      <c r="H3977" s="92"/>
      <c r="I3977" s="92"/>
      <c r="J3977" s="92"/>
      <c r="K3977" s="92"/>
      <c r="L3977" s="92"/>
      <c r="M3977" s="92"/>
      <c r="N3977" s="94"/>
      <c r="AG3977" s="107"/>
      <c r="AH3977" s="107"/>
      <c r="AI3977" s="107"/>
      <c r="AJ3977" s="107"/>
      <c r="AK3977" s="107"/>
      <c r="AL3977" s="107"/>
      <c r="AM3977" s="107"/>
      <c r="AN3977" s="107"/>
      <c r="AO3977" s="107"/>
      <c r="AP3977" s="107"/>
      <c r="AQ3977" s="107"/>
      <c r="AR3977" s="107"/>
      <c r="AS3977" s="107"/>
      <c r="AT3977" s="107"/>
    </row>
    <row r="3978" spans="1:63" x14ac:dyDescent="0.25">
      <c r="A3978" s="92"/>
      <c r="B3978" s="92"/>
      <c r="C3978" s="92"/>
      <c r="D3978" s="92"/>
      <c r="E3978" s="92"/>
      <c r="F3978" s="92"/>
      <c r="G3978" s="92"/>
      <c r="H3978" s="92"/>
      <c r="I3978" s="92"/>
      <c r="J3978" s="92"/>
      <c r="K3978" s="92"/>
      <c r="L3978" s="92"/>
      <c r="M3978" s="92"/>
      <c r="N3978" s="92"/>
      <c r="AG3978" s="107"/>
      <c r="AH3978" s="107"/>
      <c r="AI3978" s="107"/>
      <c r="AJ3978" s="107"/>
      <c r="AK3978" s="107"/>
      <c r="AL3978" s="107"/>
      <c r="AM3978" s="107"/>
      <c r="AN3978" s="107"/>
      <c r="AO3978" s="107"/>
      <c r="AP3978" s="107"/>
      <c r="AQ3978" s="107"/>
      <c r="AR3978" s="107"/>
      <c r="AS3978" s="107"/>
      <c r="AT3978" s="107"/>
      <c r="AZ3978" s="117"/>
      <c r="BK3978" s="39"/>
    </row>
    <row r="3979" spans="1:63" x14ac:dyDescent="0.25">
      <c r="A3979" s="92"/>
      <c r="B3979" s="92"/>
      <c r="C3979" s="92"/>
      <c r="D3979" s="92"/>
      <c r="E3979" s="92"/>
      <c r="F3979" s="92"/>
      <c r="G3979" s="92"/>
      <c r="H3979" s="92"/>
      <c r="I3979" s="92"/>
      <c r="J3979" s="92"/>
      <c r="K3979" s="92"/>
      <c r="L3979" s="92"/>
      <c r="M3979" s="92"/>
      <c r="N3979" s="92"/>
      <c r="AG3979" s="107"/>
      <c r="AH3979" s="107"/>
      <c r="AI3979" s="107"/>
      <c r="AJ3979" s="107"/>
      <c r="AK3979" s="107"/>
      <c r="AL3979" s="107"/>
      <c r="AM3979" s="107"/>
      <c r="AN3979" s="107"/>
      <c r="AO3979" s="107"/>
      <c r="AP3979" s="107"/>
      <c r="AQ3979" s="107"/>
      <c r="AR3979" s="107"/>
      <c r="AS3979" s="107"/>
      <c r="AT3979" s="107"/>
      <c r="AZ3979" s="117"/>
      <c r="BA3979" s="117"/>
      <c r="BK3979" s="39"/>
    </row>
    <row r="3980" spans="1:63" x14ac:dyDescent="0.25">
      <c r="A3980" s="92"/>
      <c r="B3980" s="92"/>
      <c r="C3980" s="92"/>
      <c r="D3980" s="92"/>
      <c r="E3980" s="92"/>
      <c r="F3980" s="92"/>
      <c r="G3980" s="92"/>
      <c r="H3980" s="92"/>
      <c r="I3980" s="92"/>
      <c r="J3980" s="92"/>
      <c r="K3980" s="92"/>
      <c r="L3980" s="92"/>
      <c r="M3980" s="92"/>
      <c r="N3980" s="92"/>
      <c r="AG3980" s="107"/>
      <c r="AH3980" s="117"/>
      <c r="AI3980" s="117"/>
      <c r="AJ3980" s="107"/>
      <c r="AK3980" s="107"/>
      <c r="AL3980" s="107"/>
      <c r="AM3980" s="107"/>
      <c r="AN3980" s="107"/>
      <c r="AO3980" s="107"/>
      <c r="AP3980" s="107"/>
      <c r="AQ3980" s="107"/>
      <c r="AR3980" s="107"/>
      <c r="AS3980" s="107"/>
      <c r="AT3980" s="39"/>
    </row>
    <row r="3981" spans="1:63" x14ac:dyDescent="0.25">
      <c r="A3981" s="92"/>
      <c r="B3981" s="93"/>
      <c r="C3981" s="93"/>
      <c r="D3981" s="92"/>
      <c r="E3981" s="92"/>
      <c r="F3981" s="92"/>
      <c r="G3981" s="92"/>
      <c r="H3981" s="92"/>
      <c r="I3981" s="92"/>
      <c r="J3981" s="92"/>
      <c r="K3981" s="92"/>
      <c r="L3981" s="92"/>
      <c r="M3981" s="92"/>
      <c r="N3981" s="94"/>
      <c r="AG3981" s="107"/>
      <c r="AH3981" s="117"/>
      <c r="AI3981" s="117"/>
      <c r="AJ3981" s="107"/>
      <c r="AK3981" s="107"/>
      <c r="AL3981" s="107"/>
      <c r="AM3981" s="107"/>
      <c r="AN3981" s="107"/>
      <c r="AO3981" s="107"/>
      <c r="AP3981" s="107"/>
      <c r="AQ3981" s="107"/>
      <c r="AR3981" s="107"/>
      <c r="AS3981" s="107"/>
      <c r="AT3981" s="39"/>
    </row>
    <row r="3982" spans="1:63" x14ac:dyDescent="0.25">
      <c r="A3982" s="92"/>
      <c r="B3982" s="93"/>
      <c r="C3982" s="93"/>
      <c r="D3982" s="92"/>
      <c r="E3982" s="92"/>
      <c r="F3982" s="92"/>
      <c r="G3982" s="92"/>
      <c r="H3982" s="92"/>
      <c r="I3982" s="92"/>
      <c r="J3982" s="92"/>
      <c r="K3982" s="92"/>
      <c r="L3982" s="92"/>
      <c r="M3982" s="92"/>
      <c r="N3982" s="94"/>
      <c r="AG3982" s="107"/>
      <c r="AH3982" s="107"/>
      <c r="AI3982" s="107"/>
      <c r="AJ3982" s="107"/>
      <c r="AK3982" s="107"/>
      <c r="AL3982" s="107"/>
      <c r="AM3982" s="107"/>
      <c r="AN3982" s="107"/>
      <c r="AO3982" s="107"/>
      <c r="AP3982" s="107"/>
      <c r="AQ3982" s="107"/>
      <c r="AR3982" s="107"/>
      <c r="AS3982" s="107"/>
      <c r="AT3982" s="107"/>
      <c r="AZ3982" s="117"/>
      <c r="BK3982" s="39"/>
    </row>
    <row r="3983" spans="1:63" x14ac:dyDescent="0.25">
      <c r="A3983" s="92"/>
      <c r="B3983" s="93"/>
      <c r="C3983" s="93"/>
      <c r="D3983" s="92"/>
      <c r="E3983" s="92"/>
      <c r="F3983" s="92"/>
      <c r="G3983" s="92"/>
      <c r="H3983" s="92"/>
      <c r="I3983" s="92"/>
      <c r="J3983" s="92"/>
      <c r="K3983" s="92"/>
      <c r="L3983" s="92"/>
      <c r="M3983" s="92"/>
      <c r="N3983" s="94"/>
      <c r="AG3983" s="107"/>
      <c r="AH3983" s="107"/>
      <c r="AI3983" s="107"/>
      <c r="AJ3983" s="107"/>
      <c r="AK3983" s="107"/>
      <c r="AL3983" s="107"/>
      <c r="AM3983" s="107"/>
      <c r="AN3983" s="107"/>
      <c r="AO3983" s="107"/>
      <c r="AP3983" s="107"/>
      <c r="AQ3983" s="107"/>
      <c r="AR3983" s="107"/>
      <c r="AS3983" s="107"/>
      <c r="AT3983" s="107"/>
      <c r="AZ3983" s="117"/>
      <c r="BK3983" s="39"/>
    </row>
    <row r="3984" spans="1:63" x14ac:dyDescent="0.25">
      <c r="A3984" s="92"/>
      <c r="B3984" s="93"/>
      <c r="C3984" s="93"/>
      <c r="D3984" s="92"/>
      <c r="E3984" s="92"/>
      <c r="F3984" s="92"/>
      <c r="G3984" s="92"/>
      <c r="H3984" s="92"/>
      <c r="I3984" s="92"/>
      <c r="J3984" s="92"/>
      <c r="K3984" s="92"/>
      <c r="L3984" s="92"/>
      <c r="M3984" s="92"/>
      <c r="N3984" s="94"/>
      <c r="AG3984" s="107"/>
      <c r="AH3984" s="117"/>
      <c r="AI3984" s="117"/>
      <c r="AJ3984" s="107"/>
      <c r="AK3984" s="107"/>
      <c r="AL3984" s="107"/>
      <c r="AM3984" s="107"/>
      <c r="AN3984" s="107"/>
      <c r="AO3984" s="107"/>
      <c r="AP3984" s="107"/>
      <c r="AQ3984" s="107"/>
      <c r="AR3984" s="107"/>
      <c r="AS3984" s="107"/>
      <c r="AT3984" s="39"/>
    </row>
    <row r="3985" spans="1:63" x14ac:dyDescent="0.25">
      <c r="A3985" s="92"/>
      <c r="B3985" s="93"/>
      <c r="C3985" s="93"/>
      <c r="D3985" s="92"/>
      <c r="E3985" s="92"/>
      <c r="F3985" s="92"/>
      <c r="G3985" s="92"/>
      <c r="H3985" s="92"/>
      <c r="I3985" s="92"/>
      <c r="J3985" s="92"/>
      <c r="K3985" s="92"/>
      <c r="L3985" s="92"/>
      <c r="M3985" s="92"/>
      <c r="N3985" s="94"/>
      <c r="AG3985" s="107"/>
      <c r="AH3985" s="117"/>
      <c r="AI3985" s="117"/>
      <c r="AJ3985" s="107"/>
      <c r="AK3985" s="107"/>
      <c r="AL3985" s="107"/>
      <c r="AM3985" s="107"/>
      <c r="AN3985" s="107"/>
      <c r="AO3985" s="107"/>
      <c r="AP3985" s="107"/>
      <c r="AQ3985" s="107"/>
      <c r="AR3985" s="107"/>
      <c r="AS3985" s="107"/>
      <c r="AT3985" s="39"/>
      <c r="AZ3985" s="117"/>
      <c r="BK3985" s="39"/>
    </row>
    <row r="3986" spans="1:63" x14ac:dyDescent="0.25">
      <c r="A3986" s="92"/>
      <c r="B3986" s="93"/>
      <c r="C3986" s="93"/>
      <c r="D3986" s="92"/>
      <c r="E3986" s="92"/>
      <c r="F3986" s="92"/>
      <c r="G3986" s="92"/>
      <c r="H3986" s="92"/>
      <c r="I3986" s="92"/>
      <c r="J3986" s="92"/>
      <c r="K3986" s="92"/>
      <c r="L3986" s="92"/>
      <c r="M3986" s="92"/>
      <c r="N3986" s="94"/>
      <c r="AG3986" s="107"/>
      <c r="AH3986" s="117"/>
      <c r="AI3986" s="117"/>
      <c r="AJ3986" s="107"/>
      <c r="AK3986" s="107"/>
      <c r="AL3986" s="107"/>
      <c r="AM3986" s="107"/>
      <c r="AN3986" s="107"/>
      <c r="AO3986" s="107"/>
      <c r="AP3986" s="107"/>
      <c r="AQ3986" s="107"/>
      <c r="AR3986" s="107"/>
      <c r="AS3986" s="107"/>
      <c r="AT3986" s="39"/>
      <c r="AZ3986" s="117"/>
      <c r="BK3986" s="39"/>
    </row>
    <row r="3987" spans="1:63" x14ac:dyDescent="0.25">
      <c r="A3987" s="92"/>
      <c r="B3987" s="92"/>
      <c r="C3987" s="92"/>
      <c r="D3987" s="92"/>
      <c r="E3987" s="92"/>
      <c r="F3987" s="92"/>
      <c r="G3987" s="92"/>
      <c r="H3987" s="92"/>
      <c r="I3987" s="92"/>
      <c r="J3987" s="92"/>
      <c r="K3987" s="92"/>
      <c r="L3987" s="92"/>
      <c r="M3987" s="92"/>
      <c r="N3987" s="92"/>
      <c r="AG3987" s="107"/>
      <c r="AH3987" s="117"/>
      <c r="AI3987" s="117"/>
      <c r="AJ3987" s="107"/>
      <c r="AK3987" s="107"/>
      <c r="AL3987" s="107"/>
      <c r="AM3987" s="107"/>
      <c r="AN3987" s="107"/>
      <c r="AO3987" s="107"/>
      <c r="AP3987" s="107"/>
      <c r="AQ3987" s="107"/>
      <c r="AR3987" s="107"/>
      <c r="AS3987" s="107"/>
      <c r="AT3987" s="39"/>
    </row>
    <row r="3988" spans="1:63" x14ac:dyDescent="0.25">
      <c r="A3988" s="92"/>
      <c r="B3988" s="92"/>
      <c r="C3988" s="92"/>
      <c r="D3988" s="92"/>
      <c r="E3988" s="92"/>
      <c r="F3988" s="92"/>
      <c r="G3988" s="92"/>
      <c r="H3988" s="92"/>
      <c r="I3988" s="92"/>
      <c r="J3988" s="92"/>
      <c r="K3988" s="92"/>
      <c r="L3988" s="92"/>
      <c r="M3988" s="92"/>
      <c r="N3988" s="92"/>
      <c r="AG3988" s="107"/>
      <c r="AH3988" s="107"/>
      <c r="AI3988" s="107"/>
      <c r="AJ3988" s="107"/>
      <c r="AK3988" s="107"/>
      <c r="AL3988" s="107"/>
      <c r="AM3988" s="107"/>
      <c r="AN3988" s="107"/>
      <c r="AO3988" s="107"/>
      <c r="AP3988" s="107"/>
      <c r="AQ3988" s="107"/>
      <c r="AR3988" s="107"/>
      <c r="AS3988" s="107"/>
      <c r="AT3988" s="107"/>
    </row>
    <row r="3989" spans="1:63" x14ac:dyDescent="0.25">
      <c r="A3989" s="92"/>
      <c r="B3989" s="92"/>
      <c r="C3989" s="92"/>
      <c r="D3989" s="92"/>
      <c r="E3989" s="92"/>
      <c r="F3989" s="92"/>
      <c r="G3989" s="92"/>
      <c r="H3989" s="92"/>
      <c r="I3989" s="92"/>
      <c r="J3989" s="92"/>
      <c r="K3989" s="92"/>
      <c r="L3989" s="92"/>
      <c r="M3989" s="92"/>
      <c r="N3989" s="92"/>
      <c r="AG3989" s="107"/>
      <c r="AH3989" s="107"/>
      <c r="AI3989" s="107"/>
      <c r="AJ3989" s="107"/>
      <c r="AK3989" s="107"/>
      <c r="AL3989" s="107"/>
      <c r="AM3989" s="107"/>
      <c r="AN3989" s="107"/>
      <c r="AO3989" s="107"/>
      <c r="AP3989" s="107"/>
      <c r="AQ3989" s="107"/>
      <c r="AR3989" s="107"/>
      <c r="AS3989" s="107"/>
      <c r="AT3989" s="107"/>
      <c r="AZ3989" s="117"/>
      <c r="BK3989" s="39"/>
    </row>
    <row r="3990" spans="1:63" x14ac:dyDescent="0.25">
      <c r="A3990" s="92"/>
      <c r="B3990" s="92"/>
      <c r="C3990" s="92"/>
      <c r="D3990" s="92"/>
      <c r="E3990" s="92"/>
      <c r="F3990" s="92"/>
      <c r="G3990" s="92"/>
      <c r="H3990" s="92"/>
      <c r="I3990" s="92"/>
      <c r="J3990" s="92"/>
      <c r="K3990" s="92"/>
      <c r="L3990" s="92"/>
      <c r="M3990" s="92"/>
      <c r="N3990" s="92"/>
      <c r="AG3990" s="107"/>
      <c r="AH3990" s="107"/>
      <c r="AI3990" s="107"/>
      <c r="AJ3990" s="107"/>
      <c r="AK3990" s="107"/>
      <c r="AL3990" s="107"/>
      <c r="AM3990" s="107"/>
      <c r="AN3990" s="107"/>
      <c r="AO3990" s="107"/>
      <c r="AP3990" s="107"/>
      <c r="AQ3990" s="107"/>
      <c r="AR3990" s="107"/>
      <c r="AS3990" s="107"/>
      <c r="AT3990" s="107"/>
      <c r="AZ3990" s="117"/>
      <c r="BK3990" s="39"/>
    </row>
    <row r="3991" spans="1:63" x14ac:dyDescent="0.25">
      <c r="A3991" s="92"/>
      <c r="B3991" s="93"/>
      <c r="C3991" s="93"/>
      <c r="D3991" s="93"/>
      <c r="E3991" s="92"/>
      <c r="F3991" s="92"/>
      <c r="G3991" s="92"/>
      <c r="H3991" s="92"/>
      <c r="I3991" s="92"/>
      <c r="J3991" s="92"/>
      <c r="K3991" s="92"/>
      <c r="L3991" s="92"/>
      <c r="M3991" s="92"/>
      <c r="N3991" s="94"/>
      <c r="AG3991" s="107"/>
      <c r="AH3991" s="117"/>
      <c r="AI3991" s="117"/>
      <c r="AJ3991" s="107"/>
      <c r="AK3991" s="107"/>
      <c r="AL3991" s="107"/>
      <c r="AM3991" s="107"/>
      <c r="AN3991" s="107"/>
      <c r="AO3991" s="107"/>
      <c r="AP3991" s="107"/>
      <c r="AQ3991" s="107"/>
      <c r="AR3991" s="107"/>
      <c r="AS3991" s="107"/>
      <c r="AT3991" s="39"/>
      <c r="AZ3991" s="117"/>
      <c r="BA3991" s="117"/>
      <c r="BK3991" s="39"/>
    </row>
    <row r="3992" spans="1:63" x14ac:dyDescent="0.25">
      <c r="A3992" s="92"/>
      <c r="B3992" s="92"/>
      <c r="C3992" s="92"/>
      <c r="D3992" s="92"/>
      <c r="E3992" s="92"/>
      <c r="F3992" s="92"/>
      <c r="G3992" s="92"/>
      <c r="H3992" s="92"/>
      <c r="I3992" s="92"/>
      <c r="J3992" s="92"/>
      <c r="K3992" s="92"/>
      <c r="L3992" s="92"/>
      <c r="M3992" s="92"/>
      <c r="N3992" s="92"/>
      <c r="AG3992" s="107"/>
      <c r="AH3992" s="117"/>
      <c r="AI3992" s="117"/>
      <c r="AJ3992" s="107"/>
      <c r="AK3992" s="107"/>
      <c r="AL3992" s="107"/>
      <c r="AM3992" s="107"/>
      <c r="AN3992" s="107"/>
      <c r="AO3992" s="107"/>
      <c r="AP3992" s="107"/>
      <c r="AQ3992" s="107"/>
      <c r="AR3992" s="107"/>
      <c r="AS3992" s="107"/>
      <c r="AT3992" s="39"/>
    </row>
    <row r="3993" spans="1:63" x14ac:dyDescent="0.25">
      <c r="A3993" s="92"/>
      <c r="B3993" s="92"/>
      <c r="C3993" s="92"/>
      <c r="D3993" s="92"/>
      <c r="E3993" s="92"/>
      <c r="F3993" s="92"/>
      <c r="G3993" s="92"/>
      <c r="H3993" s="92"/>
      <c r="I3993" s="92"/>
      <c r="J3993" s="92"/>
      <c r="K3993" s="92"/>
      <c r="L3993" s="92"/>
      <c r="M3993" s="92"/>
      <c r="N3993" s="92"/>
      <c r="AG3993" s="107"/>
      <c r="AH3993" s="117"/>
      <c r="AI3993" s="117"/>
      <c r="AJ3993" s="107"/>
      <c r="AK3993" s="107"/>
      <c r="AL3993" s="107"/>
      <c r="AM3993" s="107"/>
      <c r="AN3993" s="107"/>
      <c r="AO3993" s="107"/>
      <c r="AP3993" s="107"/>
      <c r="AQ3993" s="107"/>
      <c r="AR3993" s="107"/>
      <c r="AS3993" s="107"/>
      <c r="AT3993" s="39"/>
    </row>
    <row r="3994" spans="1:63" x14ac:dyDescent="0.25">
      <c r="A3994" s="92"/>
      <c r="B3994" s="93"/>
      <c r="C3994" s="93"/>
      <c r="D3994" s="92"/>
      <c r="E3994" s="92"/>
      <c r="F3994" s="92"/>
      <c r="G3994" s="92"/>
      <c r="H3994" s="92"/>
      <c r="I3994" s="92"/>
      <c r="J3994" s="92"/>
      <c r="K3994" s="92"/>
      <c r="L3994" s="92"/>
      <c r="M3994" s="92"/>
      <c r="N3994" s="94"/>
      <c r="AG3994" s="107"/>
      <c r="AH3994" s="107"/>
      <c r="AI3994" s="107"/>
      <c r="AJ3994" s="107"/>
      <c r="AK3994" s="107"/>
      <c r="AL3994" s="107"/>
      <c r="AM3994" s="107"/>
      <c r="AN3994" s="107"/>
      <c r="AO3994" s="107"/>
      <c r="AP3994" s="107"/>
      <c r="AQ3994" s="107"/>
      <c r="AR3994" s="107"/>
      <c r="AS3994" s="107"/>
      <c r="AT3994" s="107"/>
    </row>
    <row r="3995" spans="1:63" x14ac:dyDescent="0.25">
      <c r="A3995" s="92"/>
      <c r="B3995" s="93"/>
      <c r="C3995" s="93"/>
      <c r="D3995" s="93"/>
      <c r="E3995" s="92"/>
      <c r="F3995" s="92"/>
      <c r="G3995" s="92"/>
      <c r="H3995" s="92"/>
      <c r="I3995" s="92"/>
      <c r="J3995" s="92"/>
      <c r="K3995" s="92"/>
      <c r="L3995" s="92"/>
      <c r="M3995" s="92"/>
      <c r="N3995" s="94"/>
      <c r="AG3995" s="107"/>
      <c r="AH3995" s="117"/>
      <c r="AI3995" s="117"/>
      <c r="AJ3995" s="107"/>
      <c r="AK3995" s="107"/>
      <c r="AL3995" s="107"/>
      <c r="AM3995" s="107"/>
      <c r="AN3995" s="107"/>
      <c r="AO3995" s="107"/>
      <c r="AP3995" s="107"/>
      <c r="AQ3995" s="107"/>
      <c r="AR3995" s="107"/>
      <c r="AS3995" s="107"/>
      <c r="AT3995" s="39"/>
      <c r="AZ3995" s="117"/>
      <c r="BA3995" s="117"/>
      <c r="BK3995" s="39"/>
    </row>
    <row r="3996" spans="1:63" x14ac:dyDescent="0.25">
      <c r="A3996" s="92"/>
      <c r="B3996" s="92"/>
      <c r="C3996" s="92"/>
      <c r="D3996" s="92"/>
      <c r="E3996" s="92"/>
      <c r="F3996" s="92"/>
      <c r="G3996" s="92"/>
      <c r="H3996" s="92"/>
      <c r="I3996" s="92"/>
      <c r="J3996" s="92"/>
      <c r="K3996" s="92"/>
      <c r="L3996" s="92"/>
      <c r="M3996" s="92"/>
      <c r="N3996" s="92"/>
      <c r="AG3996" s="107"/>
      <c r="AH3996" s="107"/>
      <c r="AI3996" s="107"/>
      <c r="AJ3996" s="107"/>
      <c r="AK3996" s="107"/>
      <c r="AL3996" s="107"/>
      <c r="AM3996" s="107"/>
      <c r="AN3996" s="107"/>
      <c r="AO3996" s="107"/>
      <c r="AP3996" s="107"/>
      <c r="AQ3996" s="107"/>
      <c r="AR3996" s="107"/>
      <c r="AS3996" s="107"/>
      <c r="AT3996" s="107"/>
    </row>
    <row r="3997" spans="1:63" x14ac:dyDescent="0.25">
      <c r="A3997" s="92"/>
      <c r="B3997" s="92"/>
      <c r="C3997" s="92"/>
      <c r="D3997" s="92"/>
      <c r="E3997" s="92"/>
      <c r="F3997" s="92"/>
      <c r="G3997" s="92"/>
      <c r="H3997" s="92"/>
      <c r="I3997" s="92"/>
      <c r="J3997" s="92"/>
      <c r="K3997" s="92"/>
      <c r="L3997" s="92"/>
      <c r="M3997" s="92"/>
      <c r="N3997" s="92"/>
      <c r="AG3997" s="107"/>
      <c r="AH3997" s="117"/>
      <c r="AI3997" s="117"/>
      <c r="AJ3997" s="107"/>
      <c r="AK3997" s="107"/>
      <c r="AL3997" s="107"/>
      <c r="AM3997" s="107"/>
      <c r="AN3997" s="107"/>
      <c r="AO3997" s="107"/>
      <c r="AP3997" s="107"/>
      <c r="AQ3997" s="107"/>
      <c r="AR3997" s="107"/>
      <c r="AS3997" s="107"/>
      <c r="AT3997" s="39"/>
      <c r="AZ3997" s="117"/>
      <c r="BK3997" s="39"/>
    </row>
    <row r="3998" spans="1:63" x14ac:dyDescent="0.25">
      <c r="A3998" s="92"/>
      <c r="B3998" s="93"/>
      <c r="C3998" s="93"/>
      <c r="D3998" s="92"/>
      <c r="E3998" s="92"/>
      <c r="F3998" s="92"/>
      <c r="G3998" s="92"/>
      <c r="H3998" s="92"/>
      <c r="I3998" s="92"/>
      <c r="J3998" s="92"/>
      <c r="K3998" s="92"/>
      <c r="L3998" s="92"/>
      <c r="M3998" s="92"/>
      <c r="N3998" s="94"/>
      <c r="AG3998" s="107"/>
      <c r="AH3998" s="107"/>
      <c r="AI3998" s="107"/>
      <c r="AJ3998" s="107"/>
      <c r="AK3998" s="107"/>
      <c r="AL3998" s="107"/>
      <c r="AM3998" s="107"/>
      <c r="AN3998" s="107"/>
      <c r="AO3998" s="107"/>
      <c r="AP3998" s="107"/>
      <c r="AQ3998" s="107"/>
      <c r="AR3998" s="107"/>
      <c r="AS3998" s="107"/>
      <c r="AT3998" s="107"/>
      <c r="AZ3998" s="117"/>
      <c r="BK3998" s="39"/>
    </row>
    <row r="3999" spans="1:63" x14ac:dyDescent="0.25">
      <c r="A3999" s="92"/>
      <c r="B3999" s="93"/>
      <c r="C3999" s="93"/>
      <c r="D3999" s="92"/>
      <c r="E3999" s="92"/>
      <c r="F3999" s="92"/>
      <c r="G3999" s="92"/>
      <c r="H3999" s="92"/>
      <c r="I3999" s="92"/>
      <c r="J3999" s="92"/>
      <c r="K3999" s="92"/>
      <c r="L3999" s="92"/>
      <c r="M3999" s="92"/>
      <c r="N3999" s="94"/>
      <c r="AG3999" s="107"/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  <c r="AT3999" s="107"/>
    </row>
    <row r="4000" spans="1:63" x14ac:dyDescent="0.25">
      <c r="A4000" s="92"/>
      <c r="B4000" s="92"/>
      <c r="C4000" s="92"/>
      <c r="D4000" s="92"/>
      <c r="E4000" s="92"/>
      <c r="F4000" s="92"/>
      <c r="G4000" s="92"/>
      <c r="H4000" s="92"/>
      <c r="I4000" s="92"/>
      <c r="J4000" s="92"/>
      <c r="K4000" s="92"/>
      <c r="L4000" s="92"/>
      <c r="M4000" s="92"/>
      <c r="N4000" s="92"/>
      <c r="AG4000" s="107"/>
      <c r="AH4000" s="117"/>
      <c r="AI4000" s="117"/>
      <c r="AJ4000" s="107"/>
      <c r="AK4000" s="107"/>
      <c r="AL4000" s="107"/>
      <c r="AM4000" s="107"/>
      <c r="AN4000" s="107"/>
      <c r="AO4000" s="107"/>
      <c r="AP4000" s="107"/>
      <c r="AQ4000" s="107"/>
      <c r="AR4000" s="107"/>
      <c r="AS4000" s="107"/>
      <c r="AT4000" s="39"/>
    </row>
    <row r="4001" spans="1:63" x14ac:dyDescent="0.25">
      <c r="A4001" s="92"/>
      <c r="B4001" s="93"/>
      <c r="C4001" s="93"/>
      <c r="D4001" s="92"/>
      <c r="E4001" s="92"/>
      <c r="F4001" s="92"/>
      <c r="G4001" s="92"/>
      <c r="H4001" s="92"/>
      <c r="I4001" s="92"/>
      <c r="J4001" s="92"/>
      <c r="K4001" s="92"/>
      <c r="L4001" s="92"/>
      <c r="M4001" s="92"/>
      <c r="N4001" s="94"/>
      <c r="AG4001" s="107"/>
      <c r="AH4001" s="107"/>
      <c r="AI4001" s="107"/>
      <c r="AJ4001" s="107"/>
      <c r="AK4001" s="107"/>
      <c r="AL4001" s="107"/>
      <c r="AM4001" s="107"/>
      <c r="AN4001" s="107"/>
      <c r="AO4001" s="107"/>
      <c r="AP4001" s="107"/>
      <c r="AQ4001" s="107"/>
      <c r="AR4001" s="107"/>
      <c r="AS4001" s="107"/>
      <c r="AT4001" s="107"/>
    </row>
    <row r="4002" spans="1:63" x14ac:dyDescent="0.25">
      <c r="A4002" s="92"/>
      <c r="B4002" s="93"/>
      <c r="C4002" s="93"/>
      <c r="D4002" s="92"/>
      <c r="E4002" s="92"/>
      <c r="F4002" s="92"/>
      <c r="G4002" s="92"/>
      <c r="H4002" s="92"/>
      <c r="I4002" s="92"/>
      <c r="J4002" s="92"/>
      <c r="K4002" s="92"/>
      <c r="L4002" s="92"/>
      <c r="M4002" s="92"/>
      <c r="N4002" s="94"/>
      <c r="AG4002" s="107"/>
      <c r="AH4002" s="107"/>
      <c r="AI4002" s="107"/>
      <c r="AJ4002" s="107"/>
      <c r="AK4002" s="107"/>
      <c r="AL4002" s="107"/>
      <c r="AM4002" s="107"/>
      <c r="AN4002" s="107"/>
      <c r="AO4002" s="107"/>
      <c r="AP4002" s="107"/>
      <c r="AQ4002" s="107"/>
      <c r="AR4002" s="107"/>
      <c r="AS4002" s="107"/>
      <c r="AT4002" s="107"/>
      <c r="AZ4002" s="117"/>
      <c r="BA4002" s="117"/>
      <c r="BK4002" s="39"/>
    </row>
    <row r="4003" spans="1:63" x14ac:dyDescent="0.25">
      <c r="A4003" s="92"/>
      <c r="B4003" s="92"/>
      <c r="C4003" s="92"/>
      <c r="D4003" s="92"/>
      <c r="E4003" s="92"/>
      <c r="F4003" s="92"/>
      <c r="G4003" s="92"/>
      <c r="H4003" s="92"/>
      <c r="I4003" s="92"/>
      <c r="J4003" s="92"/>
      <c r="K4003" s="92"/>
      <c r="L4003" s="92"/>
      <c r="M4003" s="92"/>
      <c r="N4003" s="92"/>
      <c r="AG4003" s="107"/>
      <c r="AH4003" s="107"/>
      <c r="AI4003" s="107"/>
      <c r="AJ4003" s="107"/>
      <c r="AK4003" s="107"/>
      <c r="AL4003" s="107"/>
      <c r="AM4003" s="107"/>
      <c r="AN4003" s="107"/>
      <c r="AO4003" s="107"/>
      <c r="AP4003" s="107"/>
      <c r="AQ4003" s="107"/>
      <c r="AR4003" s="107"/>
      <c r="AS4003" s="107"/>
      <c r="AT4003" s="107"/>
    </row>
    <row r="4004" spans="1:63" x14ac:dyDescent="0.25">
      <c r="A4004" s="92"/>
      <c r="B4004" s="92"/>
      <c r="C4004" s="92"/>
      <c r="D4004" s="92"/>
      <c r="E4004" s="92"/>
      <c r="F4004" s="92"/>
      <c r="G4004" s="92"/>
      <c r="H4004" s="92"/>
      <c r="I4004" s="92"/>
      <c r="J4004" s="92"/>
      <c r="K4004" s="92"/>
      <c r="L4004" s="92"/>
      <c r="M4004" s="92"/>
      <c r="N4004" s="92"/>
      <c r="AG4004" s="107"/>
      <c r="AH4004" s="107"/>
      <c r="AI4004" s="107"/>
      <c r="AJ4004" s="107"/>
      <c r="AK4004" s="107"/>
      <c r="AL4004" s="107"/>
      <c r="AM4004" s="107"/>
      <c r="AN4004" s="107"/>
      <c r="AO4004" s="107"/>
      <c r="AP4004" s="107"/>
      <c r="AQ4004" s="107"/>
      <c r="AR4004" s="107"/>
      <c r="AS4004" s="107"/>
      <c r="AT4004" s="107"/>
    </row>
    <row r="4005" spans="1:63" x14ac:dyDescent="0.25">
      <c r="A4005" s="92"/>
      <c r="B4005" s="93"/>
      <c r="C4005" s="93"/>
      <c r="D4005" s="92"/>
      <c r="E4005" s="92"/>
      <c r="F4005" s="92"/>
      <c r="G4005" s="92"/>
      <c r="H4005" s="92"/>
      <c r="I4005" s="92"/>
      <c r="J4005" s="92"/>
      <c r="K4005" s="92"/>
      <c r="L4005" s="92"/>
      <c r="M4005" s="92"/>
      <c r="N4005" s="94"/>
      <c r="AG4005" s="107"/>
      <c r="AH4005" s="107"/>
      <c r="AI4005" s="107"/>
      <c r="AJ4005" s="107"/>
      <c r="AK4005" s="107"/>
      <c r="AL4005" s="107"/>
      <c r="AM4005" s="107"/>
      <c r="AN4005" s="107"/>
      <c r="AO4005" s="107"/>
      <c r="AP4005" s="107"/>
      <c r="AQ4005" s="107"/>
      <c r="AR4005" s="107"/>
      <c r="AS4005" s="107"/>
      <c r="AT4005" s="107"/>
    </row>
    <row r="4006" spans="1:63" x14ac:dyDescent="0.25">
      <c r="A4006" s="92"/>
      <c r="B4006" s="93"/>
      <c r="C4006" s="93"/>
      <c r="D4006" s="92"/>
      <c r="E4006" s="92"/>
      <c r="F4006" s="92"/>
      <c r="G4006" s="92"/>
      <c r="H4006" s="92"/>
      <c r="I4006" s="92"/>
      <c r="J4006" s="92"/>
      <c r="K4006" s="92"/>
      <c r="L4006" s="92"/>
      <c r="M4006" s="92"/>
      <c r="N4006" s="94"/>
      <c r="AG4006" s="107"/>
      <c r="AH4006" s="107"/>
      <c r="AI4006" s="107"/>
      <c r="AJ4006" s="107"/>
      <c r="AK4006" s="107"/>
      <c r="AL4006" s="107"/>
      <c r="AM4006" s="107"/>
      <c r="AN4006" s="107"/>
      <c r="AO4006" s="107"/>
      <c r="AP4006" s="107"/>
      <c r="AQ4006" s="107"/>
      <c r="AR4006" s="107"/>
      <c r="AS4006" s="107"/>
      <c r="AT4006" s="107"/>
    </row>
    <row r="4007" spans="1:63" x14ac:dyDescent="0.25">
      <c r="A4007" s="92"/>
      <c r="B4007" s="93"/>
      <c r="C4007" s="93"/>
      <c r="D4007" s="93"/>
      <c r="E4007" s="92"/>
      <c r="F4007" s="92"/>
      <c r="G4007" s="92"/>
      <c r="H4007" s="92"/>
      <c r="I4007" s="92"/>
      <c r="J4007" s="92"/>
      <c r="K4007" s="92"/>
      <c r="L4007" s="92"/>
      <c r="M4007" s="92"/>
      <c r="N4007" s="94"/>
      <c r="AG4007" s="107"/>
      <c r="AH4007" s="107"/>
      <c r="AI4007" s="107"/>
      <c r="AJ4007" s="107"/>
      <c r="AK4007" s="107"/>
      <c r="AL4007" s="107"/>
      <c r="AM4007" s="107"/>
      <c r="AN4007" s="107"/>
      <c r="AO4007" s="107"/>
      <c r="AP4007" s="107"/>
      <c r="AQ4007" s="107"/>
      <c r="AR4007" s="107"/>
      <c r="AS4007" s="107"/>
      <c r="AT4007" s="107"/>
    </row>
    <row r="4008" spans="1:63" x14ac:dyDescent="0.25">
      <c r="A4008" s="92"/>
      <c r="B4008" s="92"/>
      <c r="C4008" s="92"/>
      <c r="D4008" s="92"/>
      <c r="E4008" s="92"/>
      <c r="F4008" s="92"/>
      <c r="G4008" s="92"/>
      <c r="H4008" s="92"/>
      <c r="I4008" s="92"/>
      <c r="J4008" s="92"/>
      <c r="K4008" s="92"/>
      <c r="L4008" s="92"/>
      <c r="M4008" s="92"/>
      <c r="N4008" s="92"/>
      <c r="AG4008" s="107"/>
      <c r="AH4008" s="107"/>
      <c r="AI4008" s="107"/>
      <c r="AJ4008" s="107"/>
      <c r="AK4008" s="107"/>
      <c r="AL4008" s="107"/>
      <c r="AM4008" s="107"/>
      <c r="AN4008" s="107"/>
      <c r="AO4008" s="107"/>
      <c r="AP4008" s="107"/>
      <c r="AQ4008" s="107"/>
      <c r="AR4008" s="107"/>
      <c r="AS4008" s="107"/>
      <c r="AT4008" s="107"/>
    </row>
    <row r="4009" spans="1:63" x14ac:dyDescent="0.25">
      <c r="A4009" s="92"/>
      <c r="B4009" s="92"/>
      <c r="C4009" s="92"/>
      <c r="D4009" s="92"/>
      <c r="E4009" s="92"/>
      <c r="F4009" s="92"/>
      <c r="G4009" s="92"/>
      <c r="H4009" s="92"/>
      <c r="I4009" s="92"/>
      <c r="J4009" s="92"/>
      <c r="K4009" s="92"/>
      <c r="L4009" s="92"/>
      <c r="M4009" s="92"/>
      <c r="N4009" s="92"/>
      <c r="AG4009" s="107"/>
      <c r="AH4009" s="107"/>
      <c r="AI4009" s="107"/>
      <c r="AJ4009" s="107"/>
      <c r="AK4009" s="107"/>
      <c r="AL4009" s="107"/>
      <c r="AM4009" s="107"/>
      <c r="AN4009" s="107"/>
      <c r="AO4009" s="107"/>
      <c r="AP4009" s="107"/>
      <c r="AQ4009" s="107"/>
      <c r="AR4009" s="107"/>
      <c r="AS4009" s="107"/>
      <c r="AT4009" s="107"/>
    </row>
    <row r="4010" spans="1:63" x14ac:dyDescent="0.25">
      <c r="A4010" s="92"/>
      <c r="B4010" s="92"/>
      <c r="C4010" s="92"/>
      <c r="D4010" s="92"/>
      <c r="E4010" s="92"/>
      <c r="F4010" s="92"/>
      <c r="G4010" s="92"/>
      <c r="H4010" s="92"/>
      <c r="I4010" s="92"/>
      <c r="J4010" s="92"/>
      <c r="K4010" s="92"/>
      <c r="L4010" s="92"/>
      <c r="M4010" s="92"/>
      <c r="N4010" s="92"/>
      <c r="AG4010" s="107"/>
      <c r="AH4010" s="107"/>
      <c r="AI4010" s="107"/>
      <c r="AJ4010" s="107"/>
      <c r="AK4010" s="107"/>
      <c r="AL4010" s="107"/>
      <c r="AM4010" s="107"/>
      <c r="AN4010" s="107"/>
      <c r="AO4010" s="107"/>
      <c r="AP4010" s="107"/>
      <c r="AQ4010" s="107"/>
      <c r="AR4010" s="107"/>
      <c r="AS4010" s="107"/>
      <c r="AT4010" s="107"/>
    </row>
    <row r="4011" spans="1:63" x14ac:dyDescent="0.25">
      <c r="A4011" s="92"/>
      <c r="B4011" s="93"/>
      <c r="C4011" s="93"/>
      <c r="D4011" s="93"/>
      <c r="E4011" s="92"/>
      <c r="F4011" s="92"/>
      <c r="G4011" s="92"/>
      <c r="H4011" s="92"/>
      <c r="I4011" s="92"/>
      <c r="J4011" s="92"/>
      <c r="K4011" s="92"/>
      <c r="L4011" s="92"/>
      <c r="M4011" s="92"/>
      <c r="N4011" s="94"/>
      <c r="AG4011" s="107"/>
      <c r="AH4011" s="117"/>
      <c r="AI4011" s="117"/>
      <c r="AJ4011" s="107"/>
      <c r="AK4011" s="107"/>
      <c r="AL4011" s="107"/>
      <c r="AM4011" s="107"/>
      <c r="AN4011" s="107"/>
      <c r="AO4011" s="107"/>
      <c r="AP4011" s="107"/>
      <c r="AQ4011" s="107"/>
      <c r="AR4011" s="107"/>
      <c r="AS4011" s="107"/>
      <c r="AT4011" s="39"/>
    </row>
    <row r="4012" spans="1:63" x14ac:dyDescent="0.25">
      <c r="A4012" s="92"/>
      <c r="B4012" s="92"/>
      <c r="C4012" s="92"/>
      <c r="D4012" s="92"/>
      <c r="E4012" s="92"/>
      <c r="F4012" s="92"/>
      <c r="G4012" s="92"/>
      <c r="H4012" s="92"/>
      <c r="I4012" s="92"/>
      <c r="J4012" s="92"/>
      <c r="K4012" s="92"/>
      <c r="L4012" s="92"/>
      <c r="M4012" s="92"/>
      <c r="N4012" s="92"/>
      <c r="AG4012" s="107"/>
      <c r="AH4012" s="117"/>
      <c r="AI4012" s="117"/>
      <c r="AJ4012" s="107"/>
      <c r="AK4012" s="107"/>
      <c r="AL4012" s="107"/>
      <c r="AM4012" s="107"/>
      <c r="AN4012" s="107"/>
      <c r="AO4012" s="107"/>
      <c r="AP4012" s="107"/>
      <c r="AQ4012" s="107"/>
      <c r="AR4012" s="107"/>
      <c r="AS4012" s="107"/>
      <c r="AT4012" s="39"/>
      <c r="AZ4012" s="117"/>
      <c r="BA4012" s="117"/>
      <c r="BK4012" s="39"/>
    </row>
    <row r="4013" spans="1:63" x14ac:dyDescent="0.25">
      <c r="A4013" s="92"/>
      <c r="B4013" s="93"/>
      <c r="C4013" s="93"/>
      <c r="D4013" s="92"/>
      <c r="E4013" s="92"/>
      <c r="F4013" s="92"/>
      <c r="G4013" s="92"/>
      <c r="H4013" s="92"/>
      <c r="I4013" s="92"/>
      <c r="J4013" s="92"/>
      <c r="K4013" s="92"/>
      <c r="L4013" s="92"/>
      <c r="M4013" s="92"/>
      <c r="N4013" s="94"/>
      <c r="AG4013" s="107"/>
      <c r="AH4013" s="107"/>
      <c r="AI4013" s="107"/>
      <c r="AJ4013" s="107"/>
      <c r="AK4013" s="107"/>
      <c r="AL4013" s="107"/>
      <c r="AM4013" s="107"/>
      <c r="AN4013" s="107"/>
      <c r="AO4013" s="107"/>
      <c r="AP4013" s="38"/>
      <c r="AQ4013" s="107"/>
      <c r="AR4013" s="107"/>
      <c r="AS4013" s="107"/>
      <c r="AT4013" s="107"/>
      <c r="BA4013" s="117"/>
    </row>
    <row r="4014" spans="1:63" x14ac:dyDescent="0.25">
      <c r="A4014" s="92"/>
      <c r="B4014" s="93"/>
      <c r="C4014" s="93"/>
      <c r="D4014" s="92"/>
      <c r="E4014" s="92"/>
      <c r="F4014" s="92"/>
      <c r="G4014" s="92"/>
      <c r="H4014" s="92"/>
      <c r="I4014" s="92"/>
      <c r="J4014" s="92"/>
      <c r="K4014" s="92"/>
      <c r="L4014" s="92"/>
      <c r="M4014" s="92"/>
      <c r="N4014" s="94"/>
      <c r="AG4014" s="107"/>
      <c r="AH4014" s="117"/>
      <c r="AI4014" s="117"/>
      <c r="AJ4014" s="107"/>
      <c r="AK4014" s="107"/>
      <c r="AL4014" s="107"/>
      <c r="AM4014" s="107"/>
      <c r="AN4014" s="107"/>
      <c r="AO4014" s="107"/>
      <c r="AP4014" s="107"/>
      <c r="AQ4014" s="107"/>
      <c r="AR4014" s="107"/>
      <c r="AS4014" s="107"/>
      <c r="AT4014" s="39"/>
      <c r="AZ4014" s="117"/>
      <c r="BK4014" s="39"/>
    </row>
    <row r="4015" spans="1:63" x14ac:dyDescent="0.25">
      <c r="A4015" s="92"/>
      <c r="B4015" s="92"/>
      <c r="C4015" s="92"/>
      <c r="D4015" s="92"/>
      <c r="E4015" s="92"/>
      <c r="F4015" s="92"/>
      <c r="G4015" s="92"/>
      <c r="H4015" s="92"/>
      <c r="I4015" s="92"/>
      <c r="J4015" s="92"/>
      <c r="K4015" s="92"/>
      <c r="L4015" s="92"/>
      <c r="M4015" s="92"/>
      <c r="N4015" s="92"/>
      <c r="AG4015" s="107"/>
      <c r="AH4015" s="117"/>
      <c r="AI4015" s="117"/>
      <c r="AJ4015" s="107"/>
      <c r="AK4015" s="107"/>
      <c r="AL4015" s="107"/>
      <c r="AM4015" s="107"/>
      <c r="AN4015" s="107"/>
      <c r="AO4015" s="107"/>
      <c r="AP4015" s="107"/>
      <c r="AQ4015" s="107"/>
      <c r="AR4015" s="107"/>
      <c r="AS4015" s="107"/>
      <c r="AT4015" s="39"/>
      <c r="AZ4015" s="117"/>
      <c r="BA4015" s="117"/>
      <c r="BK4015" s="39"/>
    </row>
    <row r="4016" spans="1:63" x14ac:dyDescent="0.25">
      <c r="A4016" s="92"/>
      <c r="B4016" s="92"/>
      <c r="C4016" s="92"/>
      <c r="D4016" s="92"/>
      <c r="E4016" s="92"/>
      <c r="F4016" s="92"/>
      <c r="G4016" s="92"/>
      <c r="H4016" s="92"/>
      <c r="I4016" s="92"/>
      <c r="J4016" s="92"/>
      <c r="K4016" s="92"/>
      <c r="L4016" s="92"/>
      <c r="M4016" s="92"/>
      <c r="N4016" s="92"/>
      <c r="AG4016" s="107"/>
      <c r="AH4016" s="117"/>
      <c r="AI4016" s="117"/>
      <c r="AJ4016" s="107"/>
      <c r="AK4016" s="107"/>
      <c r="AL4016" s="107"/>
      <c r="AM4016" s="107"/>
      <c r="AN4016" s="107"/>
      <c r="AO4016" s="107"/>
      <c r="AP4016" s="107"/>
      <c r="AQ4016" s="107"/>
      <c r="AR4016" s="107"/>
      <c r="AS4016" s="107"/>
      <c r="AT4016" s="39"/>
      <c r="BA4016" s="117"/>
    </row>
    <row r="4017" spans="1:63" x14ac:dyDescent="0.25">
      <c r="A4017" s="92"/>
      <c r="B4017" s="92"/>
      <c r="C4017" s="92"/>
      <c r="D4017" s="92"/>
      <c r="E4017" s="92"/>
      <c r="F4017" s="92"/>
      <c r="G4017" s="92"/>
      <c r="H4017" s="92"/>
      <c r="I4017" s="92"/>
      <c r="J4017" s="92"/>
      <c r="K4017" s="92"/>
      <c r="L4017" s="92"/>
      <c r="M4017" s="92"/>
      <c r="N4017" s="92"/>
      <c r="AG4017" s="107"/>
      <c r="AH4017" s="117"/>
      <c r="AI4017" s="117"/>
      <c r="AJ4017" s="107"/>
      <c r="AK4017" s="107"/>
      <c r="AL4017" s="107"/>
      <c r="AM4017" s="107"/>
      <c r="AN4017" s="107"/>
      <c r="AO4017" s="107"/>
      <c r="AP4017" s="107"/>
      <c r="AQ4017" s="107"/>
      <c r="AR4017" s="107"/>
      <c r="AS4017" s="107"/>
      <c r="AT4017" s="39"/>
      <c r="BA4017" s="117"/>
    </row>
    <row r="4018" spans="1:63" x14ac:dyDescent="0.25">
      <c r="A4018" s="92"/>
      <c r="B4018" s="93"/>
      <c r="C4018" s="93"/>
      <c r="D4018" s="93"/>
      <c r="E4018" s="92"/>
      <c r="F4018" s="92"/>
      <c r="G4018" s="92"/>
      <c r="H4018" s="92"/>
      <c r="I4018" s="92"/>
      <c r="J4018" s="92"/>
      <c r="K4018" s="92"/>
      <c r="L4018" s="92"/>
      <c r="M4018" s="92"/>
      <c r="N4018" s="94"/>
      <c r="AG4018" s="107"/>
      <c r="AH4018" s="117"/>
      <c r="AI4018" s="117"/>
      <c r="AJ4018" s="107"/>
      <c r="AK4018" s="107"/>
      <c r="AL4018" s="107"/>
      <c r="AM4018" s="107"/>
      <c r="AN4018" s="107"/>
      <c r="AO4018" s="107"/>
      <c r="AP4018" s="107"/>
      <c r="AQ4018" s="107"/>
      <c r="AR4018" s="107"/>
      <c r="AS4018" s="107"/>
      <c r="AT4018" s="39"/>
      <c r="BA4018" s="117"/>
    </row>
    <row r="4019" spans="1:63" x14ac:dyDescent="0.25">
      <c r="A4019" s="92"/>
      <c r="B4019" s="92"/>
      <c r="C4019" s="92"/>
      <c r="D4019" s="92"/>
      <c r="E4019" s="92"/>
      <c r="F4019" s="92"/>
      <c r="G4019" s="92"/>
      <c r="H4019" s="92"/>
      <c r="I4019" s="92"/>
      <c r="J4019" s="92"/>
      <c r="K4019" s="92"/>
      <c r="L4019" s="92"/>
      <c r="M4019" s="92"/>
      <c r="N4019" s="92"/>
      <c r="AG4019" s="107"/>
      <c r="AH4019" s="107"/>
      <c r="AI4019" s="107"/>
      <c r="AJ4019" s="107"/>
      <c r="AK4019" s="107"/>
      <c r="AL4019" s="107"/>
      <c r="AM4019" s="107"/>
      <c r="AN4019" s="107"/>
      <c r="AO4019" s="107"/>
      <c r="AP4019" s="107"/>
      <c r="AQ4019" s="107"/>
      <c r="AR4019" s="107"/>
      <c r="AS4019" s="107"/>
      <c r="AT4019" s="107"/>
      <c r="BA4019" s="117"/>
    </row>
    <row r="4020" spans="1:63" x14ac:dyDescent="0.25">
      <c r="A4020" s="92"/>
      <c r="B4020" s="92"/>
      <c r="C4020" s="92"/>
      <c r="D4020" s="92"/>
      <c r="E4020" s="92"/>
      <c r="F4020" s="92"/>
      <c r="G4020" s="92"/>
      <c r="H4020" s="92"/>
      <c r="I4020" s="92"/>
      <c r="J4020" s="92"/>
      <c r="K4020" s="92"/>
      <c r="L4020" s="92"/>
      <c r="M4020" s="92"/>
      <c r="N4020" s="92"/>
      <c r="AG4020" s="107"/>
      <c r="AH4020" s="117"/>
      <c r="AI4020" s="117"/>
      <c r="AJ4020" s="117"/>
      <c r="AK4020" s="107"/>
      <c r="AL4020" s="107"/>
      <c r="AM4020" s="107"/>
      <c r="AN4020" s="107"/>
      <c r="AO4020" s="107"/>
      <c r="AP4020" s="107"/>
      <c r="AQ4020" s="107"/>
      <c r="AR4020" s="107"/>
      <c r="AS4020" s="107"/>
      <c r="AT4020" s="39"/>
      <c r="BA4020" s="117"/>
    </row>
    <row r="4021" spans="1:63" x14ac:dyDescent="0.25">
      <c r="A4021" s="92"/>
      <c r="B4021" s="92"/>
      <c r="C4021" s="92"/>
      <c r="D4021" s="92"/>
      <c r="E4021" s="92"/>
      <c r="F4021" s="92"/>
      <c r="G4021" s="92"/>
      <c r="H4021" s="92"/>
      <c r="I4021" s="92"/>
      <c r="J4021" s="92"/>
      <c r="K4021" s="92"/>
      <c r="L4021" s="92"/>
      <c r="M4021" s="92"/>
      <c r="N4021" s="92"/>
      <c r="AG4021" s="107"/>
      <c r="AH4021" s="117"/>
      <c r="AI4021" s="117"/>
      <c r="AJ4021" s="107"/>
      <c r="AK4021" s="107"/>
      <c r="AL4021" s="107"/>
      <c r="AM4021" s="107"/>
      <c r="AN4021" s="107"/>
      <c r="AO4021" s="107"/>
      <c r="AP4021" s="107"/>
      <c r="AQ4021" s="107"/>
      <c r="AR4021" s="107"/>
      <c r="AS4021" s="107"/>
      <c r="AT4021" s="39"/>
      <c r="BA4021" s="117"/>
    </row>
    <row r="4022" spans="1:63" x14ac:dyDescent="0.25">
      <c r="A4022" s="92"/>
      <c r="B4022" s="92"/>
      <c r="C4022" s="92"/>
      <c r="D4022" s="92"/>
      <c r="E4022" s="92"/>
      <c r="F4022" s="92"/>
      <c r="G4022" s="92"/>
      <c r="H4022" s="92"/>
      <c r="I4022" s="92"/>
      <c r="J4022" s="92"/>
      <c r="K4022" s="92"/>
      <c r="L4022" s="92"/>
      <c r="M4022" s="92"/>
      <c r="N4022" s="92"/>
      <c r="AG4022" s="107"/>
      <c r="AH4022" s="107"/>
      <c r="AI4022" s="107"/>
      <c r="AJ4022" s="107"/>
      <c r="AK4022" s="107"/>
      <c r="AL4022" s="107"/>
      <c r="AM4022" s="107"/>
      <c r="AN4022" s="107"/>
      <c r="AO4022" s="107"/>
      <c r="AP4022" s="107"/>
      <c r="AQ4022" s="107"/>
      <c r="AR4022" s="107"/>
      <c r="AS4022" s="107"/>
      <c r="AT4022" s="107"/>
      <c r="BA4022" s="117"/>
    </row>
    <row r="4023" spans="1:63" x14ac:dyDescent="0.25">
      <c r="A4023" s="92"/>
      <c r="B4023" s="92"/>
      <c r="C4023" s="92"/>
      <c r="D4023" s="92"/>
      <c r="E4023" s="92"/>
      <c r="F4023" s="92"/>
      <c r="G4023" s="92"/>
      <c r="H4023" s="92"/>
      <c r="I4023" s="92"/>
      <c r="J4023" s="92"/>
      <c r="K4023" s="92"/>
      <c r="L4023" s="92"/>
      <c r="M4023" s="92"/>
      <c r="N4023" s="92"/>
      <c r="AG4023" s="107"/>
      <c r="AH4023" s="117"/>
      <c r="AI4023" s="117"/>
      <c r="AJ4023" s="107"/>
      <c r="AK4023" s="107"/>
      <c r="AL4023" s="107"/>
      <c r="AM4023" s="107"/>
      <c r="AN4023" s="107"/>
      <c r="AO4023" s="107"/>
      <c r="AP4023" s="107"/>
      <c r="AQ4023" s="107"/>
      <c r="AR4023" s="107"/>
      <c r="AS4023" s="107"/>
      <c r="AT4023" s="39"/>
      <c r="BA4023" s="117"/>
    </row>
    <row r="4024" spans="1:63" x14ac:dyDescent="0.25">
      <c r="A4024" s="92"/>
      <c r="B4024" s="92"/>
      <c r="C4024" s="92"/>
      <c r="D4024" s="92"/>
      <c r="E4024" s="92"/>
      <c r="F4024" s="92"/>
      <c r="G4024" s="92"/>
      <c r="H4024" s="92"/>
      <c r="I4024" s="92"/>
      <c r="J4024" s="92"/>
      <c r="K4024" s="92"/>
      <c r="L4024" s="92"/>
      <c r="M4024" s="92"/>
      <c r="N4024" s="92"/>
      <c r="AG4024" s="107"/>
      <c r="AH4024" s="117"/>
      <c r="AI4024" s="117"/>
      <c r="AJ4024" s="117"/>
      <c r="AK4024" s="107"/>
      <c r="AL4024" s="107"/>
      <c r="AM4024" s="107"/>
      <c r="AN4024" s="107"/>
      <c r="AO4024" s="107"/>
      <c r="AP4024" s="107"/>
      <c r="AQ4024" s="107"/>
      <c r="AR4024" s="107"/>
      <c r="AS4024" s="107"/>
      <c r="AT4024" s="39"/>
      <c r="BA4024" s="117"/>
    </row>
    <row r="4025" spans="1:63" x14ac:dyDescent="0.25">
      <c r="A4025" s="92"/>
      <c r="B4025" s="92"/>
      <c r="C4025" s="92"/>
      <c r="D4025" s="92"/>
      <c r="E4025" s="92"/>
      <c r="F4025" s="92"/>
      <c r="G4025" s="92"/>
      <c r="H4025" s="92"/>
      <c r="I4025" s="92"/>
      <c r="J4025" s="92"/>
      <c r="K4025" s="92"/>
      <c r="L4025" s="92"/>
      <c r="M4025" s="92"/>
      <c r="N4025" s="92"/>
      <c r="AG4025" s="107"/>
      <c r="AH4025" s="117"/>
      <c r="AI4025" s="117"/>
      <c r="AJ4025" s="107"/>
      <c r="AK4025" s="107"/>
      <c r="AL4025" s="107"/>
      <c r="AM4025" s="107"/>
      <c r="AN4025" s="107"/>
      <c r="AO4025" s="107"/>
      <c r="AP4025" s="107"/>
      <c r="AQ4025" s="107"/>
      <c r="AR4025" s="107"/>
      <c r="AS4025" s="107"/>
      <c r="AT4025" s="39"/>
      <c r="BA4025" s="117"/>
    </row>
    <row r="4026" spans="1:63" x14ac:dyDescent="0.25">
      <c r="A4026" s="92"/>
      <c r="B4026" s="92"/>
      <c r="C4026" s="92"/>
      <c r="D4026" s="92"/>
      <c r="E4026" s="92"/>
      <c r="F4026" s="92"/>
      <c r="G4026" s="92"/>
      <c r="H4026" s="92"/>
      <c r="I4026" s="92"/>
      <c r="J4026" s="92"/>
      <c r="K4026" s="92"/>
      <c r="L4026" s="92"/>
      <c r="M4026" s="92"/>
      <c r="N4026" s="92"/>
      <c r="AG4026" s="107"/>
      <c r="AH4026" s="117"/>
      <c r="AI4026" s="117"/>
      <c r="AJ4026" s="107"/>
      <c r="AK4026" s="107"/>
      <c r="AL4026" s="107"/>
      <c r="AM4026" s="107"/>
      <c r="AN4026" s="107"/>
      <c r="AO4026" s="107"/>
      <c r="AP4026" s="107"/>
      <c r="AQ4026" s="107"/>
      <c r="AR4026" s="107"/>
      <c r="AS4026" s="107"/>
      <c r="AT4026" s="39"/>
      <c r="BA4026" s="117"/>
    </row>
    <row r="4027" spans="1:63" x14ac:dyDescent="0.25">
      <c r="A4027" s="92"/>
      <c r="B4027" s="92"/>
      <c r="C4027" s="92"/>
      <c r="D4027" s="92"/>
      <c r="E4027" s="92"/>
      <c r="F4027" s="92"/>
      <c r="G4027" s="92"/>
      <c r="H4027" s="92"/>
      <c r="I4027" s="92"/>
      <c r="J4027" s="92"/>
      <c r="K4027" s="92"/>
      <c r="L4027" s="92"/>
      <c r="M4027" s="92"/>
      <c r="N4027" s="92"/>
      <c r="AG4027" s="107"/>
      <c r="AH4027" s="117"/>
      <c r="AI4027" s="117"/>
      <c r="AJ4027" s="117"/>
      <c r="AK4027" s="107"/>
      <c r="AL4027" s="107"/>
      <c r="AM4027" s="107"/>
      <c r="AN4027" s="107"/>
      <c r="AO4027" s="107"/>
      <c r="AP4027" s="107"/>
      <c r="AQ4027" s="107"/>
      <c r="AR4027" s="107"/>
      <c r="AS4027" s="107"/>
      <c r="AT4027" s="39"/>
      <c r="BA4027" s="117"/>
    </row>
    <row r="4028" spans="1:63" x14ac:dyDescent="0.25">
      <c r="A4028" s="92"/>
      <c r="B4028" s="93"/>
      <c r="C4028" s="93"/>
      <c r="D4028" s="93"/>
      <c r="E4028" s="92"/>
      <c r="F4028" s="92"/>
      <c r="G4028" s="92"/>
      <c r="H4028" s="92"/>
      <c r="I4028" s="92"/>
      <c r="J4028" s="92"/>
      <c r="K4028" s="92"/>
      <c r="L4028" s="92"/>
      <c r="M4028" s="92"/>
      <c r="N4028" s="94"/>
      <c r="AG4028" s="107"/>
      <c r="AH4028" s="107"/>
      <c r="AI4028" s="107"/>
      <c r="AJ4028" s="107"/>
      <c r="AK4028" s="107"/>
      <c r="AL4028" s="107"/>
      <c r="AM4028" s="107"/>
      <c r="AN4028" s="107"/>
      <c r="AO4028" s="107"/>
      <c r="AP4028" s="107"/>
      <c r="AQ4028" s="107"/>
      <c r="AR4028" s="107"/>
      <c r="AS4028" s="107"/>
      <c r="AT4028" s="107"/>
      <c r="BA4028" s="117"/>
    </row>
    <row r="4029" spans="1:63" x14ac:dyDescent="0.25">
      <c r="A4029" s="92"/>
      <c r="B4029" s="92"/>
      <c r="C4029" s="92"/>
      <c r="D4029" s="93"/>
      <c r="E4029" s="92"/>
      <c r="F4029" s="92"/>
      <c r="G4029" s="92"/>
      <c r="H4029" s="92"/>
      <c r="I4029" s="92"/>
      <c r="J4029" s="92"/>
      <c r="K4029" s="92"/>
      <c r="L4029" s="92"/>
      <c r="M4029" s="92"/>
      <c r="N4029" s="92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  <c r="AZ4029" s="117"/>
      <c r="BK4029" s="39"/>
    </row>
    <row r="4030" spans="1:63" x14ac:dyDescent="0.25">
      <c r="A4030" s="92"/>
      <c r="B4030" s="93"/>
      <c r="C4030" s="93"/>
      <c r="D4030" s="92"/>
      <c r="E4030" s="92"/>
      <c r="F4030" s="92"/>
      <c r="G4030" s="92"/>
      <c r="H4030" s="92"/>
      <c r="I4030" s="92"/>
      <c r="J4030" s="92"/>
      <c r="K4030" s="92"/>
      <c r="L4030" s="92"/>
      <c r="M4030" s="92"/>
      <c r="N4030" s="94"/>
      <c r="AG4030" s="107"/>
      <c r="AH4030" s="107"/>
      <c r="AI4030" s="107"/>
      <c r="AJ4030" s="107"/>
      <c r="AK4030" s="107"/>
      <c r="AL4030" s="107"/>
      <c r="AM4030" s="107"/>
      <c r="AN4030" s="107"/>
      <c r="AO4030" s="107"/>
      <c r="AP4030" s="107"/>
      <c r="AQ4030" s="107"/>
      <c r="AR4030" s="107"/>
      <c r="AS4030" s="107"/>
      <c r="AT4030" s="107"/>
      <c r="AZ4030" s="117"/>
      <c r="BK4030" s="39"/>
    </row>
    <row r="4031" spans="1:63" x14ac:dyDescent="0.25">
      <c r="A4031" s="92"/>
      <c r="B4031" s="93"/>
      <c r="C4031" s="93"/>
      <c r="D4031" s="93"/>
      <c r="E4031" s="92"/>
      <c r="F4031" s="92"/>
      <c r="G4031" s="92"/>
      <c r="H4031" s="92"/>
      <c r="I4031" s="92"/>
      <c r="J4031" s="92"/>
      <c r="K4031" s="92"/>
      <c r="L4031" s="92"/>
      <c r="M4031" s="92"/>
      <c r="N4031" s="94"/>
      <c r="AG4031" s="107"/>
      <c r="AH4031" s="117"/>
      <c r="AI4031" s="117"/>
      <c r="AJ4031" s="107"/>
      <c r="AK4031" s="107"/>
      <c r="AL4031" s="107"/>
      <c r="AM4031" s="107"/>
      <c r="AN4031" s="107"/>
      <c r="AO4031" s="107"/>
      <c r="AP4031" s="107"/>
      <c r="AQ4031" s="107"/>
      <c r="AR4031" s="107"/>
      <c r="AS4031" s="107"/>
      <c r="AT4031" s="39"/>
    </row>
    <row r="4032" spans="1:63" x14ac:dyDescent="0.25">
      <c r="A4032" s="92"/>
      <c r="B4032" s="92"/>
      <c r="C4032" s="92"/>
      <c r="D4032" s="93"/>
      <c r="E4032" s="92"/>
      <c r="F4032" s="92"/>
      <c r="G4032" s="92"/>
      <c r="H4032" s="92"/>
      <c r="I4032" s="92"/>
      <c r="J4032" s="92"/>
      <c r="K4032" s="92"/>
      <c r="L4032" s="92"/>
      <c r="M4032" s="92"/>
      <c r="N4032" s="92"/>
      <c r="AG4032" s="107"/>
      <c r="AH4032" s="117"/>
      <c r="AI4032" s="117"/>
      <c r="AJ4032" s="107"/>
      <c r="AK4032" s="107"/>
      <c r="AL4032" s="107"/>
      <c r="AM4032" s="107"/>
      <c r="AN4032" s="107"/>
      <c r="AO4032" s="107"/>
      <c r="AP4032" s="107"/>
      <c r="AQ4032" s="107"/>
      <c r="AR4032" s="107"/>
      <c r="AS4032" s="107"/>
      <c r="AT4032" s="39"/>
    </row>
    <row r="4033" spans="1:63" x14ac:dyDescent="0.25">
      <c r="A4033" s="92"/>
      <c r="B4033" s="92"/>
      <c r="C4033" s="92"/>
      <c r="D4033" s="93"/>
      <c r="E4033" s="92"/>
      <c r="F4033" s="92"/>
      <c r="G4033" s="92"/>
      <c r="H4033" s="92"/>
      <c r="I4033" s="92"/>
      <c r="J4033" s="92"/>
      <c r="K4033" s="92"/>
      <c r="L4033" s="92"/>
      <c r="M4033" s="92"/>
      <c r="N4033" s="92"/>
      <c r="AG4033" s="107"/>
      <c r="AH4033" s="117"/>
      <c r="AI4033" s="117"/>
      <c r="AJ4033" s="107"/>
      <c r="AK4033" s="107"/>
      <c r="AL4033" s="107"/>
      <c r="AM4033" s="107"/>
      <c r="AN4033" s="107"/>
      <c r="AO4033" s="107"/>
      <c r="AP4033" s="107"/>
      <c r="AQ4033" s="107"/>
      <c r="AR4033" s="107"/>
      <c r="AS4033" s="107"/>
      <c r="AT4033" s="39"/>
      <c r="AZ4033" s="117"/>
      <c r="BA4033" s="117"/>
      <c r="BK4033" s="39"/>
    </row>
    <row r="4034" spans="1:63" x14ac:dyDescent="0.25">
      <c r="A4034" s="92"/>
      <c r="B4034" s="92"/>
      <c r="C4034" s="92"/>
      <c r="D4034" s="93"/>
      <c r="E4034" s="92"/>
      <c r="F4034" s="92"/>
      <c r="G4034" s="92"/>
      <c r="H4034" s="92"/>
      <c r="I4034" s="92"/>
      <c r="J4034" s="92"/>
      <c r="K4034" s="92"/>
      <c r="L4034" s="92"/>
      <c r="M4034" s="92"/>
      <c r="N4034" s="92"/>
      <c r="AG4034" s="107"/>
      <c r="AH4034" s="107"/>
      <c r="AI4034" s="107"/>
      <c r="AJ4034" s="107"/>
      <c r="AK4034" s="107"/>
      <c r="AL4034" s="107"/>
      <c r="AM4034" s="107"/>
      <c r="AN4034" s="107"/>
      <c r="AO4034" s="107"/>
      <c r="AP4034" s="107"/>
      <c r="AQ4034" s="107"/>
      <c r="AR4034" s="107"/>
      <c r="AS4034" s="107"/>
      <c r="AT4034" s="107"/>
      <c r="BA4034" s="117"/>
    </row>
    <row r="4035" spans="1:63" x14ac:dyDescent="0.25">
      <c r="A4035" s="92"/>
      <c r="B4035" s="92"/>
      <c r="C4035" s="92"/>
      <c r="D4035" s="93"/>
      <c r="E4035" s="92"/>
      <c r="F4035" s="92"/>
      <c r="G4035" s="92"/>
      <c r="H4035" s="92"/>
      <c r="I4035" s="92"/>
      <c r="J4035" s="92"/>
      <c r="K4035" s="92"/>
      <c r="L4035" s="92"/>
      <c r="M4035" s="92"/>
      <c r="N4035" s="92"/>
      <c r="AG4035" s="107"/>
      <c r="AH4035" s="107"/>
      <c r="AI4035" s="107"/>
      <c r="AJ4035" s="107"/>
      <c r="AK4035" s="107"/>
      <c r="AL4035" s="107"/>
      <c r="AM4035" s="107"/>
      <c r="AN4035" s="107"/>
      <c r="AO4035" s="107"/>
      <c r="AP4035" s="107"/>
      <c r="AQ4035" s="107"/>
      <c r="AR4035" s="107"/>
      <c r="AS4035" s="107"/>
      <c r="AT4035" s="107"/>
      <c r="AZ4035" s="117"/>
      <c r="BA4035" s="117"/>
      <c r="BK4035" s="39"/>
    </row>
    <row r="4036" spans="1:63" x14ac:dyDescent="0.25">
      <c r="A4036" s="92"/>
      <c r="B4036" s="92"/>
      <c r="C4036" s="92"/>
      <c r="D4036" s="93"/>
      <c r="E4036" s="92"/>
      <c r="F4036" s="92"/>
      <c r="G4036" s="92"/>
      <c r="H4036" s="92"/>
      <c r="I4036" s="92"/>
      <c r="J4036" s="92"/>
      <c r="K4036" s="92"/>
      <c r="L4036" s="92"/>
      <c r="M4036" s="92"/>
      <c r="N4036" s="92"/>
      <c r="AG4036" s="107"/>
      <c r="AH4036" s="107"/>
      <c r="AI4036" s="107"/>
      <c r="AJ4036" s="107"/>
      <c r="AK4036" s="107"/>
      <c r="AL4036" s="107"/>
      <c r="AM4036" s="107"/>
      <c r="AN4036" s="107"/>
      <c r="AO4036" s="107"/>
      <c r="AP4036" s="107"/>
      <c r="AQ4036" s="107"/>
      <c r="AR4036" s="107"/>
      <c r="AS4036" s="107"/>
      <c r="AT4036" s="107"/>
    </row>
    <row r="4037" spans="1:63" x14ac:dyDescent="0.25">
      <c r="A4037" s="92"/>
      <c r="B4037" s="92"/>
      <c r="C4037" s="92"/>
      <c r="D4037" s="93"/>
      <c r="E4037" s="92"/>
      <c r="F4037" s="92"/>
      <c r="G4037" s="92"/>
      <c r="H4037" s="92"/>
      <c r="I4037" s="92"/>
      <c r="J4037" s="92"/>
      <c r="K4037" s="92"/>
      <c r="L4037" s="92"/>
      <c r="M4037" s="92"/>
      <c r="N4037" s="92"/>
      <c r="AG4037" s="107"/>
      <c r="AH4037" s="107"/>
      <c r="AI4037" s="107"/>
      <c r="AJ4037" s="107"/>
      <c r="AK4037" s="107"/>
      <c r="AL4037" s="107"/>
      <c r="AM4037" s="107"/>
      <c r="AN4037" s="107"/>
      <c r="AO4037" s="107"/>
      <c r="AP4037" s="107"/>
      <c r="AQ4037" s="107"/>
      <c r="AR4037" s="107"/>
      <c r="AS4037" s="107"/>
      <c r="AT4037" s="107"/>
    </row>
    <row r="4038" spans="1:63" x14ac:dyDescent="0.25">
      <c r="A4038" s="92"/>
      <c r="B4038" s="92"/>
      <c r="C4038" s="92"/>
      <c r="D4038" s="93"/>
      <c r="E4038" s="92"/>
      <c r="F4038" s="92"/>
      <c r="G4038" s="92"/>
      <c r="H4038" s="92"/>
      <c r="I4038" s="92"/>
      <c r="J4038" s="92"/>
      <c r="K4038" s="92"/>
      <c r="L4038" s="92"/>
      <c r="M4038" s="92"/>
      <c r="N4038" s="92"/>
      <c r="AG4038" s="107"/>
      <c r="AH4038" s="107"/>
      <c r="AI4038" s="107"/>
      <c r="AJ4038" s="107"/>
      <c r="AK4038" s="107"/>
      <c r="AL4038" s="107"/>
      <c r="AM4038" s="107"/>
      <c r="AN4038" s="107"/>
      <c r="AO4038" s="107"/>
      <c r="AP4038" s="107"/>
      <c r="AQ4038" s="107"/>
      <c r="AR4038" s="107"/>
      <c r="AS4038" s="107"/>
      <c r="AT4038" s="107"/>
      <c r="AZ4038" s="117"/>
      <c r="BK4038" s="39"/>
    </row>
    <row r="4039" spans="1:63" x14ac:dyDescent="0.25">
      <c r="A4039" s="92"/>
      <c r="B4039" s="92"/>
      <c r="C4039" s="92"/>
      <c r="D4039" s="93"/>
      <c r="E4039" s="92"/>
      <c r="F4039" s="92"/>
      <c r="G4039" s="92"/>
      <c r="H4039" s="92"/>
      <c r="I4039" s="92"/>
      <c r="J4039" s="92"/>
      <c r="K4039" s="92"/>
      <c r="L4039" s="92"/>
      <c r="M4039" s="92"/>
      <c r="N4039" s="92"/>
      <c r="AG4039" s="107"/>
      <c r="AH4039" s="117"/>
      <c r="AI4039" s="117"/>
      <c r="AJ4039" s="107"/>
      <c r="AK4039" s="107"/>
      <c r="AL4039" s="107"/>
      <c r="AM4039" s="107"/>
      <c r="AN4039" s="107"/>
      <c r="AO4039" s="107"/>
      <c r="AP4039" s="107"/>
      <c r="AQ4039" s="107"/>
      <c r="AR4039" s="107"/>
      <c r="AS4039" s="107"/>
      <c r="AT4039" s="39"/>
    </row>
    <row r="4040" spans="1:63" x14ac:dyDescent="0.25">
      <c r="A4040" s="92"/>
      <c r="B4040" s="92"/>
      <c r="C4040" s="92"/>
      <c r="D4040" s="93"/>
      <c r="E4040" s="92"/>
      <c r="F4040" s="92"/>
      <c r="G4040" s="92"/>
      <c r="H4040" s="92"/>
      <c r="I4040" s="92"/>
      <c r="J4040" s="92"/>
      <c r="K4040" s="92"/>
      <c r="L4040" s="92"/>
      <c r="M4040" s="92"/>
      <c r="N4040" s="92"/>
      <c r="AG4040" s="107"/>
      <c r="AH4040" s="117"/>
      <c r="AI4040" s="117"/>
      <c r="AJ4040" s="107"/>
      <c r="AK4040" s="107"/>
      <c r="AL4040" s="107"/>
      <c r="AM4040" s="107"/>
      <c r="AN4040" s="107"/>
      <c r="AO4040" s="107"/>
      <c r="AP4040" s="107"/>
      <c r="AQ4040" s="107"/>
      <c r="AR4040" s="107"/>
      <c r="AS4040" s="107"/>
      <c r="AT4040" s="39"/>
      <c r="AZ4040" s="117"/>
      <c r="BK4040" s="39"/>
    </row>
    <row r="4041" spans="1:63" x14ac:dyDescent="0.25">
      <c r="A4041" s="92"/>
      <c r="B4041" s="92"/>
      <c r="C4041" s="92"/>
      <c r="D4041" s="93"/>
      <c r="E4041" s="92"/>
      <c r="F4041" s="92"/>
      <c r="G4041" s="92"/>
      <c r="H4041" s="92"/>
      <c r="I4041" s="92"/>
      <c r="J4041" s="92"/>
      <c r="K4041" s="92"/>
      <c r="L4041" s="92"/>
      <c r="M4041" s="92"/>
      <c r="N4041" s="92"/>
      <c r="AG4041" s="107"/>
      <c r="AH4041" s="117"/>
      <c r="AI4041" s="117"/>
      <c r="AJ4041" s="107"/>
      <c r="AK4041" s="107"/>
      <c r="AL4041" s="107"/>
      <c r="AM4041" s="107"/>
      <c r="AN4041" s="107"/>
      <c r="AO4041" s="107"/>
      <c r="AP4041" s="107"/>
      <c r="AQ4041" s="107"/>
      <c r="AR4041" s="107"/>
      <c r="AS4041" s="107"/>
      <c r="AT4041" s="39"/>
      <c r="AZ4041" s="117"/>
      <c r="BK4041" s="39"/>
    </row>
    <row r="4042" spans="1:63" x14ac:dyDescent="0.25">
      <c r="A4042" s="92"/>
      <c r="B4042" s="92"/>
      <c r="C4042" s="92"/>
      <c r="D4042" s="93"/>
      <c r="E4042" s="92"/>
      <c r="F4042" s="92"/>
      <c r="G4042" s="92"/>
      <c r="H4042" s="92"/>
      <c r="I4042" s="92"/>
      <c r="J4042" s="92"/>
      <c r="K4042" s="92"/>
      <c r="L4042" s="92"/>
      <c r="M4042" s="92"/>
      <c r="N4042" s="92"/>
      <c r="AG4042" s="107"/>
      <c r="AH4042" s="107"/>
      <c r="AI4042" s="107"/>
      <c r="AJ4042" s="107"/>
      <c r="AK4042" s="107"/>
      <c r="AL4042" s="107"/>
      <c r="AM4042" s="107"/>
      <c r="AN4042" s="107"/>
      <c r="AO4042" s="107"/>
      <c r="AP4042" s="107"/>
      <c r="AQ4042" s="107"/>
      <c r="AR4042" s="107"/>
      <c r="AS4042" s="107"/>
      <c r="AT4042" s="107"/>
      <c r="AZ4042" s="117"/>
      <c r="BA4042" s="117"/>
      <c r="BK4042" s="39"/>
    </row>
    <row r="4043" spans="1:63" x14ac:dyDescent="0.25">
      <c r="A4043" s="92"/>
      <c r="B4043" s="92"/>
      <c r="C4043" s="92"/>
      <c r="D4043" s="93"/>
      <c r="E4043" s="92"/>
      <c r="F4043" s="92"/>
      <c r="G4043" s="92"/>
      <c r="H4043" s="92"/>
      <c r="I4043" s="92"/>
      <c r="J4043" s="92"/>
      <c r="K4043" s="92"/>
      <c r="L4043" s="92"/>
      <c r="M4043" s="92"/>
      <c r="N4043" s="92"/>
      <c r="AG4043" s="107"/>
      <c r="AH4043" s="117"/>
      <c r="AI4043" s="117"/>
      <c r="AJ4043" s="107"/>
      <c r="AK4043" s="107"/>
      <c r="AL4043" s="107"/>
      <c r="AM4043" s="107"/>
      <c r="AN4043" s="107"/>
      <c r="AO4043" s="107"/>
      <c r="AP4043" s="107"/>
      <c r="AQ4043" s="107"/>
      <c r="AR4043" s="107"/>
      <c r="AS4043" s="107"/>
      <c r="AT4043" s="39"/>
    </row>
    <row r="4044" spans="1:63" x14ac:dyDescent="0.25">
      <c r="A4044" s="92"/>
      <c r="B4044" s="92"/>
      <c r="C4044" s="92"/>
      <c r="D4044" s="93"/>
      <c r="E4044" s="92"/>
      <c r="F4044" s="92"/>
      <c r="G4044" s="92"/>
      <c r="H4044" s="92"/>
      <c r="I4044" s="92"/>
      <c r="J4044" s="92"/>
      <c r="K4044" s="92"/>
      <c r="L4044" s="92"/>
      <c r="M4044" s="92"/>
      <c r="N4044" s="92"/>
      <c r="AG4044" s="107"/>
      <c r="AH4044" s="117"/>
      <c r="AI4044" s="117"/>
      <c r="AJ4044" s="107"/>
      <c r="AK4044" s="107"/>
      <c r="AL4044" s="107"/>
      <c r="AM4044" s="107"/>
      <c r="AN4044" s="107"/>
      <c r="AO4044" s="107"/>
      <c r="AP4044" s="107"/>
      <c r="AQ4044" s="107"/>
      <c r="AR4044" s="107"/>
      <c r="AS4044" s="107"/>
      <c r="AT4044" s="39"/>
      <c r="AZ4044" s="117"/>
      <c r="BK4044" s="39"/>
    </row>
    <row r="4045" spans="1:63" x14ac:dyDescent="0.25">
      <c r="A4045" s="92"/>
      <c r="B4045" s="93"/>
      <c r="C4045" s="93"/>
      <c r="D4045" s="92"/>
      <c r="E4045" s="92"/>
      <c r="F4045" s="92"/>
      <c r="G4045" s="92"/>
      <c r="H4045" s="92"/>
      <c r="I4045" s="92"/>
      <c r="J4045" s="92"/>
      <c r="K4045" s="92"/>
      <c r="L4045" s="92"/>
      <c r="M4045" s="92"/>
      <c r="N4045" s="94"/>
      <c r="AG4045" s="107"/>
      <c r="AH4045" s="107"/>
      <c r="AI4045" s="107"/>
      <c r="AJ4045" s="107"/>
      <c r="AK4045" s="107"/>
      <c r="AL4045" s="107"/>
      <c r="AM4045" s="107"/>
      <c r="AN4045" s="107"/>
      <c r="AO4045" s="107"/>
      <c r="AP4045" s="107"/>
      <c r="AQ4045" s="107"/>
      <c r="AR4045" s="107"/>
      <c r="AS4045" s="107"/>
      <c r="AT4045" s="107"/>
    </row>
    <row r="4046" spans="1:63" x14ac:dyDescent="0.25">
      <c r="A4046" s="92"/>
      <c r="B4046" s="93"/>
      <c r="C4046" s="93"/>
      <c r="D4046" s="92"/>
      <c r="E4046" s="92"/>
      <c r="F4046" s="92"/>
      <c r="G4046" s="92"/>
      <c r="H4046" s="92"/>
      <c r="I4046" s="92"/>
      <c r="J4046" s="92"/>
      <c r="K4046" s="92"/>
      <c r="L4046" s="92"/>
      <c r="M4046" s="92"/>
      <c r="N4046" s="94"/>
      <c r="AG4046" s="107"/>
      <c r="AH4046" s="107"/>
      <c r="AI4046" s="107"/>
      <c r="AJ4046" s="107"/>
      <c r="AK4046" s="107"/>
      <c r="AL4046" s="107"/>
      <c r="AM4046" s="107"/>
      <c r="AN4046" s="107"/>
      <c r="AO4046" s="107"/>
      <c r="AP4046" s="107"/>
      <c r="AQ4046" s="107"/>
      <c r="AR4046" s="107"/>
      <c r="AS4046" s="107"/>
      <c r="AT4046" s="107"/>
      <c r="AZ4046" s="117"/>
      <c r="BK4046" s="39"/>
    </row>
    <row r="4047" spans="1:63" x14ac:dyDescent="0.25">
      <c r="A4047" s="92"/>
      <c r="B4047" s="92"/>
      <c r="C4047" s="92"/>
      <c r="D4047" s="92"/>
      <c r="E4047" s="92"/>
      <c r="F4047" s="92"/>
      <c r="G4047" s="92"/>
      <c r="H4047" s="92"/>
      <c r="I4047" s="92"/>
      <c r="J4047" s="92"/>
      <c r="K4047" s="92"/>
      <c r="L4047" s="92"/>
      <c r="M4047" s="92"/>
      <c r="N4047" s="92"/>
      <c r="AG4047" s="107"/>
      <c r="AH4047" s="107"/>
      <c r="AI4047" s="107"/>
      <c r="AJ4047" s="107"/>
      <c r="AK4047" s="107"/>
      <c r="AL4047" s="107"/>
      <c r="AM4047" s="107"/>
      <c r="AN4047" s="107"/>
      <c r="AO4047" s="107"/>
      <c r="AP4047" s="107"/>
      <c r="AQ4047" s="107"/>
      <c r="AR4047" s="107"/>
      <c r="AS4047" s="107"/>
      <c r="AT4047" s="107"/>
      <c r="AZ4047" s="117"/>
      <c r="BA4047" s="117"/>
      <c r="BK4047" s="39"/>
    </row>
    <row r="4048" spans="1:63" x14ac:dyDescent="0.25">
      <c r="A4048" s="92"/>
      <c r="B4048" s="92"/>
      <c r="C4048" s="92"/>
      <c r="D4048" s="92"/>
      <c r="E4048" s="92"/>
      <c r="F4048" s="92"/>
      <c r="G4048" s="92"/>
      <c r="H4048" s="92"/>
      <c r="I4048" s="92"/>
      <c r="J4048" s="92"/>
      <c r="K4048" s="92"/>
      <c r="L4048" s="92"/>
      <c r="M4048" s="92"/>
      <c r="N4048" s="92"/>
      <c r="AG4048" s="107"/>
      <c r="AH4048" s="107"/>
      <c r="AI4048" s="107"/>
      <c r="AJ4048" s="107"/>
      <c r="AK4048" s="107"/>
      <c r="AL4048" s="107"/>
      <c r="AM4048" s="107"/>
      <c r="AN4048" s="107"/>
      <c r="AO4048" s="107"/>
      <c r="AP4048" s="107"/>
      <c r="AQ4048" s="107"/>
      <c r="AR4048" s="107"/>
      <c r="AS4048" s="107"/>
      <c r="AT4048" s="107"/>
      <c r="BA4048" s="117"/>
    </row>
    <row r="4049" spans="1:63" x14ac:dyDescent="0.25">
      <c r="A4049" s="92"/>
      <c r="B4049" s="93"/>
      <c r="C4049" s="93"/>
      <c r="D4049" s="93"/>
      <c r="E4049" s="92"/>
      <c r="F4049" s="92"/>
      <c r="G4049" s="92"/>
      <c r="H4049" s="92"/>
      <c r="I4049" s="92"/>
      <c r="J4049" s="92"/>
      <c r="K4049" s="92"/>
      <c r="L4049" s="92"/>
      <c r="M4049" s="92"/>
      <c r="N4049" s="94"/>
      <c r="AG4049" s="107"/>
      <c r="AH4049" s="107"/>
      <c r="AI4049" s="107"/>
      <c r="AJ4049" s="107"/>
      <c r="AK4049" s="107"/>
      <c r="AL4049" s="107"/>
      <c r="AM4049" s="107"/>
      <c r="AN4049" s="107"/>
      <c r="AO4049" s="107"/>
      <c r="AP4049" s="107"/>
      <c r="AQ4049" s="107"/>
      <c r="AR4049" s="107"/>
      <c r="AS4049" s="107"/>
      <c r="AT4049" s="107"/>
      <c r="BA4049" s="117"/>
    </row>
    <row r="4050" spans="1:63" x14ac:dyDescent="0.25">
      <c r="A4050" s="92"/>
      <c r="B4050" s="92"/>
      <c r="C4050" s="92"/>
      <c r="D4050" s="93"/>
      <c r="E4050" s="92"/>
      <c r="F4050" s="92"/>
      <c r="G4050" s="92"/>
      <c r="H4050" s="92"/>
      <c r="I4050" s="92"/>
      <c r="J4050" s="92"/>
      <c r="K4050" s="92"/>
      <c r="L4050" s="92"/>
      <c r="M4050" s="92"/>
      <c r="N4050" s="92"/>
      <c r="AG4050" s="107"/>
      <c r="AH4050" s="107"/>
      <c r="AI4050" s="107"/>
      <c r="AJ4050" s="107"/>
      <c r="AK4050" s="107"/>
      <c r="AL4050" s="107"/>
      <c r="AM4050" s="107"/>
      <c r="AN4050" s="107"/>
      <c r="AO4050" s="107"/>
      <c r="AP4050" s="107"/>
      <c r="AQ4050" s="107"/>
      <c r="AR4050" s="107"/>
      <c r="AS4050" s="107"/>
      <c r="AT4050" s="107"/>
      <c r="BA4050" s="117"/>
    </row>
    <row r="4051" spans="1:63" x14ac:dyDescent="0.25">
      <c r="A4051" s="92"/>
      <c r="B4051" s="93"/>
      <c r="C4051" s="93"/>
      <c r="D4051" s="93"/>
      <c r="E4051" s="92"/>
      <c r="F4051" s="92"/>
      <c r="G4051" s="92"/>
      <c r="H4051" s="92"/>
      <c r="I4051" s="92"/>
      <c r="J4051" s="92"/>
      <c r="K4051" s="92"/>
      <c r="L4051" s="92"/>
      <c r="M4051" s="92"/>
      <c r="N4051" s="94"/>
      <c r="AG4051" s="107"/>
      <c r="AH4051" s="107"/>
      <c r="AI4051" s="107"/>
      <c r="AJ4051" s="107"/>
      <c r="AK4051" s="107"/>
      <c r="AL4051" s="107"/>
      <c r="AM4051" s="107"/>
      <c r="AN4051" s="107"/>
      <c r="AO4051" s="107"/>
      <c r="AP4051" s="107"/>
      <c r="AQ4051" s="107"/>
      <c r="AR4051" s="107"/>
      <c r="AS4051" s="107"/>
      <c r="AT4051" s="107"/>
      <c r="BA4051" s="117"/>
    </row>
    <row r="4052" spans="1:63" x14ac:dyDescent="0.25">
      <c r="A4052" s="92"/>
      <c r="B4052" s="92"/>
      <c r="C4052" s="92"/>
      <c r="D4052" s="92"/>
      <c r="E4052" s="92"/>
      <c r="F4052" s="92"/>
      <c r="G4052" s="92"/>
      <c r="H4052" s="92"/>
      <c r="I4052" s="92"/>
      <c r="J4052" s="92"/>
      <c r="K4052" s="92"/>
      <c r="L4052" s="92"/>
      <c r="M4052" s="92"/>
      <c r="N4052" s="92"/>
      <c r="AG4052" s="107"/>
      <c r="AH4052" s="107"/>
      <c r="AI4052" s="107"/>
      <c r="AJ4052" s="107"/>
      <c r="AK4052" s="107"/>
      <c r="AL4052" s="107"/>
      <c r="AM4052" s="107"/>
      <c r="AN4052" s="107"/>
      <c r="AO4052" s="107"/>
      <c r="AP4052" s="107"/>
      <c r="AQ4052" s="107"/>
      <c r="AR4052" s="107"/>
      <c r="AS4052" s="107"/>
      <c r="AT4052" s="107"/>
      <c r="AZ4052" s="117"/>
      <c r="BA4052" s="117"/>
      <c r="BK4052" s="39"/>
    </row>
    <row r="4053" spans="1:63" x14ac:dyDescent="0.25">
      <c r="A4053" s="92"/>
      <c r="B4053" s="92"/>
      <c r="C4053" s="92"/>
      <c r="D4053" s="92"/>
      <c r="E4053" s="92"/>
      <c r="F4053" s="92"/>
      <c r="G4053" s="92"/>
      <c r="H4053" s="92"/>
      <c r="I4053" s="92"/>
      <c r="J4053" s="92"/>
      <c r="K4053" s="92"/>
      <c r="L4053" s="92"/>
      <c r="M4053" s="92"/>
      <c r="N4053" s="92"/>
      <c r="AG4053" s="107"/>
      <c r="AH4053" s="107"/>
      <c r="AI4053" s="107"/>
      <c r="AJ4053" s="107"/>
      <c r="AK4053" s="107"/>
      <c r="AL4053" s="107"/>
      <c r="AM4053" s="107"/>
      <c r="AN4053" s="107"/>
      <c r="AO4053" s="107"/>
      <c r="AP4053" s="107"/>
      <c r="AQ4053" s="107"/>
      <c r="AR4053" s="107"/>
      <c r="AS4053" s="107"/>
      <c r="AT4053" s="107"/>
      <c r="AZ4053" s="117"/>
      <c r="BK4053" s="39"/>
    </row>
    <row r="4054" spans="1:63" x14ac:dyDescent="0.25">
      <c r="A4054" s="92"/>
      <c r="B4054" s="93"/>
      <c r="C4054" s="93"/>
      <c r="D4054" s="92"/>
      <c r="E4054" s="92"/>
      <c r="F4054" s="92"/>
      <c r="G4054" s="92"/>
      <c r="H4054" s="92"/>
      <c r="I4054" s="92"/>
      <c r="J4054" s="92"/>
      <c r="K4054" s="92"/>
      <c r="L4054" s="92"/>
      <c r="M4054" s="92"/>
      <c r="N4054" s="94"/>
      <c r="AG4054" s="107"/>
      <c r="AH4054" s="107"/>
      <c r="AI4054" s="107"/>
      <c r="AJ4054" s="107"/>
      <c r="AK4054" s="107"/>
      <c r="AL4054" s="107"/>
      <c r="AM4054" s="107"/>
      <c r="AN4054" s="107"/>
      <c r="AO4054" s="107"/>
      <c r="AP4054" s="107"/>
      <c r="AQ4054" s="107"/>
      <c r="AR4054" s="107"/>
      <c r="AS4054" s="107"/>
      <c r="AT4054" s="107"/>
      <c r="AZ4054" s="117"/>
      <c r="BA4054" s="117"/>
      <c r="BK4054" s="39"/>
    </row>
    <row r="4055" spans="1:63" x14ac:dyDescent="0.25">
      <c r="A4055" s="92"/>
      <c r="B4055" s="92"/>
      <c r="C4055" s="92"/>
      <c r="D4055" s="92"/>
      <c r="E4055" s="92"/>
      <c r="F4055" s="92"/>
      <c r="G4055" s="92"/>
      <c r="H4055" s="92"/>
      <c r="I4055" s="92"/>
      <c r="J4055" s="92"/>
      <c r="K4055" s="92"/>
      <c r="L4055" s="92"/>
      <c r="M4055" s="92"/>
      <c r="N4055" s="92"/>
      <c r="AG4055" s="107"/>
      <c r="AH4055" s="107"/>
      <c r="AI4055" s="107"/>
      <c r="AJ4055" s="107"/>
      <c r="AK4055" s="107"/>
      <c r="AL4055" s="107"/>
      <c r="AM4055" s="107"/>
      <c r="AN4055" s="107"/>
      <c r="AO4055" s="107"/>
      <c r="AP4055" s="107"/>
      <c r="AQ4055" s="107"/>
      <c r="AR4055" s="107"/>
      <c r="AS4055" s="107"/>
      <c r="AT4055" s="107"/>
      <c r="BA4055" s="117"/>
    </row>
    <row r="4056" spans="1:63" x14ac:dyDescent="0.25">
      <c r="A4056" s="92"/>
      <c r="B4056" s="93"/>
      <c r="C4056" s="93"/>
      <c r="D4056" s="92"/>
      <c r="E4056" s="92"/>
      <c r="F4056" s="92"/>
      <c r="G4056" s="92"/>
      <c r="H4056" s="92"/>
      <c r="I4056" s="92"/>
      <c r="J4056" s="92"/>
      <c r="K4056" s="92"/>
      <c r="L4056" s="92"/>
      <c r="M4056" s="92"/>
      <c r="N4056" s="94"/>
      <c r="AG4056" s="107"/>
      <c r="AH4056" s="107"/>
      <c r="AI4056" s="107"/>
      <c r="AJ4056" s="107"/>
      <c r="AK4056" s="107"/>
      <c r="AL4056" s="107"/>
      <c r="AM4056" s="107"/>
      <c r="AN4056" s="107"/>
      <c r="AO4056" s="107"/>
      <c r="AP4056" s="107"/>
      <c r="AQ4056" s="107"/>
      <c r="AR4056" s="107"/>
      <c r="AS4056" s="107"/>
      <c r="AT4056" s="107"/>
      <c r="AZ4056" s="117"/>
      <c r="BA4056" s="117"/>
      <c r="BK4056" s="39"/>
    </row>
    <row r="4057" spans="1:63" x14ac:dyDescent="0.25">
      <c r="A4057" s="92"/>
      <c r="B4057" s="93"/>
      <c r="C4057" s="93"/>
      <c r="D4057" s="92"/>
      <c r="E4057" s="92"/>
      <c r="F4057" s="92"/>
      <c r="G4057" s="92"/>
      <c r="H4057" s="92"/>
      <c r="I4057" s="92"/>
      <c r="J4057" s="92"/>
      <c r="K4057" s="92"/>
      <c r="L4057" s="92"/>
      <c r="M4057" s="92"/>
      <c r="N4057" s="94"/>
      <c r="AG4057" s="107"/>
      <c r="AH4057" s="117"/>
      <c r="AI4057" s="117"/>
      <c r="AJ4057" s="107"/>
      <c r="AK4057" s="107"/>
      <c r="AL4057" s="107"/>
      <c r="AM4057" s="107"/>
      <c r="AN4057" s="107"/>
      <c r="AO4057" s="107"/>
      <c r="AP4057" s="107"/>
      <c r="AQ4057" s="107"/>
      <c r="AR4057" s="107"/>
      <c r="AS4057" s="107"/>
      <c r="AT4057" s="39"/>
      <c r="BA4057" s="117"/>
    </row>
    <row r="4058" spans="1:63" x14ac:dyDescent="0.25">
      <c r="A4058" s="92"/>
      <c r="B4058" s="93"/>
      <c r="C4058" s="93"/>
      <c r="D4058" s="93"/>
      <c r="E4058" s="92"/>
      <c r="F4058" s="92"/>
      <c r="G4058" s="92"/>
      <c r="H4058" s="92"/>
      <c r="I4058" s="92"/>
      <c r="J4058" s="92"/>
      <c r="K4058" s="92"/>
      <c r="L4058" s="92"/>
      <c r="M4058" s="92"/>
      <c r="N4058" s="94"/>
      <c r="AG4058" s="107"/>
      <c r="AH4058" s="107"/>
      <c r="AI4058" s="107"/>
      <c r="AJ4058" s="107"/>
      <c r="AK4058" s="107"/>
      <c r="AL4058" s="107"/>
      <c r="AM4058" s="107"/>
      <c r="AN4058" s="107"/>
      <c r="AO4058" s="107"/>
      <c r="AP4058" s="107"/>
      <c r="AQ4058" s="107"/>
      <c r="AR4058" s="107"/>
      <c r="AS4058" s="107"/>
      <c r="AT4058" s="107"/>
      <c r="BA4058" s="117"/>
    </row>
    <row r="4059" spans="1:63" x14ac:dyDescent="0.25">
      <c r="A4059" s="92"/>
      <c r="B4059" s="92"/>
      <c r="C4059" s="92"/>
      <c r="D4059" s="92"/>
      <c r="E4059" s="92"/>
      <c r="F4059" s="92"/>
      <c r="G4059" s="92"/>
      <c r="H4059" s="92"/>
      <c r="I4059" s="92"/>
      <c r="J4059" s="92"/>
      <c r="K4059" s="92"/>
      <c r="L4059" s="92"/>
      <c r="M4059" s="92"/>
      <c r="N4059" s="92"/>
      <c r="AG4059" s="107"/>
      <c r="AH4059" s="117"/>
      <c r="AI4059" s="117"/>
      <c r="AJ4059" s="107"/>
      <c r="AK4059" s="107"/>
      <c r="AL4059" s="107"/>
      <c r="AM4059" s="107"/>
      <c r="AN4059" s="107"/>
      <c r="AO4059" s="107"/>
      <c r="AP4059" s="107"/>
      <c r="AQ4059" s="107"/>
      <c r="AR4059" s="107"/>
      <c r="AS4059" s="107"/>
      <c r="AT4059" s="39"/>
      <c r="BA4059" s="117"/>
    </row>
    <row r="4060" spans="1:63" x14ac:dyDescent="0.25">
      <c r="A4060" s="92"/>
      <c r="B4060" s="93"/>
      <c r="C4060" s="93"/>
      <c r="D4060" s="92"/>
      <c r="E4060" s="92"/>
      <c r="F4060" s="92"/>
      <c r="G4060" s="92"/>
      <c r="H4060" s="92"/>
      <c r="I4060" s="92"/>
      <c r="J4060" s="92"/>
      <c r="K4060" s="92"/>
      <c r="L4060" s="92"/>
      <c r="M4060" s="92"/>
      <c r="N4060" s="94"/>
      <c r="AG4060" s="107"/>
      <c r="AH4060" s="117"/>
      <c r="AI4060" s="117"/>
      <c r="AJ4060" s="107"/>
      <c r="AK4060" s="107"/>
      <c r="AL4060" s="107"/>
      <c r="AM4060" s="107"/>
      <c r="AN4060" s="107"/>
      <c r="AO4060" s="107"/>
      <c r="AP4060" s="107"/>
      <c r="AQ4060" s="107"/>
      <c r="AR4060" s="107"/>
      <c r="AS4060" s="107"/>
      <c r="AT4060" s="39"/>
      <c r="AZ4060" s="117"/>
      <c r="BK4060" s="39"/>
    </row>
    <row r="4061" spans="1:63" x14ac:dyDescent="0.25">
      <c r="A4061" s="92"/>
      <c r="B4061" s="92"/>
      <c r="C4061" s="92"/>
      <c r="D4061" s="92"/>
      <c r="E4061" s="92"/>
      <c r="F4061" s="92"/>
      <c r="G4061" s="92"/>
      <c r="H4061" s="92"/>
      <c r="I4061" s="92"/>
      <c r="J4061" s="92"/>
      <c r="K4061" s="92"/>
      <c r="L4061" s="92"/>
      <c r="M4061" s="92"/>
      <c r="N4061" s="92"/>
      <c r="AG4061" s="107"/>
      <c r="AH4061" s="117"/>
      <c r="AI4061" s="117"/>
      <c r="AJ4061" s="117"/>
      <c r="AK4061" s="107"/>
      <c r="AL4061" s="107"/>
      <c r="AM4061" s="107"/>
      <c r="AN4061" s="107"/>
      <c r="AO4061" s="107"/>
      <c r="AP4061" s="107"/>
      <c r="AQ4061" s="107"/>
      <c r="AR4061" s="107"/>
      <c r="AS4061" s="107"/>
      <c r="AT4061" s="39"/>
    </row>
    <row r="4062" spans="1:63" x14ac:dyDescent="0.25">
      <c r="A4062" s="92"/>
      <c r="B4062" s="93"/>
      <c r="C4062" s="93"/>
      <c r="D4062" s="92"/>
      <c r="E4062" s="92"/>
      <c r="F4062" s="92"/>
      <c r="G4062" s="92"/>
      <c r="H4062" s="92"/>
      <c r="I4062" s="92"/>
      <c r="J4062" s="92"/>
      <c r="K4062" s="92"/>
      <c r="L4062" s="92"/>
      <c r="M4062" s="92"/>
      <c r="N4062" s="94"/>
      <c r="AG4062" s="107"/>
      <c r="AH4062" s="107"/>
      <c r="AI4062" s="107"/>
      <c r="AJ4062" s="117"/>
      <c r="AK4062" s="107"/>
      <c r="AL4062" s="107"/>
      <c r="AM4062" s="107"/>
      <c r="AN4062" s="107"/>
      <c r="AO4062" s="107"/>
      <c r="AP4062" s="107"/>
      <c r="AQ4062" s="107"/>
      <c r="AR4062" s="107"/>
      <c r="AS4062" s="107"/>
      <c r="AT4062" s="107"/>
      <c r="AZ4062" s="117"/>
      <c r="BA4062" s="117"/>
      <c r="BK4062" s="39"/>
    </row>
    <row r="4063" spans="1:63" x14ac:dyDescent="0.25">
      <c r="A4063" s="92"/>
      <c r="B4063" s="93"/>
      <c r="C4063" s="93"/>
      <c r="D4063" s="93"/>
      <c r="E4063" s="92"/>
      <c r="F4063" s="92"/>
      <c r="G4063" s="92"/>
      <c r="H4063" s="92"/>
      <c r="I4063" s="92"/>
      <c r="J4063" s="92"/>
      <c r="K4063" s="92"/>
      <c r="L4063" s="92"/>
      <c r="M4063" s="92"/>
      <c r="N4063" s="94"/>
      <c r="AG4063" s="107"/>
      <c r="AH4063" s="107"/>
      <c r="AI4063" s="107"/>
      <c r="AJ4063" s="117"/>
      <c r="AK4063" s="107"/>
      <c r="AL4063" s="107"/>
      <c r="AM4063" s="107"/>
      <c r="AN4063" s="107"/>
      <c r="AO4063" s="107"/>
      <c r="AP4063" s="107"/>
      <c r="AQ4063" s="107"/>
      <c r="AR4063" s="107"/>
      <c r="AS4063" s="107"/>
      <c r="AT4063" s="107"/>
      <c r="BA4063" s="117"/>
    </row>
    <row r="4064" spans="1:63" x14ac:dyDescent="0.25">
      <c r="A4064" s="92"/>
      <c r="B4064" s="92"/>
      <c r="C4064" s="92"/>
      <c r="D4064" s="93"/>
      <c r="E4064" s="92"/>
      <c r="F4064" s="92"/>
      <c r="G4064" s="92"/>
      <c r="H4064" s="92"/>
      <c r="I4064" s="92"/>
      <c r="J4064" s="92"/>
      <c r="K4064" s="92"/>
      <c r="L4064" s="92"/>
      <c r="M4064" s="92"/>
      <c r="N4064" s="92"/>
      <c r="AG4064" s="107"/>
      <c r="AH4064" s="117"/>
      <c r="AI4064" s="117"/>
      <c r="AJ4064" s="107"/>
      <c r="AK4064" s="107"/>
      <c r="AL4064" s="107"/>
      <c r="AM4064" s="107"/>
      <c r="AN4064" s="107"/>
      <c r="AO4064" s="107"/>
      <c r="AP4064" s="107"/>
      <c r="AQ4064" s="107"/>
      <c r="AR4064" s="107"/>
      <c r="AS4064" s="107"/>
      <c r="AT4064" s="39"/>
      <c r="BA4064" s="117"/>
    </row>
    <row r="4065" spans="1:63" x14ac:dyDescent="0.25">
      <c r="A4065" s="92"/>
      <c r="B4065" s="92"/>
      <c r="C4065" s="92"/>
      <c r="D4065" s="93"/>
      <c r="E4065" s="92"/>
      <c r="F4065" s="92"/>
      <c r="G4065" s="92"/>
      <c r="H4065" s="92"/>
      <c r="I4065" s="92"/>
      <c r="J4065" s="92"/>
      <c r="K4065" s="92"/>
      <c r="L4065" s="92"/>
      <c r="M4065" s="92"/>
      <c r="N4065" s="92"/>
      <c r="AG4065" s="107"/>
      <c r="AH4065" s="117"/>
      <c r="AI4065" s="117"/>
      <c r="AJ4065" s="107"/>
      <c r="AK4065" s="107"/>
      <c r="AL4065" s="107"/>
      <c r="AM4065" s="107"/>
      <c r="AN4065" s="107"/>
      <c r="AO4065" s="107"/>
      <c r="AP4065" s="107"/>
      <c r="AQ4065" s="107"/>
      <c r="AR4065" s="107"/>
      <c r="AS4065" s="107"/>
      <c r="AT4065" s="39"/>
      <c r="BA4065" s="117"/>
    </row>
    <row r="4066" spans="1:63" x14ac:dyDescent="0.25">
      <c r="A4066" s="92"/>
      <c r="B4066" s="92"/>
      <c r="C4066" s="92"/>
      <c r="D4066" s="93"/>
      <c r="E4066" s="92"/>
      <c r="F4066" s="92"/>
      <c r="G4066" s="92"/>
      <c r="H4066" s="92"/>
      <c r="I4066" s="92"/>
      <c r="J4066" s="92"/>
      <c r="K4066" s="92"/>
      <c r="L4066" s="92"/>
      <c r="M4066" s="92"/>
      <c r="N4066" s="92"/>
      <c r="AG4066" s="107"/>
      <c r="AH4066" s="117"/>
      <c r="AI4066" s="117"/>
      <c r="AJ4066" s="107"/>
      <c r="AK4066" s="107"/>
      <c r="AL4066" s="107"/>
      <c r="AM4066" s="107"/>
      <c r="AN4066" s="107"/>
      <c r="AO4066" s="107"/>
      <c r="AP4066" s="107"/>
      <c r="AQ4066" s="107"/>
      <c r="AR4066" s="107"/>
      <c r="AS4066" s="107"/>
      <c r="AT4066" s="39"/>
      <c r="BA4066" s="117"/>
    </row>
    <row r="4067" spans="1:63" x14ac:dyDescent="0.25">
      <c r="A4067" s="92"/>
      <c r="B4067" s="92"/>
      <c r="C4067" s="92"/>
      <c r="D4067" s="93"/>
      <c r="E4067" s="92"/>
      <c r="F4067" s="92"/>
      <c r="G4067" s="92"/>
      <c r="H4067" s="92"/>
      <c r="I4067" s="92"/>
      <c r="J4067" s="92"/>
      <c r="K4067" s="92"/>
      <c r="L4067" s="92"/>
      <c r="M4067" s="92"/>
      <c r="N4067" s="92"/>
      <c r="AG4067" s="107"/>
      <c r="AH4067" s="117"/>
      <c r="AI4067" s="117"/>
      <c r="AJ4067" s="107"/>
      <c r="AK4067" s="107"/>
      <c r="AL4067" s="107"/>
      <c r="AM4067" s="107"/>
      <c r="AN4067" s="107"/>
      <c r="AO4067" s="107"/>
      <c r="AP4067" s="107"/>
      <c r="AQ4067" s="107"/>
      <c r="AR4067" s="107"/>
      <c r="AS4067" s="107"/>
      <c r="AT4067" s="39"/>
      <c r="BA4067" s="117"/>
    </row>
    <row r="4068" spans="1:63" x14ac:dyDescent="0.25">
      <c r="A4068" s="92"/>
      <c r="B4068" s="93"/>
      <c r="C4068" s="93"/>
      <c r="D4068" s="93"/>
      <c r="E4068" s="92"/>
      <c r="F4068" s="92"/>
      <c r="G4068" s="92"/>
      <c r="H4068" s="92"/>
      <c r="I4068" s="92"/>
      <c r="J4068" s="92"/>
      <c r="K4068" s="92"/>
      <c r="L4068" s="92"/>
      <c r="M4068" s="92"/>
      <c r="N4068" s="94"/>
      <c r="AG4068" s="107"/>
      <c r="AH4068" s="117"/>
      <c r="AI4068" s="117"/>
      <c r="AJ4068" s="107"/>
      <c r="AK4068" s="107"/>
      <c r="AL4068" s="107"/>
      <c r="AM4068" s="107"/>
      <c r="AN4068" s="107"/>
      <c r="AO4068" s="107"/>
      <c r="AP4068" s="107"/>
      <c r="AQ4068" s="107"/>
      <c r="AR4068" s="107"/>
      <c r="AS4068" s="107"/>
      <c r="AT4068" s="39"/>
      <c r="BA4068" s="117"/>
    </row>
    <row r="4069" spans="1:63" x14ac:dyDescent="0.25">
      <c r="A4069" s="92"/>
      <c r="B4069" s="93"/>
      <c r="C4069" s="93"/>
      <c r="D4069" s="92"/>
      <c r="E4069" s="92"/>
      <c r="F4069" s="92"/>
      <c r="G4069" s="92"/>
      <c r="H4069" s="92"/>
      <c r="I4069" s="92"/>
      <c r="J4069" s="92"/>
      <c r="K4069" s="92"/>
      <c r="L4069" s="92"/>
      <c r="M4069" s="92"/>
      <c r="N4069" s="94"/>
      <c r="AG4069" s="107"/>
      <c r="AH4069" s="117"/>
      <c r="AI4069" s="117"/>
      <c r="AJ4069" s="107"/>
      <c r="AK4069" s="107"/>
      <c r="AL4069" s="107"/>
      <c r="AM4069" s="107"/>
      <c r="AN4069" s="107"/>
      <c r="AO4069" s="107"/>
      <c r="AP4069" s="107"/>
      <c r="AQ4069" s="107"/>
      <c r="AR4069" s="107"/>
      <c r="AS4069" s="107"/>
      <c r="AT4069" s="39"/>
    </row>
    <row r="4070" spans="1:63" x14ac:dyDescent="0.25">
      <c r="A4070" s="92"/>
      <c r="B4070" s="93"/>
      <c r="C4070" s="93"/>
      <c r="D4070" s="93"/>
      <c r="E4070" s="92"/>
      <c r="F4070" s="92"/>
      <c r="G4070" s="92"/>
      <c r="H4070" s="92"/>
      <c r="I4070" s="92"/>
      <c r="J4070" s="92"/>
      <c r="K4070" s="92"/>
      <c r="L4070" s="92"/>
      <c r="M4070" s="92"/>
      <c r="N4070" s="94"/>
      <c r="AG4070" s="107"/>
      <c r="AH4070" s="117"/>
      <c r="AI4070" s="117"/>
      <c r="AJ4070" s="107"/>
      <c r="AK4070" s="107"/>
      <c r="AL4070" s="107"/>
      <c r="AM4070" s="107"/>
      <c r="AN4070" s="107"/>
      <c r="AO4070" s="107"/>
      <c r="AP4070" s="107"/>
      <c r="AQ4070" s="107"/>
      <c r="AR4070" s="107"/>
      <c r="AS4070" s="107"/>
      <c r="AT4070" s="39"/>
      <c r="AZ4070" s="117"/>
      <c r="BA4070" s="117"/>
      <c r="BK4070" s="39"/>
    </row>
    <row r="4071" spans="1:63" x14ac:dyDescent="0.25">
      <c r="A4071" s="92"/>
      <c r="B4071" s="92"/>
      <c r="C4071" s="92"/>
      <c r="D4071" s="93"/>
      <c r="E4071" s="92"/>
      <c r="F4071" s="92"/>
      <c r="G4071" s="92"/>
      <c r="H4071" s="92"/>
      <c r="I4071" s="92"/>
      <c r="J4071" s="92"/>
      <c r="K4071" s="92"/>
      <c r="L4071" s="92"/>
      <c r="M4071" s="92"/>
      <c r="N4071" s="92"/>
      <c r="AG4071" s="107"/>
      <c r="AH4071" s="117"/>
      <c r="AI4071" s="117"/>
      <c r="AJ4071" s="107"/>
      <c r="AK4071" s="107"/>
      <c r="AL4071" s="107"/>
      <c r="AM4071" s="107"/>
      <c r="AN4071" s="107"/>
      <c r="AO4071" s="107"/>
      <c r="AP4071" s="107"/>
      <c r="AQ4071" s="107"/>
      <c r="AR4071" s="107"/>
      <c r="AS4071" s="107"/>
      <c r="AT4071" s="39"/>
    </row>
    <row r="4072" spans="1:63" x14ac:dyDescent="0.25">
      <c r="A4072" s="92"/>
      <c r="B4072" s="93"/>
      <c r="C4072" s="93"/>
      <c r="D4072" s="93"/>
      <c r="E4072" s="92"/>
      <c r="F4072" s="92"/>
      <c r="G4072" s="92"/>
      <c r="H4072" s="92"/>
      <c r="I4072" s="92"/>
      <c r="J4072" s="92"/>
      <c r="K4072" s="92"/>
      <c r="L4072" s="92"/>
      <c r="M4072" s="92"/>
      <c r="N4072" s="94"/>
      <c r="AG4072" s="107"/>
      <c r="AH4072" s="107"/>
      <c r="AI4072" s="107"/>
      <c r="AJ4072" s="107"/>
      <c r="AK4072" s="107"/>
      <c r="AL4072" s="107"/>
      <c r="AM4072" s="107"/>
      <c r="AN4072" s="107"/>
      <c r="AO4072" s="107"/>
      <c r="AP4072" s="107"/>
      <c r="AQ4072" s="107"/>
      <c r="AR4072" s="107"/>
      <c r="AS4072" s="107"/>
      <c r="AT4072" s="107"/>
    </row>
    <row r="4073" spans="1:63" x14ac:dyDescent="0.25">
      <c r="A4073" s="92"/>
      <c r="B4073" s="92"/>
      <c r="C4073" s="92"/>
      <c r="D4073" s="93"/>
      <c r="E4073" s="92"/>
      <c r="F4073" s="92"/>
      <c r="G4073" s="92"/>
      <c r="H4073" s="92"/>
      <c r="I4073" s="92"/>
      <c r="J4073" s="92"/>
      <c r="K4073" s="92"/>
      <c r="L4073" s="92"/>
      <c r="M4073" s="92"/>
      <c r="N4073" s="92"/>
      <c r="AG4073" s="107"/>
      <c r="AH4073" s="117"/>
      <c r="AI4073" s="117"/>
      <c r="AJ4073" s="107"/>
      <c r="AK4073" s="107"/>
      <c r="AL4073" s="107"/>
      <c r="AM4073" s="107"/>
      <c r="AN4073" s="107"/>
      <c r="AO4073" s="107"/>
      <c r="AP4073" s="107"/>
      <c r="AQ4073" s="107"/>
      <c r="AR4073" s="107"/>
      <c r="AS4073" s="107"/>
      <c r="AT4073" s="39"/>
    </row>
    <row r="4074" spans="1:63" x14ac:dyDescent="0.25">
      <c r="A4074" s="92"/>
      <c r="B4074" s="92"/>
      <c r="C4074" s="92"/>
      <c r="D4074" s="93"/>
      <c r="E4074" s="92"/>
      <c r="F4074" s="92"/>
      <c r="G4074" s="92"/>
      <c r="H4074" s="92"/>
      <c r="I4074" s="92"/>
      <c r="J4074" s="92"/>
      <c r="K4074" s="92"/>
      <c r="L4074" s="92"/>
      <c r="M4074" s="92"/>
      <c r="N4074" s="92"/>
      <c r="AG4074" s="107"/>
      <c r="AH4074" s="107"/>
      <c r="AI4074" s="107"/>
      <c r="AJ4074" s="107"/>
      <c r="AK4074" s="107"/>
      <c r="AL4074" s="107"/>
      <c r="AM4074" s="107"/>
      <c r="AN4074" s="107"/>
      <c r="AO4074" s="107"/>
      <c r="AP4074" s="107"/>
      <c r="AQ4074" s="107"/>
      <c r="AR4074" s="107"/>
      <c r="AS4074" s="107"/>
      <c r="AT4074" s="107"/>
    </row>
    <row r="4075" spans="1:63" x14ac:dyDescent="0.25">
      <c r="A4075" s="92"/>
      <c r="B4075" s="92"/>
      <c r="C4075" s="92"/>
      <c r="D4075" s="93"/>
      <c r="E4075" s="92"/>
      <c r="F4075" s="92"/>
      <c r="G4075" s="92"/>
      <c r="H4075" s="92"/>
      <c r="I4075" s="92"/>
      <c r="J4075" s="92"/>
      <c r="K4075" s="92"/>
      <c r="L4075" s="92"/>
      <c r="M4075" s="92"/>
      <c r="N4075" s="92"/>
      <c r="AG4075" s="107"/>
      <c r="AH4075" s="117"/>
      <c r="AI4075" s="117"/>
      <c r="AJ4075" s="107"/>
      <c r="AK4075" s="107"/>
      <c r="AL4075" s="107"/>
      <c r="AM4075" s="107"/>
      <c r="AN4075" s="107"/>
      <c r="AO4075" s="107"/>
      <c r="AP4075" s="107"/>
      <c r="AQ4075" s="107"/>
      <c r="AR4075" s="107"/>
      <c r="AS4075" s="107"/>
      <c r="AT4075" s="39"/>
      <c r="AZ4075" s="117"/>
      <c r="BK4075" s="39"/>
    </row>
    <row r="4076" spans="1:63" x14ac:dyDescent="0.25">
      <c r="A4076" s="92"/>
      <c r="B4076" s="92"/>
      <c r="C4076" s="92"/>
      <c r="D4076" s="93"/>
      <c r="E4076" s="92"/>
      <c r="F4076" s="92"/>
      <c r="G4076" s="92"/>
      <c r="H4076" s="92"/>
      <c r="I4076" s="92"/>
      <c r="J4076" s="92"/>
      <c r="K4076" s="92"/>
      <c r="L4076" s="92"/>
      <c r="M4076" s="92"/>
      <c r="N4076" s="92"/>
      <c r="AG4076" s="107"/>
      <c r="AH4076" s="117"/>
      <c r="AI4076" s="117"/>
      <c r="AJ4076" s="107"/>
      <c r="AK4076" s="107"/>
      <c r="AL4076" s="107"/>
      <c r="AM4076" s="107"/>
      <c r="AN4076" s="107"/>
      <c r="AO4076" s="107"/>
      <c r="AP4076" s="107"/>
      <c r="AQ4076" s="107"/>
      <c r="AR4076" s="107"/>
      <c r="AS4076" s="107"/>
      <c r="AT4076" s="39"/>
      <c r="AZ4076" s="117"/>
      <c r="BA4076" s="117"/>
      <c r="BK4076" s="39"/>
    </row>
    <row r="4077" spans="1:63" x14ac:dyDescent="0.25">
      <c r="A4077" s="92"/>
      <c r="B4077" s="92"/>
      <c r="C4077" s="92"/>
      <c r="D4077" s="93"/>
      <c r="E4077" s="92"/>
      <c r="F4077" s="92"/>
      <c r="G4077" s="92"/>
      <c r="H4077" s="92"/>
      <c r="I4077" s="92"/>
      <c r="J4077" s="92"/>
      <c r="K4077" s="92"/>
      <c r="L4077" s="92"/>
      <c r="M4077" s="92"/>
      <c r="N4077" s="92"/>
      <c r="AG4077" s="107"/>
      <c r="AH4077" s="117"/>
      <c r="AI4077" s="117"/>
      <c r="AJ4077" s="107"/>
      <c r="AK4077" s="107"/>
      <c r="AL4077" s="107"/>
      <c r="AM4077" s="107"/>
      <c r="AN4077" s="107"/>
      <c r="AO4077" s="107"/>
      <c r="AP4077" s="107"/>
      <c r="AQ4077" s="107"/>
      <c r="AR4077" s="107"/>
      <c r="AS4077" s="107"/>
      <c r="AT4077" s="39"/>
      <c r="BA4077" s="117"/>
    </row>
    <row r="4078" spans="1:63" x14ac:dyDescent="0.25">
      <c r="A4078" s="92"/>
      <c r="B4078" s="93"/>
      <c r="C4078" s="93"/>
      <c r="D4078" s="92"/>
      <c r="E4078" s="92"/>
      <c r="F4078" s="92"/>
      <c r="G4078" s="92"/>
      <c r="H4078" s="92"/>
      <c r="I4078" s="92"/>
      <c r="J4078" s="92"/>
      <c r="K4078" s="92"/>
      <c r="L4078" s="92"/>
      <c r="M4078" s="92"/>
      <c r="N4078" s="94"/>
      <c r="AG4078" s="107"/>
      <c r="AH4078" s="117"/>
      <c r="AI4078" s="117"/>
      <c r="AJ4078" s="107"/>
      <c r="AK4078" s="107"/>
      <c r="AL4078" s="107"/>
      <c r="AM4078" s="107"/>
      <c r="AN4078" s="107"/>
      <c r="AO4078" s="107"/>
      <c r="AP4078" s="107"/>
      <c r="AQ4078" s="107"/>
      <c r="AR4078" s="107"/>
      <c r="AS4078" s="107"/>
      <c r="AT4078" s="39"/>
      <c r="BA4078" s="117"/>
    </row>
    <row r="4079" spans="1:63" x14ac:dyDescent="0.25">
      <c r="A4079" s="92"/>
      <c r="B4079" s="92"/>
      <c r="C4079" s="92"/>
      <c r="D4079" s="92"/>
      <c r="E4079" s="92"/>
      <c r="F4079" s="92"/>
      <c r="G4079" s="92"/>
      <c r="H4079" s="92"/>
      <c r="I4079" s="92"/>
      <c r="J4079" s="92"/>
      <c r="K4079" s="92"/>
      <c r="L4079" s="92"/>
      <c r="M4079" s="92"/>
      <c r="N4079" s="92"/>
      <c r="AG4079" s="107"/>
      <c r="AH4079" s="117"/>
      <c r="AI4079" s="117"/>
      <c r="AJ4079" s="107"/>
      <c r="AK4079" s="107"/>
      <c r="AL4079" s="107"/>
      <c r="AM4079" s="107"/>
      <c r="AN4079" s="107"/>
      <c r="AO4079" s="107"/>
      <c r="AP4079" s="107"/>
      <c r="AQ4079" s="107"/>
      <c r="AR4079" s="107"/>
      <c r="AS4079" s="107"/>
      <c r="AT4079" s="39"/>
      <c r="BA4079" s="117"/>
    </row>
    <row r="4080" spans="1:63" x14ac:dyDescent="0.25">
      <c r="A4080" s="92"/>
      <c r="B4080" s="93"/>
      <c r="C4080" s="93"/>
      <c r="D4080" s="93"/>
      <c r="E4080" s="92"/>
      <c r="F4080" s="92"/>
      <c r="G4080" s="92"/>
      <c r="H4080" s="92"/>
      <c r="I4080" s="92"/>
      <c r="J4080" s="92"/>
      <c r="K4080" s="92"/>
      <c r="L4080" s="92"/>
      <c r="M4080" s="92"/>
      <c r="N4080" s="94"/>
      <c r="AG4080" s="107"/>
      <c r="AH4080" s="107"/>
      <c r="AI4080" s="107"/>
      <c r="AJ4080" s="107"/>
      <c r="AK4080" s="107"/>
      <c r="AL4080" s="107"/>
      <c r="AM4080" s="107"/>
      <c r="AN4080" s="107"/>
      <c r="AO4080" s="107"/>
      <c r="AP4080" s="107"/>
      <c r="AQ4080" s="107"/>
      <c r="AR4080" s="107"/>
      <c r="AS4080" s="107"/>
      <c r="AT4080" s="107"/>
      <c r="BA4080" s="117"/>
    </row>
    <row r="4081" spans="1:63" x14ac:dyDescent="0.25">
      <c r="A4081" s="92"/>
      <c r="B4081" s="92"/>
      <c r="C4081" s="92"/>
      <c r="D4081" s="93"/>
      <c r="E4081" s="92"/>
      <c r="F4081" s="92"/>
      <c r="G4081" s="92"/>
      <c r="H4081" s="92"/>
      <c r="I4081" s="92"/>
      <c r="J4081" s="92"/>
      <c r="K4081" s="92"/>
      <c r="L4081" s="92"/>
      <c r="M4081" s="92"/>
      <c r="N4081" s="92"/>
      <c r="AG4081" s="107"/>
      <c r="AH4081" s="107"/>
      <c r="AI4081" s="107"/>
      <c r="AJ4081" s="107"/>
      <c r="AK4081" s="107"/>
      <c r="AL4081" s="107"/>
      <c r="AM4081" s="107"/>
      <c r="AN4081" s="107"/>
      <c r="AO4081" s="107"/>
      <c r="AP4081" s="107"/>
      <c r="AQ4081" s="107"/>
      <c r="AR4081" s="107"/>
      <c r="AS4081" s="107"/>
      <c r="AT4081" s="107"/>
      <c r="AZ4081" s="117"/>
      <c r="BK4081" s="39"/>
    </row>
    <row r="4082" spans="1:63" x14ac:dyDescent="0.25">
      <c r="A4082" s="92"/>
      <c r="B4082" s="92"/>
      <c r="C4082" s="92"/>
      <c r="D4082" s="93"/>
      <c r="E4082" s="92"/>
      <c r="F4082" s="92"/>
      <c r="G4082" s="92"/>
      <c r="H4082" s="92"/>
      <c r="I4082" s="92"/>
      <c r="J4082" s="92"/>
      <c r="K4082" s="92"/>
      <c r="L4082" s="92"/>
      <c r="M4082" s="92"/>
      <c r="N4082" s="92"/>
      <c r="AG4082" s="107"/>
      <c r="AH4082" s="107"/>
      <c r="AI4082" s="107"/>
      <c r="AJ4082" s="107"/>
      <c r="AK4082" s="107"/>
      <c r="AL4082" s="107"/>
      <c r="AM4082" s="107"/>
      <c r="AN4082" s="107"/>
      <c r="AO4082" s="107"/>
      <c r="AP4082" s="107"/>
      <c r="AQ4082" s="107"/>
      <c r="AR4082" s="107"/>
      <c r="AS4082" s="107"/>
      <c r="AT4082" s="107"/>
      <c r="AZ4082" s="117"/>
      <c r="BK4082" s="39"/>
    </row>
    <row r="4083" spans="1:63" x14ac:dyDescent="0.25">
      <c r="A4083" s="92"/>
      <c r="B4083" s="92"/>
      <c r="C4083" s="92"/>
      <c r="D4083" s="93"/>
      <c r="E4083" s="92"/>
      <c r="F4083" s="92"/>
      <c r="G4083" s="92"/>
      <c r="H4083" s="92"/>
      <c r="I4083" s="92"/>
      <c r="J4083" s="92"/>
      <c r="K4083" s="92"/>
      <c r="L4083" s="92"/>
      <c r="M4083" s="92"/>
      <c r="N4083" s="92"/>
      <c r="AG4083" s="107"/>
      <c r="AH4083" s="117"/>
      <c r="AI4083" s="117"/>
      <c r="AJ4083" s="107"/>
      <c r="AK4083" s="107"/>
      <c r="AL4083" s="107"/>
      <c r="AM4083" s="107"/>
      <c r="AN4083" s="107"/>
      <c r="AO4083" s="107"/>
      <c r="AP4083" s="107"/>
      <c r="AQ4083" s="107"/>
      <c r="AR4083" s="107"/>
      <c r="AS4083" s="107"/>
      <c r="AT4083" s="39"/>
      <c r="AZ4083" s="117"/>
      <c r="BK4083" s="39"/>
    </row>
    <row r="4084" spans="1:63" x14ac:dyDescent="0.25">
      <c r="A4084" s="92"/>
      <c r="B4084" s="92"/>
      <c r="C4084" s="92"/>
      <c r="D4084" s="93"/>
      <c r="E4084" s="92"/>
      <c r="F4084" s="92"/>
      <c r="G4084" s="92"/>
      <c r="H4084" s="92"/>
      <c r="I4084" s="92"/>
      <c r="J4084" s="92"/>
      <c r="K4084" s="92"/>
      <c r="L4084" s="92"/>
      <c r="M4084" s="92"/>
      <c r="N4084" s="92"/>
      <c r="AG4084" s="107"/>
      <c r="AH4084" s="107"/>
      <c r="AI4084" s="107"/>
      <c r="AJ4084" s="107"/>
      <c r="AK4084" s="107"/>
      <c r="AL4084" s="107"/>
      <c r="AM4084" s="107"/>
      <c r="AN4084" s="107"/>
      <c r="AO4084" s="107"/>
      <c r="AP4084" s="107"/>
      <c r="AQ4084" s="107"/>
      <c r="AR4084" s="107"/>
      <c r="AS4084" s="107"/>
      <c r="AT4084" s="107"/>
    </row>
    <row r="4085" spans="1:63" x14ac:dyDescent="0.25">
      <c r="A4085" s="92"/>
      <c r="B4085" s="92"/>
      <c r="C4085" s="92"/>
      <c r="D4085" s="93"/>
      <c r="E4085" s="92"/>
      <c r="F4085" s="92"/>
      <c r="G4085" s="92"/>
      <c r="H4085" s="92"/>
      <c r="I4085" s="92"/>
      <c r="J4085" s="92"/>
      <c r="K4085" s="92"/>
      <c r="L4085" s="92"/>
      <c r="M4085" s="92"/>
      <c r="N4085" s="92"/>
      <c r="AG4085" s="107"/>
      <c r="AH4085" s="117"/>
      <c r="AI4085" s="117"/>
      <c r="AJ4085" s="117"/>
      <c r="AK4085" s="107"/>
      <c r="AL4085" s="107"/>
      <c r="AM4085" s="107"/>
      <c r="AN4085" s="107"/>
      <c r="AO4085" s="107"/>
      <c r="AP4085" s="107"/>
      <c r="AQ4085" s="107"/>
      <c r="AR4085" s="107"/>
      <c r="AS4085" s="107"/>
      <c r="AT4085" s="39"/>
    </row>
    <row r="4086" spans="1:63" x14ac:dyDescent="0.25">
      <c r="A4086" s="92"/>
      <c r="B4086" s="92"/>
      <c r="C4086" s="92"/>
      <c r="D4086" s="93"/>
      <c r="E4086" s="92"/>
      <c r="F4086" s="92"/>
      <c r="G4086" s="92"/>
      <c r="H4086" s="92"/>
      <c r="I4086" s="92"/>
      <c r="J4086" s="92"/>
      <c r="K4086" s="92"/>
      <c r="L4086" s="92"/>
      <c r="M4086" s="92"/>
      <c r="N4086" s="92"/>
      <c r="AG4086" s="107"/>
      <c r="AH4086" s="107"/>
      <c r="AI4086" s="107"/>
      <c r="AJ4086" s="117"/>
      <c r="AK4086" s="107"/>
      <c r="AL4086" s="107"/>
      <c r="AM4086" s="107"/>
      <c r="AN4086" s="107"/>
      <c r="AO4086" s="107"/>
      <c r="AP4086" s="107"/>
      <c r="AQ4086" s="107"/>
      <c r="AR4086" s="107"/>
      <c r="AS4086" s="107"/>
      <c r="AT4086" s="107"/>
    </row>
    <row r="4087" spans="1:63" x14ac:dyDescent="0.25">
      <c r="A4087" s="92"/>
      <c r="B4087" s="92"/>
      <c r="C4087" s="92"/>
      <c r="D4087" s="92"/>
      <c r="E4087" s="92"/>
      <c r="F4087" s="92"/>
      <c r="G4087" s="92"/>
      <c r="H4087" s="92"/>
      <c r="I4087" s="92"/>
      <c r="J4087" s="92"/>
      <c r="K4087" s="92"/>
      <c r="L4087" s="92"/>
      <c r="M4087" s="92"/>
      <c r="N4087" s="92"/>
      <c r="AG4087" s="107"/>
      <c r="AH4087" s="107"/>
      <c r="AI4087" s="107"/>
      <c r="AJ4087" s="117"/>
      <c r="AK4087" s="107"/>
      <c r="AL4087" s="107"/>
      <c r="AM4087" s="107"/>
      <c r="AN4087" s="107"/>
      <c r="AO4087" s="107"/>
      <c r="AP4087" s="107"/>
      <c r="AQ4087" s="107"/>
      <c r="AR4087" s="107"/>
      <c r="AS4087" s="107"/>
      <c r="AT4087" s="107"/>
    </row>
    <row r="4088" spans="1:63" x14ac:dyDescent="0.25">
      <c r="A4088" s="92"/>
      <c r="B4088" s="93"/>
      <c r="C4088" s="93"/>
      <c r="D4088" s="93"/>
      <c r="E4088" s="92"/>
      <c r="F4088" s="92"/>
      <c r="G4088" s="92"/>
      <c r="H4088" s="92"/>
      <c r="I4088" s="92"/>
      <c r="J4088" s="92"/>
      <c r="K4088" s="92"/>
      <c r="L4088" s="92"/>
      <c r="M4088" s="92"/>
      <c r="N4088" s="94"/>
      <c r="AG4088" s="107"/>
      <c r="AH4088" s="107"/>
      <c r="AI4088" s="107"/>
      <c r="AJ4088" s="117"/>
      <c r="AK4088" s="107"/>
      <c r="AL4088" s="107"/>
      <c r="AM4088" s="107"/>
      <c r="AN4088" s="107"/>
      <c r="AO4088" s="107"/>
      <c r="AP4088" s="107"/>
      <c r="AQ4088" s="107"/>
      <c r="AR4088" s="107"/>
      <c r="AS4088" s="107"/>
      <c r="AT4088" s="107"/>
    </row>
    <row r="4089" spans="1:63" x14ac:dyDescent="0.25">
      <c r="A4089" s="92"/>
      <c r="B4089" s="92"/>
      <c r="C4089" s="92"/>
      <c r="D4089" s="92"/>
      <c r="E4089" s="92"/>
      <c r="F4089" s="92"/>
      <c r="G4089" s="92"/>
      <c r="H4089" s="92"/>
      <c r="I4089" s="92"/>
      <c r="J4089" s="92"/>
      <c r="K4089" s="92"/>
      <c r="L4089" s="92"/>
      <c r="M4089" s="92"/>
      <c r="N4089" s="92"/>
      <c r="AG4089" s="107"/>
      <c r="AH4089" s="107"/>
      <c r="AI4089" s="107"/>
      <c r="AJ4089" s="117"/>
      <c r="AK4089" s="107"/>
      <c r="AL4089" s="107"/>
      <c r="AM4089" s="107"/>
      <c r="AN4089" s="107"/>
      <c r="AO4089" s="107"/>
      <c r="AP4089" s="107"/>
      <c r="AQ4089" s="107"/>
      <c r="AR4089" s="107"/>
      <c r="AS4089" s="107"/>
      <c r="AT4089" s="107"/>
    </row>
    <row r="4090" spans="1:63" x14ac:dyDescent="0.25">
      <c r="A4090" s="92"/>
      <c r="B4090" s="92"/>
      <c r="C4090" s="92"/>
      <c r="D4090" s="92"/>
      <c r="E4090" s="92"/>
      <c r="F4090" s="92"/>
      <c r="G4090" s="92"/>
      <c r="H4090" s="92"/>
      <c r="I4090" s="92"/>
      <c r="J4090" s="92"/>
      <c r="K4090" s="92"/>
      <c r="L4090" s="92"/>
      <c r="M4090" s="92"/>
      <c r="N4090" s="92"/>
      <c r="AG4090" s="107"/>
      <c r="AH4090" s="117"/>
      <c r="AI4090" s="117"/>
      <c r="AJ4090" s="107"/>
      <c r="AK4090" s="107"/>
      <c r="AL4090" s="107"/>
      <c r="AM4090" s="107"/>
      <c r="AN4090" s="107"/>
      <c r="AO4090" s="107"/>
      <c r="AP4090" s="107"/>
      <c r="AQ4090" s="107"/>
      <c r="AR4090" s="107"/>
      <c r="AS4090" s="107"/>
      <c r="AT4090" s="39"/>
    </row>
    <row r="4091" spans="1:63" x14ac:dyDescent="0.25">
      <c r="A4091" s="92"/>
      <c r="B4091" s="92"/>
      <c r="C4091" s="92"/>
      <c r="D4091" s="92"/>
      <c r="E4091" s="92"/>
      <c r="F4091" s="92"/>
      <c r="G4091" s="92"/>
      <c r="H4091" s="92"/>
      <c r="I4091" s="92"/>
      <c r="J4091" s="92"/>
      <c r="K4091" s="92"/>
      <c r="L4091" s="92"/>
      <c r="M4091" s="92"/>
      <c r="N4091" s="92"/>
      <c r="AG4091" s="107"/>
      <c r="AH4091" s="117"/>
      <c r="AI4091" s="117"/>
      <c r="AJ4091" s="107"/>
      <c r="AK4091" s="107"/>
      <c r="AL4091" s="107"/>
      <c r="AM4091" s="107"/>
      <c r="AN4091" s="107"/>
      <c r="AO4091" s="107"/>
      <c r="AP4091" s="107"/>
      <c r="AQ4091" s="107"/>
      <c r="AR4091" s="107"/>
      <c r="AS4091" s="107"/>
      <c r="AT4091" s="39"/>
    </row>
    <row r="4092" spans="1:63" x14ac:dyDescent="0.25">
      <c r="A4092" s="92"/>
      <c r="B4092" s="92"/>
      <c r="C4092" s="92"/>
      <c r="D4092" s="92"/>
      <c r="E4092" s="92"/>
      <c r="F4092" s="92"/>
      <c r="G4092" s="92"/>
      <c r="H4092" s="92"/>
      <c r="I4092" s="92"/>
      <c r="J4092" s="92"/>
      <c r="K4092" s="92"/>
      <c r="L4092" s="92"/>
      <c r="M4092" s="92"/>
      <c r="N4092" s="92"/>
      <c r="AG4092" s="107"/>
      <c r="AH4092" s="117"/>
      <c r="AI4092" s="117"/>
      <c r="AJ4092" s="107"/>
      <c r="AK4092" s="107"/>
      <c r="AL4092" s="107"/>
      <c r="AM4092" s="107"/>
      <c r="AN4092" s="107"/>
      <c r="AO4092" s="107"/>
      <c r="AP4092" s="107"/>
      <c r="AQ4092" s="107"/>
      <c r="AR4092" s="107"/>
      <c r="AS4092" s="107"/>
      <c r="AT4092" s="39"/>
    </row>
    <row r="4093" spans="1:63" x14ac:dyDescent="0.25">
      <c r="A4093" s="92"/>
      <c r="B4093" s="93"/>
      <c r="C4093" s="93"/>
      <c r="D4093" s="92"/>
      <c r="E4093" s="92"/>
      <c r="F4093" s="92"/>
      <c r="G4093" s="92"/>
      <c r="H4093" s="92"/>
      <c r="I4093" s="92"/>
      <c r="J4093" s="92"/>
      <c r="K4093" s="92"/>
      <c r="L4093" s="92"/>
      <c r="M4093" s="92"/>
      <c r="N4093" s="94"/>
      <c r="AG4093" s="107"/>
      <c r="AH4093" s="117"/>
      <c r="AI4093" s="117"/>
      <c r="AJ4093" s="107"/>
      <c r="AK4093" s="107"/>
      <c r="AL4093" s="107"/>
      <c r="AM4093" s="107"/>
      <c r="AN4093" s="107"/>
      <c r="AO4093" s="107"/>
      <c r="AP4093" s="107"/>
      <c r="AQ4093" s="107"/>
      <c r="AR4093" s="107"/>
      <c r="AS4093" s="107"/>
      <c r="AT4093" s="39"/>
    </row>
    <row r="4094" spans="1:63" x14ac:dyDescent="0.25">
      <c r="A4094" s="92"/>
      <c r="B4094" s="93"/>
      <c r="C4094" s="93"/>
      <c r="D4094" s="93"/>
      <c r="E4094" s="92"/>
      <c r="F4094" s="92"/>
      <c r="G4094" s="92"/>
      <c r="H4094" s="92"/>
      <c r="I4094" s="92"/>
      <c r="J4094" s="92"/>
      <c r="K4094" s="92"/>
      <c r="L4094" s="92"/>
      <c r="M4094" s="92"/>
      <c r="N4094" s="94"/>
      <c r="AG4094" s="107"/>
      <c r="AH4094" s="107"/>
      <c r="AI4094" s="107"/>
      <c r="AJ4094" s="107"/>
      <c r="AK4094" s="107"/>
      <c r="AL4094" s="107"/>
      <c r="AM4094" s="107"/>
      <c r="AN4094" s="107"/>
      <c r="AO4094" s="107"/>
      <c r="AP4094" s="107"/>
      <c r="AQ4094" s="107"/>
      <c r="AR4094" s="107"/>
      <c r="AS4094" s="107"/>
      <c r="AT4094" s="107"/>
    </row>
    <row r="4095" spans="1:63" x14ac:dyDescent="0.25">
      <c r="A4095" s="92"/>
      <c r="B4095" s="92"/>
      <c r="C4095" s="92"/>
      <c r="D4095" s="93"/>
      <c r="E4095" s="92"/>
      <c r="F4095" s="92"/>
      <c r="G4095" s="92"/>
      <c r="H4095" s="92"/>
      <c r="I4095" s="92"/>
      <c r="J4095" s="92"/>
      <c r="K4095" s="92"/>
      <c r="L4095" s="92"/>
      <c r="M4095" s="92"/>
      <c r="N4095" s="92"/>
      <c r="AG4095" s="107"/>
      <c r="AH4095" s="107"/>
      <c r="AI4095" s="107"/>
      <c r="AJ4095" s="107"/>
      <c r="AK4095" s="107"/>
      <c r="AL4095" s="107"/>
      <c r="AM4095" s="107"/>
      <c r="AN4095" s="107"/>
      <c r="AO4095" s="107"/>
      <c r="AP4095" s="107"/>
      <c r="AQ4095" s="107"/>
      <c r="AR4095" s="107"/>
      <c r="AS4095" s="107"/>
      <c r="AT4095" s="107"/>
    </row>
    <row r="4096" spans="1:63" x14ac:dyDescent="0.25">
      <c r="A4096" s="92"/>
      <c r="B4096" s="92"/>
      <c r="C4096" s="92"/>
      <c r="D4096" s="93"/>
      <c r="E4096" s="92"/>
      <c r="F4096" s="92"/>
      <c r="G4096" s="92"/>
      <c r="H4096" s="92"/>
      <c r="I4096" s="92"/>
      <c r="J4096" s="92"/>
      <c r="K4096" s="92"/>
      <c r="L4096" s="92"/>
      <c r="M4096" s="92"/>
      <c r="N4096" s="92"/>
      <c r="AG4096" s="107"/>
      <c r="AH4096" s="117"/>
      <c r="AI4096" s="117"/>
      <c r="AJ4096" s="107"/>
      <c r="AK4096" s="107"/>
      <c r="AL4096" s="107"/>
      <c r="AM4096" s="107"/>
      <c r="AN4096" s="107"/>
      <c r="AO4096" s="107"/>
      <c r="AP4096" s="107"/>
      <c r="AQ4096" s="107"/>
      <c r="AR4096" s="107"/>
      <c r="AS4096" s="107"/>
      <c r="AT4096" s="39"/>
    </row>
    <row r="4097" spans="1:63" x14ac:dyDescent="0.25">
      <c r="A4097" s="92"/>
      <c r="B4097" s="92"/>
      <c r="C4097" s="92"/>
      <c r="D4097" s="93"/>
      <c r="E4097" s="92"/>
      <c r="F4097" s="92"/>
      <c r="G4097" s="92"/>
      <c r="H4097" s="92"/>
      <c r="I4097" s="92"/>
      <c r="J4097" s="92"/>
      <c r="K4097" s="92"/>
      <c r="L4097" s="92"/>
      <c r="M4097" s="92"/>
      <c r="N4097" s="92"/>
      <c r="AG4097" s="107"/>
      <c r="AH4097" s="117"/>
      <c r="AI4097" s="117"/>
      <c r="AJ4097" s="107"/>
      <c r="AK4097" s="107"/>
      <c r="AL4097" s="107"/>
      <c r="AM4097" s="107"/>
      <c r="AN4097" s="107"/>
      <c r="AO4097" s="107"/>
      <c r="AP4097" s="107"/>
      <c r="AQ4097" s="107"/>
      <c r="AR4097" s="107"/>
      <c r="AS4097" s="107"/>
      <c r="AT4097" s="39"/>
      <c r="AZ4097" s="117"/>
      <c r="BK4097" s="39"/>
    </row>
    <row r="4098" spans="1:63" x14ac:dyDescent="0.25">
      <c r="A4098" s="92"/>
      <c r="B4098" s="92"/>
      <c r="C4098" s="92"/>
      <c r="D4098" s="93"/>
      <c r="E4098" s="92"/>
      <c r="F4098" s="92"/>
      <c r="G4098" s="92"/>
      <c r="H4098" s="92"/>
      <c r="I4098" s="92"/>
      <c r="J4098" s="92"/>
      <c r="K4098" s="92"/>
      <c r="L4098" s="92"/>
      <c r="M4098" s="92"/>
      <c r="N4098" s="92"/>
      <c r="AG4098" s="107"/>
      <c r="AH4098" s="117"/>
      <c r="AI4098" s="117"/>
      <c r="AJ4098" s="107"/>
      <c r="AK4098" s="107"/>
      <c r="AL4098" s="107"/>
      <c r="AM4098" s="107"/>
      <c r="AN4098" s="107"/>
      <c r="AO4098" s="107"/>
      <c r="AP4098" s="107"/>
      <c r="AQ4098" s="107"/>
      <c r="AR4098" s="107"/>
      <c r="AS4098" s="107"/>
      <c r="AT4098" s="39"/>
      <c r="AZ4098" s="117"/>
      <c r="BA4098" s="117"/>
      <c r="BK4098" s="39"/>
    </row>
    <row r="4099" spans="1:63" x14ac:dyDescent="0.25">
      <c r="A4099" s="92"/>
      <c r="B4099" s="93"/>
      <c r="C4099" s="93"/>
      <c r="D4099" s="92"/>
      <c r="E4099" s="92"/>
      <c r="F4099" s="92"/>
      <c r="G4099" s="92"/>
      <c r="H4099" s="92"/>
      <c r="I4099" s="92"/>
      <c r="J4099" s="92"/>
      <c r="K4099" s="92"/>
      <c r="L4099" s="92"/>
      <c r="M4099" s="92"/>
      <c r="N4099" s="94"/>
      <c r="AG4099" s="107"/>
      <c r="AH4099" s="107"/>
      <c r="AI4099" s="107"/>
      <c r="AJ4099" s="107"/>
      <c r="AK4099" s="107"/>
      <c r="AL4099" s="107"/>
      <c r="AM4099" s="107"/>
      <c r="AN4099" s="107"/>
      <c r="AO4099" s="107"/>
      <c r="AP4099" s="107"/>
      <c r="AQ4099" s="107"/>
      <c r="AR4099" s="107"/>
      <c r="AS4099" s="107"/>
      <c r="AT4099" s="107"/>
    </row>
    <row r="4100" spans="1:63" x14ac:dyDescent="0.25">
      <c r="A4100" s="92"/>
      <c r="B4100" s="93"/>
      <c r="C4100" s="93"/>
      <c r="D4100" s="92"/>
      <c r="E4100" s="92"/>
      <c r="F4100" s="92"/>
      <c r="G4100" s="92"/>
      <c r="H4100" s="92"/>
      <c r="I4100" s="92"/>
      <c r="J4100" s="92"/>
      <c r="K4100" s="92"/>
      <c r="L4100" s="92"/>
      <c r="M4100" s="92"/>
      <c r="N4100" s="94"/>
      <c r="AG4100" s="107"/>
      <c r="AH4100" s="117"/>
      <c r="AI4100" s="117"/>
      <c r="AJ4100" s="107"/>
      <c r="AK4100" s="107"/>
      <c r="AL4100" s="107"/>
      <c r="AM4100" s="107"/>
      <c r="AN4100" s="107"/>
      <c r="AO4100" s="107"/>
      <c r="AP4100" s="107"/>
      <c r="AQ4100" s="107"/>
      <c r="AR4100" s="107"/>
      <c r="AS4100" s="107"/>
      <c r="AT4100" s="39"/>
      <c r="AZ4100" s="117"/>
      <c r="BA4100" s="117"/>
      <c r="BK4100" s="39"/>
    </row>
    <row r="4101" spans="1:63" x14ac:dyDescent="0.25">
      <c r="A4101" s="92"/>
      <c r="B4101" s="93"/>
      <c r="C4101" s="93"/>
      <c r="D4101" s="92"/>
      <c r="E4101" s="92"/>
      <c r="F4101" s="92"/>
      <c r="G4101" s="92"/>
      <c r="H4101" s="92"/>
      <c r="I4101" s="92"/>
      <c r="J4101" s="92"/>
      <c r="K4101" s="92"/>
      <c r="L4101" s="92"/>
      <c r="M4101" s="92"/>
      <c r="N4101" s="94"/>
      <c r="AG4101" s="107"/>
      <c r="AH4101" s="107"/>
      <c r="AI4101" s="107"/>
      <c r="AJ4101" s="107"/>
      <c r="AK4101" s="107"/>
      <c r="AL4101" s="107"/>
      <c r="AM4101" s="107"/>
      <c r="AN4101" s="107"/>
      <c r="AO4101" s="107"/>
      <c r="AP4101" s="107"/>
      <c r="AQ4101" s="107"/>
      <c r="AR4101" s="107"/>
      <c r="AS4101" s="107"/>
      <c r="AT4101" s="107"/>
      <c r="AZ4101" s="117"/>
      <c r="BK4101" s="39"/>
    </row>
    <row r="4102" spans="1:63" x14ac:dyDescent="0.25">
      <c r="A4102" s="92"/>
      <c r="B4102" s="92"/>
      <c r="C4102" s="92"/>
      <c r="D4102" s="92"/>
      <c r="E4102" s="92"/>
      <c r="F4102" s="92"/>
      <c r="G4102" s="92"/>
      <c r="H4102" s="92"/>
      <c r="I4102" s="92"/>
      <c r="J4102" s="92"/>
      <c r="K4102" s="92"/>
      <c r="L4102" s="92"/>
      <c r="M4102" s="92"/>
      <c r="N4102" s="92"/>
      <c r="AG4102" s="107"/>
      <c r="AH4102" s="117"/>
      <c r="AI4102" s="117"/>
      <c r="AJ4102" s="117"/>
      <c r="AK4102" s="107"/>
      <c r="AL4102" s="107"/>
      <c r="AM4102" s="107"/>
      <c r="AN4102" s="107"/>
      <c r="AO4102" s="107"/>
      <c r="AP4102" s="107"/>
      <c r="AQ4102" s="107"/>
      <c r="AR4102" s="107"/>
      <c r="AS4102" s="107"/>
      <c r="AT4102" s="39"/>
      <c r="AZ4102" s="117"/>
      <c r="BK4102" s="39"/>
    </row>
    <row r="4103" spans="1:63" x14ac:dyDescent="0.25">
      <c r="A4103" s="92"/>
      <c r="B4103" s="92"/>
      <c r="C4103" s="92"/>
      <c r="D4103" s="92"/>
      <c r="E4103" s="92"/>
      <c r="F4103" s="92"/>
      <c r="G4103" s="92"/>
      <c r="H4103" s="92"/>
      <c r="I4103" s="92"/>
      <c r="J4103" s="92"/>
      <c r="K4103" s="92"/>
      <c r="L4103" s="92"/>
      <c r="M4103" s="92"/>
      <c r="N4103" s="92"/>
      <c r="AG4103" s="107"/>
      <c r="AH4103" s="107"/>
      <c r="AI4103" s="107"/>
      <c r="AJ4103" s="117"/>
      <c r="AK4103" s="107"/>
      <c r="AL4103" s="107"/>
      <c r="AM4103" s="107"/>
      <c r="AN4103" s="107"/>
      <c r="AO4103" s="107"/>
      <c r="AP4103" s="107"/>
      <c r="AQ4103" s="107"/>
      <c r="AR4103" s="107"/>
      <c r="AS4103" s="107"/>
      <c r="AT4103" s="107"/>
    </row>
    <row r="4104" spans="1:63" x14ac:dyDescent="0.25">
      <c r="A4104" s="92"/>
      <c r="B4104" s="92"/>
      <c r="C4104" s="92"/>
      <c r="D4104" s="92"/>
      <c r="E4104" s="92"/>
      <c r="F4104" s="92"/>
      <c r="G4104" s="92"/>
      <c r="H4104" s="92"/>
      <c r="I4104" s="92"/>
      <c r="J4104" s="92"/>
      <c r="K4104" s="92"/>
      <c r="L4104" s="92"/>
      <c r="M4104" s="92"/>
      <c r="N4104" s="92"/>
      <c r="AG4104" s="107"/>
      <c r="AH4104" s="117"/>
      <c r="AI4104" s="117"/>
      <c r="AJ4104" s="107"/>
      <c r="AK4104" s="107"/>
      <c r="AL4104" s="107"/>
      <c r="AM4104" s="107"/>
      <c r="AN4104" s="107"/>
      <c r="AO4104" s="107"/>
      <c r="AP4104" s="107"/>
      <c r="AQ4104" s="107"/>
      <c r="AR4104" s="107"/>
      <c r="AS4104" s="107"/>
      <c r="AT4104" s="39"/>
    </row>
    <row r="4105" spans="1:63" x14ac:dyDescent="0.25">
      <c r="A4105" s="92"/>
      <c r="B4105" s="92"/>
      <c r="C4105" s="92"/>
      <c r="D4105" s="92"/>
      <c r="E4105" s="92"/>
      <c r="F4105" s="92"/>
      <c r="G4105" s="92"/>
      <c r="H4105" s="92"/>
      <c r="I4105" s="92"/>
      <c r="J4105" s="92"/>
      <c r="K4105" s="92"/>
      <c r="L4105" s="92"/>
      <c r="M4105" s="92"/>
      <c r="N4105" s="92"/>
      <c r="AG4105" s="107"/>
      <c r="AH4105" s="117"/>
      <c r="AI4105" s="117"/>
      <c r="AJ4105" s="107"/>
      <c r="AK4105" s="107"/>
      <c r="AL4105" s="107"/>
      <c r="AM4105" s="107"/>
      <c r="AN4105" s="107"/>
      <c r="AO4105" s="107"/>
      <c r="AP4105" s="107"/>
      <c r="AQ4105" s="107"/>
      <c r="AR4105" s="107"/>
      <c r="AS4105" s="107"/>
      <c r="AT4105" s="39"/>
    </row>
    <row r="4106" spans="1:63" x14ac:dyDescent="0.25">
      <c r="A4106" s="92"/>
      <c r="B4106" s="92"/>
      <c r="C4106" s="92"/>
      <c r="D4106" s="92"/>
      <c r="E4106" s="92"/>
      <c r="F4106" s="92"/>
      <c r="G4106" s="92"/>
      <c r="H4106" s="92"/>
      <c r="I4106" s="92"/>
      <c r="J4106" s="92"/>
      <c r="K4106" s="92"/>
      <c r="L4106" s="92"/>
      <c r="M4106" s="92"/>
      <c r="N4106" s="92"/>
      <c r="AG4106" s="107"/>
      <c r="AH4106" s="107"/>
      <c r="AI4106" s="107"/>
      <c r="AJ4106" s="107"/>
      <c r="AK4106" s="107"/>
      <c r="AL4106" s="107"/>
      <c r="AM4106" s="107"/>
      <c r="AN4106" s="107"/>
      <c r="AO4106" s="107"/>
      <c r="AP4106" s="107"/>
      <c r="AQ4106" s="107"/>
      <c r="AR4106" s="107"/>
      <c r="AS4106" s="107"/>
      <c r="AT4106" s="107"/>
    </row>
    <row r="4107" spans="1:63" x14ac:dyDescent="0.25">
      <c r="A4107" s="92"/>
      <c r="B4107" s="92"/>
      <c r="C4107" s="92"/>
      <c r="D4107" s="92"/>
      <c r="E4107" s="92"/>
      <c r="F4107" s="92"/>
      <c r="G4107" s="92"/>
      <c r="H4107" s="92"/>
      <c r="I4107" s="92"/>
      <c r="J4107" s="92"/>
      <c r="K4107" s="92"/>
      <c r="L4107" s="92"/>
      <c r="M4107" s="92"/>
      <c r="N4107" s="92"/>
      <c r="AG4107" s="107"/>
      <c r="AH4107" s="117"/>
      <c r="AI4107" s="117"/>
      <c r="AJ4107" s="117"/>
      <c r="AK4107" s="107"/>
      <c r="AL4107" s="107"/>
      <c r="AM4107" s="107"/>
      <c r="AN4107" s="107"/>
      <c r="AO4107" s="107"/>
      <c r="AP4107" s="107"/>
      <c r="AQ4107" s="107"/>
      <c r="AR4107" s="107"/>
      <c r="AS4107" s="107"/>
      <c r="AT4107" s="39"/>
    </row>
    <row r="4108" spans="1:63" x14ac:dyDescent="0.25">
      <c r="A4108" s="92"/>
      <c r="B4108" s="92"/>
      <c r="C4108" s="92"/>
      <c r="D4108" s="92"/>
      <c r="E4108" s="92"/>
      <c r="F4108" s="92"/>
      <c r="G4108" s="92"/>
      <c r="H4108" s="92"/>
      <c r="I4108" s="92"/>
      <c r="J4108" s="92"/>
      <c r="K4108" s="92"/>
      <c r="L4108" s="92"/>
      <c r="M4108" s="92"/>
      <c r="N4108" s="92"/>
      <c r="AG4108" s="107"/>
      <c r="AH4108" s="117"/>
      <c r="AI4108" s="117"/>
      <c r="AJ4108" s="107"/>
      <c r="AK4108" s="107"/>
      <c r="AL4108" s="107"/>
      <c r="AM4108" s="107"/>
      <c r="AN4108" s="107"/>
      <c r="AO4108" s="107"/>
      <c r="AP4108" s="107"/>
      <c r="AQ4108" s="107"/>
      <c r="AR4108" s="107"/>
      <c r="AS4108" s="107"/>
      <c r="AT4108" s="39"/>
    </row>
    <row r="4109" spans="1:63" x14ac:dyDescent="0.25">
      <c r="A4109" s="92"/>
      <c r="B4109" s="92"/>
      <c r="C4109" s="92"/>
      <c r="D4109" s="92"/>
      <c r="E4109" s="92"/>
      <c r="F4109" s="92"/>
      <c r="G4109" s="92"/>
      <c r="H4109" s="92"/>
      <c r="I4109" s="92"/>
      <c r="J4109" s="92"/>
      <c r="K4109" s="92"/>
      <c r="L4109" s="92"/>
      <c r="M4109" s="92"/>
      <c r="N4109" s="92"/>
      <c r="AG4109" s="107"/>
      <c r="AH4109" s="117"/>
      <c r="AI4109" s="117"/>
      <c r="AJ4109" s="107"/>
      <c r="AK4109" s="107"/>
      <c r="AL4109" s="107"/>
      <c r="AM4109" s="107"/>
      <c r="AN4109" s="107"/>
      <c r="AO4109" s="107"/>
      <c r="AP4109" s="107"/>
      <c r="AQ4109" s="107"/>
      <c r="AR4109" s="107"/>
      <c r="AS4109" s="107"/>
      <c r="AT4109" s="39"/>
    </row>
    <row r="4110" spans="1:63" x14ac:dyDescent="0.25">
      <c r="A4110" s="92"/>
      <c r="B4110" s="92"/>
      <c r="C4110" s="92"/>
      <c r="D4110" s="92"/>
      <c r="E4110" s="92"/>
      <c r="F4110" s="92"/>
      <c r="G4110" s="92"/>
      <c r="H4110" s="92"/>
      <c r="I4110" s="92"/>
      <c r="J4110" s="92"/>
      <c r="K4110" s="92"/>
      <c r="L4110" s="92"/>
      <c r="M4110" s="92"/>
      <c r="N4110" s="92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63" x14ac:dyDescent="0.25">
      <c r="A4111" s="92"/>
      <c r="B4111" s="92"/>
      <c r="C4111" s="92"/>
      <c r="D4111" s="92"/>
      <c r="E4111" s="92"/>
      <c r="F4111" s="92"/>
      <c r="G4111" s="92"/>
      <c r="H4111" s="92"/>
      <c r="I4111" s="92"/>
      <c r="J4111" s="92"/>
      <c r="K4111" s="92"/>
      <c r="L4111" s="92"/>
      <c r="M4111" s="92"/>
      <c r="N4111" s="92"/>
      <c r="AG4111" s="107"/>
      <c r="AH4111" s="117"/>
      <c r="AI4111" s="117"/>
      <c r="AJ4111" s="107"/>
      <c r="AK4111" s="107"/>
      <c r="AL4111" s="107"/>
      <c r="AM4111" s="107"/>
      <c r="AN4111" s="107"/>
      <c r="AO4111" s="107"/>
      <c r="AP4111" s="107"/>
      <c r="AQ4111" s="107"/>
      <c r="AR4111" s="107"/>
      <c r="AS4111" s="107"/>
      <c r="AT4111" s="39"/>
    </row>
    <row r="4112" spans="1:63" x14ac:dyDescent="0.25">
      <c r="A4112" s="92"/>
      <c r="B4112" s="92"/>
      <c r="C4112" s="92"/>
      <c r="D4112" s="92"/>
      <c r="E4112" s="92"/>
      <c r="F4112" s="92"/>
      <c r="G4112" s="92"/>
      <c r="H4112" s="92"/>
      <c r="I4112" s="92"/>
      <c r="J4112" s="92"/>
      <c r="K4112" s="92"/>
      <c r="L4112" s="92"/>
      <c r="M4112" s="92"/>
      <c r="N4112" s="92"/>
      <c r="AG4112" s="107"/>
      <c r="AH4112" s="117"/>
      <c r="AI4112" s="117"/>
      <c r="AJ4112" s="107"/>
      <c r="AK4112" s="107"/>
      <c r="AL4112" s="107"/>
      <c r="AM4112" s="107"/>
      <c r="AN4112" s="107"/>
      <c r="AO4112" s="107"/>
      <c r="AP4112" s="107"/>
      <c r="AQ4112" s="107"/>
      <c r="AR4112" s="107"/>
      <c r="AS4112" s="107"/>
      <c r="AT4112" s="39"/>
    </row>
    <row r="4113" spans="1:63" x14ac:dyDescent="0.25">
      <c r="A4113" s="92"/>
      <c r="B4113" s="92"/>
      <c r="C4113" s="92"/>
      <c r="D4113" s="92"/>
      <c r="E4113" s="92"/>
      <c r="F4113" s="92"/>
      <c r="G4113" s="92"/>
      <c r="H4113" s="92"/>
      <c r="I4113" s="92"/>
      <c r="J4113" s="92"/>
      <c r="K4113" s="92"/>
      <c r="L4113" s="92"/>
      <c r="M4113" s="92"/>
      <c r="N4113" s="92"/>
      <c r="AG4113" s="107"/>
      <c r="AH4113" s="117"/>
      <c r="AI4113" s="117"/>
      <c r="AJ4113" s="107"/>
      <c r="AK4113" s="107"/>
      <c r="AL4113" s="107"/>
      <c r="AM4113" s="107"/>
      <c r="AN4113" s="107"/>
      <c r="AO4113" s="107"/>
      <c r="AP4113" s="107"/>
      <c r="AQ4113" s="107"/>
      <c r="AR4113" s="107"/>
      <c r="AS4113" s="107"/>
      <c r="AT4113" s="39"/>
      <c r="AZ4113" s="117"/>
      <c r="BA4113" s="117"/>
      <c r="BK4113" s="39"/>
    </row>
    <row r="4114" spans="1:63" x14ac:dyDescent="0.25">
      <c r="A4114" s="92"/>
      <c r="B4114" s="92"/>
      <c r="C4114" s="92"/>
      <c r="D4114" s="92"/>
      <c r="E4114" s="92"/>
      <c r="F4114" s="92"/>
      <c r="G4114" s="92"/>
      <c r="H4114" s="92"/>
      <c r="I4114" s="92"/>
      <c r="J4114" s="92"/>
      <c r="K4114" s="92"/>
      <c r="L4114" s="92"/>
      <c r="M4114" s="92"/>
      <c r="N4114" s="92"/>
      <c r="AG4114" s="107"/>
      <c r="AH4114" s="107"/>
      <c r="AI4114" s="107"/>
      <c r="AJ4114" s="107"/>
      <c r="AK4114" s="107"/>
      <c r="AL4114" s="107"/>
      <c r="AM4114" s="107"/>
      <c r="AN4114" s="107"/>
      <c r="AO4114" s="107"/>
      <c r="AP4114" s="107"/>
      <c r="AQ4114" s="107"/>
      <c r="AR4114" s="107"/>
      <c r="AS4114" s="107"/>
      <c r="AT4114" s="107"/>
      <c r="BA4114" s="117"/>
    </row>
    <row r="4115" spans="1:63" x14ac:dyDescent="0.25">
      <c r="A4115" s="92"/>
      <c r="B4115" s="93"/>
      <c r="C4115" s="93"/>
      <c r="D4115" s="92"/>
      <c r="E4115" s="92"/>
      <c r="F4115" s="92"/>
      <c r="G4115" s="92"/>
      <c r="H4115" s="92"/>
      <c r="I4115" s="92"/>
      <c r="J4115" s="92"/>
      <c r="K4115" s="92"/>
      <c r="L4115" s="92"/>
      <c r="M4115" s="92"/>
      <c r="N4115" s="94"/>
      <c r="AG4115" s="107"/>
      <c r="AH4115" s="107"/>
      <c r="AI4115" s="107"/>
      <c r="AJ4115" s="107"/>
      <c r="AK4115" s="107"/>
      <c r="AL4115" s="107"/>
      <c r="AM4115" s="107"/>
      <c r="AN4115" s="107"/>
      <c r="AO4115" s="107"/>
      <c r="AP4115" s="107"/>
      <c r="AQ4115" s="107"/>
      <c r="AR4115" s="107"/>
      <c r="AS4115" s="107"/>
      <c r="AT4115" s="107"/>
      <c r="BA4115" s="117"/>
    </row>
    <row r="4116" spans="1:63" x14ac:dyDescent="0.25">
      <c r="A4116" s="92"/>
      <c r="B4116" s="93"/>
      <c r="C4116" s="93"/>
      <c r="D4116" s="93"/>
      <c r="E4116" s="92"/>
      <c r="F4116" s="92"/>
      <c r="G4116" s="92"/>
      <c r="H4116" s="92"/>
      <c r="I4116" s="92"/>
      <c r="J4116" s="92"/>
      <c r="K4116" s="92"/>
      <c r="L4116" s="92"/>
      <c r="M4116" s="92"/>
      <c r="N4116" s="94"/>
      <c r="AG4116" s="107"/>
      <c r="AH4116" s="107"/>
      <c r="AI4116" s="107"/>
      <c r="AJ4116" s="107"/>
      <c r="AK4116" s="107"/>
      <c r="AL4116" s="107"/>
      <c r="AM4116" s="107"/>
      <c r="AN4116" s="107"/>
      <c r="AO4116" s="107"/>
      <c r="AP4116" s="107"/>
      <c r="AQ4116" s="107"/>
      <c r="AR4116" s="107"/>
      <c r="AS4116" s="107"/>
      <c r="AT4116" s="107"/>
      <c r="BA4116" s="117"/>
    </row>
    <row r="4117" spans="1:63" x14ac:dyDescent="0.25">
      <c r="A4117" s="92"/>
      <c r="B4117" s="92"/>
      <c r="C4117" s="92"/>
      <c r="D4117" s="92"/>
      <c r="E4117" s="92"/>
      <c r="F4117" s="92"/>
      <c r="G4117" s="92"/>
      <c r="H4117" s="92"/>
      <c r="I4117" s="92"/>
      <c r="J4117" s="92"/>
      <c r="K4117" s="92"/>
      <c r="L4117" s="92"/>
      <c r="M4117" s="92"/>
      <c r="N4117" s="92"/>
      <c r="AG4117" s="107"/>
      <c r="AH4117" s="107"/>
      <c r="AI4117" s="107"/>
      <c r="AJ4117" s="107"/>
      <c r="AK4117" s="107"/>
      <c r="AL4117" s="107"/>
      <c r="AM4117" s="107"/>
      <c r="AN4117" s="107"/>
      <c r="AO4117" s="107"/>
      <c r="AP4117" s="107"/>
      <c r="AQ4117" s="107"/>
      <c r="AR4117" s="107"/>
      <c r="AS4117" s="107"/>
      <c r="AT4117" s="107"/>
      <c r="AZ4117" s="117"/>
      <c r="BA4117" s="117"/>
      <c r="BK4117" s="39"/>
    </row>
    <row r="4118" spans="1:63" x14ac:dyDescent="0.25">
      <c r="A4118" s="92"/>
      <c r="B4118" s="93"/>
      <c r="C4118" s="93"/>
      <c r="D4118" s="93"/>
      <c r="E4118" s="92"/>
      <c r="F4118" s="92"/>
      <c r="G4118" s="92"/>
      <c r="H4118" s="92"/>
      <c r="I4118" s="92"/>
      <c r="J4118" s="92"/>
      <c r="K4118" s="92"/>
      <c r="L4118" s="92"/>
      <c r="M4118" s="92"/>
      <c r="N4118" s="94"/>
      <c r="AG4118" s="107"/>
      <c r="AH4118" s="107"/>
      <c r="AI4118" s="107"/>
      <c r="AJ4118" s="107"/>
      <c r="AK4118" s="107"/>
      <c r="AL4118" s="107"/>
      <c r="AM4118" s="107"/>
      <c r="AN4118" s="107"/>
      <c r="AO4118" s="107"/>
      <c r="AP4118" s="107"/>
      <c r="AQ4118" s="107"/>
      <c r="AR4118" s="107"/>
      <c r="AS4118" s="107"/>
      <c r="AT4118" s="107"/>
    </row>
    <row r="4119" spans="1:63" x14ac:dyDescent="0.25">
      <c r="A4119" s="92"/>
      <c r="B4119" s="93"/>
      <c r="C4119" s="93"/>
      <c r="D4119" s="92"/>
      <c r="E4119" s="92"/>
      <c r="F4119" s="92"/>
      <c r="G4119" s="92"/>
      <c r="H4119" s="92"/>
      <c r="I4119" s="92"/>
      <c r="J4119" s="92"/>
      <c r="K4119" s="92"/>
      <c r="L4119" s="92"/>
      <c r="M4119" s="92"/>
      <c r="N4119" s="94"/>
      <c r="AG4119" s="107"/>
      <c r="AH4119" s="117"/>
      <c r="AI4119" s="117"/>
      <c r="AJ4119" s="107"/>
      <c r="AK4119" s="107"/>
      <c r="AL4119" s="107"/>
      <c r="AM4119" s="107"/>
      <c r="AN4119" s="107"/>
      <c r="AO4119" s="107"/>
      <c r="AP4119" s="107"/>
      <c r="AQ4119" s="107"/>
      <c r="AR4119" s="107"/>
      <c r="AS4119" s="107"/>
      <c r="AT4119" s="39"/>
      <c r="AZ4119" s="117"/>
      <c r="BK4119" s="39"/>
    </row>
    <row r="4120" spans="1:63" x14ac:dyDescent="0.25">
      <c r="A4120" s="92"/>
      <c r="B4120" s="93"/>
      <c r="C4120" s="93"/>
      <c r="D4120" s="92"/>
      <c r="E4120" s="92"/>
      <c r="F4120" s="92"/>
      <c r="G4120" s="92"/>
      <c r="H4120" s="92"/>
      <c r="I4120" s="92"/>
      <c r="J4120" s="92"/>
      <c r="K4120" s="92"/>
      <c r="L4120" s="92"/>
      <c r="M4120" s="92"/>
      <c r="N4120" s="94"/>
      <c r="AG4120" s="107"/>
      <c r="AH4120" s="117"/>
      <c r="AI4120" s="117"/>
      <c r="AJ4120" s="107"/>
      <c r="AK4120" s="107"/>
      <c r="AL4120" s="107"/>
      <c r="AM4120" s="107"/>
      <c r="AN4120" s="107"/>
      <c r="AO4120" s="107"/>
      <c r="AP4120" s="107"/>
      <c r="AQ4120" s="107"/>
      <c r="AR4120" s="107"/>
      <c r="AS4120" s="107"/>
      <c r="AT4120" s="39"/>
      <c r="AZ4120" s="117"/>
      <c r="BK4120" s="39"/>
    </row>
    <row r="4121" spans="1:63" x14ac:dyDescent="0.25">
      <c r="A4121" s="92"/>
      <c r="B4121" s="92"/>
      <c r="C4121" s="92"/>
      <c r="D4121" s="92"/>
      <c r="E4121" s="92"/>
      <c r="F4121" s="92"/>
      <c r="G4121" s="92"/>
      <c r="H4121" s="92"/>
      <c r="I4121" s="92"/>
      <c r="J4121" s="92"/>
      <c r="K4121" s="92"/>
      <c r="L4121" s="92"/>
      <c r="M4121" s="92"/>
      <c r="N4121" s="92"/>
      <c r="AG4121" s="107"/>
      <c r="AH4121" s="117"/>
      <c r="AI4121" s="117"/>
      <c r="AJ4121" s="117"/>
      <c r="AK4121" s="107"/>
      <c r="AL4121" s="107"/>
      <c r="AM4121" s="107"/>
      <c r="AN4121" s="107"/>
      <c r="AO4121" s="107"/>
      <c r="AP4121" s="107"/>
      <c r="AQ4121" s="107"/>
      <c r="AR4121" s="107"/>
      <c r="AS4121" s="107"/>
      <c r="AT4121" s="39"/>
      <c r="AZ4121" s="117"/>
      <c r="BK4121" s="39"/>
    </row>
    <row r="4122" spans="1:63" x14ac:dyDescent="0.25">
      <c r="A4122" s="92"/>
      <c r="B4122" s="92"/>
      <c r="C4122" s="92"/>
      <c r="D4122" s="92"/>
      <c r="E4122" s="92"/>
      <c r="F4122" s="92"/>
      <c r="G4122" s="92"/>
      <c r="H4122" s="92"/>
      <c r="I4122" s="92"/>
      <c r="J4122" s="92"/>
      <c r="K4122" s="92"/>
      <c r="L4122" s="92"/>
      <c r="M4122" s="92"/>
      <c r="N4122" s="92"/>
      <c r="AG4122" s="107"/>
      <c r="AH4122" s="107"/>
      <c r="AI4122" s="107"/>
      <c r="AJ4122" s="107"/>
      <c r="AK4122" s="107"/>
      <c r="AL4122" s="107"/>
      <c r="AM4122" s="107"/>
      <c r="AN4122" s="107"/>
      <c r="AO4122" s="107"/>
      <c r="AP4122" s="107"/>
      <c r="AQ4122" s="107"/>
      <c r="AR4122" s="107"/>
      <c r="AS4122" s="107"/>
      <c r="AT4122" s="107"/>
      <c r="AZ4122" s="117"/>
      <c r="BK4122" s="39"/>
    </row>
    <row r="4123" spans="1:63" x14ac:dyDescent="0.25">
      <c r="A4123" s="92"/>
      <c r="B4123" s="92"/>
      <c r="C4123" s="92"/>
      <c r="D4123" s="92"/>
      <c r="E4123" s="92"/>
      <c r="F4123" s="92"/>
      <c r="G4123" s="92"/>
      <c r="H4123" s="92"/>
      <c r="I4123" s="92"/>
      <c r="J4123" s="92"/>
      <c r="K4123" s="92"/>
      <c r="L4123" s="92"/>
      <c r="M4123" s="92"/>
      <c r="N4123" s="92"/>
      <c r="AG4123" s="107"/>
      <c r="AH4123" s="117"/>
      <c r="AI4123" s="117"/>
      <c r="AJ4123" s="107"/>
      <c r="AK4123" s="107"/>
      <c r="AL4123" s="107"/>
      <c r="AM4123" s="107"/>
      <c r="AN4123" s="107"/>
      <c r="AO4123" s="107"/>
      <c r="AP4123" s="107"/>
      <c r="AQ4123" s="107"/>
      <c r="AR4123" s="107"/>
      <c r="AS4123" s="107"/>
      <c r="AT4123" s="39"/>
      <c r="AZ4123" s="117"/>
      <c r="BK4123" s="39"/>
    </row>
    <row r="4124" spans="1:63" x14ac:dyDescent="0.25">
      <c r="A4124" s="92"/>
      <c r="B4124" s="92"/>
      <c r="C4124" s="92"/>
      <c r="D4124" s="92"/>
      <c r="E4124" s="92"/>
      <c r="F4124" s="92"/>
      <c r="G4124" s="92"/>
      <c r="H4124" s="92"/>
      <c r="I4124" s="92"/>
      <c r="J4124" s="92"/>
      <c r="K4124" s="92"/>
      <c r="L4124" s="92"/>
      <c r="M4124" s="92"/>
      <c r="N4124" s="92"/>
      <c r="AG4124" s="107"/>
      <c r="AH4124" s="107"/>
      <c r="AI4124" s="107"/>
      <c r="AJ4124" s="107"/>
      <c r="AK4124" s="107"/>
      <c r="AL4124" s="107"/>
      <c r="AM4124" s="107"/>
      <c r="AN4124" s="107"/>
      <c r="AO4124" s="107"/>
      <c r="AP4124" s="107"/>
      <c r="AQ4124" s="107"/>
      <c r="AR4124" s="107"/>
      <c r="AS4124" s="107"/>
      <c r="AT4124" s="107"/>
    </row>
    <row r="4125" spans="1:63" x14ac:dyDescent="0.25">
      <c r="A4125" s="92"/>
      <c r="B4125" s="92"/>
      <c r="C4125" s="92"/>
      <c r="D4125" s="92"/>
      <c r="E4125" s="92"/>
      <c r="F4125" s="92"/>
      <c r="G4125" s="92"/>
      <c r="H4125" s="92"/>
      <c r="I4125" s="92"/>
      <c r="J4125" s="92"/>
      <c r="K4125" s="92"/>
      <c r="L4125" s="92"/>
      <c r="M4125" s="92"/>
      <c r="N4125" s="92"/>
      <c r="AG4125" s="107"/>
      <c r="AH4125" s="107"/>
      <c r="AI4125" s="107"/>
      <c r="AJ4125" s="107"/>
      <c r="AK4125" s="107"/>
      <c r="AL4125" s="107"/>
      <c r="AM4125" s="107"/>
      <c r="AN4125" s="107"/>
      <c r="AO4125" s="107"/>
      <c r="AP4125" s="107"/>
      <c r="AQ4125" s="107"/>
      <c r="AR4125" s="107"/>
      <c r="AS4125" s="107"/>
      <c r="AT4125" s="107"/>
    </row>
    <row r="4126" spans="1:63" x14ac:dyDescent="0.25">
      <c r="A4126" s="92"/>
      <c r="B4126" s="92"/>
      <c r="C4126" s="92"/>
      <c r="D4126" s="92"/>
      <c r="E4126" s="92"/>
      <c r="F4126" s="92"/>
      <c r="G4126" s="92"/>
      <c r="H4126" s="92"/>
      <c r="I4126" s="92"/>
      <c r="J4126" s="92"/>
      <c r="K4126" s="92"/>
      <c r="L4126" s="92"/>
      <c r="M4126" s="92"/>
      <c r="N4126" s="92"/>
      <c r="AG4126" s="107"/>
      <c r="AH4126" s="117"/>
      <c r="AI4126" s="117"/>
      <c r="AJ4126" s="107"/>
      <c r="AK4126" s="107"/>
      <c r="AL4126" s="107"/>
      <c r="AM4126" s="107"/>
      <c r="AN4126" s="107"/>
      <c r="AO4126" s="107"/>
      <c r="AP4126" s="107"/>
      <c r="AQ4126" s="107"/>
      <c r="AR4126" s="107"/>
      <c r="AS4126" s="107"/>
      <c r="AT4126" s="39"/>
    </row>
    <row r="4127" spans="1:63" x14ac:dyDescent="0.25">
      <c r="A4127" s="92"/>
      <c r="B4127" s="92"/>
      <c r="C4127" s="92"/>
      <c r="D4127" s="92"/>
      <c r="E4127" s="92"/>
      <c r="F4127" s="92"/>
      <c r="G4127" s="92"/>
      <c r="H4127" s="92"/>
      <c r="I4127" s="92"/>
      <c r="J4127" s="92"/>
      <c r="K4127" s="92"/>
      <c r="L4127" s="92"/>
      <c r="M4127" s="92"/>
      <c r="N4127" s="92"/>
      <c r="AG4127" s="107"/>
      <c r="AH4127" s="107"/>
      <c r="AI4127" s="107"/>
      <c r="AJ4127" s="107"/>
      <c r="AK4127" s="107"/>
      <c r="AL4127" s="107"/>
      <c r="AM4127" s="107"/>
      <c r="AN4127" s="107"/>
      <c r="AO4127" s="107"/>
      <c r="AP4127" s="107"/>
      <c r="AQ4127" s="107"/>
      <c r="AR4127" s="107"/>
      <c r="AS4127" s="107"/>
      <c r="AT4127" s="107"/>
    </row>
    <row r="4128" spans="1:63" x14ac:dyDescent="0.25">
      <c r="A4128" s="92"/>
      <c r="B4128" s="92"/>
      <c r="C4128" s="92"/>
      <c r="D4128" s="92"/>
      <c r="E4128" s="92"/>
      <c r="F4128" s="92"/>
      <c r="G4128" s="92"/>
      <c r="H4128" s="92"/>
      <c r="I4128" s="92"/>
      <c r="J4128" s="92"/>
      <c r="K4128" s="92"/>
      <c r="L4128" s="92"/>
      <c r="M4128" s="92"/>
      <c r="N4128" s="92"/>
      <c r="AG4128" s="107"/>
      <c r="AH4128" s="107"/>
      <c r="AI4128" s="107"/>
      <c r="AJ4128" s="107"/>
      <c r="AK4128" s="107"/>
      <c r="AL4128" s="107"/>
      <c r="AM4128" s="107"/>
      <c r="AN4128" s="107"/>
      <c r="AO4128" s="107"/>
      <c r="AP4128" s="107"/>
      <c r="AQ4128" s="107"/>
      <c r="AR4128" s="107"/>
      <c r="AS4128" s="107"/>
      <c r="AT4128" s="107"/>
    </row>
    <row r="4129" spans="1:63" x14ac:dyDescent="0.25">
      <c r="A4129" s="92"/>
      <c r="B4129" s="92"/>
      <c r="C4129" s="92"/>
      <c r="D4129" s="92"/>
      <c r="E4129" s="92"/>
      <c r="F4129" s="92"/>
      <c r="G4129" s="92"/>
      <c r="H4129" s="92"/>
      <c r="I4129" s="92"/>
      <c r="J4129" s="92"/>
      <c r="K4129" s="92"/>
      <c r="L4129" s="92"/>
      <c r="M4129" s="92"/>
      <c r="N4129" s="92"/>
      <c r="AG4129" s="107"/>
      <c r="AH4129" s="107"/>
      <c r="AI4129" s="107"/>
      <c r="AJ4129" s="107"/>
      <c r="AK4129" s="107"/>
      <c r="AL4129" s="107"/>
      <c r="AM4129" s="107"/>
      <c r="AN4129" s="107"/>
      <c r="AO4129" s="107"/>
      <c r="AP4129" s="107"/>
      <c r="AQ4129" s="107"/>
      <c r="AR4129" s="107"/>
      <c r="AS4129" s="107"/>
      <c r="AT4129" s="107"/>
    </row>
    <row r="4130" spans="1:63" x14ac:dyDescent="0.25">
      <c r="A4130" s="92"/>
      <c r="B4130" s="92"/>
      <c r="C4130" s="92"/>
      <c r="D4130" s="92"/>
      <c r="E4130" s="92"/>
      <c r="F4130" s="92"/>
      <c r="G4130" s="92"/>
      <c r="H4130" s="92"/>
      <c r="I4130" s="92"/>
      <c r="J4130" s="92"/>
      <c r="K4130" s="92"/>
      <c r="L4130" s="92"/>
      <c r="M4130" s="92"/>
      <c r="N4130" s="92"/>
      <c r="AG4130" s="107"/>
      <c r="AH4130" s="107"/>
      <c r="AI4130" s="107"/>
      <c r="AJ4130" s="107"/>
      <c r="AK4130" s="107"/>
      <c r="AL4130" s="107"/>
      <c r="AM4130" s="107"/>
      <c r="AN4130" s="107"/>
      <c r="AO4130" s="107"/>
      <c r="AP4130" s="107"/>
      <c r="AQ4130" s="107"/>
      <c r="AR4130" s="107"/>
      <c r="AS4130" s="107"/>
      <c r="AT4130" s="107"/>
    </row>
    <row r="4131" spans="1:63" x14ac:dyDescent="0.25">
      <c r="A4131" s="92"/>
      <c r="B4131" s="93"/>
      <c r="C4131" s="93"/>
      <c r="D4131" s="93"/>
      <c r="E4131" s="92"/>
      <c r="F4131" s="92"/>
      <c r="G4131" s="92"/>
      <c r="H4131" s="92"/>
      <c r="I4131" s="92"/>
      <c r="J4131" s="92"/>
      <c r="K4131" s="92"/>
      <c r="L4131" s="92"/>
      <c r="M4131" s="92"/>
      <c r="N4131" s="94"/>
      <c r="AG4131" s="107"/>
      <c r="AH4131" s="117"/>
      <c r="AI4131" s="117"/>
      <c r="AJ4131" s="107"/>
      <c r="AK4131" s="107"/>
      <c r="AL4131" s="107"/>
      <c r="AM4131" s="107"/>
      <c r="AN4131" s="107"/>
      <c r="AO4131" s="107"/>
      <c r="AP4131" s="107"/>
      <c r="AQ4131" s="107"/>
      <c r="AR4131" s="107"/>
      <c r="AS4131" s="107"/>
      <c r="AT4131" s="39"/>
    </row>
    <row r="4132" spans="1:63" x14ac:dyDescent="0.25">
      <c r="A4132" s="92"/>
      <c r="B4132" s="92"/>
      <c r="C4132" s="92"/>
      <c r="D4132" s="93"/>
      <c r="E4132" s="92"/>
      <c r="F4132" s="92"/>
      <c r="G4132" s="92"/>
      <c r="H4132" s="92"/>
      <c r="I4132" s="92"/>
      <c r="J4132" s="92"/>
      <c r="K4132" s="92"/>
      <c r="L4132" s="92"/>
      <c r="M4132" s="92"/>
      <c r="N4132" s="92"/>
      <c r="AG4132" s="107"/>
      <c r="AH4132" s="117"/>
      <c r="AI4132" s="117"/>
      <c r="AJ4132" s="117"/>
      <c r="AK4132" s="107"/>
      <c r="AL4132" s="107"/>
      <c r="AM4132" s="107"/>
      <c r="AN4132" s="107"/>
      <c r="AO4132" s="107"/>
      <c r="AP4132" s="107"/>
      <c r="AQ4132" s="107"/>
      <c r="AR4132" s="107"/>
      <c r="AS4132" s="107"/>
      <c r="AT4132" s="39"/>
      <c r="AZ4132" s="117"/>
      <c r="BA4132" s="117"/>
      <c r="BK4132" s="39"/>
    </row>
    <row r="4133" spans="1:63" x14ac:dyDescent="0.25">
      <c r="A4133" s="92"/>
      <c r="B4133" s="92"/>
      <c r="C4133" s="92"/>
      <c r="D4133" s="93"/>
      <c r="E4133" s="92"/>
      <c r="F4133" s="92"/>
      <c r="G4133" s="92"/>
      <c r="H4133" s="92"/>
      <c r="I4133" s="92"/>
      <c r="J4133" s="92"/>
      <c r="K4133" s="92"/>
      <c r="L4133" s="92"/>
      <c r="M4133" s="92"/>
      <c r="N4133" s="92"/>
      <c r="AG4133" s="107"/>
      <c r="AH4133" s="107"/>
      <c r="AI4133" s="107"/>
      <c r="AJ4133" s="107"/>
      <c r="AK4133" s="107"/>
      <c r="AL4133" s="107"/>
      <c r="AM4133" s="107"/>
      <c r="AN4133" s="107"/>
      <c r="AO4133" s="107"/>
      <c r="AP4133" s="107"/>
      <c r="AQ4133" s="107"/>
      <c r="AR4133" s="107"/>
      <c r="AS4133" s="107"/>
      <c r="AT4133" s="107"/>
      <c r="BA4133" s="117"/>
    </row>
    <row r="4134" spans="1:63" x14ac:dyDescent="0.25">
      <c r="A4134" s="92"/>
      <c r="B4134" s="92"/>
      <c r="C4134" s="92"/>
      <c r="D4134" s="93"/>
      <c r="E4134" s="92"/>
      <c r="F4134" s="92"/>
      <c r="G4134" s="92"/>
      <c r="H4134" s="92"/>
      <c r="I4134" s="92"/>
      <c r="J4134" s="92"/>
      <c r="K4134" s="92"/>
      <c r="L4134" s="92"/>
      <c r="M4134" s="92"/>
      <c r="N4134" s="92"/>
      <c r="AG4134" s="107"/>
      <c r="AH4134" s="107"/>
      <c r="AI4134" s="107"/>
      <c r="AJ4134" s="107"/>
      <c r="AK4134" s="107"/>
      <c r="AL4134" s="107"/>
      <c r="AM4134" s="107"/>
      <c r="AN4134" s="107"/>
      <c r="AO4134" s="107"/>
      <c r="AP4134" s="107"/>
      <c r="AQ4134" s="107"/>
      <c r="AR4134" s="107"/>
      <c r="AS4134" s="107"/>
      <c r="AT4134" s="107"/>
      <c r="BA4134" s="117"/>
    </row>
    <row r="4135" spans="1:63" x14ac:dyDescent="0.25">
      <c r="A4135" s="92"/>
      <c r="B4135" s="93"/>
      <c r="C4135" s="93"/>
      <c r="D4135" s="93"/>
      <c r="E4135" s="92"/>
      <c r="F4135" s="92"/>
      <c r="G4135" s="92"/>
      <c r="H4135" s="92"/>
      <c r="I4135" s="92"/>
      <c r="J4135" s="92"/>
      <c r="K4135" s="92"/>
      <c r="L4135" s="92"/>
      <c r="M4135" s="92"/>
      <c r="N4135" s="94"/>
      <c r="AG4135" s="107"/>
      <c r="AH4135" s="117"/>
      <c r="AI4135" s="117"/>
      <c r="AJ4135" s="107"/>
      <c r="AK4135" s="107"/>
      <c r="AL4135" s="107"/>
      <c r="AM4135" s="107"/>
      <c r="AN4135" s="107"/>
      <c r="AO4135" s="107"/>
      <c r="AP4135" s="107"/>
      <c r="AQ4135" s="107"/>
      <c r="AR4135" s="107"/>
      <c r="AS4135" s="107"/>
      <c r="AT4135" s="39"/>
      <c r="AZ4135" s="117"/>
      <c r="BA4135" s="117"/>
      <c r="BK4135" s="39"/>
    </row>
    <row r="4136" spans="1:63" x14ac:dyDescent="0.25">
      <c r="A4136" s="92"/>
      <c r="B4136" s="92"/>
      <c r="C4136" s="92"/>
      <c r="D4136" s="93"/>
      <c r="E4136" s="92"/>
      <c r="F4136" s="92"/>
      <c r="G4136" s="92"/>
      <c r="H4136" s="92"/>
      <c r="I4136" s="92"/>
      <c r="J4136" s="92"/>
      <c r="K4136" s="92"/>
      <c r="L4136" s="92"/>
      <c r="M4136" s="92"/>
      <c r="N4136" s="92"/>
      <c r="AG4136" s="107"/>
      <c r="AH4136" s="117"/>
      <c r="AI4136" s="117"/>
      <c r="AJ4136" s="107"/>
      <c r="AK4136" s="107"/>
      <c r="AL4136" s="107"/>
      <c r="AM4136" s="107"/>
      <c r="AN4136" s="107"/>
      <c r="AO4136" s="107"/>
      <c r="AP4136" s="107"/>
      <c r="AQ4136" s="107"/>
      <c r="AR4136" s="107"/>
      <c r="AS4136" s="107"/>
      <c r="AT4136" s="39"/>
    </row>
    <row r="4137" spans="1:63" x14ac:dyDescent="0.25">
      <c r="A4137" s="92"/>
      <c r="B4137" s="93"/>
      <c r="C4137" s="93"/>
      <c r="D4137" s="92"/>
      <c r="E4137" s="92"/>
      <c r="F4137" s="92"/>
      <c r="G4137" s="92"/>
      <c r="H4137" s="92"/>
      <c r="I4137" s="92"/>
      <c r="J4137" s="92"/>
      <c r="K4137" s="92"/>
      <c r="L4137" s="92"/>
      <c r="M4137" s="92"/>
      <c r="N4137" s="94"/>
      <c r="AG4137" s="107"/>
      <c r="AH4137" s="117"/>
      <c r="AI4137" s="117"/>
      <c r="AJ4137" s="107"/>
      <c r="AK4137" s="107"/>
      <c r="AL4137" s="107"/>
      <c r="AM4137" s="107"/>
      <c r="AN4137" s="107"/>
      <c r="AO4137" s="107"/>
      <c r="AP4137" s="107"/>
      <c r="AQ4137" s="107"/>
      <c r="AR4137" s="107"/>
      <c r="AS4137" s="107"/>
      <c r="AT4137" s="39"/>
    </row>
    <row r="4138" spans="1:63" x14ac:dyDescent="0.25">
      <c r="A4138" s="92"/>
      <c r="B4138" s="93"/>
      <c r="C4138" s="93"/>
      <c r="D4138" s="92"/>
      <c r="E4138" s="92"/>
      <c r="F4138" s="92"/>
      <c r="G4138" s="92"/>
      <c r="H4138" s="92"/>
      <c r="I4138" s="92"/>
      <c r="J4138" s="92"/>
      <c r="K4138" s="92"/>
      <c r="L4138" s="92"/>
      <c r="M4138" s="92"/>
      <c r="N4138" s="94"/>
      <c r="AG4138" s="107"/>
      <c r="AH4138" s="117"/>
      <c r="AI4138" s="117"/>
      <c r="AJ4138" s="107"/>
      <c r="AK4138" s="107"/>
      <c r="AL4138" s="107"/>
      <c r="AM4138" s="107"/>
      <c r="AN4138" s="107"/>
      <c r="AO4138" s="107"/>
      <c r="AP4138" s="107"/>
      <c r="AQ4138" s="107"/>
      <c r="AR4138" s="107"/>
      <c r="AS4138" s="107"/>
      <c r="AT4138" s="39"/>
      <c r="AZ4138" s="117"/>
      <c r="BA4138" s="117"/>
      <c r="BK4138" s="39"/>
    </row>
    <row r="4139" spans="1:63" x14ac:dyDescent="0.25">
      <c r="A4139" s="92"/>
      <c r="B4139" s="93"/>
      <c r="C4139" s="93"/>
      <c r="D4139" s="92"/>
      <c r="E4139" s="92"/>
      <c r="F4139" s="92"/>
      <c r="G4139" s="92"/>
      <c r="H4139" s="92"/>
      <c r="I4139" s="92"/>
      <c r="J4139" s="92"/>
      <c r="K4139" s="92"/>
      <c r="L4139" s="92"/>
      <c r="M4139" s="92"/>
      <c r="N4139" s="94"/>
      <c r="AG4139" s="107"/>
      <c r="AH4139" s="117"/>
      <c r="AI4139" s="117"/>
      <c r="AJ4139" s="107"/>
      <c r="AK4139" s="107"/>
      <c r="AL4139" s="107"/>
      <c r="AM4139" s="107"/>
      <c r="AN4139" s="107"/>
      <c r="AO4139" s="107"/>
      <c r="AP4139" s="107"/>
      <c r="AQ4139" s="107"/>
      <c r="AR4139" s="107"/>
      <c r="AS4139" s="107"/>
      <c r="AT4139" s="39"/>
    </row>
    <row r="4140" spans="1:63" x14ac:dyDescent="0.25">
      <c r="A4140" s="92"/>
      <c r="B4140" s="93"/>
      <c r="C4140" s="93"/>
      <c r="D4140" s="92"/>
      <c r="E4140" s="92"/>
      <c r="F4140" s="92"/>
      <c r="G4140" s="92"/>
      <c r="H4140" s="92"/>
      <c r="I4140" s="92"/>
      <c r="J4140" s="92"/>
      <c r="K4140" s="92"/>
      <c r="L4140" s="92"/>
      <c r="M4140" s="92"/>
      <c r="N4140" s="94"/>
      <c r="AG4140" s="107"/>
      <c r="AH4140" s="117"/>
      <c r="AI4140" s="117"/>
      <c r="AJ4140" s="107"/>
      <c r="AK4140" s="107"/>
      <c r="AL4140" s="107"/>
      <c r="AM4140" s="107"/>
      <c r="AN4140" s="107"/>
      <c r="AO4140" s="107"/>
      <c r="AP4140" s="107"/>
      <c r="AQ4140" s="107"/>
      <c r="AR4140" s="107"/>
      <c r="AS4140" s="107"/>
      <c r="AT4140" s="39"/>
    </row>
    <row r="4141" spans="1:63" x14ac:dyDescent="0.25">
      <c r="A4141" s="92"/>
      <c r="B4141" s="93"/>
      <c r="C4141" s="93"/>
      <c r="D4141" s="92"/>
      <c r="E4141" s="92"/>
      <c r="F4141" s="92"/>
      <c r="G4141" s="92"/>
      <c r="H4141" s="92"/>
      <c r="I4141" s="92"/>
      <c r="J4141" s="92"/>
      <c r="K4141" s="92"/>
      <c r="L4141" s="92"/>
      <c r="M4141" s="92"/>
      <c r="N4141" s="94"/>
      <c r="AG4141" s="107"/>
      <c r="AH4141" s="117"/>
      <c r="AI4141" s="117"/>
      <c r="AJ4141" s="107"/>
      <c r="AK4141" s="107"/>
      <c r="AL4141" s="107"/>
      <c r="AM4141" s="107"/>
      <c r="AN4141" s="107"/>
      <c r="AO4141" s="107"/>
      <c r="AP4141" s="107"/>
      <c r="AQ4141" s="107"/>
      <c r="AR4141" s="107"/>
      <c r="AS4141" s="107"/>
      <c r="AT4141" s="39"/>
    </row>
    <row r="4142" spans="1:63" x14ac:dyDescent="0.25">
      <c r="A4142" s="92"/>
      <c r="B4142" s="92"/>
      <c r="C4142" s="92"/>
      <c r="D4142" s="92"/>
      <c r="E4142" s="92"/>
      <c r="F4142" s="92"/>
      <c r="G4142" s="92"/>
      <c r="H4142" s="92"/>
      <c r="I4142" s="92"/>
      <c r="J4142" s="92"/>
      <c r="K4142" s="92"/>
      <c r="L4142" s="92"/>
      <c r="M4142" s="92"/>
      <c r="N4142" s="92"/>
      <c r="AG4142" s="107"/>
      <c r="AH4142" s="117"/>
      <c r="AI4142" s="117"/>
      <c r="AJ4142" s="107"/>
      <c r="AK4142" s="107"/>
      <c r="AL4142" s="107"/>
      <c r="AM4142" s="107"/>
      <c r="AN4142" s="107"/>
      <c r="AO4142" s="107"/>
      <c r="AP4142" s="107"/>
      <c r="AQ4142" s="107"/>
      <c r="AR4142" s="107"/>
      <c r="AS4142" s="107"/>
      <c r="AT4142" s="39"/>
      <c r="AZ4142" s="117"/>
      <c r="BK4142" s="39"/>
    </row>
    <row r="4143" spans="1:63" x14ac:dyDescent="0.25">
      <c r="A4143" s="92"/>
      <c r="B4143" s="92"/>
      <c r="C4143" s="92"/>
      <c r="D4143" s="92"/>
      <c r="E4143" s="92"/>
      <c r="F4143" s="92"/>
      <c r="G4143" s="92"/>
      <c r="H4143" s="92"/>
      <c r="I4143" s="92"/>
      <c r="J4143" s="92"/>
      <c r="K4143" s="92"/>
      <c r="L4143" s="92"/>
      <c r="M4143" s="92"/>
      <c r="N4143" s="92"/>
      <c r="AG4143" s="107"/>
      <c r="AH4143" s="117"/>
      <c r="AI4143" s="117"/>
      <c r="AJ4143" s="107"/>
      <c r="AK4143" s="107"/>
      <c r="AL4143" s="107"/>
      <c r="AM4143" s="107"/>
      <c r="AN4143" s="107"/>
      <c r="AO4143" s="107"/>
      <c r="AP4143" s="107"/>
      <c r="AQ4143" s="107"/>
      <c r="AR4143" s="107"/>
      <c r="AS4143" s="107"/>
      <c r="AT4143" s="39"/>
      <c r="AZ4143" s="117"/>
      <c r="BK4143" s="39"/>
    </row>
    <row r="4144" spans="1:63" x14ac:dyDescent="0.25">
      <c r="A4144" s="92"/>
      <c r="B4144" s="92"/>
      <c r="C4144" s="92"/>
      <c r="D4144" s="92"/>
      <c r="E4144" s="92"/>
      <c r="F4144" s="92"/>
      <c r="G4144" s="92"/>
      <c r="H4144" s="92"/>
      <c r="I4144" s="92"/>
      <c r="J4144" s="92"/>
      <c r="K4144" s="92"/>
      <c r="L4144" s="92"/>
      <c r="M4144" s="92"/>
      <c r="N4144" s="92"/>
      <c r="AG4144" s="107"/>
      <c r="AH4144" s="117"/>
      <c r="AI4144" s="117"/>
      <c r="AJ4144" s="117"/>
      <c r="AK4144" s="107"/>
      <c r="AL4144" s="107"/>
      <c r="AM4144" s="107"/>
      <c r="AN4144" s="107"/>
      <c r="AO4144" s="107"/>
      <c r="AP4144" s="107"/>
      <c r="AQ4144" s="107"/>
      <c r="AR4144" s="107"/>
      <c r="AS4144" s="107"/>
      <c r="AT4144" s="39"/>
    </row>
    <row r="4145" spans="1:63" x14ac:dyDescent="0.25">
      <c r="A4145" s="92"/>
      <c r="B4145" s="92"/>
      <c r="C4145" s="92"/>
      <c r="D4145" s="92"/>
      <c r="E4145" s="92"/>
      <c r="F4145" s="92"/>
      <c r="G4145" s="92"/>
      <c r="H4145" s="92"/>
      <c r="I4145" s="92"/>
      <c r="J4145" s="92"/>
      <c r="K4145" s="92"/>
      <c r="L4145" s="92"/>
      <c r="M4145" s="92"/>
      <c r="N4145" s="92"/>
      <c r="AG4145" s="107"/>
      <c r="AH4145" s="107"/>
      <c r="AI4145" s="107"/>
      <c r="AJ4145" s="117"/>
      <c r="AK4145" s="107"/>
      <c r="AL4145" s="107"/>
      <c r="AM4145" s="107"/>
      <c r="AN4145" s="107"/>
      <c r="AO4145" s="107"/>
      <c r="AP4145" s="107"/>
      <c r="AQ4145" s="107"/>
      <c r="AR4145" s="107"/>
      <c r="AS4145" s="107"/>
      <c r="AT4145" s="107"/>
    </row>
    <row r="4146" spans="1:63" x14ac:dyDescent="0.25">
      <c r="A4146" s="92"/>
      <c r="B4146" s="92"/>
      <c r="C4146" s="92"/>
      <c r="D4146" s="92"/>
      <c r="E4146" s="92"/>
      <c r="F4146" s="92"/>
      <c r="G4146" s="92"/>
      <c r="H4146" s="92"/>
      <c r="I4146" s="92"/>
      <c r="J4146" s="92"/>
      <c r="K4146" s="92"/>
      <c r="L4146" s="92"/>
      <c r="M4146" s="92"/>
      <c r="N4146" s="92"/>
      <c r="AG4146" s="107"/>
      <c r="AH4146" s="117"/>
      <c r="AI4146" s="117"/>
      <c r="AJ4146" s="107"/>
      <c r="AK4146" s="107"/>
      <c r="AL4146" s="107"/>
      <c r="AM4146" s="107"/>
      <c r="AN4146" s="107"/>
      <c r="AO4146" s="107"/>
      <c r="AP4146" s="107"/>
      <c r="AQ4146" s="107"/>
      <c r="AR4146" s="107"/>
      <c r="AS4146" s="107"/>
      <c r="AT4146" s="39"/>
      <c r="AZ4146" s="117"/>
      <c r="BK4146" s="39"/>
    </row>
    <row r="4147" spans="1:63" x14ac:dyDescent="0.25">
      <c r="A4147" s="92"/>
      <c r="B4147" s="92"/>
      <c r="C4147" s="92"/>
      <c r="D4147" s="92"/>
      <c r="E4147" s="92"/>
      <c r="F4147" s="92"/>
      <c r="G4147" s="92"/>
      <c r="H4147" s="92"/>
      <c r="I4147" s="92"/>
      <c r="J4147" s="92"/>
      <c r="K4147" s="92"/>
      <c r="L4147" s="92"/>
      <c r="M4147" s="92"/>
      <c r="N4147" s="92"/>
      <c r="AG4147" s="107"/>
      <c r="AH4147" s="117"/>
      <c r="AI4147" s="117"/>
      <c r="AJ4147" s="117"/>
      <c r="AK4147" s="107"/>
      <c r="AL4147" s="107"/>
      <c r="AM4147" s="107"/>
      <c r="AN4147" s="107"/>
      <c r="AO4147" s="107"/>
      <c r="AP4147" s="107"/>
      <c r="AQ4147" s="107"/>
      <c r="AR4147" s="107"/>
      <c r="AS4147" s="107"/>
      <c r="AT4147" s="39"/>
      <c r="AZ4147" s="117"/>
      <c r="BK4147" s="39"/>
    </row>
    <row r="4148" spans="1:63" x14ac:dyDescent="0.25">
      <c r="A4148" s="92"/>
      <c r="B4148" s="92"/>
      <c r="C4148" s="92"/>
      <c r="D4148" s="92"/>
      <c r="E4148" s="92"/>
      <c r="F4148" s="92"/>
      <c r="G4148" s="92"/>
      <c r="H4148" s="92"/>
      <c r="I4148" s="92"/>
      <c r="J4148" s="92"/>
      <c r="K4148" s="92"/>
      <c r="L4148" s="92"/>
      <c r="M4148" s="92"/>
      <c r="N4148" s="92"/>
      <c r="AG4148" s="107"/>
      <c r="AH4148" s="107"/>
      <c r="AI4148" s="107"/>
      <c r="AJ4148" s="107"/>
      <c r="AK4148" s="107"/>
      <c r="AL4148" s="107"/>
      <c r="AM4148" s="107"/>
      <c r="AN4148" s="107"/>
      <c r="AO4148" s="107"/>
      <c r="AP4148" s="107"/>
      <c r="AQ4148" s="107"/>
      <c r="AR4148" s="107"/>
      <c r="AS4148" s="107"/>
      <c r="AT4148" s="107"/>
      <c r="AZ4148" s="117"/>
      <c r="BK4148" s="39"/>
    </row>
    <row r="4149" spans="1:63" x14ac:dyDescent="0.25">
      <c r="A4149" s="92"/>
      <c r="B4149" s="92"/>
      <c r="C4149" s="92"/>
      <c r="D4149" s="92"/>
      <c r="E4149" s="92"/>
      <c r="F4149" s="92"/>
      <c r="G4149" s="92"/>
      <c r="H4149" s="92"/>
      <c r="I4149" s="92"/>
      <c r="J4149" s="92"/>
      <c r="K4149" s="92"/>
      <c r="L4149" s="92"/>
      <c r="M4149" s="92"/>
      <c r="N4149" s="92"/>
      <c r="AG4149" s="107"/>
      <c r="AH4149" s="107"/>
      <c r="AI4149" s="107"/>
      <c r="AJ4149" s="107"/>
      <c r="AK4149" s="107"/>
      <c r="AL4149" s="107"/>
      <c r="AM4149" s="107"/>
      <c r="AN4149" s="107"/>
      <c r="AO4149" s="107"/>
      <c r="AP4149" s="107"/>
      <c r="AQ4149" s="107"/>
      <c r="AR4149" s="107"/>
      <c r="AS4149" s="107"/>
      <c r="AT4149" s="107"/>
      <c r="AZ4149" s="117"/>
      <c r="BK4149" s="39"/>
    </row>
    <row r="4150" spans="1:63" x14ac:dyDescent="0.25">
      <c r="A4150" s="92"/>
      <c r="B4150" s="93"/>
      <c r="C4150" s="93"/>
      <c r="D4150" s="93"/>
      <c r="E4150" s="92"/>
      <c r="F4150" s="92"/>
      <c r="G4150" s="92"/>
      <c r="H4150" s="92"/>
      <c r="I4150" s="92"/>
      <c r="J4150" s="92"/>
      <c r="K4150" s="92"/>
      <c r="L4150" s="92"/>
      <c r="M4150" s="92"/>
      <c r="N4150" s="94"/>
      <c r="AG4150" s="107"/>
      <c r="AH4150" s="107"/>
      <c r="AI4150" s="107"/>
      <c r="AJ4150" s="107"/>
      <c r="AK4150" s="107"/>
      <c r="AL4150" s="107"/>
      <c r="AM4150" s="107"/>
      <c r="AN4150" s="107"/>
      <c r="AO4150" s="107"/>
      <c r="AP4150" s="107"/>
      <c r="AQ4150" s="107"/>
      <c r="AR4150" s="107"/>
      <c r="AS4150" s="107"/>
      <c r="AT4150" s="107"/>
    </row>
    <row r="4151" spans="1:63" x14ac:dyDescent="0.25">
      <c r="A4151" s="92"/>
      <c r="B4151" s="92"/>
      <c r="C4151" s="92"/>
      <c r="D4151" s="93"/>
      <c r="E4151" s="92"/>
      <c r="F4151" s="92"/>
      <c r="G4151" s="92"/>
      <c r="H4151" s="92"/>
      <c r="I4151" s="92"/>
      <c r="J4151" s="92"/>
      <c r="K4151" s="92"/>
      <c r="L4151" s="92"/>
      <c r="M4151" s="92"/>
      <c r="N4151" s="92"/>
      <c r="AG4151" s="107"/>
      <c r="AH4151" s="107"/>
      <c r="AI4151" s="107"/>
      <c r="AJ4151" s="107"/>
      <c r="AK4151" s="107"/>
      <c r="AL4151" s="107"/>
      <c r="AM4151" s="107"/>
      <c r="AN4151" s="107"/>
      <c r="AO4151" s="107"/>
      <c r="AP4151" s="107"/>
      <c r="AQ4151" s="107"/>
      <c r="AR4151" s="107"/>
      <c r="AS4151" s="107"/>
      <c r="AT4151" s="107"/>
    </row>
    <row r="4152" spans="1:63" x14ac:dyDescent="0.25">
      <c r="A4152" s="92"/>
      <c r="B4152" s="92"/>
      <c r="C4152" s="92"/>
      <c r="D4152" s="93"/>
      <c r="E4152" s="92"/>
      <c r="F4152" s="92"/>
      <c r="G4152" s="92"/>
      <c r="H4152" s="92"/>
      <c r="I4152" s="92"/>
      <c r="J4152" s="92"/>
      <c r="K4152" s="92"/>
      <c r="L4152" s="92"/>
      <c r="M4152" s="92"/>
      <c r="N4152" s="92"/>
      <c r="AG4152" s="107"/>
      <c r="AH4152" s="107"/>
      <c r="AI4152" s="107"/>
      <c r="AJ4152" s="107"/>
      <c r="AK4152" s="107"/>
      <c r="AL4152" s="107"/>
      <c r="AM4152" s="107"/>
      <c r="AN4152" s="107"/>
      <c r="AO4152" s="107"/>
      <c r="AP4152" s="107"/>
      <c r="AQ4152" s="107"/>
      <c r="AR4152" s="107"/>
      <c r="AS4152" s="107"/>
      <c r="AT4152" s="107"/>
    </row>
    <row r="4153" spans="1:63" x14ac:dyDescent="0.25">
      <c r="A4153" s="92"/>
      <c r="B4153" s="93"/>
      <c r="C4153" s="93"/>
      <c r="D4153" s="93"/>
      <c r="E4153" s="92"/>
      <c r="F4153" s="92"/>
      <c r="G4153" s="92"/>
      <c r="H4153" s="92"/>
      <c r="I4153" s="92"/>
      <c r="J4153" s="92"/>
      <c r="K4153" s="92"/>
      <c r="L4153" s="92"/>
      <c r="M4153" s="92"/>
      <c r="N4153" s="94"/>
      <c r="AG4153" s="107"/>
      <c r="AH4153" s="107"/>
      <c r="AI4153" s="107"/>
      <c r="AJ4153" s="107"/>
      <c r="AK4153" s="107"/>
      <c r="AL4153" s="107"/>
      <c r="AM4153" s="107"/>
      <c r="AN4153" s="107"/>
      <c r="AO4153" s="107"/>
      <c r="AP4153" s="107"/>
      <c r="AQ4153" s="107"/>
      <c r="AR4153" s="107"/>
      <c r="AS4153" s="107"/>
      <c r="AT4153" s="107"/>
      <c r="AZ4153" s="117"/>
      <c r="BK4153" s="39"/>
    </row>
    <row r="4154" spans="1:63" x14ac:dyDescent="0.25">
      <c r="A4154" s="92"/>
      <c r="B4154" s="92"/>
      <c r="C4154" s="92"/>
      <c r="D4154" s="92"/>
      <c r="E4154" s="92"/>
      <c r="F4154" s="92"/>
      <c r="G4154" s="92"/>
      <c r="H4154" s="92"/>
      <c r="I4154" s="92"/>
      <c r="J4154" s="92"/>
      <c r="K4154" s="92"/>
      <c r="L4154" s="92"/>
      <c r="M4154" s="92"/>
      <c r="N4154" s="92"/>
      <c r="AG4154" s="107"/>
      <c r="AH4154" s="107"/>
      <c r="AI4154" s="107"/>
      <c r="AJ4154" s="107"/>
      <c r="AK4154" s="107"/>
      <c r="AL4154" s="107"/>
      <c r="AM4154" s="107"/>
      <c r="AN4154" s="107"/>
      <c r="AO4154" s="107"/>
      <c r="AP4154" s="107"/>
      <c r="AQ4154" s="107"/>
      <c r="AR4154" s="107"/>
      <c r="AS4154" s="107"/>
      <c r="AT4154" s="107"/>
      <c r="AZ4154" s="117"/>
      <c r="BK4154" s="39"/>
    </row>
    <row r="4155" spans="1:63" x14ac:dyDescent="0.25">
      <c r="A4155" s="92"/>
      <c r="B4155" s="92"/>
      <c r="C4155" s="92"/>
      <c r="D4155" s="92"/>
      <c r="E4155" s="92"/>
      <c r="F4155" s="92"/>
      <c r="G4155" s="92"/>
      <c r="H4155" s="92"/>
      <c r="I4155" s="92"/>
      <c r="J4155" s="92"/>
      <c r="K4155" s="92"/>
      <c r="L4155" s="92"/>
      <c r="M4155" s="92"/>
      <c r="N4155" s="92"/>
      <c r="AG4155" s="107"/>
      <c r="AH4155" s="107"/>
      <c r="AI4155" s="107"/>
      <c r="AJ4155" s="107"/>
      <c r="AK4155" s="107"/>
      <c r="AL4155" s="107"/>
      <c r="AM4155" s="107"/>
      <c r="AN4155" s="107"/>
      <c r="AO4155" s="107"/>
      <c r="AP4155" s="107"/>
      <c r="AQ4155" s="107"/>
      <c r="AR4155" s="107"/>
      <c r="AS4155" s="107"/>
      <c r="AT4155" s="107"/>
      <c r="AZ4155" s="117"/>
      <c r="BK4155" s="39"/>
    </row>
    <row r="4156" spans="1:63" x14ac:dyDescent="0.25">
      <c r="A4156" s="92"/>
      <c r="B4156" s="93"/>
      <c r="C4156" s="93"/>
      <c r="D4156" s="93"/>
      <c r="E4156" s="92"/>
      <c r="F4156" s="92"/>
      <c r="G4156" s="92"/>
      <c r="H4156" s="92"/>
      <c r="I4156" s="92"/>
      <c r="J4156" s="92"/>
      <c r="K4156" s="92"/>
      <c r="L4156" s="92"/>
      <c r="M4156" s="92"/>
      <c r="N4156" s="94"/>
      <c r="AG4156" s="107"/>
      <c r="AH4156" s="107"/>
      <c r="AI4156" s="107"/>
      <c r="AJ4156" s="107"/>
      <c r="AK4156" s="107"/>
      <c r="AL4156" s="107"/>
      <c r="AM4156" s="107"/>
      <c r="AN4156" s="107"/>
      <c r="AO4156" s="107"/>
      <c r="AP4156" s="107"/>
      <c r="AQ4156" s="107"/>
      <c r="AR4156" s="107"/>
      <c r="AS4156" s="107"/>
      <c r="AT4156" s="107"/>
    </row>
    <row r="4157" spans="1:63" x14ac:dyDescent="0.25">
      <c r="A4157" s="92"/>
      <c r="B4157" s="92"/>
      <c r="C4157" s="92"/>
      <c r="D4157" s="92"/>
      <c r="E4157" s="92"/>
      <c r="F4157" s="92"/>
      <c r="G4157" s="92"/>
      <c r="H4157" s="92"/>
      <c r="I4157" s="92"/>
      <c r="J4157" s="92"/>
      <c r="K4157" s="92"/>
      <c r="L4157" s="92"/>
      <c r="M4157" s="92"/>
      <c r="N4157" s="92"/>
      <c r="AG4157" s="107"/>
      <c r="AH4157" s="107"/>
      <c r="AI4157" s="107"/>
      <c r="AJ4157" s="107"/>
      <c r="AK4157" s="107"/>
      <c r="AL4157" s="107"/>
      <c r="AM4157" s="107"/>
      <c r="AN4157" s="107"/>
      <c r="AO4157" s="107"/>
      <c r="AP4157" s="107"/>
      <c r="AQ4157" s="107"/>
      <c r="AR4157" s="107"/>
      <c r="AS4157" s="107"/>
      <c r="AT4157" s="107"/>
      <c r="AZ4157" s="117"/>
      <c r="BK4157" s="39"/>
    </row>
    <row r="4158" spans="1:63" x14ac:dyDescent="0.25">
      <c r="A4158" s="92"/>
      <c r="B4158" s="92"/>
      <c r="C4158" s="92"/>
      <c r="D4158" s="92"/>
      <c r="E4158" s="92"/>
      <c r="F4158" s="92"/>
      <c r="G4158" s="92"/>
      <c r="H4158" s="92"/>
      <c r="I4158" s="92"/>
      <c r="J4158" s="92"/>
      <c r="K4158" s="92"/>
      <c r="L4158" s="92"/>
      <c r="M4158" s="92"/>
      <c r="N4158" s="92"/>
      <c r="AG4158" s="107"/>
      <c r="AH4158" s="107"/>
      <c r="AI4158" s="107"/>
      <c r="AJ4158" s="107"/>
      <c r="AK4158" s="107"/>
      <c r="AL4158" s="107"/>
      <c r="AM4158" s="107"/>
      <c r="AN4158" s="107"/>
      <c r="AO4158" s="107"/>
      <c r="AP4158" s="107"/>
      <c r="AQ4158" s="107"/>
      <c r="AR4158" s="107"/>
      <c r="AS4158" s="107"/>
      <c r="AT4158" s="107"/>
    </row>
    <row r="4159" spans="1:63" x14ac:dyDescent="0.25">
      <c r="A4159" s="92"/>
      <c r="B4159" s="92"/>
      <c r="C4159" s="92"/>
      <c r="D4159" s="92"/>
      <c r="E4159" s="92"/>
      <c r="F4159" s="92"/>
      <c r="G4159" s="92"/>
      <c r="H4159" s="92"/>
      <c r="I4159" s="92"/>
      <c r="J4159" s="92"/>
      <c r="K4159" s="92"/>
      <c r="L4159" s="92"/>
      <c r="M4159" s="92"/>
      <c r="N4159" s="92"/>
      <c r="AG4159" s="107"/>
      <c r="AH4159" s="107"/>
      <c r="AI4159" s="107"/>
      <c r="AJ4159" s="107"/>
      <c r="AK4159" s="107"/>
      <c r="AL4159" s="107"/>
      <c r="AM4159" s="107"/>
      <c r="AN4159" s="107"/>
      <c r="AO4159" s="107"/>
      <c r="AP4159" s="107"/>
      <c r="AQ4159" s="107"/>
      <c r="AR4159" s="107"/>
      <c r="AS4159" s="107"/>
      <c r="AT4159" s="107"/>
      <c r="AZ4159" s="117"/>
      <c r="BK4159" s="39"/>
    </row>
    <row r="4160" spans="1:63" x14ac:dyDescent="0.25">
      <c r="A4160" s="92"/>
      <c r="B4160" s="93"/>
      <c r="C4160" s="93"/>
      <c r="D4160" s="92"/>
      <c r="E4160" s="92"/>
      <c r="F4160" s="92"/>
      <c r="G4160" s="92"/>
      <c r="H4160" s="92"/>
      <c r="I4160" s="92"/>
      <c r="J4160" s="92"/>
      <c r="K4160" s="92"/>
      <c r="L4160" s="92"/>
      <c r="M4160" s="92"/>
      <c r="N4160" s="94"/>
      <c r="AG4160" s="107"/>
      <c r="AH4160" s="107"/>
      <c r="AI4160" s="107"/>
      <c r="AJ4160" s="107"/>
      <c r="AK4160" s="107"/>
      <c r="AL4160" s="107"/>
      <c r="AM4160" s="107"/>
      <c r="AN4160" s="107"/>
      <c r="AO4160" s="107"/>
      <c r="AP4160" s="107"/>
      <c r="AQ4160" s="107"/>
      <c r="AR4160" s="107"/>
      <c r="AS4160" s="107"/>
      <c r="AT4160" s="107"/>
    </row>
    <row r="4161" spans="1:63" x14ac:dyDescent="0.25">
      <c r="A4161" s="92"/>
      <c r="B4161" s="93"/>
      <c r="C4161" s="93"/>
      <c r="D4161" s="92"/>
      <c r="E4161" s="92"/>
      <c r="F4161" s="92"/>
      <c r="G4161" s="92"/>
      <c r="H4161" s="92"/>
      <c r="I4161" s="92"/>
      <c r="J4161" s="92"/>
      <c r="K4161" s="92"/>
      <c r="L4161" s="92"/>
      <c r="M4161" s="92"/>
      <c r="N4161" s="94"/>
      <c r="AG4161" s="107"/>
      <c r="AH4161" s="107"/>
      <c r="AI4161" s="107"/>
      <c r="AJ4161" s="107"/>
      <c r="AK4161" s="107"/>
      <c r="AL4161" s="107"/>
      <c r="AM4161" s="107"/>
      <c r="AN4161" s="107"/>
      <c r="AO4161" s="107"/>
      <c r="AP4161" s="107"/>
      <c r="AQ4161" s="107"/>
      <c r="AR4161" s="107"/>
      <c r="AS4161" s="107"/>
      <c r="AT4161" s="107"/>
    </row>
    <row r="4162" spans="1:63" x14ac:dyDescent="0.25">
      <c r="A4162" s="92"/>
      <c r="B4162" s="92"/>
      <c r="C4162" s="92"/>
      <c r="D4162" s="92"/>
      <c r="E4162" s="92"/>
      <c r="F4162" s="92"/>
      <c r="G4162" s="92"/>
      <c r="H4162" s="92"/>
      <c r="I4162" s="92"/>
      <c r="J4162" s="92"/>
      <c r="K4162" s="92"/>
      <c r="L4162" s="92"/>
      <c r="M4162" s="92"/>
      <c r="N4162" s="92"/>
      <c r="AG4162" s="107"/>
      <c r="AH4162" s="107"/>
      <c r="AI4162" s="107"/>
      <c r="AJ4162" s="107"/>
      <c r="AK4162" s="107"/>
      <c r="AL4162" s="107"/>
      <c r="AM4162" s="107"/>
      <c r="AN4162" s="107"/>
      <c r="AO4162" s="107"/>
      <c r="AP4162" s="107"/>
      <c r="AQ4162" s="107"/>
      <c r="AR4162" s="107"/>
      <c r="AS4162" s="107"/>
      <c r="AT4162" s="107"/>
      <c r="AZ4162" s="117"/>
      <c r="BK4162" s="39"/>
    </row>
    <row r="4163" spans="1:63" x14ac:dyDescent="0.25">
      <c r="A4163" s="92"/>
      <c r="B4163" s="92"/>
      <c r="C4163" s="92"/>
      <c r="D4163" s="92"/>
      <c r="E4163" s="92"/>
      <c r="F4163" s="92"/>
      <c r="G4163" s="92"/>
      <c r="H4163" s="92"/>
      <c r="I4163" s="92"/>
      <c r="J4163" s="92"/>
      <c r="K4163" s="92"/>
      <c r="L4163" s="92"/>
      <c r="M4163" s="92"/>
      <c r="N4163" s="92"/>
      <c r="AG4163" s="107"/>
      <c r="AH4163" s="107"/>
      <c r="AI4163" s="107"/>
      <c r="AJ4163" s="107"/>
      <c r="AK4163" s="107"/>
      <c r="AL4163" s="107"/>
      <c r="AM4163" s="107"/>
      <c r="AN4163" s="107"/>
      <c r="AO4163" s="107"/>
      <c r="AP4163" s="107"/>
      <c r="AQ4163" s="107"/>
      <c r="AR4163" s="107"/>
      <c r="AS4163" s="107"/>
      <c r="AT4163" s="107"/>
    </row>
    <row r="4164" spans="1:63" x14ac:dyDescent="0.25">
      <c r="A4164" s="92"/>
      <c r="B4164" s="93"/>
      <c r="C4164" s="93"/>
      <c r="D4164" s="92"/>
      <c r="E4164" s="92"/>
      <c r="F4164" s="92"/>
      <c r="G4164" s="92"/>
      <c r="H4164" s="92"/>
      <c r="I4164" s="92"/>
      <c r="J4164" s="92"/>
      <c r="K4164" s="92"/>
      <c r="L4164" s="92"/>
      <c r="M4164" s="92"/>
      <c r="N4164" s="94"/>
      <c r="AG4164" s="107"/>
      <c r="AH4164" s="107"/>
      <c r="AI4164" s="107"/>
      <c r="AJ4164" s="107"/>
      <c r="AK4164" s="107"/>
      <c r="AL4164" s="107"/>
      <c r="AM4164" s="107"/>
      <c r="AN4164" s="107"/>
      <c r="AO4164" s="107"/>
      <c r="AP4164" s="107"/>
      <c r="AQ4164" s="107"/>
      <c r="AR4164" s="107"/>
      <c r="AS4164" s="107"/>
      <c r="AT4164" s="107"/>
    </row>
    <row r="4165" spans="1:63" x14ac:dyDescent="0.25">
      <c r="A4165" s="92"/>
      <c r="B4165" s="93"/>
      <c r="C4165" s="93"/>
      <c r="D4165" s="92"/>
      <c r="E4165" s="92"/>
      <c r="F4165" s="92"/>
      <c r="G4165" s="92"/>
      <c r="H4165" s="92"/>
      <c r="I4165" s="92"/>
      <c r="J4165" s="92"/>
      <c r="K4165" s="92"/>
      <c r="L4165" s="92"/>
      <c r="M4165" s="92"/>
      <c r="N4165" s="94"/>
      <c r="AG4165" s="107"/>
      <c r="AH4165" s="107"/>
      <c r="AI4165" s="107"/>
      <c r="AJ4165" s="107"/>
      <c r="AK4165" s="107"/>
      <c r="AL4165" s="107"/>
      <c r="AM4165" s="107"/>
      <c r="AN4165" s="107"/>
      <c r="AO4165" s="107"/>
      <c r="AP4165" s="107"/>
      <c r="AQ4165" s="107"/>
      <c r="AR4165" s="107"/>
      <c r="AS4165" s="107"/>
      <c r="AT4165" s="107"/>
    </row>
    <row r="4166" spans="1:63" x14ac:dyDescent="0.25">
      <c r="A4166" s="92"/>
      <c r="B4166" s="93"/>
      <c r="C4166" s="93"/>
      <c r="D4166" s="92"/>
      <c r="E4166" s="92"/>
      <c r="F4166" s="92"/>
      <c r="G4166" s="92"/>
      <c r="H4166" s="92"/>
      <c r="I4166" s="92"/>
      <c r="J4166" s="92"/>
      <c r="K4166" s="92"/>
      <c r="L4166" s="92"/>
      <c r="M4166" s="92"/>
      <c r="N4166" s="94"/>
      <c r="AG4166" s="107"/>
      <c r="AH4166" s="107"/>
      <c r="AI4166" s="107"/>
      <c r="AJ4166" s="107"/>
      <c r="AK4166" s="107"/>
      <c r="AL4166" s="107"/>
      <c r="AM4166" s="107"/>
      <c r="AN4166" s="107"/>
      <c r="AO4166" s="107"/>
      <c r="AP4166" s="107"/>
      <c r="AQ4166" s="107"/>
      <c r="AR4166" s="107"/>
      <c r="AS4166" s="107"/>
      <c r="AT4166" s="107"/>
    </row>
    <row r="4167" spans="1:63" x14ac:dyDescent="0.25">
      <c r="A4167" s="92"/>
      <c r="B4167" s="93"/>
      <c r="C4167" s="93"/>
      <c r="D4167" s="92"/>
      <c r="E4167" s="92"/>
      <c r="F4167" s="92"/>
      <c r="G4167" s="92"/>
      <c r="H4167" s="92"/>
      <c r="I4167" s="92"/>
      <c r="J4167" s="92"/>
      <c r="K4167" s="92"/>
      <c r="L4167" s="92"/>
      <c r="M4167" s="92"/>
      <c r="N4167" s="94"/>
      <c r="AG4167" s="107"/>
      <c r="AH4167" s="107"/>
      <c r="AI4167" s="107"/>
      <c r="AJ4167" s="107"/>
      <c r="AK4167" s="107"/>
      <c r="AL4167" s="107"/>
      <c r="AM4167" s="107"/>
      <c r="AN4167" s="107"/>
      <c r="AO4167" s="107"/>
      <c r="AP4167" s="107"/>
      <c r="AQ4167" s="107"/>
      <c r="AR4167" s="107"/>
      <c r="AS4167" s="107"/>
      <c r="AT4167" s="107"/>
    </row>
    <row r="4168" spans="1:63" x14ac:dyDescent="0.25">
      <c r="A4168" s="92"/>
      <c r="B4168" s="92"/>
      <c r="C4168" s="92"/>
      <c r="D4168" s="92"/>
      <c r="E4168" s="92"/>
      <c r="F4168" s="92"/>
      <c r="G4168" s="92"/>
      <c r="H4168" s="92"/>
      <c r="I4168" s="92"/>
      <c r="J4168" s="92"/>
      <c r="K4168" s="92"/>
      <c r="L4168" s="92"/>
      <c r="M4168" s="92"/>
      <c r="N4168" s="92"/>
      <c r="AG4168" s="107"/>
      <c r="AH4168" s="117"/>
      <c r="AI4168" s="117"/>
      <c r="AJ4168" s="117"/>
      <c r="AK4168" s="107"/>
      <c r="AL4168" s="107"/>
      <c r="AM4168" s="107"/>
      <c r="AN4168" s="107"/>
      <c r="AO4168" s="107"/>
      <c r="AP4168" s="107"/>
      <c r="AQ4168" s="107"/>
      <c r="AR4168" s="107"/>
      <c r="AS4168" s="107"/>
      <c r="AT4168" s="39"/>
    </row>
    <row r="4169" spans="1:63" x14ac:dyDescent="0.25">
      <c r="A4169" s="92"/>
      <c r="B4169" s="92"/>
      <c r="C4169" s="92"/>
      <c r="D4169" s="92"/>
      <c r="E4169" s="92"/>
      <c r="F4169" s="92"/>
      <c r="G4169" s="92"/>
      <c r="H4169" s="92"/>
      <c r="I4169" s="92"/>
      <c r="J4169" s="92"/>
      <c r="K4169" s="92"/>
      <c r="L4169" s="92"/>
      <c r="M4169" s="92"/>
      <c r="N4169" s="92"/>
      <c r="AG4169" s="107"/>
      <c r="AH4169" s="107"/>
      <c r="AI4169" s="107"/>
      <c r="AJ4169" s="107"/>
      <c r="AK4169" s="107"/>
      <c r="AL4169" s="107"/>
      <c r="AM4169" s="107"/>
      <c r="AN4169" s="107"/>
      <c r="AO4169" s="107"/>
      <c r="AP4169" s="107"/>
      <c r="AQ4169" s="107"/>
      <c r="AR4169" s="107"/>
      <c r="AS4169" s="107"/>
      <c r="AT4169" s="107"/>
    </row>
    <row r="4170" spans="1:63" x14ac:dyDescent="0.25">
      <c r="A4170" s="92"/>
      <c r="B4170" s="92"/>
      <c r="C4170" s="92"/>
      <c r="D4170" s="92"/>
      <c r="E4170" s="92"/>
      <c r="F4170" s="92"/>
      <c r="G4170" s="92"/>
      <c r="H4170" s="92"/>
      <c r="I4170" s="92"/>
      <c r="J4170" s="92"/>
      <c r="K4170" s="92"/>
      <c r="L4170" s="92"/>
      <c r="M4170" s="92"/>
      <c r="N4170" s="92"/>
      <c r="AG4170" s="107"/>
      <c r="AH4170" s="107"/>
      <c r="AI4170" s="107"/>
      <c r="AJ4170" s="107"/>
      <c r="AK4170" s="107"/>
      <c r="AL4170" s="107"/>
      <c r="AM4170" s="107"/>
      <c r="AN4170" s="107"/>
      <c r="AO4170" s="107"/>
      <c r="AP4170" s="107"/>
      <c r="AQ4170" s="107"/>
      <c r="AR4170" s="107"/>
      <c r="AS4170" s="107"/>
      <c r="AT4170" s="107"/>
    </row>
    <row r="4171" spans="1:63" x14ac:dyDescent="0.25">
      <c r="A4171" s="92"/>
      <c r="B4171" s="93"/>
      <c r="C4171" s="93"/>
      <c r="D4171" s="92"/>
      <c r="E4171" s="92"/>
      <c r="F4171" s="92"/>
      <c r="G4171" s="92"/>
      <c r="H4171" s="92"/>
      <c r="I4171" s="92"/>
      <c r="J4171" s="92"/>
      <c r="K4171" s="92"/>
      <c r="L4171" s="92"/>
      <c r="M4171" s="92"/>
      <c r="N4171" s="94"/>
      <c r="AG4171" s="107"/>
      <c r="AH4171" s="117"/>
      <c r="AI4171" s="117"/>
      <c r="AJ4171" s="117"/>
      <c r="AK4171" s="107"/>
      <c r="AL4171" s="107"/>
      <c r="AM4171" s="107"/>
      <c r="AN4171" s="107"/>
      <c r="AO4171" s="107"/>
      <c r="AP4171" s="107"/>
      <c r="AQ4171" s="107"/>
      <c r="AR4171" s="107"/>
      <c r="AS4171" s="107"/>
      <c r="AT4171" s="39"/>
    </row>
    <row r="4172" spans="1:63" x14ac:dyDescent="0.25">
      <c r="A4172" s="92"/>
      <c r="B4172" s="93"/>
      <c r="C4172" s="93"/>
      <c r="D4172" s="92"/>
      <c r="E4172" s="92"/>
      <c r="F4172" s="92"/>
      <c r="G4172" s="92"/>
      <c r="H4172" s="92"/>
      <c r="I4172" s="92"/>
      <c r="J4172" s="92"/>
      <c r="K4172" s="92"/>
      <c r="L4172" s="92"/>
      <c r="M4172" s="92"/>
      <c r="N4172" s="94"/>
      <c r="AG4172" s="107"/>
      <c r="AH4172" s="107"/>
      <c r="AI4172" s="107"/>
      <c r="AJ4172" s="107"/>
      <c r="AK4172" s="107"/>
      <c r="AL4172" s="107"/>
      <c r="AM4172" s="107"/>
      <c r="AN4172" s="107"/>
      <c r="AO4172" s="107"/>
      <c r="AP4172" s="107"/>
      <c r="AQ4172" s="107"/>
      <c r="AR4172" s="107"/>
      <c r="AS4172" s="107"/>
      <c r="AT4172" s="107"/>
    </row>
    <row r="4173" spans="1:63" x14ac:dyDescent="0.25">
      <c r="A4173" s="92"/>
      <c r="B4173" s="93"/>
      <c r="C4173" s="93"/>
      <c r="D4173" s="92"/>
      <c r="E4173" s="92"/>
      <c r="F4173" s="92"/>
      <c r="G4173" s="92"/>
      <c r="H4173" s="92"/>
      <c r="I4173" s="92"/>
      <c r="J4173" s="92"/>
      <c r="K4173" s="92"/>
      <c r="L4173" s="92"/>
      <c r="M4173" s="92"/>
      <c r="N4173" s="94"/>
      <c r="AG4173" s="107"/>
      <c r="AH4173" s="107"/>
      <c r="AI4173" s="107"/>
      <c r="AJ4173" s="107"/>
      <c r="AK4173" s="107"/>
      <c r="AL4173" s="107"/>
      <c r="AM4173" s="107"/>
      <c r="AN4173" s="107"/>
      <c r="AO4173" s="107"/>
      <c r="AP4173" s="107"/>
      <c r="AQ4173" s="107"/>
      <c r="AR4173" s="107"/>
      <c r="AS4173" s="107"/>
      <c r="AT4173" s="107"/>
      <c r="AZ4173" s="117"/>
      <c r="BK4173" s="39"/>
    </row>
    <row r="4174" spans="1:63" x14ac:dyDescent="0.25">
      <c r="A4174" s="92"/>
      <c r="B4174" s="92"/>
      <c r="C4174" s="92"/>
      <c r="D4174" s="92"/>
      <c r="E4174" s="92"/>
      <c r="F4174" s="92"/>
      <c r="G4174" s="92"/>
      <c r="H4174" s="92"/>
      <c r="I4174" s="92"/>
      <c r="J4174" s="92"/>
      <c r="K4174" s="92"/>
      <c r="L4174" s="92"/>
      <c r="M4174" s="92"/>
      <c r="N4174" s="92"/>
      <c r="AG4174" s="107"/>
      <c r="AH4174" s="107"/>
      <c r="AI4174" s="107"/>
      <c r="AJ4174" s="107"/>
      <c r="AK4174" s="107"/>
      <c r="AL4174" s="107"/>
      <c r="AM4174" s="107"/>
      <c r="AN4174" s="107"/>
      <c r="AO4174" s="107"/>
      <c r="AP4174" s="107"/>
      <c r="AQ4174" s="107"/>
      <c r="AR4174" s="107"/>
      <c r="AS4174" s="107"/>
      <c r="AT4174" s="107"/>
      <c r="AZ4174" s="117"/>
      <c r="BK4174" s="39"/>
    </row>
    <row r="4175" spans="1:63" x14ac:dyDescent="0.25">
      <c r="A4175" s="92"/>
      <c r="B4175" s="93"/>
      <c r="C4175" s="93"/>
      <c r="D4175" s="92"/>
      <c r="E4175" s="92"/>
      <c r="F4175" s="92"/>
      <c r="G4175" s="92"/>
      <c r="H4175" s="92"/>
      <c r="I4175" s="92"/>
      <c r="J4175" s="92"/>
      <c r="K4175" s="92"/>
      <c r="L4175" s="92"/>
      <c r="M4175" s="92"/>
      <c r="N4175" s="94"/>
      <c r="AG4175" s="107"/>
      <c r="AH4175" s="107"/>
      <c r="AI4175" s="107"/>
      <c r="AJ4175" s="107"/>
      <c r="AK4175" s="107"/>
      <c r="AL4175" s="107"/>
      <c r="AM4175" s="107"/>
      <c r="AN4175" s="107"/>
      <c r="AO4175" s="107"/>
      <c r="AP4175" s="107"/>
      <c r="AQ4175" s="107"/>
      <c r="AR4175" s="107"/>
      <c r="AS4175" s="107"/>
      <c r="AT4175" s="107"/>
      <c r="BG4175" s="38"/>
    </row>
    <row r="4176" spans="1:63" x14ac:dyDescent="0.25">
      <c r="A4176" s="92"/>
      <c r="B4176" s="92"/>
      <c r="C4176" s="92"/>
      <c r="D4176" s="92"/>
      <c r="E4176" s="92"/>
      <c r="F4176" s="92"/>
      <c r="G4176" s="92"/>
      <c r="H4176" s="92"/>
      <c r="I4176" s="92"/>
      <c r="J4176" s="92"/>
      <c r="K4176" s="92"/>
      <c r="L4176" s="92"/>
      <c r="M4176" s="92"/>
      <c r="N4176" s="92"/>
      <c r="AG4176" s="107"/>
      <c r="AH4176" s="117"/>
      <c r="AI4176" s="117"/>
      <c r="AJ4176" s="107"/>
      <c r="AK4176" s="107"/>
      <c r="AL4176" s="107"/>
      <c r="AM4176" s="107"/>
      <c r="AN4176" s="107"/>
      <c r="AO4176" s="107"/>
      <c r="AP4176" s="107"/>
      <c r="AQ4176" s="107"/>
      <c r="AR4176" s="107"/>
      <c r="AS4176" s="107"/>
      <c r="AT4176" s="39"/>
      <c r="AZ4176" s="117"/>
      <c r="BK4176" s="39"/>
    </row>
    <row r="4177" spans="1:63" x14ac:dyDescent="0.25">
      <c r="A4177" s="92"/>
      <c r="B4177" s="93"/>
      <c r="C4177" s="93"/>
      <c r="D4177" s="92"/>
      <c r="E4177" s="92"/>
      <c r="F4177" s="92"/>
      <c r="G4177" s="92"/>
      <c r="H4177" s="92"/>
      <c r="I4177" s="92"/>
      <c r="J4177" s="92"/>
      <c r="K4177" s="92"/>
      <c r="L4177" s="92"/>
      <c r="M4177" s="92"/>
      <c r="N4177" s="94"/>
      <c r="AG4177" s="107"/>
      <c r="AH4177" s="117"/>
      <c r="AI4177" s="117"/>
      <c r="AJ4177" s="107"/>
      <c r="AK4177" s="107"/>
      <c r="AL4177" s="107"/>
      <c r="AM4177" s="107"/>
      <c r="AN4177" s="107"/>
      <c r="AO4177" s="107"/>
      <c r="AP4177" s="107"/>
      <c r="AQ4177" s="107"/>
      <c r="AR4177" s="107"/>
      <c r="AS4177" s="107"/>
      <c r="AT4177" s="39"/>
      <c r="AZ4177" s="117"/>
      <c r="BK4177" s="39"/>
    </row>
    <row r="4178" spans="1:63" x14ac:dyDescent="0.25">
      <c r="A4178" s="92"/>
      <c r="B4178" s="92"/>
      <c r="C4178" s="92"/>
      <c r="D4178" s="92"/>
      <c r="E4178" s="92"/>
      <c r="F4178" s="92"/>
      <c r="G4178" s="92"/>
      <c r="H4178" s="92"/>
      <c r="I4178" s="92"/>
      <c r="J4178" s="92"/>
      <c r="K4178" s="92"/>
      <c r="L4178" s="92"/>
      <c r="M4178" s="92"/>
      <c r="N4178" s="92"/>
      <c r="AG4178" s="107"/>
      <c r="AH4178" s="107"/>
      <c r="AI4178" s="107"/>
      <c r="AJ4178" s="107"/>
      <c r="AK4178" s="107"/>
      <c r="AL4178" s="107"/>
      <c r="AM4178" s="107"/>
      <c r="AN4178" s="107"/>
      <c r="AO4178" s="107"/>
      <c r="AP4178" s="107"/>
      <c r="AQ4178" s="107"/>
      <c r="AR4178" s="107"/>
      <c r="AS4178" s="107"/>
      <c r="AT4178" s="107"/>
      <c r="AZ4178" s="117"/>
      <c r="BK4178" s="39"/>
    </row>
    <row r="4179" spans="1:63" x14ac:dyDescent="0.25">
      <c r="A4179" s="92"/>
      <c r="B4179" s="92"/>
      <c r="C4179" s="92"/>
      <c r="D4179" s="92"/>
      <c r="E4179" s="92"/>
      <c r="F4179" s="92"/>
      <c r="G4179" s="92"/>
      <c r="H4179" s="92"/>
      <c r="I4179" s="92"/>
      <c r="J4179" s="92"/>
      <c r="K4179" s="92"/>
      <c r="L4179" s="92"/>
      <c r="M4179" s="92"/>
      <c r="N4179" s="92"/>
      <c r="AG4179" s="107"/>
      <c r="AH4179" s="117"/>
      <c r="AI4179" s="11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39"/>
      <c r="AZ4179" s="117"/>
      <c r="BK4179" s="39"/>
    </row>
    <row r="4180" spans="1:63" x14ac:dyDescent="0.25">
      <c r="A4180" s="92"/>
      <c r="B4180" s="93"/>
      <c r="C4180" s="93"/>
      <c r="D4180" s="92"/>
      <c r="E4180" s="92"/>
      <c r="F4180" s="92"/>
      <c r="G4180" s="92"/>
      <c r="H4180" s="92"/>
      <c r="I4180" s="92"/>
      <c r="J4180" s="92"/>
      <c r="K4180" s="92"/>
      <c r="L4180" s="92"/>
      <c r="M4180" s="92"/>
      <c r="N4180" s="94"/>
      <c r="AG4180" s="107"/>
      <c r="AH4180" s="117"/>
      <c r="AI4180" s="117"/>
      <c r="AJ4180" s="107"/>
      <c r="AK4180" s="107"/>
      <c r="AL4180" s="107"/>
      <c r="AM4180" s="107"/>
      <c r="AN4180" s="107"/>
      <c r="AO4180" s="107"/>
      <c r="AP4180" s="107"/>
      <c r="AQ4180" s="107"/>
      <c r="AR4180" s="107"/>
      <c r="AS4180" s="107"/>
      <c r="AT4180" s="39"/>
      <c r="AZ4180" s="117"/>
      <c r="BK4180" s="39"/>
    </row>
    <row r="4181" spans="1:63" x14ac:dyDescent="0.25">
      <c r="A4181" s="92"/>
      <c r="B4181" s="92"/>
      <c r="C4181" s="92"/>
      <c r="D4181" s="92"/>
      <c r="E4181" s="92"/>
      <c r="F4181" s="92"/>
      <c r="G4181" s="92"/>
      <c r="H4181" s="92"/>
      <c r="I4181" s="92"/>
      <c r="J4181" s="92"/>
      <c r="K4181" s="92"/>
      <c r="L4181" s="92"/>
      <c r="M4181" s="92"/>
      <c r="N4181" s="92"/>
      <c r="AG4181" s="107"/>
      <c r="AH4181" s="107"/>
      <c r="AI4181" s="107"/>
      <c r="AJ4181" s="107"/>
      <c r="AK4181" s="107"/>
      <c r="AL4181" s="107"/>
      <c r="AM4181" s="107"/>
      <c r="AN4181" s="107"/>
      <c r="AO4181" s="107"/>
      <c r="AP4181" s="107"/>
      <c r="AQ4181" s="107"/>
      <c r="AR4181" s="107"/>
      <c r="AS4181" s="107"/>
      <c r="AT4181" s="107"/>
    </row>
    <row r="4182" spans="1:63" x14ac:dyDescent="0.25">
      <c r="A4182" s="92"/>
      <c r="B4182" s="92"/>
      <c r="C4182" s="92"/>
      <c r="D4182" s="92"/>
      <c r="E4182" s="92"/>
      <c r="F4182" s="92"/>
      <c r="G4182" s="92"/>
      <c r="H4182" s="92"/>
      <c r="I4182" s="92"/>
      <c r="J4182" s="92"/>
      <c r="K4182" s="92"/>
      <c r="L4182" s="92"/>
      <c r="M4182" s="92"/>
      <c r="N4182" s="92"/>
      <c r="AG4182" s="107"/>
      <c r="AH4182" s="107"/>
      <c r="AI4182" s="107"/>
      <c r="AJ4182" s="107"/>
      <c r="AK4182" s="107"/>
      <c r="AL4182" s="107"/>
      <c r="AM4182" s="107"/>
      <c r="AN4182" s="107"/>
      <c r="AO4182" s="107"/>
      <c r="AP4182" s="107"/>
      <c r="AQ4182" s="107"/>
      <c r="AR4182" s="107"/>
      <c r="AS4182" s="107"/>
      <c r="AT4182" s="107"/>
      <c r="AZ4182" s="117"/>
      <c r="BA4182" s="117"/>
      <c r="BK4182" s="39"/>
    </row>
    <row r="4183" spans="1:63" x14ac:dyDescent="0.25">
      <c r="A4183" s="92"/>
      <c r="B4183" s="92"/>
      <c r="C4183" s="92"/>
      <c r="D4183" s="92"/>
      <c r="E4183" s="92"/>
      <c r="F4183" s="92"/>
      <c r="G4183" s="92"/>
      <c r="H4183" s="92"/>
      <c r="I4183" s="92"/>
      <c r="J4183" s="92"/>
      <c r="K4183" s="92"/>
      <c r="L4183" s="92"/>
      <c r="M4183" s="92"/>
      <c r="N4183" s="92"/>
      <c r="AG4183" s="107"/>
      <c r="AH4183" s="107"/>
      <c r="AI4183" s="107"/>
      <c r="AJ4183" s="107"/>
      <c r="AK4183" s="107"/>
      <c r="AL4183" s="107"/>
      <c r="AM4183" s="107"/>
      <c r="AN4183" s="107"/>
      <c r="AO4183" s="107"/>
      <c r="AP4183" s="107"/>
      <c r="AQ4183" s="107"/>
      <c r="AR4183" s="107"/>
      <c r="AS4183" s="107"/>
      <c r="AT4183" s="107"/>
      <c r="AZ4183" s="117"/>
      <c r="BK4183" s="39"/>
    </row>
    <row r="4184" spans="1:63" x14ac:dyDescent="0.25">
      <c r="A4184" s="92"/>
      <c r="B4184" s="92"/>
      <c r="C4184" s="92"/>
      <c r="D4184" s="92"/>
      <c r="E4184" s="92"/>
      <c r="F4184" s="92"/>
      <c r="G4184" s="92"/>
      <c r="H4184" s="92"/>
      <c r="I4184" s="92"/>
      <c r="J4184" s="92"/>
      <c r="K4184" s="92"/>
      <c r="L4184" s="92"/>
      <c r="M4184" s="92"/>
      <c r="N4184" s="92"/>
      <c r="AG4184" s="107"/>
      <c r="AH4184" s="117"/>
      <c r="AI4184" s="117"/>
      <c r="AJ4184" s="107"/>
      <c r="AK4184" s="107"/>
      <c r="AL4184" s="107"/>
      <c r="AM4184" s="107"/>
      <c r="AN4184" s="107"/>
      <c r="AO4184" s="107"/>
      <c r="AP4184" s="107"/>
      <c r="AQ4184" s="107"/>
      <c r="AR4184" s="107"/>
      <c r="AS4184" s="107"/>
      <c r="AT4184" s="39"/>
    </row>
    <row r="4185" spans="1:63" x14ac:dyDescent="0.25">
      <c r="A4185" s="92"/>
      <c r="B4185" s="92"/>
      <c r="C4185" s="92"/>
      <c r="D4185" s="92"/>
      <c r="E4185" s="92"/>
      <c r="F4185" s="92"/>
      <c r="G4185" s="92"/>
      <c r="H4185" s="92"/>
      <c r="I4185" s="92"/>
      <c r="J4185" s="92"/>
      <c r="K4185" s="92"/>
      <c r="L4185" s="92"/>
      <c r="M4185" s="92"/>
      <c r="N4185" s="92"/>
      <c r="AG4185" s="107"/>
      <c r="AH4185" s="117"/>
      <c r="AI4185" s="117"/>
      <c r="AJ4185" s="107"/>
      <c r="AK4185" s="107"/>
      <c r="AL4185" s="107"/>
      <c r="AM4185" s="107"/>
      <c r="AN4185" s="107"/>
      <c r="AO4185" s="107"/>
      <c r="AP4185" s="107"/>
      <c r="AQ4185" s="107"/>
      <c r="AR4185" s="107"/>
      <c r="AS4185" s="107"/>
      <c r="AT4185" s="39"/>
      <c r="AZ4185" s="117"/>
      <c r="BK4185" s="39"/>
    </row>
    <row r="4186" spans="1:63" x14ac:dyDescent="0.25">
      <c r="A4186" s="92"/>
      <c r="B4186" s="92"/>
      <c r="C4186" s="92"/>
      <c r="D4186" s="92"/>
      <c r="E4186" s="92"/>
      <c r="F4186" s="92"/>
      <c r="G4186" s="92"/>
      <c r="H4186" s="92"/>
      <c r="I4186" s="92"/>
      <c r="J4186" s="92"/>
      <c r="K4186" s="92"/>
      <c r="L4186" s="92"/>
      <c r="M4186" s="92"/>
      <c r="N4186" s="92"/>
      <c r="AG4186" s="107"/>
      <c r="AH4186" s="117"/>
      <c r="AI4186" s="117"/>
      <c r="AJ4186" s="107"/>
      <c r="AK4186" s="107"/>
      <c r="AL4186" s="107"/>
      <c r="AM4186" s="107"/>
      <c r="AN4186" s="107"/>
      <c r="AO4186" s="107"/>
      <c r="AP4186" s="107"/>
      <c r="AQ4186" s="107"/>
      <c r="AR4186" s="107"/>
      <c r="AS4186" s="107"/>
      <c r="AT4186" s="39"/>
      <c r="AZ4186" s="117"/>
      <c r="BA4186" s="117"/>
      <c r="BK4186" s="39"/>
    </row>
    <row r="4187" spans="1:63" x14ac:dyDescent="0.25">
      <c r="A4187" s="92"/>
      <c r="B4187" s="92"/>
      <c r="C4187" s="92"/>
      <c r="D4187" s="92"/>
      <c r="E4187" s="92"/>
      <c r="F4187" s="92"/>
      <c r="G4187" s="92"/>
      <c r="H4187" s="92"/>
      <c r="I4187" s="92"/>
      <c r="J4187" s="92"/>
      <c r="K4187" s="92"/>
      <c r="L4187" s="92"/>
      <c r="M4187" s="92"/>
      <c r="N4187" s="92"/>
      <c r="AG4187" s="107"/>
      <c r="AH4187" s="117"/>
      <c r="AI4187" s="117"/>
      <c r="AJ4187" s="107"/>
      <c r="AK4187" s="107"/>
      <c r="AL4187" s="107"/>
      <c r="AM4187" s="107"/>
      <c r="AN4187" s="107"/>
      <c r="AO4187" s="107"/>
      <c r="AP4187" s="107"/>
      <c r="AQ4187" s="107"/>
      <c r="AR4187" s="107"/>
      <c r="AS4187" s="107"/>
      <c r="AT4187" s="39"/>
      <c r="AZ4187" s="117"/>
      <c r="BK4187" s="39"/>
    </row>
    <row r="4188" spans="1:63" x14ac:dyDescent="0.25">
      <c r="A4188" s="92"/>
      <c r="B4188" s="92"/>
      <c r="C4188" s="92"/>
      <c r="D4188" s="92"/>
      <c r="E4188" s="92"/>
      <c r="F4188" s="92"/>
      <c r="G4188" s="92"/>
      <c r="H4188" s="92"/>
      <c r="I4188" s="92"/>
      <c r="J4188" s="92"/>
      <c r="K4188" s="92"/>
      <c r="L4188" s="92"/>
      <c r="M4188" s="92"/>
      <c r="N4188" s="92"/>
      <c r="AG4188" s="107"/>
      <c r="AH4188" s="117"/>
      <c r="AI4188" s="117"/>
      <c r="AJ4188" s="107"/>
      <c r="AK4188" s="107"/>
      <c r="AL4188" s="107"/>
      <c r="AM4188" s="107"/>
      <c r="AN4188" s="107"/>
      <c r="AO4188" s="107"/>
      <c r="AP4188" s="107"/>
      <c r="AQ4188" s="107"/>
      <c r="AR4188" s="107"/>
      <c r="AS4188" s="107"/>
      <c r="AT4188" s="39"/>
      <c r="AZ4188" s="117"/>
      <c r="BK4188" s="39"/>
    </row>
    <row r="4189" spans="1:63" x14ac:dyDescent="0.25">
      <c r="A4189" s="92"/>
      <c r="B4189" s="92"/>
      <c r="C4189" s="92"/>
      <c r="D4189" s="92"/>
      <c r="E4189" s="92"/>
      <c r="F4189" s="92"/>
      <c r="G4189" s="92"/>
      <c r="H4189" s="92"/>
      <c r="I4189" s="92"/>
      <c r="J4189" s="92"/>
      <c r="K4189" s="92"/>
      <c r="L4189" s="92"/>
      <c r="M4189" s="92"/>
      <c r="N4189" s="92"/>
      <c r="AG4189" s="107"/>
      <c r="AH4189" s="117"/>
      <c r="AI4189" s="117"/>
      <c r="AJ4189" s="107"/>
      <c r="AK4189" s="107"/>
      <c r="AL4189" s="107"/>
      <c r="AM4189" s="107"/>
      <c r="AN4189" s="107"/>
      <c r="AO4189" s="107"/>
      <c r="AP4189" s="107"/>
      <c r="AQ4189" s="107"/>
      <c r="AR4189" s="107"/>
      <c r="AS4189" s="107"/>
      <c r="AT4189" s="39"/>
      <c r="AZ4189" s="117"/>
      <c r="BA4189" s="117"/>
      <c r="BK4189" s="39"/>
    </row>
    <row r="4190" spans="1:63" x14ac:dyDescent="0.25">
      <c r="A4190" s="92"/>
      <c r="B4190" s="92"/>
      <c r="C4190" s="92"/>
      <c r="D4190" s="92"/>
      <c r="E4190" s="92"/>
      <c r="F4190" s="92"/>
      <c r="G4190" s="92"/>
      <c r="H4190" s="92"/>
      <c r="I4190" s="92"/>
      <c r="J4190" s="92"/>
      <c r="K4190" s="92"/>
      <c r="L4190" s="92"/>
      <c r="M4190" s="92"/>
      <c r="N4190" s="92"/>
      <c r="AG4190" s="107"/>
      <c r="AH4190" s="117"/>
      <c r="AI4190" s="117"/>
      <c r="AJ4190" s="107"/>
      <c r="AK4190" s="107"/>
      <c r="AL4190" s="107"/>
      <c r="AM4190" s="107"/>
      <c r="AN4190" s="107"/>
      <c r="AO4190" s="107"/>
      <c r="AP4190" s="107"/>
      <c r="AQ4190" s="107"/>
      <c r="AR4190" s="107"/>
      <c r="AS4190" s="107"/>
      <c r="AT4190" s="39"/>
    </row>
    <row r="4191" spans="1:63" x14ac:dyDescent="0.25">
      <c r="A4191" s="92"/>
      <c r="B4191" s="93"/>
      <c r="C4191" s="93"/>
      <c r="D4191" s="92"/>
      <c r="E4191" s="92"/>
      <c r="F4191" s="92"/>
      <c r="G4191" s="92"/>
      <c r="H4191" s="92"/>
      <c r="I4191" s="92"/>
      <c r="J4191" s="92"/>
      <c r="K4191" s="92"/>
      <c r="L4191" s="92"/>
      <c r="M4191" s="92"/>
      <c r="N4191" s="94"/>
      <c r="AG4191" s="107"/>
      <c r="AH4191" s="117"/>
      <c r="AI4191" s="117"/>
      <c r="AJ4191" s="107"/>
      <c r="AK4191" s="107"/>
      <c r="AL4191" s="107"/>
      <c r="AM4191" s="107"/>
      <c r="AN4191" s="107"/>
      <c r="AO4191" s="107"/>
      <c r="AP4191" s="107"/>
      <c r="AQ4191" s="107"/>
      <c r="AR4191" s="107"/>
      <c r="AS4191" s="107"/>
      <c r="AT4191" s="39"/>
    </row>
    <row r="4192" spans="1:63" x14ac:dyDescent="0.25">
      <c r="A4192" s="92"/>
      <c r="B4192" s="93"/>
      <c r="C4192" s="93"/>
      <c r="D4192" s="92"/>
      <c r="E4192" s="92"/>
      <c r="F4192" s="92"/>
      <c r="G4192" s="92"/>
      <c r="H4192" s="92"/>
      <c r="I4192" s="92"/>
      <c r="J4192" s="92"/>
      <c r="K4192" s="92"/>
      <c r="L4192" s="92"/>
      <c r="M4192" s="92"/>
      <c r="N4192" s="94"/>
      <c r="AG4192" s="107"/>
      <c r="AH4192" s="117"/>
      <c r="AI4192" s="117"/>
      <c r="AJ4192" s="107"/>
      <c r="AK4192" s="107"/>
      <c r="AL4192" s="107"/>
      <c r="AM4192" s="107"/>
      <c r="AN4192" s="107"/>
      <c r="AO4192" s="107"/>
      <c r="AP4192" s="107"/>
      <c r="AQ4192" s="107"/>
      <c r="AR4192" s="107"/>
      <c r="AS4192" s="107"/>
      <c r="AT4192" s="39"/>
    </row>
    <row r="4193" spans="1:63" x14ac:dyDescent="0.25">
      <c r="A4193" s="92"/>
      <c r="B4193" s="92"/>
      <c r="C4193" s="92"/>
      <c r="D4193" s="92"/>
      <c r="E4193" s="92"/>
      <c r="F4193" s="92"/>
      <c r="G4193" s="92"/>
      <c r="H4193" s="92"/>
      <c r="I4193" s="92"/>
      <c r="J4193" s="95"/>
      <c r="K4193" s="92"/>
      <c r="L4193" s="92"/>
      <c r="M4193" s="92"/>
      <c r="N4193" s="92"/>
      <c r="AG4193" s="107"/>
      <c r="AH4193" s="117"/>
      <c r="AI4193" s="117"/>
      <c r="AJ4193" s="11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39"/>
      <c r="AZ4193" s="117"/>
      <c r="BK4193" s="39"/>
    </row>
    <row r="4194" spans="1:63" x14ac:dyDescent="0.25">
      <c r="A4194" s="92"/>
      <c r="B4194" s="93"/>
      <c r="C4194" s="93"/>
      <c r="D4194" s="93"/>
      <c r="E4194" s="92"/>
      <c r="F4194" s="92"/>
      <c r="G4194" s="92"/>
      <c r="H4194" s="92"/>
      <c r="I4194" s="92"/>
      <c r="J4194" s="92"/>
      <c r="K4194" s="92"/>
      <c r="L4194" s="92"/>
      <c r="M4194" s="92"/>
      <c r="N4194" s="94"/>
      <c r="AG4194" s="107"/>
      <c r="AH4194" s="117"/>
      <c r="AI4194" s="117"/>
      <c r="AJ4194" s="107"/>
      <c r="AK4194" s="107"/>
      <c r="AL4194" s="107"/>
      <c r="AM4194" s="107"/>
      <c r="AN4194" s="107"/>
      <c r="AO4194" s="107"/>
      <c r="AP4194" s="107"/>
      <c r="AQ4194" s="107"/>
      <c r="AR4194" s="107"/>
      <c r="AS4194" s="107"/>
      <c r="AT4194" s="39"/>
      <c r="AZ4194" s="117"/>
      <c r="BK4194" s="39"/>
    </row>
    <row r="4195" spans="1:63" x14ac:dyDescent="0.25">
      <c r="A4195" s="92"/>
      <c r="B4195" s="93"/>
      <c r="C4195" s="93"/>
      <c r="D4195" s="92"/>
      <c r="E4195" s="92"/>
      <c r="F4195" s="92"/>
      <c r="G4195" s="92"/>
      <c r="H4195" s="92"/>
      <c r="I4195" s="92"/>
      <c r="J4195" s="92"/>
      <c r="K4195" s="92"/>
      <c r="L4195" s="92"/>
      <c r="M4195" s="92"/>
      <c r="N4195" s="94"/>
      <c r="AG4195" s="107"/>
      <c r="AH4195" s="117"/>
      <c r="AI4195" s="117"/>
      <c r="AJ4195" s="117"/>
      <c r="AK4195" s="107"/>
      <c r="AL4195" s="107"/>
      <c r="AM4195" s="107"/>
      <c r="AN4195" s="107"/>
      <c r="AO4195" s="107"/>
      <c r="AP4195" s="107"/>
      <c r="AQ4195" s="107"/>
      <c r="AR4195" s="107"/>
      <c r="AS4195" s="107"/>
      <c r="AT4195" s="39"/>
      <c r="AZ4195" s="117"/>
      <c r="BK4195" s="39"/>
    </row>
    <row r="4196" spans="1:63" x14ac:dyDescent="0.25">
      <c r="A4196" s="92"/>
      <c r="B4196" s="93"/>
      <c r="C4196" s="93"/>
      <c r="D4196" s="92"/>
      <c r="E4196" s="92"/>
      <c r="F4196" s="92"/>
      <c r="G4196" s="92"/>
      <c r="H4196" s="92"/>
      <c r="I4196" s="92"/>
      <c r="J4196" s="92"/>
      <c r="K4196" s="92"/>
      <c r="L4196" s="92"/>
      <c r="M4196" s="92"/>
      <c r="N4196" s="94"/>
      <c r="AG4196" s="107"/>
      <c r="AH4196" s="107"/>
      <c r="AI4196" s="107"/>
      <c r="AJ4196" s="11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</row>
    <row r="4197" spans="1:63" x14ac:dyDescent="0.25">
      <c r="A4197" s="92"/>
      <c r="B4197" s="93"/>
      <c r="C4197" s="93"/>
      <c r="D4197" s="92"/>
      <c r="E4197" s="92"/>
      <c r="F4197" s="92"/>
      <c r="G4197" s="92"/>
      <c r="H4197" s="92"/>
      <c r="I4197" s="92"/>
      <c r="J4197" s="92"/>
      <c r="K4197" s="92"/>
      <c r="L4197" s="92"/>
      <c r="M4197" s="92"/>
      <c r="N4197" s="94"/>
      <c r="AG4197" s="107"/>
      <c r="AH4197" s="107"/>
      <c r="AI4197" s="107"/>
      <c r="AJ4197" s="117"/>
      <c r="AK4197" s="107"/>
      <c r="AL4197" s="107"/>
      <c r="AM4197" s="107"/>
      <c r="AN4197" s="107"/>
      <c r="AO4197" s="107"/>
      <c r="AP4197" s="107"/>
      <c r="AQ4197" s="107"/>
      <c r="AR4197" s="107"/>
      <c r="AS4197" s="107"/>
      <c r="AT4197" s="107"/>
    </row>
    <row r="4198" spans="1:63" x14ac:dyDescent="0.25">
      <c r="A4198" s="92"/>
      <c r="B4198" s="93"/>
      <c r="C4198" s="93"/>
      <c r="D4198" s="92"/>
      <c r="E4198" s="92"/>
      <c r="F4198" s="92"/>
      <c r="G4198" s="92"/>
      <c r="H4198" s="92"/>
      <c r="I4198" s="92"/>
      <c r="J4198" s="92"/>
      <c r="K4198" s="92"/>
      <c r="L4198" s="92"/>
      <c r="M4198" s="92"/>
      <c r="N4198" s="94"/>
      <c r="AG4198" s="107"/>
      <c r="AH4198" s="107"/>
      <c r="AI4198" s="107"/>
      <c r="AJ4198" s="107"/>
      <c r="AK4198" s="107"/>
      <c r="AL4198" s="107"/>
      <c r="AM4198" s="107"/>
      <c r="AN4198" s="107"/>
      <c r="AO4198" s="107"/>
      <c r="AP4198" s="107"/>
      <c r="AQ4198" s="107"/>
      <c r="AR4198" s="107"/>
      <c r="AS4198" s="107"/>
      <c r="AT4198" s="107"/>
    </row>
    <row r="4199" spans="1:63" x14ac:dyDescent="0.25">
      <c r="A4199" s="92"/>
      <c r="B4199" s="92"/>
      <c r="C4199" s="92"/>
      <c r="D4199" s="92"/>
      <c r="E4199" s="92"/>
      <c r="F4199" s="92"/>
      <c r="G4199" s="92"/>
      <c r="H4199" s="92"/>
      <c r="I4199" s="92"/>
      <c r="J4199" s="92"/>
      <c r="K4199" s="92"/>
      <c r="L4199" s="92"/>
      <c r="M4199" s="92"/>
      <c r="N4199" s="92"/>
      <c r="AG4199" s="107"/>
      <c r="AH4199" s="107"/>
      <c r="AI4199" s="107"/>
      <c r="AJ4199" s="107"/>
      <c r="AK4199" s="107"/>
      <c r="AL4199" s="107"/>
      <c r="AM4199" s="107"/>
      <c r="AN4199" s="107"/>
      <c r="AO4199" s="107"/>
      <c r="AP4199" s="107"/>
      <c r="AQ4199" s="107"/>
      <c r="AR4199" s="107"/>
      <c r="AS4199" s="107"/>
      <c r="AT4199" s="107"/>
    </row>
    <row r="4200" spans="1:63" x14ac:dyDescent="0.25">
      <c r="A4200" s="92"/>
      <c r="B4200" s="93"/>
      <c r="C4200" s="93"/>
      <c r="D4200" s="93"/>
      <c r="E4200" s="92"/>
      <c r="F4200" s="92"/>
      <c r="G4200" s="92"/>
      <c r="H4200" s="92"/>
      <c r="I4200" s="92"/>
      <c r="J4200" s="92"/>
      <c r="K4200" s="92"/>
      <c r="L4200" s="92"/>
      <c r="M4200" s="92"/>
      <c r="N4200" s="94"/>
      <c r="AG4200" s="107"/>
      <c r="AH4200" s="107"/>
      <c r="AI4200" s="107"/>
      <c r="AJ4200" s="107"/>
      <c r="AK4200" s="107"/>
      <c r="AL4200" s="107"/>
      <c r="AM4200" s="107"/>
      <c r="AN4200" s="107"/>
      <c r="AO4200" s="107"/>
      <c r="AP4200" s="107"/>
      <c r="AQ4200" s="107"/>
      <c r="AR4200" s="107"/>
      <c r="AS4200" s="107"/>
      <c r="AT4200" s="107"/>
    </row>
    <row r="4201" spans="1:63" x14ac:dyDescent="0.25">
      <c r="A4201" s="92"/>
      <c r="B4201" s="93"/>
      <c r="C4201" s="93"/>
      <c r="D4201" s="92"/>
      <c r="E4201" s="92"/>
      <c r="F4201" s="92"/>
      <c r="G4201" s="92"/>
      <c r="H4201" s="92"/>
      <c r="I4201" s="92"/>
      <c r="J4201" s="92"/>
      <c r="K4201" s="92"/>
      <c r="L4201" s="92"/>
      <c r="M4201" s="92"/>
      <c r="N4201" s="94"/>
      <c r="AG4201" s="107"/>
      <c r="AH4201" s="107"/>
      <c r="AI4201" s="107"/>
      <c r="AJ4201" s="107"/>
      <c r="AK4201" s="107"/>
      <c r="AL4201" s="107"/>
      <c r="AM4201" s="107"/>
      <c r="AN4201" s="107"/>
      <c r="AO4201" s="107"/>
      <c r="AP4201" s="107"/>
      <c r="AQ4201" s="107"/>
      <c r="AR4201" s="107"/>
      <c r="AS4201" s="107"/>
      <c r="AT4201" s="107"/>
      <c r="AZ4201" s="117"/>
      <c r="BK4201" s="39"/>
    </row>
    <row r="4202" spans="1:63" x14ac:dyDescent="0.25">
      <c r="A4202" s="92"/>
      <c r="B4202" s="92"/>
      <c r="C4202" s="92"/>
      <c r="D4202" s="92"/>
      <c r="E4202" s="92"/>
      <c r="F4202" s="92"/>
      <c r="G4202" s="92"/>
      <c r="H4202" s="92"/>
      <c r="I4202" s="92"/>
      <c r="J4202" s="92"/>
      <c r="K4202" s="92"/>
      <c r="L4202" s="92"/>
      <c r="M4202" s="92"/>
      <c r="N4202" s="92"/>
      <c r="AG4202" s="107"/>
      <c r="AH4202" s="107"/>
      <c r="AI4202" s="107"/>
      <c r="AJ4202" s="107"/>
      <c r="AK4202" s="107"/>
      <c r="AL4202" s="107"/>
      <c r="AM4202" s="107"/>
      <c r="AN4202" s="107"/>
      <c r="AO4202" s="107"/>
      <c r="AP4202" s="107"/>
      <c r="AQ4202" s="107"/>
      <c r="AR4202" s="107"/>
      <c r="AS4202" s="107"/>
      <c r="AT4202" s="107"/>
      <c r="AZ4202" s="117"/>
      <c r="BK4202" s="39"/>
    </row>
    <row r="4203" spans="1:63" x14ac:dyDescent="0.25">
      <c r="A4203" s="92"/>
      <c r="B4203" s="93"/>
      <c r="C4203" s="93"/>
      <c r="D4203" s="92"/>
      <c r="E4203" s="92"/>
      <c r="F4203" s="92"/>
      <c r="G4203" s="92"/>
      <c r="H4203" s="92"/>
      <c r="I4203" s="92"/>
      <c r="J4203" s="92"/>
      <c r="K4203" s="92"/>
      <c r="L4203" s="92"/>
      <c r="M4203" s="92"/>
      <c r="N4203" s="94"/>
      <c r="AG4203" s="107"/>
      <c r="AH4203" s="107"/>
      <c r="AI4203" s="107"/>
      <c r="AJ4203" s="107"/>
      <c r="AK4203" s="107"/>
      <c r="AL4203" s="107"/>
      <c r="AM4203" s="107"/>
      <c r="AN4203" s="107"/>
      <c r="AO4203" s="107"/>
      <c r="AP4203" s="107"/>
      <c r="AQ4203" s="107"/>
      <c r="AR4203" s="107"/>
      <c r="AS4203" s="107"/>
      <c r="AT4203" s="107"/>
      <c r="AZ4203" s="117"/>
      <c r="BK4203" s="39"/>
    </row>
    <row r="4204" spans="1:63" x14ac:dyDescent="0.25">
      <c r="A4204" s="92"/>
      <c r="B4204" s="93"/>
      <c r="C4204" s="93"/>
      <c r="D4204" s="93"/>
      <c r="E4204" s="92"/>
      <c r="F4204" s="92"/>
      <c r="G4204" s="92"/>
      <c r="H4204" s="92"/>
      <c r="I4204" s="92"/>
      <c r="J4204" s="92"/>
      <c r="K4204" s="92"/>
      <c r="L4204" s="92"/>
      <c r="M4204" s="92"/>
      <c r="N4204" s="94"/>
      <c r="AG4204" s="107"/>
      <c r="AH4204" s="107"/>
      <c r="AI4204" s="107"/>
      <c r="AJ4204" s="107"/>
      <c r="AK4204" s="107"/>
      <c r="AL4204" s="107"/>
      <c r="AM4204" s="107"/>
      <c r="AN4204" s="107"/>
      <c r="AO4204" s="107"/>
      <c r="AP4204" s="107"/>
      <c r="AQ4204" s="107"/>
      <c r="AR4204" s="107"/>
      <c r="AS4204" s="107"/>
      <c r="AT4204" s="107"/>
    </row>
    <row r="4205" spans="1:63" x14ac:dyDescent="0.25">
      <c r="A4205" s="92"/>
      <c r="B4205" s="93"/>
      <c r="C4205" s="93"/>
      <c r="D4205" s="92"/>
      <c r="E4205" s="92"/>
      <c r="F4205" s="92"/>
      <c r="G4205" s="92"/>
      <c r="H4205" s="92"/>
      <c r="I4205" s="92"/>
      <c r="J4205" s="92"/>
      <c r="K4205" s="92"/>
      <c r="L4205" s="92"/>
      <c r="M4205" s="92"/>
      <c r="N4205" s="94"/>
      <c r="AG4205" s="107"/>
      <c r="AH4205" s="117"/>
      <c r="AI4205" s="117"/>
      <c r="AJ4205" s="107"/>
      <c r="AK4205" s="107"/>
      <c r="AL4205" s="107"/>
      <c r="AM4205" s="107"/>
      <c r="AN4205" s="107"/>
      <c r="AO4205" s="107"/>
      <c r="AP4205" s="107"/>
      <c r="AQ4205" s="107"/>
      <c r="AR4205" s="107"/>
      <c r="AS4205" s="107"/>
      <c r="AT4205" s="39"/>
      <c r="AZ4205" s="117"/>
      <c r="BK4205" s="39"/>
    </row>
    <row r="4206" spans="1:63" x14ac:dyDescent="0.25">
      <c r="A4206" s="92"/>
      <c r="B4206" s="93"/>
      <c r="C4206" s="93"/>
      <c r="D4206" s="92"/>
      <c r="E4206" s="92"/>
      <c r="F4206" s="92"/>
      <c r="G4206" s="92"/>
      <c r="H4206" s="92"/>
      <c r="I4206" s="92"/>
      <c r="J4206" s="92"/>
      <c r="K4206" s="92"/>
      <c r="L4206" s="92"/>
      <c r="M4206" s="92"/>
      <c r="N4206" s="94"/>
      <c r="AG4206" s="107"/>
      <c r="AH4206" s="117"/>
      <c r="AI4206" s="117"/>
      <c r="AJ4206" s="107"/>
      <c r="AK4206" s="107"/>
      <c r="AL4206" s="107"/>
      <c r="AM4206" s="107"/>
      <c r="AN4206" s="107"/>
      <c r="AO4206" s="107"/>
      <c r="AP4206" s="107"/>
      <c r="AQ4206" s="107"/>
      <c r="AR4206" s="107"/>
      <c r="AS4206" s="107"/>
      <c r="AT4206" s="39"/>
      <c r="AZ4206" s="117"/>
      <c r="BK4206" s="39"/>
    </row>
    <row r="4207" spans="1:63" x14ac:dyDescent="0.25">
      <c r="A4207" s="92"/>
      <c r="B4207" s="93"/>
      <c r="C4207" s="93"/>
      <c r="D4207" s="93"/>
      <c r="E4207" s="92"/>
      <c r="F4207" s="92"/>
      <c r="G4207" s="92"/>
      <c r="H4207" s="92"/>
      <c r="I4207" s="92"/>
      <c r="J4207" s="92"/>
      <c r="K4207" s="92"/>
      <c r="L4207" s="92"/>
      <c r="M4207" s="92"/>
      <c r="N4207" s="94"/>
      <c r="AG4207" s="107"/>
      <c r="AH4207" s="117"/>
      <c r="AI4207" s="117"/>
      <c r="AJ4207" s="107"/>
      <c r="AK4207" s="107"/>
      <c r="AL4207" s="107"/>
      <c r="AM4207" s="107"/>
      <c r="AN4207" s="107"/>
      <c r="AO4207" s="107"/>
      <c r="AP4207" s="107"/>
      <c r="AQ4207" s="107"/>
      <c r="AR4207" s="107"/>
      <c r="AS4207" s="107"/>
      <c r="AT4207" s="39"/>
    </row>
    <row r="4208" spans="1:63" x14ac:dyDescent="0.25">
      <c r="A4208" s="92"/>
      <c r="B4208" s="92"/>
      <c r="C4208" s="92"/>
      <c r="D4208" s="92"/>
      <c r="E4208" s="92"/>
      <c r="F4208" s="92"/>
      <c r="G4208" s="92"/>
      <c r="H4208" s="92"/>
      <c r="I4208" s="92"/>
      <c r="J4208" s="92"/>
      <c r="K4208" s="92"/>
      <c r="L4208" s="92"/>
      <c r="M4208" s="92"/>
      <c r="N4208" s="92"/>
      <c r="AG4208" s="107"/>
      <c r="AH4208" s="117"/>
      <c r="AI4208" s="117"/>
      <c r="AJ4208" s="107"/>
      <c r="AK4208" s="107"/>
      <c r="AL4208" s="107"/>
      <c r="AM4208" s="107"/>
      <c r="AN4208" s="107"/>
      <c r="AO4208" s="107"/>
      <c r="AP4208" s="107"/>
      <c r="AQ4208" s="107"/>
      <c r="AR4208" s="107"/>
      <c r="AS4208" s="107"/>
      <c r="AT4208" s="39"/>
    </row>
    <row r="4209" spans="1:63" x14ac:dyDescent="0.25">
      <c r="A4209" s="92"/>
      <c r="B4209" s="92"/>
      <c r="C4209" s="92"/>
      <c r="D4209" s="92"/>
      <c r="E4209" s="92"/>
      <c r="F4209" s="92"/>
      <c r="G4209" s="92"/>
      <c r="H4209" s="92"/>
      <c r="I4209" s="92"/>
      <c r="J4209" s="92"/>
      <c r="K4209" s="92"/>
      <c r="L4209" s="92"/>
      <c r="M4209" s="92"/>
      <c r="N4209" s="92"/>
      <c r="AG4209" s="107"/>
      <c r="AH4209" s="117"/>
      <c r="AI4209" s="117"/>
      <c r="AJ4209" s="117"/>
      <c r="AK4209" s="107"/>
      <c r="AL4209" s="107"/>
      <c r="AM4209" s="107"/>
      <c r="AN4209" s="107"/>
      <c r="AO4209" s="107"/>
      <c r="AP4209" s="107"/>
      <c r="AQ4209" s="107"/>
      <c r="AR4209" s="107"/>
      <c r="AS4209" s="107"/>
      <c r="AT4209" s="39"/>
    </row>
    <row r="4210" spans="1:63" x14ac:dyDescent="0.25">
      <c r="A4210" s="92"/>
      <c r="B4210" s="92"/>
      <c r="C4210" s="92"/>
      <c r="D4210" s="92"/>
      <c r="E4210" s="92"/>
      <c r="F4210" s="92"/>
      <c r="G4210" s="92"/>
      <c r="H4210" s="92"/>
      <c r="I4210" s="92"/>
      <c r="J4210" s="92"/>
      <c r="K4210" s="92"/>
      <c r="L4210" s="92"/>
      <c r="M4210" s="92"/>
      <c r="N4210" s="92"/>
      <c r="AG4210" s="107"/>
      <c r="AH4210" s="107"/>
      <c r="AI4210" s="107"/>
      <c r="AJ4210" s="117"/>
      <c r="AK4210" s="107"/>
      <c r="AL4210" s="107"/>
      <c r="AM4210" s="107"/>
      <c r="AN4210" s="107"/>
      <c r="AO4210" s="107"/>
      <c r="AP4210" s="107"/>
      <c r="AQ4210" s="107"/>
      <c r="AR4210" s="107"/>
      <c r="AS4210" s="107"/>
      <c r="AT4210" s="107"/>
    </row>
    <row r="4211" spans="1:63" x14ac:dyDescent="0.25">
      <c r="A4211" s="92"/>
      <c r="B4211" s="93"/>
      <c r="C4211" s="93"/>
      <c r="D4211" s="92"/>
      <c r="E4211" s="92"/>
      <c r="F4211" s="92"/>
      <c r="G4211" s="92"/>
      <c r="H4211" s="92"/>
      <c r="I4211" s="92"/>
      <c r="J4211" s="92"/>
      <c r="K4211" s="92"/>
      <c r="L4211" s="92"/>
      <c r="M4211" s="92"/>
      <c r="N4211" s="94"/>
      <c r="AG4211" s="107"/>
      <c r="AH4211" s="107"/>
      <c r="AI4211" s="107"/>
      <c r="AJ4211" s="117"/>
      <c r="AK4211" s="107"/>
      <c r="AL4211" s="107"/>
      <c r="AM4211" s="107"/>
      <c r="AN4211" s="107"/>
      <c r="AO4211" s="107"/>
      <c r="AP4211" s="107"/>
      <c r="AQ4211" s="107"/>
      <c r="AR4211" s="107"/>
      <c r="AS4211" s="107"/>
      <c r="AT4211" s="107"/>
    </row>
    <row r="4212" spans="1:63" x14ac:dyDescent="0.25">
      <c r="A4212" s="92"/>
      <c r="B4212" s="93"/>
      <c r="C4212" s="93"/>
      <c r="D4212" s="92"/>
      <c r="E4212" s="92"/>
      <c r="F4212" s="92"/>
      <c r="G4212" s="92"/>
      <c r="H4212" s="92"/>
      <c r="I4212" s="92"/>
      <c r="J4212" s="92"/>
      <c r="K4212" s="92"/>
      <c r="L4212" s="92"/>
      <c r="M4212" s="92"/>
      <c r="N4212" s="94"/>
      <c r="AG4212" s="107"/>
      <c r="AH4212" s="117"/>
      <c r="AI4212" s="117"/>
      <c r="AJ4212" s="107"/>
      <c r="AK4212" s="107"/>
      <c r="AL4212" s="107"/>
      <c r="AM4212" s="107"/>
      <c r="AN4212" s="107"/>
      <c r="AO4212" s="107"/>
      <c r="AP4212" s="107"/>
      <c r="AQ4212" s="107"/>
      <c r="AR4212" s="107"/>
      <c r="AS4212" s="107"/>
      <c r="AT4212" s="39"/>
    </row>
    <row r="4213" spans="1:63" x14ac:dyDescent="0.25">
      <c r="A4213" s="92"/>
      <c r="B4213" s="93"/>
      <c r="C4213" s="93"/>
      <c r="D4213" s="92"/>
      <c r="E4213" s="92"/>
      <c r="F4213" s="92"/>
      <c r="G4213" s="92"/>
      <c r="H4213" s="92"/>
      <c r="I4213" s="92"/>
      <c r="J4213" s="92"/>
      <c r="K4213" s="92"/>
      <c r="L4213" s="92"/>
      <c r="M4213" s="92"/>
      <c r="N4213" s="94"/>
      <c r="AG4213" s="107"/>
      <c r="AH4213" s="117"/>
      <c r="AI4213" s="117"/>
      <c r="AJ4213" s="117"/>
      <c r="AK4213" s="107"/>
      <c r="AL4213" s="107"/>
      <c r="AM4213" s="107"/>
      <c r="AN4213" s="107"/>
      <c r="AO4213" s="107"/>
      <c r="AP4213" s="107"/>
      <c r="AQ4213" s="107"/>
      <c r="AR4213" s="107"/>
      <c r="AS4213" s="107"/>
      <c r="AT4213" s="39"/>
    </row>
    <row r="4214" spans="1:63" x14ac:dyDescent="0.25">
      <c r="A4214" s="92"/>
      <c r="B4214" s="92"/>
      <c r="C4214" s="92"/>
      <c r="D4214" s="92"/>
      <c r="E4214" s="92"/>
      <c r="F4214" s="92"/>
      <c r="G4214" s="92"/>
      <c r="H4214" s="92"/>
      <c r="I4214" s="92"/>
      <c r="J4214" s="92"/>
      <c r="K4214" s="92"/>
      <c r="L4214" s="92"/>
      <c r="M4214" s="92"/>
      <c r="N4214" s="92"/>
      <c r="AG4214" s="107"/>
      <c r="AH4214" s="117"/>
      <c r="AI4214" s="117"/>
      <c r="AJ4214" s="107"/>
      <c r="AK4214" s="107"/>
      <c r="AL4214" s="107"/>
      <c r="AM4214" s="107"/>
      <c r="AN4214" s="107"/>
      <c r="AO4214" s="107"/>
      <c r="AP4214" s="107"/>
      <c r="AQ4214" s="107"/>
      <c r="AR4214" s="107"/>
      <c r="AS4214" s="107"/>
      <c r="AT4214" s="39"/>
    </row>
    <row r="4215" spans="1:63" x14ac:dyDescent="0.25">
      <c r="A4215" s="92"/>
      <c r="B4215" s="92"/>
      <c r="C4215" s="92"/>
      <c r="D4215" s="92"/>
      <c r="E4215" s="92"/>
      <c r="F4215" s="92"/>
      <c r="G4215" s="92"/>
      <c r="H4215" s="92"/>
      <c r="I4215" s="92"/>
      <c r="J4215" s="92"/>
      <c r="K4215" s="92"/>
      <c r="L4215" s="92"/>
      <c r="M4215" s="92"/>
      <c r="N4215" s="92"/>
      <c r="AG4215" s="107"/>
      <c r="AH4215" s="107"/>
      <c r="AI4215" s="107"/>
      <c r="AJ4215" s="107"/>
      <c r="AK4215" s="107"/>
      <c r="AL4215" s="107"/>
      <c r="AM4215" s="107"/>
      <c r="AN4215" s="107"/>
      <c r="AO4215" s="107"/>
      <c r="AP4215" s="107"/>
      <c r="AQ4215" s="107"/>
      <c r="AR4215" s="107"/>
      <c r="AS4215" s="107"/>
      <c r="AT4215" s="107"/>
    </row>
    <row r="4216" spans="1:63" x14ac:dyDescent="0.25">
      <c r="A4216" s="92"/>
      <c r="B4216" s="92"/>
      <c r="C4216" s="92"/>
      <c r="D4216" s="92"/>
      <c r="E4216" s="92"/>
      <c r="F4216" s="92"/>
      <c r="G4216" s="92"/>
      <c r="H4216" s="92"/>
      <c r="I4216" s="92"/>
      <c r="J4216" s="92"/>
      <c r="K4216" s="92"/>
      <c r="L4216" s="92"/>
      <c r="M4216" s="92"/>
      <c r="N4216" s="92"/>
      <c r="AG4216" s="107"/>
      <c r="AH4216" s="117"/>
      <c r="AI4216" s="117"/>
      <c r="AJ4216" s="107"/>
      <c r="AK4216" s="107"/>
      <c r="AL4216" s="107"/>
      <c r="AM4216" s="107"/>
      <c r="AN4216" s="107"/>
      <c r="AO4216" s="107"/>
      <c r="AP4216" s="107"/>
      <c r="AQ4216" s="107"/>
      <c r="AR4216" s="107"/>
      <c r="AS4216" s="107"/>
      <c r="AT4216" s="39"/>
    </row>
    <row r="4217" spans="1:63" x14ac:dyDescent="0.25">
      <c r="A4217" s="92"/>
      <c r="B4217" s="92"/>
      <c r="C4217" s="92"/>
      <c r="D4217" s="92"/>
      <c r="E4217" s="92"/>
      <c r="F4217" s="92"/>
      <c r="G4217" s="92"/>
      <c r="H4217" s="92"/>
      <c r="I4217" s="92"/>
      <c r="J4217" s="92"/>
      <c r="K4217" s="92"/>
      <c r="L4217" s="92"/>
      <c r="M4217" s="92"/>
      <c r="N4217" s="92"/>
      <c r="AG4217" s="107"/>
      <c r="AH4217" s="117"/>
      <c r="AI4217" s="117"/>
      <c r="AJ4217" s="107"/>
      <c r="AK4217" s="107"/>
      <c r="AL4217" s="107"/>
      <c r="AM4217" s="107"/>
      <c r="AN4217" s="107"/>
      <c r="AO4217" s="107"/>
      <c r="AP4217" s="107"/>
      <c r="AQ4217" s="107"/>
      <c r="AR4217" s="107"/>
      <c r="AS4217" s="107"/>
      <c r="AT4217" s="39"/>
    </row>
    <row r="4218" spans="1:63" x14ac:dyDescent="0.25">
      <c r="A4218" s="92"/>
      <c r="B4218" s="92"/>
      <c r="C4218" s="92"/>
      <c r="D4218" s="92"/>
      <c r="E4218" s="92"/>
      <c r="F4218" s="92"/>
      <c r="G4218" s="92"/>
      <c r="H4218" s="92"/>
      <c r="I4218" s="92"/>
      <c r="J4218" s="92"/>
      <c r="K4218" s="92"/>
      <c r="L4218" s="92"/>
      <c r="M4218" s="92"/>
      <c r="N4218" s="92"/>
      <c r="AG4218" s="107"/>
      <c r="AH4218" s="107"/>
      <c r="AI4218" s="107"/>
      <c r="AJ4218" s="107"/>
      <c r="AK4218" s="107"/>
      <c r="AL4218" s="107"/>
      <c r="AM4218" s="107"/>
      <c r="AN4218" s="107"/>
      <c r="AO4218" s="107"/>
      <c r="AP4218" s="107"/>
      <c r="AQ4218" s="107"/>
      <c r="AR4218" s="107"/>
      <c r="AS4218" s="107"/>
      <c r="AT4218" s="107"/>
    </row>
    <row r="4219" spans="1:63" x14ac:dyDescent="0.25">
      <c r="A4219" s="92"/>
      <c r="B4219" s="93"/>
      <c r="C4219" s="93"/>
      <c r="D4219" s="92"/>
      <c r="E4219" s="92"/>
      <c r="F4219" s="92"/>
      <c r="G4219" s="92"/>
      <c r="H4219" s="92"/>
      <c r="I4219" s="92"/>
      <c r="J4219" s="92"/>
      <c r="K4219" s="92"/>
      <c r="L4219" s="92"/>
      <c r="M4219" s="92"/>
      <c r="N4219" s="94"/>
      <c r="AG4219" s="107"/>
      <c r="AH4219" s="107"/>
      <c r="AI4219" s="107"/>
      <c r="AJ4219" s="107"/>
      <c r="AK4219" s="107"/>
      <c r="AL4219" s="107"/>
      <c r="AM4219" s="107"/>
      <c r="AN4219" s="107"/>
      <c r="AO4219" s="107"/>
      <c r="AP4219" s="107"/>
      <c r="AQ4219" s="107"/>
      <c r="AR4219" s="107"/>
      <c r="AS4219" s="107"/>
      <c r="AT4219" s="107"/>
      <c r="AZ4219" s="117"/>
      <c r="BK4219" s="39"/>
    </row>
    <row r="4220" spans="1:63" x14ac:dyDescent="0.25">
      <c r="A4220" s="92"/>
      <c r="B4220" s="93"/>
      <c r="C4220" s="93"/>
      <c r="D4220" s="92"/>
      <c r="E4220" s="92"/>
      <c r="F4220" s="92"/>
      <c r="G4220" s="92"/>
      <c r="H4220" s="92"/>
      <c r="I4220" s="92"/>
      <c r="J4220" s="92"/>
      <c r="K4220" s="92"/>
      <c r="L4220" s="92"/>
      <c r="M4220" s="92"/>
      <c r="N4220" s="94"/>
      <c r="AG4220" s="107"/>
      <c r="AH4220" s="107"/>
      <c r="AI4220" s="107"/>
      <c r="AJ4220" s="107"/>
      <c r="AK4220" s="107"/>
      <c r="AL4220" s="107"/>
      <c r="AM4220" s="107"/>
      <c r="AN4220" s="107"/>
      <c r="AO4220" s="107"/>
      <c r="AP4220" s="107"/>
      <c r="AQ4220" s="107"/>
      <c r="AR4220" s="107"/>
      <c r="AS4220" s="107"/>
      <c r="AT4220" s="107"/>
    </row>
    <row r="4221" spans="1:63" x14ac:dyDescent="0.25">
      <c r="A4221" s="92"/>
      <c r="B4221" s="93"/>
      <c r="C4221" s="93"/>
      <c r="D4221" s="92"/>
      <c r="E4221" s="92"/>
      <c r="F4221" s="92"/>
      <c r="G4221" s="92"/>
      <c r="H4221" s="92"/>
      <c r="I4221" s="92"/>
      <c r="J4221" s="92"/>
      <c r="K4221" s="92"/>
      <c r="L4221" s="92"/>
      <c r="M4221" s="92"/>
      <c r="N4221" s="94"/>
      <c r="AG4221" s="107"/>
      <c r="AH4221" s="107"/>
      <c r="AI4221" s="107"/>
      <c r="AJ4221" s="107"/>
      <c r="AK4221" s="107"/>
      <c r="AL4221" s="107"/>
      <c r="AM4221" s="107"/>
      <c r="AN4221" s="107"/>
      <c r="AO4221" s="107"/>
      <c r="AP4221" s="107"/>
      <c r="AQ4221" s="107"/>
      <c r="AR4221" s="107"/>
      <c r="AS4221" s="107"/>
      <c r="AT4221" s="107"/>
      <c r="AZ4221" s="117"/>
      <c r="BK4221" s="39"/>
    </row>
    <row r="4222" spans="1:63" x14ac:dyDescent="0.25">
      <c r="A4222" s="92"/>
      <c r="B4222" s="92"/>
      <c r="C4222" s="92"/>
      <c r="D4222" s="92"/>
      <c r="E4222" s="92"/>
      <c r="F4222" s="92"/>
      <c r="G4222" s="92"/>
      <c r="H4222" s="92"/>
      <c r="I4222" s="92"/>
      <c r="J4222" s="92"/>
      <c r="K4222" s="92"/>
      <c r="L4222" s="92"/>
      <c r="M4222" s="92"/>
      <c r="N4222" s="92"/>
      <c r="AG4222" s="107"/>
      <c r="AH4222" s="107"/>
      <c r="AI4222" s="107"/>
      <c r="AJ4222" s="107"/>
      <c r="AK4222" s="107"/>
      <c r="AL4222" s="107"/>
      <c r="AM4222" s="107"/>
      <c r="AN4222" s="107"/>
      <c r="AO4222" s="107"/>
      <c r="AP4222" s="107"/>
      <c r="AQ4222" s="107"/>
      <c r="AR4222" s="107"/>
      <c r="AS4222" s="107"/>
      <c r="AT4222" s="107"/>
      <c r="AZ4222" s="117"/>
      <c r="BK4222" s="39"/>
    </row>
    <row r="4223" spans="1:63" x14ac:dyDescent="0.25">
      <c r="A4223" s="92"/>
      <c r="B4223" s="93"/>
      <c r="C4223" s="93"/>
      <c r="D4223" s="93"/>
      <c r="E4223" s="92"/>
      <c r="F4223" s="92"/>
      <c r="G4223" s="92"/>
      <c r="H4223" s="92"/>
      <c r="I4223" s="92"/>
      <c r="J4223" s="92"/>
      <c r="K4223" s="92"/>
      <c r="L4223" s="92"/>
      <c r="M4223" s="92"/>
      <c r="N4223" s="94"/>
      <c r="AG4223" s="107"/>
      <c r="AH4223" s="107"/>
      <c r="AI4223" s="107"/>
      <c r="AJ4223" s="107"/>
      <c r="AK4223" s="107"/>
      <c r="AL4223" s="107"/>
      <c r="AM4223" s="107"/>
      <c r="AN4223" s="107"/>
      <c r="AO4223" s="107"/>
      <c r="AP4223" s="107"/>
      <c r="AQ4223" s="107"/>
      <c r="AR4223" s="107"/>
      <c r="AS4223" s="107"/>
      <c r="AT4223" s="107"/>
      <c r="AZ4223" s="117"/>
      <c r="BA4223" s="117"/>
      <c r="BK4223" s="39"/>
    </row>
    <row r="4224" spans="1:63" x14ac:dyDescent="0.25">
      <c r="A4224" s="92"/>
      <c r="B4224" s="93"/>
      <c r="C4224" s="93"/>
      <c r="D4224" s="92"/>
      <c r="E4224" s="92"/>
      <c r="F4224" s="92"/>
      <c r="G4224" s="92"/>
      <c r="H4224" s="92"/>
      <c r="I4224" s="92"/>
      <c r="J4224" s="92"/>
      <c r="K4224" s="92"/>
      <c r="L4224" s="92"/>
      <c r="M4224" s="92"/>
      <c r="N4224" s="94"/>
      <c r="AG4224" s="107"/>
      <c r="AH4224" s="117"/>
      <c r="AI4224" s="117"/>
      <c r="AJ4224" s="117"/>
      <c r="AK4224" s="107"/>
      <c r="AL4224" s="107"/>
      <c r="AM4224" s="107"/>
      <c r="AN4224" s="107"/>
      <c r="AO4224" s="107"/>
      <c r="AP4224" s="107"/>
      <c r="AQ4224" s="107"/>
      <c r="AR4224" s="107"/>
      <c r="AS4224" s="107"/>
      <c r="AT4224" s="39"/>
      <c r="BA4224" s="117"/>
    </row>
    <row r="4225" spans="1:63" x14ac:dyDescent="0.25">
      <c r="A4225" s="92"/>
      <c r="B4225" s="92"/>
      <c r="C4225" s="92"/>
      <c r="D4225" s="92"/>
      <c r="E4225" s="92"/>
      <c r="F4225" s="92"/>
      <c r="G4225" s="92"/>
      <c r="H4225" s="92"/>
      <c r="I4225" s="92"/>
      <c r="J4225" s="92"/>
      <c r="K4225" s="92"/>
      <c r="L4225" s="92"/>
      <c r="M4225" s="92"/>
      <c r="N4225" s="92"/>
      <c r="AG4225" s="107"/>
      <c r="AH4225" s="117"/>
      <c r="AI4225" s="11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39"/>
      <c r="BA4225" s="117"/>
    </row>
    <row r="4226" spans="1:63" x14ac:dyDescent="0.25">
      <c r="A4226" s="92"/>
      <c r="B4226" s="92"/>
      <c r="C4226" s="92"/>
      <c r="D4226" s="92"/>
      <c r="E4226" s="92"/>
      <c r="F4226" s="92"/>
      <c r="G4226" s="92"/>
      <c r="H4226" s="92"/>
      <c r="I4226" s="92"/>
      <c r="J4226" s="92"/>
      <c r="K4226" s="92"/>
      <c r="L4226" s="92"/>
      <c r="M4226" s="92"/>
      <c r="N4226" s="92"/>
      <c r="AG4226" s="107"/>
      <c r="AH4226" s="107"/>
      <c r="AI4226" s="107"/>
      <c r="AJ4226" s="107"/>
      <c r="AK4226" s="107"/>
      <c r="AL4226" s="107"/>
      <c r="AM4226" s="107"/>
      <c r="AN4226" s="107"/>
      <c r="AO4226" s="107"/>
      <c r="AP4226" s="107"/>
      <c r="AQ4226" s="107"/>
      <c r="AR4226" s="107"/>
      <c r="AS4226" s="107"/>
      <c r="AT4226" s="107"/>
      <c r="AZ4226" s="117"/>
      <c r="BK4226" s="39"/>
    </row>
    <row r="4227" spans="1:63" x14ac:dyDescent="0.25">
      <c r="A4227" s="92"/>
      <c r="B4227" s="92"/>
      <c r="C4227" s="92"/>
      <c r="D4227" s="92"/>
      <c r="E4227" s="92"/>
      <c r="F4227" s="92"/>
      <c r="G4227" s="92"/>
      <c r="H4227" s="92"/>
      <c r="I4227" s="92"/>
      <c r="J4227" s="92"/>
      <c r="K4227" s="92"/>
      <c r="L4227" s="92"/>
      <c r="M4227" s="92"/>
      <c r="N4227" s="92"/>
      <c r="AG4227" s="107"/>
      <c r="AH4227" s="107"/>
      <c r="AI4227" s="107"/>
      <c r="AJ4227" s="107"/>
      <c r="AK4227" s="107"/>
      <c r="AL4227" s="107"/>
      <c r="AM4227" s="107"/>
      <c r="AN4227" s="107"/>
      <c r="AO4227" s="107"/>
      <c r="AP4227" s="107"/>
      <c r="AQ4227" s="107"/>
      <c r="AR4227" s="107"/>
      <c r="AS4227" s="107"/>
      <c r="AT4227" s="107"/>
      <c r="AZ4227" s="117"/>
      <c r="BK4227" s="39"/>
    </row>
    <row r="4228" spans="1:63" x14ac:dyDescent="0.25">
      <c r="A4228" s="92"/>
      <c r="B4228" s="92"/>
      <c r="C4228" s="92"/>
      <c r="D4228" s="92"/>
      <c r="E4228" s="92"/>
      <c r="F4228" s="92"/>
      <c r="G4228" s="92"/>
      <c r="H4228" s="92"/>
      <c r="I4228" s="92"/>
      <c r="J4228" s="92"/>
      <c r="K4228" s="92"/>
      <c r="L4228" s="92"/>
      <c r="M4228" s="92"/>
      <c r="N4228" s="92"/>
      <c r="AG4228" s="107"/>
      <c r="AH4228" s="107"/>
      <c r="AI4228" s="107"/>
      <c r="AJ4228" s="107"/>
      <c r="AK4228" s="107"/>
      <c r="AL4228" s="107"/>
      <c r="AM4228" s="107"/>
      <c r="AN4228" s="107"/>
      <c r="AO4228" s="107"/>
      <c r="AP4228" s="107"/>
      <c r="AQ4228" s="107"/>
      <c r="AR4228" s="107"/>
      <c r="AS4228" s="107"/>
      <c r="AT4228" s="107"/>
      <c r="AZ4228" s="117"/>
      <c r="BK4228" s="39"/>
    </row>
    <row r="4229" spans="1:63" x14ac:dyDescent="0.25">
      <c r="A4229" s="92"/>
      <c r="B4229" s="92"/>
      <c r="C4229" s="92"/>
      <c r="D4229" s="92"/>
      <c r="E4229" s="92"/>
      <c r="F4229" s="92"/>
      <c r="G4229" s="92"/>
      <c r="H4229" s="92"/>
      <c r="I4229" s="92"/>
      <c r="J4229" s="92"/>
      <c r="K4229" s="92"/>
      <c r="L4229" s="92"/>
      <c r="M4229" s="92"/>
      <c r="N4229" s="92"/>
      <c r="AG4229" s="107"/>
      <c r="AH4229" s="107"/>
      <c r="AI4229" s="107"/>
      <c r="AJ4229" s="107"/>
      <c r="AK4229" s="107"/>
      <c r="AL4229" s="107"/>
      <c r="AM4229" s="107"/>
      <c r="AN4229" s="107"/>
      <c r="AO4229" s="107"/>
      <c r="AP4229" s="107"/>
      <c r="AQ4229" s="107"/>
      <c r="AR4229" s="107"/>
      <c r="AS4229" s="107"/>
      <c r="AT4229" s="107"/>
      <c r="AZ4229" s="117"/>
      <c r="BK4229" s="39"/>
    </row>
    <row r="4230" spans="1:63" x14ac:dyDescent="0.25">
      <c r="A4230" s="92"/>
      <c r="B4230" s="92"/>
      <c r="C4230" s="92"/>
      <c r="D4230" s="92"/>
      <c r="E4230" s="92"/>
      <c r="F4230" s="92"/>
      <c r="G4230" s="92"/>
      <c r="H4230" s="92"/>
      <c r="I4230" s="92"/>
      <c r="J4230" s="92"/>
      <c r="K4230" s="92"/>
      <c r="L4230" s="92"/>
      <c r="M4230" s="92"/>
      <c r="N4230" s="92"/>
      <c r="AG4230" s="107"/>
      <c r="AH4230" s="107"/>
      <c r="AI4230" s="107"/>
      <c r="AJ4230" s="107"/>
      <c r="AK4230" s="107"/>
      <c r="AL4230" s="107"/>
      <c r="AM4230" s="107"/>
      <c r="AN4230" s="107"/>
      <c r="AO4230" s="107"/>
      <c r="AP4230" s="107"/>
      <c r="AQ4230" s="107"/>
      <c r="AR4230" s="107"/>
      <c r="AS4230" s="107"/>
      <c r="AT4230" s="107"/>
      <c r="AZ4230" s="117"/>
      <c r="BK4230" s="39"/>
    </row>
    <row r="4231" spans="1:63" x14ac:dyDescent="0.25">
      <c r="A4231" s="92"/>
      <c r="B4231" s="92"/>
      <c r="C4231" s="92"/>
      <c r="D4231" s="92"/>
      <c r="E4231" s="92"/>
      <c r="F4231" s="92"/>
      <c r="G4231" s="92"/>
      <c r="H4231" s="92"/>
      <c r="I4231" s="92"/>
      <c r="J4231" s="92"/>
      <c r="K4231" s="92"/>
      <c r="L4231" s="92"/>
      <c r="M4231" s="92"/>
      <c r="N4231" s="92"/>
      <c r="AG4231" s="107"/>
      <c r="AH4231" s="107"/>
      <c r="AI4231" s="107"/>
      <c r="AJ4231" s="107"/>
      <c r="AK4231" s="107"/>
      <c r="AL4231" s="107"/>
      <c r="AM4231" s="107"/>
      <c r="AN4231" s="107"/>
      <c r="AO4231" s="107"/>
      <c r="AP4231" s="107"/>
      <c r="AQ4231" s="107"/>
      <c r="AR4231" s="107"/>
      <c r="AS4231" s="107"/>
      <c r="AT4231" s="107"/>
      <c r="AZ4231" s="117"/>
      <c r="BK4231" s="39"/>
    </row>
    <row r="4232" spans="1:63" x14ac:dyDescent="0.25">
      <c r="A4232" s="92"/>
      <c r="B4232" s="92"/>
      <c r="C4232" s="92"/>
      <c r="D4232" s="92"/>
      <c r="E4232" s="92"/>
      <c r="F4232" s="92"/>
      <c r="G4232" s="92"/>
      <c r="H4232" s="92"/>
      <c r="I4232" s="92"/>
      <c r="J4232" s="92"/>
      <c r="K4232" s="92"/>
      <c r="L4232" s="92"/>
      <c r="M4232" s="92"/>
      <c r="N4232" s="92"/>
      <c r="AG4232" s="107"/>
      <c r="AH4232" s="117"/>
      <c r="AI4232" s="117"/>
      <c r="AJ4232" s="117"/>
      <c r="AK4232" s="107"/>
      <c r="AL4232" s="107"/>
      <c r="AM4232" s="107"/>
      <c r="AN4232" s="107"/>
      <c r="AO4232" s="107"/>
      <c r="AP4232" s="107"/>
      <c r="AQ4232" s="107"/>
      <c r="AR4232" s="107"/>
      <c r="AS4232" s="107"/>
      <c r="AT4232" s="39"/>
      <c r="AZ4232" s="117"/>
      <c r="BK4232" s="39"/>
    </row>
    <row r="4233" spans="1:63" x14ac:dyDescent="0.25">
      <c r="A4233" s="92"/>
      <c r="B4233" s="92"/>
      <c r="C4233" s="92"/>
      <c r="D4233" s="92"/>
      <c r="E4233" s="92"/>
      <c r="F4233" s="92"/>
      <c r="G4233" s="92"/>
      <c r="H4233" s="92"/>
      <c r="I4233" s="92"/>
      <c r="J4233" s="92"/>
      <c r="K4233" s="92"/>
      <c r="L4233" s="92"/>
      <c r="M4233" s="92"/>
      <c r="N4233" s="92"/>
      <c r="AG4233" s="107"/>
      <c r="AH4233" s="107"/>
      <c r="AI4233" s="107"/>
      <c r="AJ4233" s="107"/>
      <c r="AK4233" s="107"/>
      <c r="AL4233" s="107"/>
      <c r="AM4233" s="107"/>
      <c r="AN4233" s="107"/>
      <c r="AO4233" s="107"/>
      <c r="AP4233" s="107"/>
      <c r="AQ4233" s="107"/>
      <c r="AR4233" s="107"/>
      <c r="AS4233" s="107"/>
      <c r="AT4233" s="107"/>
      <c r="AZ4233" s="117"/>
      <c r="BK4233" s="39"/>
    </row>
    <row r="4234" spans="1:63" x14ac:dyDescent="0.25">
      <c r="A4234" s="92"/>
      <c r="B4234" s="92"/>
      <c r="C4234" s="92"/>
      <c r="D4234" s="92"/>
      <c r="E4234" s="92"/>
      <c r="F4234" s="92"/>
      <c r="G4234" s="92"/>
      <c r="H4234" s="92"/>
      <c r="I4234" s="92"/>
      <c r="J4234" s="92"/>
      <c r="K4234" s="92"/>
      <c r="L4234" s="92"/>
      <c r="M4234" s="92"/>
      <c r="N4234" s="92"/>
      <c r="AG4234" s="107"/>
      <c r="AH4234" s="107"/>
      <c r="AI4234" s="107"/>
      <c r="AJ4234" s="107"/>
      <c r="AK4234" s="107"/>
      <c r="AL4234" s="107"/>
      <c r="AM4234" s="107"/>
      <c r="AN4234" s="107"/>
      <c r="AO4234" s="107"/>
      <c r="AP4234" s="107"/>
      <c r="AQ4234" s="107"/>
      <c r="AR4234" s="107"/>
      <c r="AS4234" s="107"/>
      <c r="AT4234" s="107"/>
    </row>
    <row r="4235" spans="1:63" x14ac:dyDescent="0.25">
      <c r="A4235" s="92"/>
      <c r="B4235" s="92"/>
      <c r="C4235" s="92"/>
      <c r="D4235" s="92"/>
      <c r="E4235" s="92"/>
      <c r="F4235" s="92"/>
      <c r="G4235" s="92"/>
      <c r="H4235" s="92"/>
      <c r="I4235" s="92"/>
      <c r="J4235" s="92"/>
      <c r="K4235" s="92"/>
      <c r="L4235" s="92"/>
      <c r="M4235" s="92"/>
      <c r="N4235" s="92"/>
      <c r="AG4235" s="107"/>
      <c r="AH4235" s="117"/>
      <c r="AI4235" s="117"/>
      <c r="AJ4235" s="117"/>
      <c r="AK4235" s="107"/>
      <c r="AL4235" s="107"/>
      <c r="AM4235" s="107"/>
      <c r="AN4235" s="107"/>
      <c r="AO4235" s="107"/>
      <c r="AP4235" s="107"/>
      <c r="AQ4235" s="107"/>
      <c r="AR4235" s="107"/>
      <c r="AS4235" s="107"/>
      <c r="AT4235" s="39"/>
      <c r="AZ4235" s="117"/>
      <c r="BK4235" s="39"/>
    </row>
    <row r="4236" spans="1:63" x14ac:dyDescent="0.25">
      <c r="A4236" s="92"/>
      <c r="B4236" s="92"/>
      <c r="C4236" s="92"/>
      <c r="D4236" s="92"/>
      <c r="E4236" s="92"/>
      <c r="F4236" s="92"/>
      <c r="G4236" s="92"/>
      <c r="H4236" s="92"/>
      <c r="I4236" s="92"/>
      <c r="J4236" s="92"/>
      <c r="K4236" s="92"/>
      <c r="L4236" s="92"/>
      <c r="M4236" s="92"/>
      <c r="N4236" s="92"/>
      <c r="AG4236" s="107"/>
      <c r="AH4236" s="107"/>
      <c r="AI4236" s="107"/>
      <c r="AJ4236" s="117"/>
      <c r="AK4236" s="107"/>
      <c r="AL4236" s="107"/>
      <c r="AM4236" s="107"/>
      <c r="AN4236" s="107"/>
      <c r="AO4236" s="107"/>
      <c r="AP4236" s="107"/>
      <c r="AQ4236" s="107"/>
      <c r="AR4236" s="107"/>
      <c r="AS4236" s="107"/>
      <c r="AT4236" s="107"/>
    </row>
    <row r="4237" spans="1:63" x14ac:dyDescent="0.25">
      <c r="A4237" s="92"/>
      <c r="B4237" s="93"/>
      <c r="C4237" s="93"/>
      <c r="D4237" s="92"/>
      <c r="E4237" s="92"/>
      <c r="F4237" s="92"/>
      <c r="G4237" s="92"/>
      <c r="H4237" s="92"/>
      <c r="I4237" s="92"/>
      <c r="J4237" s="92"/>
      <c r="K4237" s="92"/>
      <c r="L4237" s="92"/>
      <c r="M4237" s="92"/>
      <c r="N4237" s="94"/>
      <c r="AG4237" s="107"/>
      <c r="AH4237" s="107"/>
      <c r="AI4237" s="107"/>
      <c r="AJ4237" s="117"/>
      <c r="AK4237" s="107"/>
      <c r="AL4237" s="107"/>
      <c r="AM4237" s="107"/>
      <c r="AN4237" s="107"/>
      <c r="AO4237" s="107"/>
      <c r="AP4237" s="107"/>
      <c r="AQ4237" s="107"/>
      <c r="AR4237" s="107"/>
      <c r="AS4237" s="107"/>
      <c r="AT4237" s="107"/>
      <c r="AZ4237" s="117"/>
      <c r="BK4237" s="39"/>
    </row>
    <row r="4238" spans="1:63" x14ac:dyDescent="0.25">
      <c r="A4238" s="92"/>
      <c r="B4238" s="92"/>
      <c r="C4238" s="92"/>
      <c r="D4238" s="92"/>
      <c r="E4238" s="92"/>
      <c r="F4238" s="92"/>
      <c r="G4238" s="92"/>
      <c r="H4238" s="92"/>
      <c r="I4238" s="92"/>
      <c r="J4238" s="92"/>
      <c r="K4238" s="92"/>
      <c r="L4238" s="92"/>
      <c r="M4238" s="92"/>
      <c r="N4238" s="92"/>
      <c r="AG4238" s="107"/>
      <c r="AH4238" s="107"/>
      <c r="AI4238" s="107"/>
      <c r="AJ4238" s="117"/>
      <c r="AK4238" s="107"/>
      <c r="AL4238" s="107"/>
      <c r="AM4238" s="107"/>
      <c r="AN4238" s="107"/>
      <c r="AO4238" s="107"/>
      <c r="AP4238" s="107"/>
      <c r="AQ4238" s="107"/>
      <c r="AR4238" s="107"/>
      <c r="AS4238" s="107"/>
      <c r="AT4238" s="107"/>
      <c r="AZ4238" s="117"/>
      <c r="BK4238" s="39"/>
    </row>
    <row r="4239" spans="1:63" x14ac:dyDescent="0.25">
      <c r="A4239" s="92"/>
      <c r="B4239" s="93"/>
      <c r="C4239" s="93"/>
      <c r="D4239" s="92"/>
      <c r="E4239" s="92"/>
      <c r="F4239" s="92"/>
      <c r="G4239" s="92"/>
      <c r="H4239" s="92"/>
      <c r="I4239" s="92"/>
      <c r="J4239" s="92"/>
      <c r="K4239" s="92"/>
      <c r="L4239" s="92"/>
      <c r="M4239" s="92"/>
      <c r="N4239" s="94"/>
      <c r="AG4239" s="107"/>
      <c r="AH4239" s="117"/>
      <c r="AI4239" s="117"/>
      <c r="AJ4239" s="107"/>
      <c r="AK4239" s="107"/>
      <c r="AL4239" s="107"/>
      <c r="AM4239" s="107"/>
      <c r="AN4239" s="107"/>
      <c r="AO4239" s="107"/>
      <c r="AP4239" s="107"/>
      <c r="AQ4239" s="107"/>
      <c r="AR4239" s="107"/>
      <c r="AS4239" s="107"/>
      <c r="AT4239" s="39"/>
      <c r="AZ4239" s="117"/>
      <c r="BK4239" s="39"/>
    </row>
    <row r="4240" spans="1:63" x14ac:dyDescent="0.25">
      <c r="A4240" s="92"/>
      <c r="B4240" s="93"/>
      <c r="C4240" s="93"/>
      <c r="D4240" s="92"/>
      <c r="E4240" s="92"/>
      <c r="F4240" s="92"/>
      <c r="G4240" s="92"/>
      <c r="H4240" s="92"/>
      <c r="I4240" s="92"/>
      <c r="J4240" s="92"/>
      <c r="K4240" s="92"/>
      <c r="L4240" s="92"/>
      <c r="M4240" s="92"/>
      <c r="N4240" s="94"/>
      <c r="AG4240" s="107"/>
      <c r="AH4240" s="107"/>
      <c r="AI4240" s="107"/>
      <c r="AJ4240" s="107"/>
      <c r="AK4240" s="107"/>
      <c r="AL4240" s="107"/>
      <c r="AM4240" s="107"/>
      <c r="AN4240" s="107"/>
      <c r="AO4240" s="107"/>
      <c r="AP4240" s="107"/>
      <c r="AQ4240" s="107"/>
      <c r="AR4240" s="107"/>
      <c r="AS4240" s="107"/>
      <c r="AT4240" s="107"/>
      <c r="AZ4240" s="117"/>
      <c r="BK4240" s="39"/>
    </row>
    <row r="4241" spans="1:63" x14ac:dyDescent="0.25">
      <c r="A4241" s="92"/>
      <c r="B4241" s="93"/>
      <c r="C4241" s="93"/>
      <c r="D4241" s="93"/>
      <c r="E4241" s="92"/>
      <c r="F4241" s="92"/>
      <c r="G4241" s="92"/>
      <c r="H4241" s="92"/>
      <c r="I4241" s="92"/>
      <c r="J4241" s="92"/>
      <c r="K4241" s="92"/>
      <c r="L4241" s="92"/>
      <c r="M4241" s="92"/>
      <c r="N4241" s="94"/>
      <c r="AG4241" s="107"/>
      <c r="AH4241" s="117"/>
      <c r="AI4241" s="117"/>
      <c r="AJ4241" s="107"/>
      <c r="AK4241" s="107"/>
      <c r="AL4241" s="107"/>
      <c r="AM4241" s="107"/>
      <c r="AN4241" s="107"/>
      <c r="AO4241" s="107"/>
      <c r="AP4241" s="107"/>
      <c r="AQ4241" s="107"/>
      <c r="AR4241" s="107"/>
      <c r="AS4241" s="107"/>
      <c r="AT4241" s="39"/>
      <c r="AZ4241" s="117"/>
      <c r="BK4241" s="39"/>
    </row>
    <row r="4242" spans="1:63" x14ac:dyDescent="0.25">
      <c r="A4242" s="92"/>
      <c r="B4242" s="92"/>
      <c r="C4242" s="92"/>
      <c r="D4242" s="93"/>
      <c r="E4242" s="92"/>
      <c r="F4242" s="92"/>
      <c r="G4242" s="92"/>
      <c r="H4242" s="92"/>
      <c r="I4242" s="92"/>
      <c r="J4242" s="92"/>
      <c r="K4242" s="92"/>
      <c r="L4242" s="92"/>
      <c r="M4242" s="92"/>
      <c r="N4242" s="92"/>
      <c r="AG4242" s="107"/>
      <c r="AH4242" s="107"/>
      <c r="AI4242" s="107"/>
      <c r="AJ4242" s="107"/>
      <c r="AK4242" s="107"/>
      <c r="AL4242" s="107"/>
      <c r="AM4242" s="107"/>
      <c r="AN4242" s="107"/>
      <c r="AO4242" s="107"/>
      <c r="AP4242" s="107"/>
      <c r="AQ4242" s="107"/>
      <c r="AR4242" s="107"/>
      <c r="AS4242" s="107"/>
      <c r="AT4242" s="107"/>
    </row>
    <row r="4243" spans="1:63" x14ac:dyDescent="0.25">
      <c r="A4243" s="92"/>
      <c r="B4243" s="92"/>
      <c r="C4243" s="92"/>
      <c r="D4243" s="93"/>
      <c r="E4243" s="92"/>
      <c r="F4243" s="92"/>
      <c r="G4243" s="92"/>
      <c r="H4243" s="92"/>
      <c r="I4243" s="92"/>
      <c r="J4243" s="92"/>
      <c r="K4243" s="92"/>
      <c r="L4243" s="92"/>
      <c r="M4243" s="92"/>
      <c r="N4243" s="92"/>
      <c r="AG4243" s="107"/>
      <c r="AH4243" s="107"/>
      <c r="AI4243" s="107"/>
      <c r="AJ4243" s="107"/>
      <c r="AK4243" s="107"/>
      <c r="AL4243" s="107"/>
      <c r="AM4243" s="107"/>
      <c r="AN4243" s="107"/>
      <c r="AO4243" s="107"/>
      <c r="AP4243" s="107"/>
      <c r="AQ4243" s="107"/>
      <c r="AR4243" s="107"/>
      <c r="AS4243" s="107"/>
      <c r="AT4243" s="107"/>
    </row>
    <row r="4244" spans="1:63" x14ac:dyDescent="0.25">
      <c r="A4244" s="92"/>
      <c r="B4244" s="93"/>
      <c r="C4244" s="93"/>
      <c r="D4244" s="92"/>
      <c r="E4244" s="92"/>
      <c r="F4244" s="92"/>
      <c r="G4244" s="92"/>
      <c r="H4244" s="92"/>
      <c r="I4244" s="92"/>
      <c r="J4244" s="92"/>
      <c r="K4244" s="92"/>
      <c r="L4244" s="92"/>
      <c r="M4244" s="92"/>
      <c r="N4244" s="94"/>
      <c r="AG4244" s="107"/>
      <c r="AH4244" s="117"/>
      <c r="AI4244" s="11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39"/>
    </row>
    <row r="4245" spans="1:63" x14ac:dyDescent="0.25">
      <c r="A4245" s="92"/>
      <c r="B4245" s="93"/>
      <c r="C4245" s="93"/>
      <c r="D4245" s="92"/>
      <c r="E4245" s="92"/>
      <c r="F4245" s="92"/>
      <c r="G4245" s="92"/>
      <c r="H4245" s="92"/>
      <c r="I4245" s="92"/>
      <c r="J4245" s="92"/>
      <c r="K4245" s="92"/>
      <c r="L4245" s="92"/>
      <c r="M4245" s="92"/>
      <c r="N4245" s="94"/>
      <c r="AG4245" s="107"/>
      <c r="AH4245" s="117"/>
      <c r="AI4245" s="117"/>
      <c r="AJ4245" s="107"/>
      <c r="AK4245" s="107"/>
      <c r="AL4245" s="107"/>
      <c r="AM4245" s="107"/>
      <c r="AN4245" s="107"/>
      <c r="AO4245" s="107"/>
      <c r="AP4245" s="107"/>
      <c r="AQ4245" s="107"/>
      <c r="AR4245" s="107"/>
      <c r="AS4245" s="107"/>
      <c r="AT4245" s="39"/>
      <c r="AZ4245" s="117"/>
      <c r="BK4245" s="39"/>
    </row>
    <row r="4246" spans="1:63" x14ac:dyDescent="0.25">
      <c r="A4246" s="92"/>
      <c r="B4246" s="93"/>
      <c r="C4246" s="93"/>
      <c r="D4246" s="92"/>
      <c r="E4246" s="92"/>
      <c r="F4246" s="92"/>
      <c r="G4246" s="92"/>
      <c r="H4246" s="92"/>
      <c r="I4246" s="92"/>
      <c r="J4246" s="92"/>
      <c r="K4246" s="92"/>
      <c r="L4246" s="92"/>
      <c r="M4246" s="92"/>
      <c r="N4246" s="94"/>
      <c r="AG4246" s="107"/>
      <c r="AH4246" s="107"/>
      <c r="AI4246" s="107"/>
      <c r="AJ4246" s="107"/>
      <c r="AK4246" s="107"/>
      <c r="AL4246" s="107"/>
      <c r="AM4246" s="107"/>
      <c r="AN4246" s="107"/>
      <c r="AO4246" s="107"/>
      <c r="AP4246" s="107"/>
      <c r="AQ4246" s="107"/>
      <c r="AR4246" s="107"/>
      <c r="AS4246" s="107"/>
      <c r="AT4246" s="107"/>
    </row>
    <row r="4247" spans="1:63" x14ac:dyDescent="0.25">
      <c r="A4247" s="92"/>
      <c r="B4247" s="93"/>
      <c r="C4247" s="93"/>
      <c r="D4247" s="92"/>
      <c r="E4247" s="92"/>
      <c r="F4247" s="92"/>
      <c r="G4247" s="92"/>
      <c r="H4247" s="92"/>
      <c r="I4247" s="92"/>
      <c r="J4247" s="92"/>
      <c r="K4247" s="92"/>
      <c r="L4247" s="92"/>
      <c r="M4247" s="92"/>
      <c r="N4247" s="94"/>
      <c r="AG4247" s="107"/>
      <c r="AH4247" s="107"/>
      <c r="AI4247" s="107"/>
      <c r="AJ4247" s="107"/>
      <c r="AK4247" s="107"/>
      <c r="AL4247" s="107"/>
      <c r="AM4247" s="107"/>
      <c r="AN4247" s="107"/>
      <c r="AO4247" s="107"/>
      <c r="AP4247" s="107"/>
      <c r="AQ4247" s="107"/>
      <c r="AR4247" s="107"/>
      <c r="AS4247" s="107"/>
      <c r="AT4247" s="107"/>
      <c r="AZ4247" s="117"/>
      <c r="BA4247" s="117"/>
      <c r="BK4247" s="39"/>
    </row>
    <row r="4248" spans="1:63" x14ac:dyDescent="0.25">
      <c r="A4248" s="92"/>
      <c r="B4248" s="93"/>
      <c r="C4248" s="93"/>
      <c r="D4248" s="92"/>
      <c r="E4248" s="92"/>
      <c r="F4248" s="92"/>
      <c r="G4248" s="92"/>
      <c r="H4248" s="92"/>
      <c r="I4248" s="92"/>
      <c r="J4248" s="92"/>
      <c r="K4248" s="92"/>
      <c r="L4248" s="92"/>
      <c r="M4248" s="92"/>
      <c r="N4248" s="94"/>
      <c r="AG4248" s="107"/>
      <c r="AH4248" s="107"/>
      <c r="AI4248" s="107"/>
      <c r="AJ4248" s="107"/>
      <c r="AK4248" s="107"/>
      <c r="AL4248" s="107"/>
      <c r="AM4248" s="107"/>
      <c r="AN4248" s="107"/>
      <c r="AO4248" s="107"/>
      <c r="AP4248" s="107"/>
      <c r="AQ4248" s="107"/>
      <c r="AR4248" s="107"/>
      <c r="AS4248" s="107"/>
      <c r="AT4248" s="107"/>
      <c r="BA4248" s="117"/>
    </row>
    <row r="4249" spans="1:63" x14ac:dyDescent="0.25">
      <c r="A4249" s="92"/>
      <c r="B4249" s="93"/>
      <c r="C4249" s="93"/>
      <c r="D4249" s="92"/>
      <c r="E4249" s="92"/>
      <c r="F4249" s="92"/>
      <c r="G4249" s="92"/>
      <c r="H4249" s="92"/>
      <c r="I4249" s="92"/>
      <c r="J4249" s="92"/>
      <c r="K4249" s="92"/>
      <c r="L4249" s="92"/>
      <c r="M4249" s="92"/>
      <c r="N4249" s="94"/>
      <c r="AG4249" s="107"/>
      <c r="AH4249" s="107"/>
      <c r="AI4249" s="107"/>
      <c r="AJ4249" s="107"/>
      <c r="AK4249" s="107"/>
      <c r="AL4249" s="107"/>
      <c r="AM4249" s="107"/>
      <c r="AN4249" s="107"/>
      <c r="AO4249" s="107"/>
      <c r="AP4249" s="107"/>
      <c r="AQ4249" s="107"/>
      <c r="AR4249" s="107"/>
      <c r="AS4249" s="107"/>
      <c r="AT4249" s="107"/>
      <c r="BA4249" s="117"/>
    </row>
    <row r="4250" spans="1:63" x14ac:dyDescent="0.25">
      <c r="A4250" s="92"/>
      <c r="B4250" s="93"/>
      <c r="C4250" s="93"/>
      <c r="D4250" s="92"/>
      <c r="E4250" s="92"/>
      <c r="F4250" s="92"/>
      <c r="G4250" s="92"/>
      <c r="H4250" s="92"/>
      <c r="I4250" s="92"/>
      <c r="J4250" s="92"/>
      <c r="K4250" s="92"/>
      <c r="L4250" s="92"/>
      <c r="M4250" s="92"/>
      <c r="N4250" s="94"/>
      <c r="AG4250" s="107"/>
      <c r="AH4250" s="107"/>
      <c r="AI4250" s="107"/>
      <c r="AJ4250" s="107"/>
      <c r="AK4250" s="107"/>
      <c r="AL4250" s="107"/>
      <c r="AM4250" s="107"/>
      <c r="AN4250" s="107"/>
      <c r="AO4250" s="107"/>
      <c r="AP4250" s="107"/>
      <c r="AQ4250" s="107"/>
      <c r="AR4250" s="107"/>
      <c r="AS4250" s="107"/>
      <c r="AT4250" s="107"/>
      <c r="BA4250" s="117"/>
    </row>
    <row r="4251" spans="1:63" x14ac:dyDescent="0.25">
      <c r="A4251" s="92"/>
      <c r="B4251" s="93"/>
      <c r="C4251" s="93"/>
      <c r="D4251" s="92"/>
      <c r="E4251" s="92"/>
      <c r="F4251" s="92"/>
      <c r="G4251" s="92"/>
      <c r="H4251" s="92"/>
      <c r="I4251" s="92"/>
      <c r="J4251" s="92"/>
      <c r="K4251" s="92"/>
      <c r="L4251" s="92"/>
      <c r="M4251" s="92"/>
      <c r="N4251" s="94"/>
      <c r="AG4251" s="107"/>
      <c r="AH4251" s="107"/>
      <c r="AI4251" s="107"/>
      <c r="AJ4251" s="107"/>
      <c r="AK4251" s="107"/>
      <c r="AL4251" s="107"/>
      <c r="AM4251" s="107"/>
      <c r="AN4251" s="107"/>
      <c r="AO4251" s="107"/>
      <c r="AP4251" s="107"/>
      <c r="AQ4251" s="107"/>
      <c r="AR4251" s="107"/>
      <c r="AS4251" s="107"/>
      <c r="AT4251" s="107"/>
      <c r="BA4251" s="117"/>
    </row>
    <row r="4252" spans="1:63" x14ac:dyDescent="0.25">
      <c r="A4252" s="92"/>
      <c r="B4252" s="92"/>
      <c r="C4252" s="92"/>
      <c r="D4252" s="92"/>
      <c r="E4252" s="92"/>
      <c r="F4252" s="92"/>
      <c r="G4252" s="92"/>
      <c r="H4252" s="92"/>
      <c r="I4252" s="92"/>
      <c r="J4252" s="92"/>
      <c r="K4252" s="92"/>
      <c r="L4252" s="92"/>
      <c r="M4252" s="92"/>
      <c r="N4252" s="92"/>
      <c r="AG4252" s="107"/>
      <c r="AH4252" s="107"/>
      <c r="AI4252" s="107"/>
      <c r="AJ4252" s="107"/>
      <c r="AK4252" s="107"/>
      <c r="AL4252" s="107"/>
      <c r="AM4252" s="107"/>
      <c r="AN4252" s="107"/>
      <c r="AO4252" s="107"/>
      <c r="AP4252" s="107"/>
      <c r="AQ4252" s="107"/>
      <c r="AR4252" s="107"/>
      <c r="AS4252" s="107"/>
      <c r="AT4252" s="107"/>
      <c r="AZ4252" s="117"/>
      <c r="BK4252" s="39"/>
    </row>
    <row r="4253" spans="1:63" x14ac:dyDescent="0.25">
      <c r="A4253" s="92"/>
      <c r="B4253" s="93"/>
      <c r="C4253" s="93"/>
      <c r="D4253" s="92"/>
      <c r="E4253" s="92"/>
      <c r="F4253" s="92"/>
      <c r="G4253" s="92"/>
      <c r="H4253" s="92"/>
      <c r="I4253" s="92"/>
      <c r="J4253" s="92"/>
      <c r="K4253" s="92"/>
      <c r="L4253" s="92"/>
      <c r="M4253" s="92"/>
      <c r="N4253" s="94"/>
      <c r="AG4253" s="107"/>
      <c r="AH4253" s="107"/>
      <c r="AI4253" s="107"/>
      <c r="AJ4253" s="107"/>
      <c r="AK4253" s="107"/>
      <c r="AL4253" s="107"/>
      <c r="AM4253" s="107"/>
      <c r="AN4253" s="107"/>
      <c r="AO4253" s="107"/>
      <c r="AP4253" s="107"/>
      <c r="AQ4253" s="107"/>
      <c r="AR4253" s="107"/>
      <c r="AS4253" s="107"/>
      <c r="AT4253" s="107"/>
      <c r="AZ4253" s="117"/>
      <c r="BK4253" s="39"/>
    </row>
    <row r="4254" spans="1:63" x14ac:dyDescent="0.25">
      <c r="A4254" s="92"/>
      <c r="B4254" s="92"/>
      <c r="C4254" s="92"/>
      <c r="D4254" s="92"/>
      <c r="E4254" s="92"/>
      <c r="F4254" s="92"/>
      <c r="G4254" s="92"/>
      <c r="H4254" s="92"/>
      <c r="I4254" s="92"/>
      <c r="J4254" s="92"/>
      <c r="K4254" s="92"/>
      <c r="L4254" s="92"/>
      <c r="M4254" s="92"/>
      <c r="N4254" s="92"/>
      <c r="AG4254" s="107"/>
      <c r="AH4254" s="107"/>
      <c r="AI4254" s="107"/>
      <c r="AJ4254" s="107"/>
      <c r="AK4254" s="107"/>
      <c r="AL4254" s="107"/>
      <c r="AM4254" s="107"/>
      <c r="AN4254" s="107"/>
      <c r="AO4254" s="107"/>
      <c r="AP4254" s="107"/>
      <c r="AQ4254" s="107"/>
      <c r="AR4254" s="107"/>
      <c r="AS4254" s="107"/>
      <c r="AT4254" s="107"/>
      <c r="AZ4254" s="117"/>
      <c r="BK4254" s="39"/>
    </row>
    <row r="4255" spans="1:63" x14ac:dyDescent="0.25">
      <c r="A4255" s="92"/>
      <c r="B4255" s="93"/>
      <c r="C4255" s="93"/>
      <c r="D4255" s="92"/>
      <c r="E4255" s="92"/>
      <c r="F4255" s="92"/>
      <c r="G4255" s="92"/>
      <c r="H4255" s="92"/>
      <c r="I4255" s="92"/>
      <c r="J4255" s="92"/>
      <c r="K4255" s="92"/>
      <c r="L4255" s="92"/>
      <c r="M4255" s="92"/>
      <c r="N4255" s="94"/>
      <c r="AG4255" s="107"/>
      <c r="AH4255" s="107"/>
      <c r="AI4255" s="107"/>
      <c r="AJ4255" s="107"/>
      <c r="AK4255" s="107"/>
      <c r="AL4255" s="107"/>
      <c r="AM4255" s="107"/>
      <c r="AN4255" s="107"/>
      <c r="AO4255" s="107"/>
      <c r="AP4255" s="107"/>
      <c r="AQ4255" s="107"/>
      <c r="AR4255" s="107"/>
      <c r="AS4255" s="107"/>
      <c r="AT4255" s="107"/>
      <c r="AZ4255" s="117"/>
      <c r="BK4255" s="39"/>
    </row>
    <row r="4256" spans="1:63" x14ac:dyDescent="0.25">
      <c r="A4256" s="92"/>
      <c r="B4256" s="93"/>
      <c r="C4256" s="93"/>
      <c r="D4256" s="92"/>
      <c r="E4256" s="92"/>
      <c r="F4256" s="92"/>
      <c r="G4256" s="92"/>
      <c r="H4256" s="92"/>
      <c r="I4256" s="92"/>
      <c r="J4256" s="92"/>
      <c r="K4256" s="92"/>
      <c r="L4256" s="92"/>
      <c r="M4256" s="92"/>
      <c r="N4256" s="94"/>
      <c r="AG4256" s="107"/>
      <c r="AH4256" s="107"/>
      <c r="AI4256" s="107"/>
      <c r="AJ4256" s="107"/>
      <c r="AK4256" s="107"/>
      <c r="AL4256" s="107"/>
      <c r="AM4256" s="107"/>
      <c r="AN4256" s="107"/>
      <c r="AO4256" s="107"/>
      <c r="AP4256" s="107"/>
      <c r="AQ4256" s="107"/>
      <c r="AR4256" s="107"/>
      <c r="AS4256" s="107"/>
      <c r="AT4256" s="107"/>
    </row>
    <row r="4257" spans="1:63" x14ac:dyDescent="0.25">
      <c r="A4257" s="92"/>
      <c r="B4257" s="93"/>
      <c r="C4257" s="93"/>
      <c r="D4257" s="92"/>
      <c r="E4257" s="92"/>
      <c r="F4257" s="92"/>
      <c r="G4257" s="92"/>
      <c r="H4257" s="92"/>
      <c r="I4257" s="92"/>
      <c r="J4257" s="92"/>
      <c r="K4257" s="92"/>
      <c r="L4257" s="92"/>
      <c r="M4257" s="92"/>
      <c r="N4257" s="94"/>
      <c r="AG4257" s="107"/>
      <c r="AH4257" s="107"/>
      <c r="AI4257" s="107"/>
      <c r="AJ4257" s="107"/>
      <c r="AK4257" s="107"/>
      <c r="AL4257" s="107"/>
      <c r="AM4257" s="107"/>
      <c r="AN4257" s="107"/>
      <c r="AO4257" s="107"/>
      <c r="AP4257" s="107"/>
      <c r="AQ4257" s="107"/>
      <c r="AR4257" s="107"/>
      <c r="AS4257" s="107"/>
      <c r="AT4257" s="107"/>
    </row>
    <row r="4258" spans="1:63" x14ac:dyDescent="0.25">
      <c r="A4258" s="92"/>
      <c r="B4258" s="93"/>
      <c r="C4258" s="93"/>
      <c r="D4258" s="92"/>
      <c r="E4258" s="92"/>
      <c r="F4258" s="92"/>
      <c r="G4258" s="92"/>
      <c r="H4258" s="92"/>
      <c r="I4258" s="92"/>
      <c r="J4258" s="92"/>
      <c r="K4258" s="92"/>
      <c r="L4258" s="92"/>
      <c r="M4258" s="92"/>
      <c r="N4258" s="94"/>
      <c r="AG4258" s="107"/>
      <c r="AH4258" s="107"/>
      <c r="AI4258" s="107"/>
      <c r="AJ4258" s="107"/>
      <c r="AK4258" s="107"/>
      <c r="AL4258" s="107"/>
      <c r="AM4258" s="107"/>
      <c r="AN4258" s="107"/>
      <c r="AO4258" s="107"/>
      <c r="AP4258" s="107"/>
      <c r="AQ4258" s="107"/>
      <c r="AR4258" s="107"/>
      <c r="AS4258" s="107"/>
      <c r="AT4258" s="107"/>
      <c r="AZ4258" s="117"/>
      <c r="BK4258" s="39"/>
    </row>
    <row r="4259" spans="1:63" x14ac:dyDescent="0.25">
      <c r="A4259" s="92"/>
      <c r="B4259" s="93"/>
      <c r="C4259" s="93"/>
      <c r="D4259" s="92"/>
      <c r="E4259" s="92"/>
      <c r="F4259" s="92"/>
      <c r="G4259" s="92"/>
      <c r="H4259" s="92"/>
      <c r="I4259" s="92"/>
      <c r="J4259" s="92"/>
      <c r="K4259" s="92"/>
      <c r="L4259" s="92"/>
      <c r="M4259" s="92"/>
      <c r="N4259" s="94"/>
      <c r="AG4259" s="107"/>
      <c r="AH4259" s="107"/>
      <c r="AI4259" s="107"/>
      <c r="AJ4259" s="107"/>
      <c r="AK4259" s="107"/>
      <c r="AL4259" s="107"/>
      <c r="AM4259" s="107"/>
      <c r="AN4259" s="107"/>
      <c r="AO4259" s="107"/>
      <c r="AP4259" s="107"/>
      <c r="AQ4259" s="107"/>
      <c r="AR4259" s="107"/>
      <c r="AS4259" s="107"/>
      <c r="AT4259" s="107"/>
      <c r="AZ4259" s="117"/>
      <c r="BK4259" s="39"/>
    </row>
    <row r="4260" spans="1:63" x14ac:dyDescent="0.25">
      <c r="A4260" s="92"/>
      <c r="B4260" s="92"/>
      <c r="C4260" s="92"/>
      <c r="D4260" s="92"/>
      <c r="E4260" s="92"/>
      <c r="F4260" s="92"/>
      <c r="G4260" s="92"/>
      <c r="H4260" s="92"/>
      <c r="I4260" s="92"/>
      <c r="J4260" s="92"/>
      <c r="K4260" s="92"/>
      <c r="L4260" s="92"/>
      <c r="M4260" s="92"/>
      <c r="N4260" s="92"/>
      <c r="AG4260" s="107"/>
      <c r="AH4260" s="107"/>
      <c r="AI4260" s="107"/>
      <c r="AJ4260" s="107"/>
      <c r="AK4260" s="107"/>
      <c r="AL4260" s="107"/>
      <c r="AM4260" s="107"/>
      <c r="AN4260" s="107"/>
      <c r="AO4260" s="107"/>
      <c r="AP4260" s="107"/>
      <c r="AQ4260" s="107"/>
      <c r="AR4260" s="107"/>
      <c r="AS4260" s="107"/>
      <c r="AT4260" s="107"/>
      <c r="AZ4260" s="117"/>
      <c r="BK4260" s="39"/>
    </row>
    <row r="4261" spans="1:63" x14ac:dyDescent="0.25">
      <c r="A4261" s="92"/>
      <c r="B4261" s="92"/>
      <c r="C4261" s="92"/>
      <c r="D4261" s="92"/>
      <c r="E4261" s="92"/>
      <c r="F4261" s="92"/>
      <c r="G4261" s="92"/>
      <c r="H4261" s="92"/>
      <c r="I4261" s="92"/>
      <c r="J4261" s="92"/>
      <c r="K4261" s="92"/>
      <c r="L4261" s="92"/>
      <c r="M4261" s="92"/>
      <c r="N4261" s="92"/>
      <c r="AG4261" s="107"/>
      <c r="AH4261" s="107"/>
      <c r="AI4261" s="107"/>
      <c r="AJ4261" s="107"/>
      <c r="AK4261" s="107"/>
      <c r="AL4261" s="107"/>
      <c r="AM4261" s="107"/>
      <c r="AN4261" s="107"/>
      <c r="AO4261" s="107"/>
      <c r="AP4261" s="107"/>
      <c r="AQ4261" s="107"/>
      <c r="AR4261" s="107"/>
      <c r="AS4261" s="107"/>
      <c r="AT4261" s="107"/>
    </row>
    <row r="4262" spans="1:63" x14ac:dyDescent="0.25">
      <c r="A4262" s="92"/>
      <c r="B4262" s="92"/>
      <c r="C4262" s="92"/>
      <c r="D4262" s="92"/>
      <c r="E4262" s="92"/>
      <c r="F4262" s="92"/>
      <c r="G4262" s="92"/>
      <c r="H4262" s="92"/>
      <c r="I4262" s="92"/>
      <c r="J4262" s="92"/>
      <c r="K4262" s="92"/>
      <c r="L4262" s="92"/>
      <c r="M4262" s="92"/>
      <c r="N4262" s="92"/>
      <c r="AG4262" s="107"/>
      <c r="AH4262" s="107"/>
      <c r="AI4262" s="107"/>
      <c r="AJ4262" s="107"/>
      <c r="AK4262" s="107"/>
      <c r="AL4262" s="107"/>
      <c r="AM4262" s="107"/>
      <c r="AN4262" s="107"/>
      <c r="AO4262" s="107"/>
      <c r="AP4262" s="107"/>
      <c r="AQ4262" s="107"/>
      <c r="AR4262" s="107"/>
      <c r="AS4262" s="107"/>
      <c r="AT4262" s="107"/>
      <c r="AZ4262" s="117"/>
      <c r="BK4262" s="39"/>
    </row>
    <row r="4263" spans="1:63" x14ac:dyDescent="0.25">
      <c r="A4263" s="92"/>
      <c r="B4263" s="93"/>
      <c r="C4263" s="93"/>
      <c r="D4263" s="92"/>
      <c r="E4263" s="92"/>
      <c r="F4263" s="92"/>
      <c r="G4263" s="92"/>
      <c r="H4263" s="92"/>
      <c r="I4263" s="92"/>
      <c r="J4263" s="92"/>
      <c r="K4263" s="92"/>
      <c r="L4263" s="92"/>
      <c r="M4263" s="92"/>
      <c r="N4263" s="94"/>
      <c r="AG4263" s="107"/>
      <c r="AH4263" s="117"/>
      <c r="AI4263" s="117"/>
      <c r="AJ4263" s="107"/>
      <c r="AK4263" s="107"/>
      <c r="AL4263" s="107"/>
      <c r="AM4263" s="107"/>
      <c r="AN4263" s="107"/>
      <c r="AO4263" s="107"/>
      <c r="AP4263" s="107"/>
      <c r="AQ4263" s="107"/>
      <c r="AR4263" s="107"/>
      <c r="AS4263" s="107"/>
      <c r="AT4263" s="39"/>
    </row>
    <row r="4264" spans="1:63" x14ac:dyDescent="0.25">
      <c r="A4264" s="92"/>
      <c r="B4264" s="92"/>
      <c r="C4264" s="92"/>
      <c r="D4264" s="92"/>
      <c r="E4264" s="92"/>
      <c r="F4264" s="92"/>
      <c r="G4264" s="92"/>
      <c r="H4264" s="92"/>
      <c r="I4264" s="92"/>
      <c r="J4264" s="92"/>
      <c r="K4264" s="92"/>
      <c r="L4264" s="92"/>
      <c r="M4264" s="92"/>
      <c r="N4264" s="92"/>
      <c r="AG4264" s="107"/>
      <c r="AH4264" s="117"/>
      <c r="AI4264" s="117"/>
      <c r="AJ4264" s="107"/>
      <c r="AK4264" s="107"/>
      <c r="AL4264" s="107"/>
      <c r="AM4264" s="107"/>
      <c r="AN4264" s="107"/>
      <c r="AO4264" s="107"/>
      <c r="AP4264" s="107"/>
      <c r="AQ4264" s="107"/>
      <c r="AR4264" s="107"/>
      <c r="AS4264" s="107"/>
      <c r="AT4264" s="39"/>
      <c r="AZ4264" s="117"/>
      <c r="BA4264" s="117"/>
      <c r="BK4264" s="39"/>
    </row>
    <row r="4265" spans="1:63" x14ac:dyDescent="0.25">
      <c r="A4265" s="92"/>
      <c r="B4265" s="93"/>
      <c r="C4265" s="93"/>
      <c r="D4265" s="93"/>
      <c r="E4265" s="92"/>
      <c r="F4265" s="92"/>
      <c r="G4265" s="92"/>
      <c r="H4265" s="92"/>
      <c r="I4265" s="92"/>
      <c r="J4265" s="92"/>
      <c r="K4265" s="92"/>
      <c r="L4265" s="92"/>
      <c r="M4265" s="92"/>
      <c r="N4265" s="94"/>
      <c r="AG4265" s="107"/>
      <c r="AH4265" s="117"/>
      <c r="AI4265" s="117"/>
      <c r="AJ4265" s="117"/>
      <c r="AK4265" s="107"/>
      <c r="AL4265" s="107"/>
      <c r="AM4265" s="107"/>
      <c r="AN4265" s="107"/>
      <c r="AO4265" s="107"/>
      <c r="AP4265" s="107"/>
      <c r="AQ4265" s="107"/>
      <c r="AR4265" s="107"/>
      <c r="AS4265" s="107"/>
      <c r="AT4265" s="39"/>
      <c r="BA4265" s="117"/>
    </row>
    <row r="4266" spans="1:63" x14ac:dyDescent="0.25">
      <c r="A4266" s="92"/>
      <c r="B4266" s="92"/>
      <c r="C4266" s="92"/>
      <c r="D4266" s="93"/>
      <c r="E4266" s="92"/>
      <c r="F4266" s="92"/>
      <c r="G4266" s="92"/>
      <c r="H4266" s="92"/>
      <c r="I4266" s="92"/>
      <c r="J4266" s="92"/>
      <c r="K4266" s="92"/>
      <c r="L4266" s="92"/>
      <c r="M4266" s="92"/>
      <c r="N4266" s="92"/>
      <c r="AG4266" s="107"/>
      <c r="AH4266" s="107"/>
      <c r="AI4266" s="107"/>
      <c r="AJ4266" s="107"/>
      <c r="AK4266" s="107"/>
      <c r="AL4266" s="107"/>
      <c r="AM4266" s="107"/>
      <c r="AN4266" s="107"/>
      <c r="AO4266" s="107"/>
      <c r="AP4266" s="107"/>
      <c r="AQ4266" s="107"/>
      <c r="AR4266" s="107"/>
      <c r="AS4266" s="107"/>
      <c r="AT4266" s="107"/>
      <c r="AZ4266" s="117"/>
      <c r="BK4266" s="39"/>
    </row>
    <row r="4267" spans="1:63" x14ac:dyDescent="0.25">
      <c r="A4267" s="92"/>
      <c r="B4267" s="92"/>
      <c r="C4267" s="92"/>
      <c r="D4267" s="93"/>
      <c r="E4267" s="92"/>
      <c r="F4267" s="92"/>
      <c r="G4267" s="92"/>
      <c r="H4267" s="92"/>
      <c r="I4267" s="92"/>
      <c r="J4267" s="92"/>
      <c r="K4267" s="92"/>
      <c r="L4267" s="92"/>
      <c r="M4267" s="92"/>
      <c r="N4267" s="92"/>
      <c r="AG4267" s="107"/>
      <c r="AH4267" s="107"/>
      <c r="AI4267" s="107"/>
      <c r="AJ4267" s="107"/>
      <c r="AK4267" s="107"/>
      <c r="AL4267" s="107"/>
      <c r="AM4267" s="107"/>
      <c r="AN4267" s="107"/>
      <c r="AO4267" s="107"/>
      <c r="AP4267" s="107"/>
      <c r="AQ4267" s="107"/>
      <c r="AR4267" s="107"/>
      <c r="AS4267" s="107"/>
      <c r="AT4267" s="107"/>
      <c r="AZ4267" s="117"/>
      <c r="BK4267" s="39"/>
    </row>
    <row r="4268" spans="1:63" x14ac:dyDescent="0.25">
      <c r="A4268" s="92"/>
      <c r="B4268" s="92"/>
      <c r="C4268" s="92"/>
      <c r="D4268" s="93"/>
      <c r="E4268" s="92"/>
      <c r="F4268" s="92"/>
      <c r="G4268" s="92"/>
      <c r="H4268" s="92"/>
      <c r="I4268" s="92"/>
      <c r="J4268" s="92"/>
      <c r="K4268" s="92"/>
      <c r="L4268" s="92"/>
      <c r="M4268" s="92"/>
      <c r="N4268" s="92"/>
      <c r="AG4268" s="107"/>
      <c r="AH4268" s="107"/>
      <c r="AI4268" s="107"/>
      <c r="AJ4268" s="107"/>
      <c r="AK4268" s="107"/>
      <c r="AL4268" s="107"/>
      <c r="AM4268" s="107"/>
      <c r="AN4268" s="107"/>
      <c r="AO4268" s="107"/>
      <c r="AP4268" s="107"/>
      <c r="AQ4268" s="107"/>
      <c r="AR4268" s="107"/>
      <c r="AS4268" s="107"/>
      <c r="AT4268" s="107"/>
    </row>
    <row r="4269" spans="1:63" x14ac:dyDescent="0.25">
      <c r="A4269" s="92"/>
      <c r="B4269" s="92"/>
      <c r="C4269" s="92"/>
      <c r="D4269" s="93"/>
      <c r="E4269" s="92"/>
      <c r="F4269" s="92"/>
      <c r="G4269" s="92"/>
      <c r="H4269" s="92"/>
      <c r="I4269" s="92"/>
      <c r="J4269" s="92"/>
      <c r="K4269" s="92"/>
      <c r="L4269" s="92"/>
      <c r="M4269" s="92"/>
      <c r="N4269" s="92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P4269" s="107"/>
      <c r="AQ4269" s="107"/>
      <c r="AR4269" s="107"/>
      <c r="AS4269" s="107"/>
      <c r="AT4269" s="107"/>
      <c r="AZ4269" s="117"/>
      <c r="BA4269" s="117"/>
      <c r="BK4269" s="39"/>
    </row>
    <row r="4270" spans="1:63" x14ac:dyDescent="0.25">
      <c r="A4270" s="92"/>
      <c r="B4270" s="93"/>
      <c r="C4270" s="93"/>
      <c r="D4270" s="92"/>
      <c r="E4270" s="92"/>
      <c r="F4270" s="92"/>
      <c r="G4270" s="92"/>
      <c r="H4270" s="92"/>
      <c r="I4270" s="92"/>
      <c r="J4270" s="92"/>
      <c r="K4270" s="92"/>
      <c r="L4270" s="92"/>
      <c r="M4270" s="92"/>
      <c r="N4270" s="94"/>
      <c r="AG4270" s="107"/>
      <c r="AH4270" s="107"/>
      <c r="AI4270" s="107"/>
      <c r="AJ4270" s="107"/>
      <c r="AK4270" s="107"/>
      <c r="AL4270" s="107"/>
      <c r="AM4270" s="107"/>
      <c r="AN4270" s="107"/>
      <c r="AO4270" s="107"/>
      <c r="AP4270" s="107"/>
      <c r="AQ4270" s="107"/>
      <c r="AR4270" s="107"/>
      <c r="AS4270" s="107"/>
      <c r="AT4270" s="107"/>
      <c r="AZ4270" s="117"/>
      <c r="BK4270" s="39"/>
    </row>
    <row r="4271" spans="1:63" x14ac:dyDescent="0.25">
      <c r="A4271" s="92"/>
      <c r="B4271" s="93"/>
      <c r="C4271" s="93"/>
      <c r="D4271" s="92"/>
      <c r="E4271" s="92"/>
      <c r="F4271" s="92"/>
      <c r="G4271" s="92"/>
      <c r="H4271" s="92"/>
      <c r="I4271" s="92"/>
      <c r="J4271" s="92"/>
      <c r="K4271" s="92"/>
      <c r="L4271" s="92"/>
      <c r="M4271" s="92"/>
      <c r="N4271" s="94"/>
      <c r="AG4271" s="107"/>
      <c r="AH4271" s="107"/>
      <c r="AI4271" s="107"/>
      <c r="AJ4271" s="107"/>
      <c r="AK4271" s="107"/>
      <c r="AL4271" s="107"/>
      <c r="AM4271" s="107"/>
      <c r="AN4271" s="107"/>
      <c r="AO4271" s="107"/>
      <c r="AP4271" s="107"/>
      <c r="AQ4271" s="107"/>
      <c r="AR4271" s="107"/>
      <c r="AS4271" s="107"/>
      <c r="AT4271" s="107"/>
      <c r="AZ4271" s="117"/>
      <c r="BK4271" s="39"/>
    </row>
    <row r="4272" spans="1:63" x14ac:dyDescent="0.25">
      <c r="A4272" s="92"/>
      <c r="B4272" s="93"/>
      <c r="C4272" s="93"/>
      <c r="D4272" s="92"/>
      <c r="E4272" s="92"/>
      <c r="F4272" s="92"/>
      <c r="G4272" s="92"/>
      <c r="H4272" s="92"/>
      <c r="I4272" s="92"/>
      <c r="J4272" s="92"/>
      <c r="K4272" s="92"/>
      <c r="L4272" s="92"/>
      <c r="M4272" s="92"/>
      <c r="N4272" s="94"/>
      <c r="AG4272" s="107"/>
      <c r="AH4272" s="107"/>
      <c r="AI4272" s="107"/>
      <c r="AJ4272" s="107"/>
      <c r="AK4272" s="107"/>
      <c r="AL4272" s="107"/>
      <c r="AM4272" s="107"/>
      <c r="AN4272" s="107"/>
      <c r="AO4272" s="107"/>
      <c r="AP4272" s="107"/>
      <c r="AQ4272" s="107"/>
      <c r="AR4272" s="107"/>
      <c r="AS4272" s="107"/>
      <c r="AT4272" s="107"/>
    </row>
    <row r="4273" spans="1:63" x14ac:dyDescent="0.25">
      <c r="A4273" s="92"/>
      <c r="B4273" s="93"/>
      <c r="C4273" s="93"/>
      <c r="D4273" s="92"/>
      <c r="E4273" s="92"/>
      <c r="F4273" s="92"/>
      <c r="G4273" s="92"/>
      <c r="H4273" s="92"/>
      <c r="I4273" s="92"/>
      <c r="J4273" s="92"/>
      <c r="K4273" s="92"/>
      <c r="L4273" s="92"/>
      <c r="M4273" s="92"/>
      <c r="N4273" s="94"/>
      <c r="AG4273" s="107"/>
      <c r="AH4273" s="107"/>
      <c r="AI4273" s="107"/>
      <c r="AJ4273" s="107"/>
      <c r="AK4273" s="107"/>
      <c r="AL4273" s="107"/>
      <c r="AM4273" s="107"/>
      <c r="AN4273" s="107"/>
      <c r="AO4273" s="107"/>
      <c r="AP4273" s="107"/>
      <c r="AQ4273" s="107"/>
      <c r="AR4273" s="107"/>
      <c r="AS4273" s="107"/>
      <c r="AT4273" s="107"/>
      <c r="AZ4273" s="117"/>
      <c r="BK4273" s="39"/>
    </row>
    <row r="4274" spans="1:63" x14ac:dyDescent="0.25">
      <c r="A4274" s="92"/>
      <c r="B4274" s="92"/>
      <c r="C4274" s="92"/>
      <c r="D4274" s="92"/>
      <c r="E4274" s="92"/>
      <c r="F4274" s="92"/>
      <c r="G4274" s="92"/>
      <c r="H4274" s="92"/>
      <c r="I4274" s="92"/>
      <c r="J4274" s="92"/>
      <c r="K4274" s="92"/>
      <c r="L4274" s="92"/>
      <c r="M4274" s="92"/>
      <c r="N4274" s="92"/>
      <c r="AG4274" s="107"/>
      <c r="AH4274" s="117"/>
      <c r="AI4274" s="117"/>
      <c r="AJ4274" s="107"/>
      <c r="AK4274" s="107"/>
      <c r="AL4274" s="107"/>
      <c r="AM4274" s="107"/>
      <c r="AN4274" s="107"/>
      <c r="AO4274" s="107"/>
      <c r="AP4274" s="107"/>
      <c r="AQ4274" s="107"/>
      <c r="AR4274" s="107"/>
      <c r="AS4274" s="107"/>
      <c r="AT4274" s="39"/>
      <c r="AZ4274" s="117"/>
      <c r="BK4274" s="39"/>
    </row>
    <row r="4275" spans="1:63" x14ac:dyDescent="0.25">
      <c r="A4275" s="92"/>
      <c r="B4275" s="92"/>
      <c r="C4275" s="92"/>
      <c r="D4275" s="92"/>
      <c r="E4275" s="92"/>
      <c r="F4275" s="92"/>
      <c r="G4275" s="92"/>
      <c r="H4275" s="92"/>
      <c r="I4275" s="92"/>
      <c r="J4275" s="92"/>
      <c r="K4275" s="92"/>
      <c r="L4275" s="92"/>
      <c r="M4275" s="92"/>
      <c r="N4275" s="92"/>
      <c r="AG4275" s="107"/>
      <c r="AH4275" s="117"/>
      <c r="AI4275" s="11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39"/>
      <c r="AZ4275" s="117"/>
      <c r="BK4275" s="39"/>
    </row>
    <row r="4276" spans="1:63" x14ac:dyDescent="0.25">
      <c r="A4276" s="92"/>
      <c r="B4276" s="93"/>
      <c r="C4276" s="93"/>
      <c r="D4276" s="92"/>
      <c r="E4276" s="92"/>
      <c r="F4276" s="92"/>
      <c r="G4276" s="92"/>
      <c r="H4276" s="92"/>
      <c r="I4276" s="92"/>
      <c r="J4276" s="92"/>
      <c r="K4276" s="92"/>
      <c r="L4276" s="92"/>
      <c r="M4276" s="92"/>
      <c r="N4276" s="94"/>
      <c r="AG4276" s="107"/>
      <c r="AH4276" s="117"/>
      <c r="AI4276" s="117"/>
      <c r="AJ4276" s="107"/>
      <c r="AK4276" s="107"/>
      <c r="AL4276" s="107"/>
      <c r="AM4276" s="107"/>
      <c r="AN4276" s="107"/>
      <c r="AO4276" s="107"/>
      <c r="AP4276" s="107"/>
      <c r="AQ4276" s="107"/>
      <c r="AR4276" s="107"/>
      <c r="AS4276" s="107"/>
      <c r="AT4276" s="39"/>
    </row>
    <row r="4277" spans="1:63" x14ac:dyDescent="0.25">
      <c r="A4277" s="92"/>
      <c r="B4277" s="93"/>
      <c r="C4277" s="93"/>
      <c r="D4277" s="92"/>
      <c r="E4277" s="92"/>
      <c r="F4277" s="92"/>
      <c r="G4277" s="92"/>
      <c r="H4277" s="92"/>
      <c r="I4277" s="92"/>
      <c r="J4277" s="92"/>
      <c r="K4277" s="92"/>
      <c r="L4277" s="92"/>
      <c r="M4277" s="92"/>
      <c r="N4277" s="94"/>
      <c r="AG4277" s="107"/>
      <c r="AH4277" s="107"/>
      <c r="AI4277" s="107"/>
      <c r="AJ4277" s="107"/>
      <c r="AK4277" s="107"/>
      <c r="AL4277" s="107"/>
      <c r="AM4277" s="107"/>
      <c r="AN4277" s="107"/>
      <c r="AO4277" s="107"/>
      <c r="AP4277" s="107"/>
      <c r="AQ4277" s="107"/>
      <c r="AR4277" s="107"/>
      <c r="AS4277" s="107"/>
      <c r="AT4277" s="107"/>
    </row>
    <row r="4278" spans="1:63" x14ac:dyDescent="0.25">
      <c r="A4278" s="92"/>
      <c r="B4278" s="93"/>
      <c r="C4278" s="93"/>
      <c r="D4278" s="92"/>
      <c r="E4278" s="92"/>
      <c r="F4278" s="92"/>
      <c r="G4278" s="92"/>
      <c r="H4278" s="92"/>
      <c r="I4278" s="92"/>
      <c r="J4278" s="92"/>
      <c r="K4278" s="92"/>
      <c r="L4278" s="92"/>
      <c r="M4278" s="92"/>
      <c r="N4278" s="94"/>
      <c r="AG4278" s="107"/>
      <c r="AH4278" s="117"/>
      <c r="AI4278" s="117"/>
      <c r="AJ4278" s="107"/>
      <c r="AK4278" s="107"/>
      <c r="AL4278" s="107"/>
      <c r="AM4278" s="107"/>
      <c r="AN4278" s="107"/>
      <c r="AO4278" s="107"/>
      <c r="AP4278" s="107"/>
      <c r="AQ4278" s="107"/>
      <c r="AR4278" s="107"/>
      <c r="AS4278" s="107"/>
      <c r="AT4278" s="39"/>
    </row>
    <row r="4279" spans="1:63" x14ac:dyDescent="0.25">
      <c r="A4279" s="92"/>
      <c r="B4279" s="92"/>
      <c r="C4279" s="92"/>
      <c r="D4279" s="92"/>
      <c r="E4279" s="92"/>
      <c r="F4279" s="92"/>
      <c r="G4279" s="92"/>
      <c r="H4279" s="92"/>
      <c r="I4279" s="92"/>
      <c r="J4279" s="92"/>
      <c r="K4279" s="92"/>
      <c r="L4279" s="92"/>
      <c r="M4279" s="92"/>
      <c r="N4279" s="92"/>
      <c r="AG4279" s="107"/>
      <c r="AH4279" s="117"/>
      <c r="AI4279" s="117"/>
      <c r="AJ4279" s="107"/>
      <c r="AK4279" s="107"/>
      <c r="AL4279" s="107"/>
      <c r="AM4279" s="107"/>
      <c r="AN4279" s="107"/>
      <c r="AO4279" s="107"/>
      <c r="AP4279" s="107"/>
      <c r="AQ4279" s="107"/>
      <c r="AR4279" s="107"/>
      <c r="AS4279" s="107"/>
      <c r="AT4279" s="39"/>
    </row>
    <row r="4280" spans="1:63" x14ac:dyDescent="0.25">
      <c r="A4280" s="92"/>
      <c r="B4280" s="93"/>
      <c r="C4280" s="93"/>
      <c r="D4280" s="92"/>
      <c r="E4280" s="92"/>
      <c r="F4280" s="92"/>
      <c r="G4280" s="92"/>
      <c r="H4280" s="92"/>
      <c r="I4280" s="92"/>
      <c r="J4280" s="92"/>
      <c r="K4280" s="92"/>
      <c r="L4280" s="92"/>
      <c r="M4280" s="92"/>
      <c r="N4280" s="94"/>
      <c r="AG4280" s="107"/>
      <c r="AH4280" s="117"/>
      <c r="AI4280" s="117"/>
      <c r="AJ4280" s="107"/>
      <c r="AK4280" s="107"/>
      <c r="AL4280" s="107"/>
      <c r="AM4280" s="107"/>
      <c r="AN4280" s="107"/>
      <c r="AO4280" s="107"/>
      <c r="AP4280" s="107"/>
      <c r="AQ4280" s="107"/>
      <c r="AR4280" s="107"/>
      <c r="AS4280" s="107"/>
      <c r="AT4280" s="39"/>
    </row>
    <row r="4281" spans="1:63" x14ac:dyDescent="0.25">
      <c r="A4281" s="92"/>
      <c r="B4281" s="92"/>
      <c r="C4281" s="92"/>
      <c r="D4281" s="92"/>
      <c r="E4281" s="92"/>
      <c r="F4281" s="92"/>
      <c r="G4281" s="92"/>
      <c r="H4281" s="92"/>
      <c r="I4281" s="92"/>
      <c r="J4281" s="92"/>
      <c r="K4281" s="92"/>
      <c r="L4281" s="92"/>
      <c r="M4281" s="92"/>
      <c r="N4281" s="92"/>
      <c r="AG4281" s="107"/>
      <c r="AH4281" s="117"/>
      <c r="AI4281" s="117"/>
      <c r="AJ4281" s="107"/>
      <c r="AK4281" s="107"/>
      <c r="AL4281" s="107"/>
      <c r="AM4281" s="107"/>
      <c r="AN4281" s="107"/>
      <c r="AO4281" s="107"/>
      <c r="AP4281" s="107"/>
      <c r="AQ4281" s="107"/>
      <c r="AR4281" s="107"/>
      <c r="AS4281" s="107"/>
      <c r="AT4281" s="39"/>
      <c r="AZ4281" s="117"/>
      <c r="BK4281" s="39"/>
    </row>
    <row r="4282" spans="1:63" x14ac:dyDescent="0.25">
      <c r="A4282" s="92"/>
      <c r="B4282" s="93"/>
      <c r="C4282" s="93"/>
      <c r="D4282" s="93"/>
      <c r="E4282" s="92"/>
      <c r="F4282" s="92"/>
      <c r="G4282" s="92"/>
      <c r="H4282" s="92"/>
      <c r="I4282" s="92"/>
      <c r="J4282" s="92"/>
      <c r="K4282" s="92"/>
      <c r="L4282" s="92"/>
      <c r="M4282" s="92"/>
      <c r="N4282" s="94"/>
      <c r="AG4282" s="107"/>
      <c r="AH4282" s="117"/>
      <c r="AI4282" s="117"/>
      <c r="AJ4282" s="117"/>
      <c r="AK4282" s="107"/>
      <c r="AL4282" s="107"/>
      <c r="AM4282" s="107"/>
      <c r="AN4282" s="107"/>
      <c r="AO4282" s="107"/>
      <c r="AP4282" s="107"/>
      <c r="AQ4282" s="107"/>
      <c r="AR4282" s="107"/>
      <c r="AS4282" s="107"/>
      <c r="AT4282" s="39"/>
      <c r="AZ4282" s="117"/>
      <c r="BK4282" s="39"/>
    </row>
    <row r="4283" spans="1:63" x14ac:dyDescent="0.25">
      <c r="A4283" s="92"/>
      <c r="B4283" s="92"/>
      <c r="C4283" s="92"/>
      <c r="D4283" s="93"/>
      <c r="E4283" s="92"/>
      <c r="F4283" s="92"/>
      <c r="G4283" s="92"/>
      <c r="H4283" s="92"/>
      <c r="I4283" s="92"/>
      <c r="J4283" s="92"/>
      <c r="K4283" s="92"/>
      <c r="L4283" s="92"/>
      <c r="M4283" s="92"/>
      <c r="N4283" s="92"/>
      <c r="AG4283" s="107"/>
      <c r="AH4283" s="107"/>
      <c r="AI4283" s="107"/>
      <c r="AJ4283" s="117"/>
      <c r="AK4283" s="107"/>
      <c r="AL4283" s="107"/>
      <c r="AM4283" s="107"/>
      <c r="AN4283" s="107"/>
      <c r="AO4283" s="107"/>
      <c r="AP4283" s="107"/>
      <c r="AQ4283" s="107"/>
      <c r="AR4283" s="107"/>
      <c r="AS4283" s="107"/>
      <c r="AT4283" s="107"/>
      <c r="AZ4283" s="117"/>
      <c r="BA4283" s="117"/>
      <c r="BK4283" s="39"/>
    </row>
    <row r="4284" spans="1:63" x14ac:dyDescent="0.25">
      <c r="A4284" s="92"/>
      <c r="B4284" s="93"/>
      <c r="C4284" s="93"/>
      <c r="D4284" s="92"/>
      <c r="E4284" s="92"/>
      <c r="F4284" s="92"/>
      <c r="G4284" s="92"/>
      <c r="H4284" s="92"/>
      <c r="I4284" s="92"/>
      <c r="J4284" s="92"/>
      <c r="K4284" s="92"/>
      <c r="L4284" s="92"/>
      <c r="M4284" s="92"/>
      <c r="N4284" s="94"/>
      <c r="AG4284" s="107"/>
      <c r="AH4284" s="107"/>
      <c r="AI4284" s="107"/>
      <c r="AJ4284" s="107"/>
      <c r="AK4284" s="107"/>
      <c r="AL4284" s="107"/>
      <c r="AM4284" s="107"/>
      <c r="AN4284" s="107"/>
      <c r="AO4284" s="107"/>
      <c r="AP4284" s="107"/>
      <c r="AQ4284" s="107"/>
      <c r="AR4284" s="107"/>
      <c r="AS4284" s="107"/>
      <c r="AT4284" s="107"/>
    </row>
    <row r="4285" spans="1:63" x14ac:dyDescent="0.25">
      <c r="A4285" s="92"/>
      <c r="B4285" s="93"/>
      <c r="C4285" s="93"/>
      <c r="D4285" s="92"/>
      <c r="E4285" s="92"/>
      <c r="F4285" s="92"/>
      <c r="G4285" s="92"/>
      <c r="H4285" s="92"/>
      <c r="I4285" s="92"/>
      <c r="J4285" s="92"/>
      <c r="K4285" s="92"/>
      <c r="L4285" s="92"/>
      <c r="M4285" s="92"/>
      <c r="N4285" s="94"/>
      <c r="AG4285" s="107"/>
      <c r="AH4285" s="107"/>
      <c r="AI4285" s="107"/>
      <c r="AJ4285" s="107"/>
      <c r="AK4285" s="107"/>
      <c r="AL4285" s="107"/>
      <c r="AM4285" s="107"/>
      <c r="AN4285" s="107"/>
      <c r="AO4285" s="107"/>
      <c r="AP4285" s="107"/>
      <c r="AQ4285" s="107"/>
      <c r="AR4285" s="107"/>
      <c r="AS4285" s="107"/>
      <c r="AT4285" s="107"/>
      <c r="AZ4285" s="117"/>
      <c r="BK4285" s="39"/>
    </row>
    <row r="4286" spans="1:63" x14ac:dyDescent="0.25">
      <c r="A4286" s="92"/>
      <c r="B4286" s="92"/>
      <c r="C4286" s="92"/>
      <c r="D4286" s="92"/>
      <c r="E4286" s="92"/>
      <c r="F4286" s="92"/>
      <c r="G4286" s="92"/>
      <c r="H4286" s="92"/>
      <c r="I4286" s="92"/>
      <c r="J4286" s="92"/>
      <c r="K4286" s="92"/>
      <c r="L4286" s="92"/>
      <c r="M4286" s="92"/>
      <c r="N4286" s="92"/>
      <c r="AG4286" s="107"/>
      <c r="AH4286" s="107"/>
      <c r="AI4286" s="107"/>
      <c r="AJ4286" s="107"/>
      <c r="AK4286" s="107"/>
      <c r="AL4286" s="107"/>
      <c r="AM4286" s="107"/>
      <c r="AN4286" s="107"/>
      <c r="AO4286" s="107"/>
      <c r="AP4286" s="107"/>
      <c r="AQ4286" s="107"/>
      <c r="AR4286" s="107"/>
      <c r="AS4286" s="107"/>
      <c r="AT4286" s="107"/>
    </row>
    <row r="4287" spans="1:63" x14ac:dyDescent="0.25">
      <c r="A4287" s="92"/>
      <c r="B4287" s="93"/>
      <c r="C4287" s="93"/>
      <c r="D4287" s="93"/>
      <c r="E4287" s="92"/>
      <c r="F4287" s="92"/>
      <c r="G4287" s="92"/>
      <c r="H4287" s="92"/>
      <c r="I4287" s="92"/>
      <c r="J4287" s="92"/>
      <c r="K4287" s="92"/>
      <c r="L4287" s="92"/>
      <c r="M4287" s="92"/>
      <c r="N4287" s="94"/>
      <c r="AG4287" s="107"/>
      <c r="AH4287" s="107"/>
      <c r="AI4287" s="107"/>
      <c r="AJ4287" s="107"/>
      <c r="AK4287" s="107"/>
      <c r="AL4287" s="107"/>
      <c r="AM4287" s="107"/>
      <c r="AN4287" s="107"/>
      <c r="AO4287" s="107"/>
      <c r="AP4287" s="107"/>
      <c r="AQ4287" s="107"/>
      <c r="AR4287" s="107"/>
      <c r="AS4287" s="107"/>
      <c r="AT4287" s="107"/>
    </row>
    <row r="4288" spans="1:63" x14ac:dyDescent="0.25">
      <c r="A4288" s="92"/>
      <c r="B4288" s="93"/>
      <c r="C4288" s="93"/>
      <c r="D4288" s="92"/>
      <c r="E4288" s="92"/>
      <c r="F4288" s="92"/>
      <c r="G4288" s="92"/>
      <c r="H4288" s="92"/>
      <c r="I4288" s="92"/>
      <c r="J4288" s="92"/>
      <c r="K4288" s="92"/>
      <c r="L4288" s="92"/>
      <c r="M4288" s="92"/>
      <c r="N4288" s="94"/>
      <c r="AG4288" s="107"/>
      <c r="AH4288" s="107"/>
      <c r="AI4288" s="107"/>
      <c r="AJ4288" s="107"/>
      <c r="AK4288" s="107"/>
      <c r="AL4288" s="107"/>
      <c r="AM4288" s="107"/>
      <c r="AN4288" s="107"/>
      <c r="AO4288" s="107"/>
      <c r="AP4288" s="107"/>
      <c r="AQ4288" s="107"/>
      <c r="AR4288" s="107"/>
      <c r="AS4288" s="107"/>
      <c r="AT4288" s="107"/>
      <c r="AZ4288" s="117"/>
      <c r="BK4288" s="39"/>
    </row>
    <row r="4289" spans="1:63" x14ac:dyDescent="0.25">
      <c r="A4289" s="92"/>
      <c r="B4289" s="93"/>
      <c r="C4289" s="93"/>
      <c r="D4289" s="92"/>
      <c r="E4289" s="92"/>
      <c r="F4289" s="92"/>
      <c r="G4289" s="92"/>
      <c r="H4289" s="92"/>
      <c r="I4289" s="92"/>
      <c r="J4289" s="92"/>
      <c r="K4289" s="92"/>
      <c r="L4289" s="92"/>
      <c r="M4289" s="92"/>
      <c r="N4289" s="94"/>
      <c r="AG4289" s="107"/>
      <c r="AH4289" s="107"/>
      <c r="AI4289" s="107"/>
      <c r="AJ4289" s="107"/>
      <c r="AK4289" s="107"/>
      <c r="AL4289" s="107"/>
      <c r="AM4289" s="107"/>
      <c r="AN4289" s="107"/>
      <c r="AO4289" s="107"/>
      <c r="AP4289" s="107"/>
      <c r="AQ4289" s="107"/>
      <c r="AR4289" s="107"/>
      <c r="AS4289" s="107"/>
      <c r="AT4289" s="107"/>
    </row>
    <row r="4290" spans="1:63" x14ac:dyDescent="0.25">
      <c r="A4290" s="92"/>
      <c r="B4290" s="92"/>
      <c r="C4290" s="92"/>
      <c r="D4290" s="92"/>
      <c r="E4290" s="92"/>
      <c r="F4290" s="92"/>
      <c r="G4290" s="92"/>
      <c r="H4290" s="92"/>
      <c r="I4290" s="92"/>
      <c r="J4290" s="92"/>
      <c r="K4290" s="92"/>
      <c r="L4290" s="92"/>
      <c r="M4290" s="92"/>
      <c r="N4290" s="92"/>
      <c r="AG4290" s="107"/>
      <c r="AH4290" s="107"/>
      <c r="AI4290" s="107"/>
      <c r="AJ4290" s="107"/>
      <c r="AK4290" s="107"/>
      <c r="AL4290" s="107"/>
      <c r="AM4290" s="107"/>
      <c r="AN4290" s="107"/>
      <c r="AO4290" s="107"/>
      <c r="AP4290" s="107"/>
      <c r="AQ4290" s="107"/>
      <c r="AR4290" s="107"/>
      <c r="AS4290" s="107"/>
      <c r="AT4290" s="107"/>
    </row>
    <row r="4291" spans="1:63" x14ac:dyDescent="0.25">
      <c r="A4291" s="92"/>
      <c r="B4291" s="93"/>
      <c r="C4291" s="93"/>
      <c r="D4291" s="92"/>
      <c r="E4291" s="92"/>
      <c r="F4291" s="92"/>
      <c r="G4291" s="92"/>
      <c r="H4291" s="92"/>
      <c r="I4291" s="92"/>
      <c r="J4291" s="92"/>
      <c r="K4291" s="92"/>
      <c r="L4291" s="92"/>
      <c r="M4291" s="92"/>
      <c r="N4291" s="94"/>
      <c r="AG4291" s="107"/>
      <c r="AH4291" s="107"/>
      <c r="AI4291" s="107"/>
      <c r="AJ4291" s="107"/>
      <c r="AK4291" s="107"/>
      <c r="AL4291" s="107"/>
      <c r="AM4291" s="107"/>
      <c r="AN4291" s="107"/>
      <c r="AO4291" s="107"/>
      <c r="AP4291" s="107"/>
      <c r="AQ4291" s="107"/>
      <c r="AR4291" s="107"/>
      <c r="AS4291" s="107"/>
      <c r="AT4291" s="107"/>
    </row>
    <row r="4292" spans="1:63" x14ac:dyDescent="0.25">
      <c r="A4292" s="92"/>
      <c r="B4292" s="93"/>
      <c r="C4292" s="93"/>
      <c r="D4292" s="92"/>
      <c r="E4292" s="92"/>
      <c r="F4292" s="92"/>
      <c r="G4292" s="92"/>
      <c r="H4292" s="92"/>
      <c r="I4292" s="92"/>
      <c r="J4292" s="92"/>
      <c r="K4292" s="92"/>
      <c r="L4292" s="92"/>
      <c r="M4292" s="92"/>
      <c r="N4292" s="94"/>
      <c r="AG4292" s="107"/>
      <c r="AH4292" s="117"/>
      <c r="AI4292" s="117"/>
      <c r="AJ4292" s="107"/>
      <c r="AK4292" s="107"/>
      <c r="AL4292" s="107"/>
      <c r="AM4292" s="107"/>
      <c r="AN4292" s="107"/>
      <c r="AO4292" s="107"/>
      <c r="AP4292" s="107"/>
      <c r="AQ4292" s="107"/>
      <c r="AR4292" s="107"/>
      <c r="AS4292" s="107"/>
      <c r="AT4292" s="39"/>
    </row>
    <row r="4293" spans="1:63" x14ac:dyDescent="0.25">
      <c r="A4293" s="92"/>
      <c r="B4293" s="93"/>
      <c r="C4293" s="93"/>
      <c r="D4293" s="92"/>
      <c r="E4293" s="92"/>
      <c r="F4293" s="92"/>
      <c r="G4293" s="92"/>
      <c r="H4293" s="92"/>
      <c r="I4293" s="92"/>
      <c r="J4293" s="92"/>
      <c r="K4293" s="92"/>
      <c r="L4293" s="92"/>
      <c r="M4293" s="92"/>
      <c r="N4293" s="94"/>
      <c r="AG4293" s="107"/>
      <c r="AH4293" s="107"/>
      <c r="AI4293" s="107"/>
      <c r="AJ4293" s="107"/>
      <c r="AK4293" s="107"/>
      <c r="AL4293" s="107"/>
      <c r="AM4293" s="107"/>
      <c r="AN4293" s="107"/>
      <c r="AO4293" s="107"/>
      <c r="AP4293" s="107"/>
      <c r="AQ4293" s="107"/>
      <c r="AR4293" s="107"/>
      <c r="AS4293" s="107"/>
      <c r="AT4293" s="107"/>
      <c r="AZ4293" s="117"/>
      <c r="BK4293" s="39"/>
    </row>
    <row r="4294" spans="1:63" x14ac:dyDescent="0.25">
      <c r="A4294" s="92"/>
      <c r="B4294" s="92"/>
      <c r="C4294" s="92"/>
      <c r="D4294" s="92"/>
      <c r="E4294" s="92"/>
      <c r="F4294" s="92"/>
      <c r="G4294" s="92"/>
      <c r="H4294" s="92"/>
      <c r="I4294" s="92"/>
      <c r="J4294" s="92"/>
      <c r="K4294" s="92"/>
      <c r="L4294" s="92"/>
      <c r="M4294" s="92"/>
      <c r="N4294" s="92"/>
      <c r="AG4294" s="107"/>
      <c r="AH4294" s="107"/>
      <c r="AI4294" s="107"/>
      <c r="AJ4294" s="107"/>
      <c r="AK4294" s="107"/>
      <c r="AL4294" s="107"/>
      <c r="AM4294" s="107"/>
      <c r="AN4294" s="107"/>
      <c r="AO4294" s="107"/>
      <c r="AP4294" s="107"/>
      <c r="AQ4294" s="107"/>
      <c r="AR4294" s="107"/>
      <c r="AS4294" s="107"/>
      <c r="AT4294" s="107"/>
      <c r="AZ4294" s="117"/>
      <c r="BA4294" s="117"/>
      <c r="BK4294" s="39"/>
    </row>
    <row r="4295" spans="1:63" x14ac:dyDescent="0.25">
      <c r="A4295" s="92"/>
      <c r="B4295" s="92"/>
      <c r="C4295" s="92"/>
      <c r="D4295" s="92"/>
      <c r="E4295" s="92"/>
      <c r="F4295" s="92"/>
      <c r="G4295" s="92"/>
      <c r="H4295" s="92"/>
      <c r="I4295" s="92"/>
      <c r="J4295" s="92"/>
      <c r="K4295" s="92"/>
      <c r="L4295" s="92"/>
      <c r="M4295" s="92"/>
      <c r="N4295" s="92"/>
      <c r="AG4295" s="107"/>
      <c r="AH4295" s="117"/>
      <c r="AI4295" s="117"/>
      <c r="AJ4295" s="107"/>
      <c r="AK4295" s="107"/>
      <c r="AL4295" s="107"/>
      <c r="AM4295" s="107"/>
      <c r="AN4295" s="107"/>
      <c r="AO4295" s="107"/>
      <c r="AP4295" s="107"/>
      <c r="AQ4295" s="107"/>
      <c r="AR4295" s="107"/>
      <c r="AS4295" s="107"/>
      <c r="AT4295" s="39"/>
    </row>
    <row r="4296" spans="1:63" x14ac:dyDescent="0.25">
      <c r="A4296" s="92"/>
      <c r="B4296" s="92"/>
      <c r="C4296" s="92"/>
      <c r="D4296" s="92"/>
      <c r="E4296" s="92"/>
      <c r="F4296" s="92"/>
      <c r="G4296" s="92"/>
      <c r="H4296" s="92"/>
      <c r="I4296" s="92"/>
      <c r="J4296" s="92"/>
      <c r="K4296" s="92"/>
      <c r="L4296" s="92"/>
      <c r="M4296" s="92"/>
      <c r="N4296" s="92"/>
      <c r="AG4296" s="107"/>
      <c r="AH4296" s="117"/>
      <c r="AI4296" s="117"/>
      <c r="AJ4296" s="107"/>
      <c r="AK4296" s="107"/>
      <c r="AL4296" s="107"/>
      <c r="AM4296" s="107"/>
      <c r="AN4296" s="107"/>
      <c r="AO4296" s="107"/>
      <c r="AP4296" s="107"/>
      <c r="AQ4296" s="107"/>
      <c r="AR4296" s="107"/>
      <c r="AS4296" s="107"/>
      <c r="AT4296" s="39"/>
    </row>
    <row r="4297" spans="1:63" x14ac:dyDescent="0.25">
      <c r="A4297" s="92"/>
      <c r="B4297" s="92"/>
      <c r="C4297" s="92"/>
      <c r="D4297" s="92"/>
      <c r="E4297" s="92"/>
      <c r="F4297" s="92"/>
      <c r="G4297" s="92"/>
      <c r="H4297" s="92"/>
      <c r="I4297" s="92"/>
      <c r="J4297" s="92"/>
      <c r="K4297" s="92"/>
      <c r="L4297" s="92"/>
      <c r="M4297" s="92"/>
      <c r="N4297" s="92"/>
      <c r="AG4297" s="107"/>
      <c r="AH4297" s="117"/>
      <c r="AI4297" s="117"/>
      <c r="AJ4297" s="107"/>
      <c r="AK4297" s="107"/>
      <c r="AL4297" s="107"/>
      <c r="AM4297" s="107"/>
      <c r="AN4297" s="107"/>
      <c r="AO4297" s="107"/>
      <c r="AP4297" s="107"/>
      <c r="AQ4297" s="107"/>
      <c r="AR4297" s="107"/>
      <c r="AS4297" s="107"/>
      <c r="AT4297" s="39"/>
      <c r="AZ4297" s="117"/>
      <c r="BK4297" s="39"/>
    </row>
    <row r="4298" spans="1:63" x14ac:dyDescent="0.25">
      <c r="A4298" s="92"/>
      <c r="B4298" s="92"/>
      <c r="C4298" s="92"/>
      <c r="D4298" s="92"/>
      <c r="E4298" s="92"/>
      <c r="F4298" s="92"/>
      <c r="G4298" s="92"/>
      <c r="H4298" s="92"/>
      <c r="I4298" s="92"/>
      <c r="J4298" s="92"/>
      <c r="K4298" s="92"/>
      <c r="L4298" s="92"/>
      <c r="M4298" s="92"/>
      <c r="N4298" s="92"/>
      <c r="AG4298" s="107"/>
      <c r="AH4298" s="117"/>
      <c r="AI4298" s="117"/>
      <c r="AJ4298" s="107"/>
      <c r="AK4298" s="107"/>
      <c r="AL4298" s="107"/>
      <c r="AM4298" s="107"/>
      <c r="AN4298" s="107"/>
      <c r="AO4298" s="107"/>
      <c r="AP4298" s="107"/>
      <c r="AQ4298" s="107"/>
      <c r="AR4298" s="107"/>
      <c r="AS4298" s="107"/>
      <c r="AT4298" s="39"/>
      <c r="AZ4298" s="117"/>
      <c r="BK4298" s="39"/>
    </row>
    <row r="4299" spans="1:63" x14ac:dyDescent="0.25">
      <c r="A4299" s="92"/>
      <c r="B4299" s="93"/>
      <c r="C4299" s="93"/>
      <c r="D4299" s="92"/>
      <c r="E4299" s="92"/>
      <c r="F4299" s="92"/>
      <c r="G4299" s="92"/>
      <c r="H4299" s="92"/>
      <c r="I4299" s="92"/>
      <c r="J4299" s="92"/>
      <c r="K4299" s="92"/>
      <c r="L4299" s="92"/>
      <c r="M4299" s="92"/>
      <c r="N4299" s="94"/>
      <c r="AG4299" s="107"/>
      <c r="AH4299" s="117"/>
      <c r="AI4299" s="117"/>
      <c r="AJ4299" s="107"/>
      <c r="AK4299" s="107"/>
      <c r="AL4299" s="107"/>
      <c r="AM4299" s="107"/>
      <c r="AN4299" s="107"/>
      <c r="AO4299" s="107"/>
      <c r="AP4299" s="107"/>
      <c r="AQ4299" s="107"/>
      <c r="AR4299" s="107"/>
      <c r="AS4299" s="107"/>
      <c r="AT4299" s="39"/>
      <c r="AZ4299" s="117"/>
      <c r="BK4299" s="39"/>
    </row>
    <row r="4300" spans="1:63" x14ac:dyDescent="0.25">
      <c r="A4300" s="92"/>
      <c r="B4300" s="93"/>
      <c r="C4300" s="93"/>
      <c r="D4300" s="92"/>
      <c r="E4300" s="92"/>
      <c r="F4300" s="92"/>
      <c r="G4300" s="92"/>
      <c r="H4300" s="92"/>
      <c r="I4300" s="92"/>
      <c r="J4300" s="92"/>
      <c r="K4300" s="92"/>
      <c r="L4300" s="92"/>
      <c r="M4300" s="92"/>
      <c r="N4300" s="94"/>
      <c r="AG4300" s="107"/>
      <c r="AH4300" s="117"/>
      <c r="AI4300" s="117"/>
      <c r="AJ4300" s="107"/>
      <c r="AK4300" s="107"/>
      <c r="AL4300" s="107"/>
      <c r="AM4300" s="107"/>
      <c r="AN4300" s="107"/>
      <c r="AO4300" s="107"/>
      <c r="AP4300" s="107"/>
      <c r="AQ4300" s="107"/>
      <c r="AR4300" s="107"/>
      <c r="AS4300" s="107"/>
      <c r="AT4300" s="39"/>
      <c r="AZ4300" s="117"/>
      <c r="BK4300" s="39"/>
    </row>
    <row r="4301" spans="1:63" x14ac:dyDescent="0.25">
      <c r="A4301" s="92"/>
      <c r="B4301" s="93"/>
      <c r="C4301" s="93"/>
      <c r="D4301" s="93"/>
      <c r="E4301" s="92"/>
      <c r="F4301" s="92"/>
      <c r="G4301" s="92"/>
      <c r="H4301" s="92"/>
      <c r="I4301" s="92"/>
      <c r="J4301" s="92"/>
      <c r="K4301" s="92"/>
      <c r="L4301" s="92"/>
      <c r="M4301" s="92"/>
      <c r="N4301" s="94"/>
      <c r="AG4301" s="107"/>
      <c r="AH4301" s="107"/>
      <c r="AI4301" s="107"/>
      <c r="AJ4301" s="107"/>
      <c r="AK4301" s="107"/>
      <c r="AL4301" s="107"/>
      <c r="AM4301" s="107"/>
      <c r="AN4301" s="107"/>
      <c r="AO4301" s="107"/>
      <c r="AP4301" s="107"/>
      <c r="AQ4301" s="107"/>
      <c r="AR4301" s="107"/>
      <c r="AS4301" s="107"/>
      <c r="AT4301" s="107"/>
      <c r="AZ4301" s="117"/>
      <c r="BK4301" s="39"/>
    </row>
    <row r="4302" spans="1:63" x14ac:dyDescent="0.25">
      <c r="A4302" s="92"/>
      <c r="B4302" s="92"/>
      <c r="C4302" s="92"/>
      <c r="D4302" s="92"/>
      <c r="E4302" s="92"/>
      <c r="F4302" s="92"/>
      <c r="G4302" s="92"/>
      <c r="H4302" s="92"/>
      <c r="I4302" s="92"/>
      <c r="J4302" s="92"/>
      <c r="K4302" s="92"/>
      <c r="L4302" s="92"/>
      <c r="M4302" s="92"/>
      <c r="N4302" s="92"/>
      <c r="AG4302" s="107"/>
      <c r="AH4302" s="117"/>
      <c r="AI4302" s="117"/>
      <c r="AJ4302" s="107"/>
      <c r="AK4302" s="107"/>
      <c r="AL4302" s="107"/>
      <c r="AM4302" s="107"/>
      <c r="AN4302" s="107"/>
      <c r="AO4302" s="107"/>
      <c r="AP4302" s="107"/>
      <c r="AQ4302" s="107"/>
      <c r="AR4302" s="107"/>
      <c r="AS4302" s="107"/>
      <c r="AT4302" s="39"/>
      <c r="AZ4302" s="117"/>
      <c r="BK4302" s="39"/>
    </row>
    <row r="4303" spans="1:63" x14ac:dyDescent="0.25">
      <c r="A4303" s="92"/>
      <c r="B4303" s="93"/>
      <c r="C4303" s="93"/>
      <c r="D4303" s="92"/>
      <c r="E4303" s="92"/>
      <c r="F4303" s="92"/>
      <c r="G4303" s="92"/>
      <c r="H4303" s="92"/>
      <c r="I4303" s="92"/>
      <c r="J4303" s="92"/>
      <c r="K4303" s="92"/>
      <c r="L4303" s="92"/>
      <c r="M4303" s="92"/>
      <c r="N4303" s="94"/>
      <c r="AG4303" s="107"/>
      <c r="AH4303" s="117"/>
      <c r="AI4303" s="117"/>
      <c r="AJ4303" s="107"/>
      <c r="AK4303" s="107"/>
      <c r="AL4303" s="107"/>
      <c r="AM4303" s="107"/>
      <c r="AN4303" s="107"/>
      <c r="AO4303" s="107"/>
      <c r="AP4303" s="107"/>
      <c r="AQ4303" s="107"/>
      <c r="AR4303" s="107"/>
      <c r="AS4303" s="107"/>
      <c r="AT4303" s="39"/>
      <c r="AZ4303" s="117"/>
      <c r="BK4303" s="39"/>
    </row>
    <row r="4304" spans="1:63" x14ac:dyDescent="0.25">
      <c r="A4304" s="92"/>
      <c r="B4304" s="92"/>
      <c r="C4304" s="92"/>
      <c r="D4304" s="92"/>
      <c r="E4304" s="92"/>
      <c r="F4304" s="92"/>
      <c r="G4304" s="92"/>
      <c r="H4304" s="92"/>
      <c r="I4304" s="92"/>
      <c r="J4304" s="92"/>
      <c r="K4304" s="92"/>
      <c r="L4304" s="92"/>
      <c r="M4304" s="92"/>
      <c r="N4304" s="92"/>
      <c r="AG4304" s="107"/>
      <c r="AH4304" s="107"/>
      <c r="AI4304" s="107"/>
      <c r="AJ4304" s="107"/>
      <c r="AK4304" s="107"/>
      <c r="AL4304" s="107"/>
      <c r="AM4304" s="107"/>
      <c r="AN4304" s="107"/>
      <c r="AO4304" s="107"/>
      <c r="AP4304" s="107"/>
      <c r="AQ4304" s="107"/>
      <c r="AR4304" s="107"/>
      <c r="AS4304" s="107"/>
      <c r="AT4304" s="107"/>
      <c r="AZ4304" s="117"/>
      <c r="BK4304" s="39"/>
    </row>
    <row r="4305" spans="1:63" x14ac:dyDescent="0.25">
      <c r="A4305" s="92"/>
      <c r="B4305" s="92"/>
      <c r="C4305" s="92"/>
      <c r="D4305" s="92"/>
      <c r="E4305" s="92"/>
      <c r="F4305" s="92"/>
      <c r="G4305" s="92"/>
      <c r="H4305" s="92"/>
      <c r="I4305" s="92"/>
      <c r="J4305" s="92"/>
      <c r="K4305" s="92"/>
      <c r="L4305" s="92"/>
      <c r="M4305" s="92"/>
      <c r="N4305" s="92"/>
      <c r="AG4305" s="107"/>
      <c r="AH4305" s="117"/>
      <c r="AI4305" s="117"/>
      <c r="AJ4305" s="107"/>
      <c r="AK4305" s="107"/>
      <c r="AL4305" s="107"/>
      <c r="AM4305" s="107"/>
      <c r="AN4305" s="107"/>
      <c r="AO4305" s="107"/>
      <c r="AP4305" s="107"/>
      <c r="AQ4305" s="107"/>
      <c r="AR4305" s="107"/>
      <c r="AS4305" s="107"/>
      <c r="AT4305" s="39"/>
      <c r="AZ4305" s="117"/>
      <c r="BK4305" s="39"/>
    </row>
    <row r="4306" spans="1:63" x14ac:dyDescent="0.25">
      <c r="A4306" s="92"/>
      <c r="B4306" s="93"/>
      <c r="C4306" s="93"/>
      <c r="D4306" s="92"/>
      <c r="E4306" s="92"/>
      <c r="F4306" s="92"/>
      <c r="G4306" s="92"/>
      <c r="H4306" s="92"/>
      <c r="I4306" s="92"/>
      <c r="J4306" s="92"/>
      <c r="K4306" s="92"/>
      <c r="L4306" s="92"/>
      <c r="M4306" s="92"/>
      <c r="N4306" s="94"/>
      <c r="AG4306" s="107"/>
      <c r="AH4306" s="117"/>
      <c r="AI4306" s="117"/>
      <c r="AJ4306" s="107"/>
      <c r="AK4306" s="107"/>
      <c r="AL4306" s="107"/>
      <c r="AM4306" s="107"/>
      <c r="AN4306" s="107"/>
      <c r="AO4306" s="107"/>
      <c r="AP4306" s="107"/>
      <c r="AQ4306" s="107"/>
      <c r="AR4306" s="107"/>
      <c r="AS4306" s="107"/>
      <c r="AT4306" s="39"/>
      <c r="AZ4306" s="117"/>
      <c r="BA4306" s="117"/>
      <c r="BK4306" s="39"/>
    </row>
    <row r="4307" spans="1:63" x14ac:dyDescent="0.25">
      <c r="A4307" s="92"/>
      <c r="B4307" s="92"/>
      <c r="C4307" s="92"/>
      <c r="D4307" s="92"/>
      <c r="E4307" s="92"/>
      <c r="F4307" s="92"/>
      <c r="G4307" s="92"/>
      <c r="H4307" s="92"/>
      <c r="I4307" s="92"/>
      <c r="J4307" s="92"/>
      <c r="K4307" s="92"/>
      <c r="L4307" s="92"/>
      <c r="M4307" s="92"/>
      <c r="N4307" s="92"/>
      <c r="AG4307" s="107"/>
      <c r="AH4307" s="117"/>
      <c r="AI4307" s="117"/>
      <c r="AJ4307" s="107"/>
      <c r="AK4307" s="107"/>
      <c r="AL4307" s="107"/>
      <c r="AM4307" s="107"/>
      <c r="AN4307" s="107"/>
      <c r="AO4307" s="107"/>
      <c r="AP4307" s="107"/>
      <c r="AQ4307" s="107"/>
      <c r="AR4307" s="107"/>
      <c r="AS4307" s="107"/>
      <c r="AT4307" s="39"/>
      <c r="BA4307" s="117"/>
    </row>
    <row r="4308" spans="1:63" x14ac:dyDescent="0.25">
      <c r="A4308" s="92"/>
      <c r="B4308" s="92"/>
      <c r="C4308" s="92"/>
      <c r="D4308" s="92"/>
      <c r="E4308" s="92"/>
      <c r="F4308" s="92"/>
      <c r="G4308" s="92"/>
      <c r="H4308" s="92"/>
      <c r="I4308" s="92"/>
      <c r="J4308" s="92"/>
      <c r="K4308" s="92"/>
      <c r="L4308" s="92"/>
      <c r="M4308" s="92"/>
      <c r="N4308" s="92"/>
      <c r="AG4308" s="107"/>
      <c r="AH4308" s="117"/>
      <c r="AI4308" s="117"/>
      <c r="AJ4308" s="117"/>
      <c r="AK4308" s="107"/>
      <c r="AL4308" s="107"/>
      <c r="AM4308" s="107"/>
      <c r="AN4308" s="107"/>
      <c r="AO4308" s="107"/>
      <c r="AP4308" s="107"/>
      <c r="AQ4308" s="107"/>
      <c r="AR4308" s="107"/>
      <c r="AS4308" s="107"/>
      <c r="AT4308" s="39"/>
      <c r="AZ4308" s="117"/>
      <c r="BK4308" s="39"/>
    </row>
    <row r="4309" spans="1:63" x14ac:dyDescent="0.25">
      <c r="A4309" s="92"/>
      <c r="B4309" s="92"/>
      <c r="C4309" s="92"/>
      <c r="D4309" s="92"/>
      <c r="E4309" s="92"/>
      <c r="F4309" s="92"/>
      <c r="G4309" s="92"/>
      <c r="H4309" s="92"/>
      <c r="I4309" s="92"/>
      <c r="J4309" s="92"/>
      <c r="K4309" s="92"/>
      <c r="L4309" s="92"/>
      <c r="M4309" s="92"/>
      <c r="N4309" s="92"/>
      <c r="AG4309" s="107"/>
      <c r="AH4309" s="117"/>
      <c r="AI4309" s="117"/>
      <c r="AJ4309" s="107"/>
      <c r="AK4309" s="107"/>
      <c r="AL4309" s="107"/>
      <c r="AM4309" s="107"/>
      <c r="AN4309" s="107"/>
      <c r="AO4309" s="107"/>
      <c r="AP4309" s="107"/>
      <c r="AQ4309" s="107"/>
      <c r="AR4309" s="107"/>
      <c r="AS4309" s="107"/>
      <c r="AT4309" s="39"/>
      <c r="AZ4309" s="117"/>
      <c r="BA4309" s="117"/>
      <c r="BK4309" s="39"/>
    </row>
    <row r="4310" spans="1:63" x14ac:dyDescent="0.25">
      <c r="A4310" s="92"/>
      <c r="B4310" s="92"/>
      <c r="C4310" s="92"/>
      <c r="D4310" s="92"/>
      <c r="E4310" s="92"/>
      <c r="F4310" s="92"/>
      <c r="G4310" s="92"/>
      <c r="H4310" s="92"/>
      <c r="I4310" s="92"/>
      <c r="J4310" s="92"/>
      <c r="K4310" s="92"/>
      <c r="L4310" s="92"/>
      <c r="M4310" s="92"/>
      <c r="N4310" s="92"/>
      <c r="AG4310" s="107"/>
      <c r="AH4310" s="117"/>
      <c r="AI4310" s="117"/>
      <c r="AJ4310" s="107"/>
      <c r="AK4310" s="107"/>
      <c r="AL4310" s="107"/>
      <c r="AM4310" s="107"/>
      <c r="AN4310" s="107"/>
      <c r="AO4310" s="107"/>
      <c r="AP4310" s="107"/>
      <c r="AQ4310" s="107"/>
      <c r="AR4310" s="107"/>
      <c r="AS4310" s="107"/>
      <c r="AT4310" s="39"/>
    </row>
    <row r="4311" spans="1:63" x14ac:dyDescent="0.25">
      <c r="A4311" s="92"/>
      <c r="B4311" s="93"/>
      <c r="C4311" s="93"/>
      <c r="D4311" s="92"/>
      <c r="E4311" s="92"/>
      <c r="F4311" s="92"/>
      <c r="G4311" s="92"/>
      <c r="H4311" s="92"/>
      <c r="I4311" s="92"/>
      <c r="J4311" s="92"/>
      <c r="K4311" s="92"/>
      <c r="L4311" s="92"/>
      <c r="M4311" s="92"/>
      <c r="N4311" s="94"/>
      <c r="AG4311" s="107"/>
      <c r="AH4311" s="107"/>
      <c r="AI4311" s="107"/>
      <c r="AJ4311" s="107"/>
      <c r="AK4311" s="107"/>
      <c r="AL4311" s="107"/>
      <c r="AM4311" s="107"/>
      <c r="AN4311" s="107"/>
      <c r="AO4311" s="107"/>
      <c r="AP4311" s="107"/>
      <c r="AQ4311" s="107"/>
      <c r="AR4311" s="107"/>
      <c r="AS4311" s="107"/>
      <c r="AT4311" s="107"/>
    </row>
    <row r="4312" spans="1:63" x14ac:dyDescent="0.25">
      <c r="A4312" s="92"/>
      <c r="B4312" s="93"/>
      <c r="C4312" s="93"/>
      <c r="D4312" s="93"/>
      <c r="E4312" s="92"/>
      <c r="F4312" s="92"/>
      <c r="G4312" s="92"/>
      <c r="H4312" s="92"/>
      <c r="I4312" s="92"/>
      <c r="J4312" s="92"/>
      <c r="K4312" s="92"/>
      <c r="L4312" s="92"/>
      <c r="M4312" s="92"/>
      <c r="N4312" s="94"/>
      <c r="AG4312" s="107"/>
      <c r="AH4312" s="107"/>
      <c r="AI4312" s="107"/>
      <c r="AJ4312" s="107"/>
      <c r="AK4312" s="107"/>
      <c r="AL4312" s="107"/>
      <c r="AM4312" s="107"/>
      <c r="AN4312" s="107"/>
      <c r="AO4312" s="107"/>
      <c r="AP4312" s="107"/>
      <c r="AQ4312" s="107"/>
      <c r="AR4312" s="107"/>
      <c r="AS4312" s="107"/>
      <c r="AT4312" s="107"/>
    </row>
    <row r="4313" spans="1:63" x14ac:dyDescent="0.25">
      <c r="A4313" s="92"/>
      <c r="B4313" s="92"/>
      <c r="C4313" s="92"/>
      <c r="D4313" s="92"/>
      <c r="E4313" s="92"/>
      <c r="F4313" s="92"/>
      <c r="G4313" s="92"/>
      <c r="H4313" s="92"/>
      <c r="I4313" s="92"/>
      <c r="J4313" s="92"/>
      <c r="K4313" s="92"/>
      <c r="L4313" s="92"/>
      <c r="M4313" s="92"/>
      <c r="N4313" s="92"/>
      <c r="AG4313" s="107"/>
      <c r="AH4313" s="117"/>
      <c r="AI4313" s="117"/>
      <c r="AJ4313" s="107"/>
      <c r="AK4313" s="107"/>
      <c r="AL4313" s="107"/>
      <c r="AM4313" s="107"/>
      <c r="AN4313" s="107"/>
      <c r="AO4313" s="107"/>
      <c r="AP4313" s="107"/>
      <c r="AQ4313" s="107"/>
      <c r="AR4313" s="107"/>
      <c r="AS4313" s="107"/>
      <c r="AT4313" s="39"/>
    </row>
    <row r="4314" spans="1:63" x14ac:dyDescent="0.25">
      <c r="A4314" s="92"/>
      <c r="B4314" s="92"/>
      <c r="C4314" s="92"/>
      <c r="D4314" s="92"/>
      <c r="E4314" s="92"/>
      <c r="F4314" s="92"/>
      <c r="G4314" s="92"/>
      <c r="H4314" s="92"/>
      <c r="I4314" s="92"/>
      <c r="J4314" s="92"/>
      <c r="K4314" s="92"/>
      <c r="L4314" s="92"/>
      <c r="M4314" s="92"/>
      <c r="N4314" s="92"/>
      <c r="AG4314" s="107"/>
      <c r="AH4314" s="117"/>
      <c r="AI4314" s="117"/>
      <c r="AJ4314" s="107"/>
      <c r="AK4314" s="107"/>
      <c r="AL4314" s="107"/>
      <c r="AM4314" s="107"/>
      <c r="AN4314" s="107"/>
      <c r="AO4314" s="107"/>
      <c r="AP4314" s="107"/>
      <c r="AQ4314" s="107"/>
      <c r="AR4314" s="107"/>
      <c r="AS4314" s="107"/>
      <c r="AT4314" s="39"/>
    </row>
    <row r="4315" spans="1:63" x14ac:dyDescent="0.25">
      <c r="A4315" s="92"/>
      <c r="B4315" s="93"/>
      <c r="C4315" s="93"/>
      <c r="D4315" s="92"/>
      <c r="E4315" s="92"/>
      <c r="F4315" s="92"/>
      <c r="G4315" s="92"/>
      <c r="H4315" s="92"/>
      <c r="I4315" s="92"/>
      <c r="J4315" s="92"/>
      <c r="K4315" s="92"/>
      <c r="L4315" s="92"/>
      <c r="M4315" s="92"/>
      <c r="N4315" s="94"/>
      <c r="AG4315" s="107"/>
      <c r="AH4315" s="117"/>
      <c r="AI4315" s="117"/>
      <c r="AJ4315" s="107"/>
      <c r="AK4315" s="107"/>
      <c r="AL4315" s="107"/>
      <c r="AM4315" s="107"/>
      <c r="AN4315" s="107"/>
      <c r="AO4315" s="107"/>
      <c r="AP4315" s="107"/>
      <c r="AQ4315" s="107"/>
      <c r="AR4315" s="107"/>
      <c r="AS4315" s="107"/>
      <c r="AT4315" s="39"/>
    </row>
    <row r="4316" spans="1:63" x14ac:dyDescent="0.25">
      <c r="A4316" s="92"/>
      <c r="B4316" s="93"/>
      <c r="C4316" s="93"/>
      <c r="D4316" s="92"/>
      <c r="E4316" s="92"/>
      <c r="F4316" s="92"/>
      <c r="G4316" s="92"/>
      <c r="H4316" s="92"/>
      <c r="I4316" s="92"/>
      <c r="J4316" s="92"/>
      <c r="K4316" s="92"/>
      <c r="L4316" s="92"/>
      <c r="M4316" s="92"/>
      <c r="N4316" s="94"/>
      <c r="AG4316" s="107"/>
      <c r="AH4316" s="117"/>
      <c r="AI4316" s="117"/>
      <c r="AJ4316" s="107"/>
      <c r="AK4316" s="107"/>
      <c r="AL4316" s="107"/>
      <c r="AM4316" s="107"/>
      <c r="AN4316" s="107"/>
      <c r="AO4316" s="107"/>
      <c r="AP4316" s="107"/>
      <c r="AQ4316" s="107"/>
      <c r="AR4316" s="107"/>
      <c r="AS4316" s="107"/>
      <c r="AT4316" s="39"/>
    </row>
    <row r="4317" spans="1:63" x14ac:dyDescent="0.25">
      <c r="A4317" s="92"/>
      <c r="B4317" s="93"/>
      <c r="C4317" s="93"/>
      <c r="D4317" s="92"/>
      <c r="E4317" s="92"/>
      <c r="F4317" s="92"/>
      <c r="G4317" s="92"/>
      <c r="H4317" s="92"/>
      <c r="I4317" s="92"/>
      <c r="J4317" s="92"/>
      <c r="K4317" s="92"/>
      <c r="L4317" s="92"/>
      <c r="M4317" s="92"/>
      <c r="N4317" s="94"/>
      <c r="AG4317" s="107"/>
      <c r="AH4317" s="107"/>
      <c r="AI4317" s="107"/>
      <c r="AJ4317" s="107"/>
      <c r="AK4317" s="107"/>
      <c r="AL4317" s="107"/>
      <c r="AM4317" s="107"/>
      <c r="AN4317" s="107"/>
      <c r="AO4317" s="107"/>
      <c r="AP4317" s="107"/>
      <c r="AQ4317" s="107"/>
      <c r="AR4317" s="107"/>
      <c r="AS4317" s="107"/>
      <c r="AT4317" s="107"/>
    </row>
    <row r="4318" spans="1:63" x14ac:dyDescent="0.25">
      <c r="A4318" s="92"/>
      <c r="B4318" s="93"/>
      <c r="C4318" s="93"/>
      <c r="D4318" s="92"/>
      <c r="E4318" s="92"/>
      <c r="F4318" s="92"/>
      <c r="G4318" s="92"/>
      <c r="H4318" s="92"/>
      <c r="I4318" s="92"/>
      <c r="J4318" s="92"/>
      <c r="K4318" s="92"/>
      <c r="L4318" s="92"/>
      <c r="M4318" s="92"/>
      <c r="N4318" s="94"/>
      <c r="AG4318" s="107"/>
      <c r="AH4318" s="117"/>
      <c r="AI4318" s="117"/>
      <c r="AJ4318" s="107"/>
      <c r="AK4318" s="107"/>
      <c r="AL4318" s="107"/>
      <c r="AM4318" s="107"/>
      <c r="AN4318" s="107"/>
      <c r="AO4318" s="107"/>
      <c r="AP4318" s="107"/>
      <c r="AQ4318" s="107"/>
      <c r="AR4318" s="107"/>
      <c r="AS4318" s="107"/>
      <c r="AT4318" s="39"/>
    </row>
    <row r="4319" spans="1:63" x14ac:dyDescent="0.25">
      <c r="A4319" s="92"/>
      <c r="B4319" s="93"/>
      <c r="C4319" s="93"/>
      <c r="D4319" s="92"/>
      <c r="E4319" s="92"/>
      <c r="F4319" s="92"/>
      <c r="G4319" s="92"/>
      <c r="H4319" s="92"/>
      <c r="I4319" s="92"/>
      <c r="J4319" s="92"/>
      <c r="K4319" s="92"/>
      <c r="L4319" s="92"/>
      <c r="M4319" s="92"/>
      <c r="N4319" s="94"/>
      <c r="AG4319" s="107"/>
      <c r="AH4319" s="107"/>
      <c r="AI4319" s="107"/>
      <c r="AJ4319" s="107"/>
      <c r="AK4319" s="107"/>
      <c r="AL4319" s="107"/>
      <c r="AM4319" s="107"/>
      <c r="AN4319" s="107"/>
      <c r="AO4319" s="107"/>
      <c r="AP4319" s="107"/>
      <c r="AQ4319" s="107"/>
      <c r="AR4319" s="107"/>
      <c r="AS4319" s="107"/>
      <c r="AT4319" s="107"/>
    </row>
    <row r="4320" spans="1:63" x14ac:dyDescent="0.25">
      <c r="A4320" s="92"/>
      <c r="B4320" s="93"/>
      <c r="C4320" s="93"/>
      <c r="D4320" s="92"/>
      <c r="E4320" s="92"/>
      <c r="F4320" s="92"/>
      <c r="G4320" s="92"/>
      <c r="H4320" s="92"/>
      <c r="I4320" s="92"/>
      <c r="J4320" s="92"/>
      <c r="K4320" s="92"/>
      <c r="L4320" s="92"/>
      <c r="M4320" s="92"/>
      <c r="N4320" s="94"/>
      <c r="AG4320" s="107"/>
      <c r="AH4320" s="117"/>
      <c r="AI4320" s="117"/>
      <c r="AJ4320" s="117"/>
      <c r="AK4320" s="107"/>
      <c r="AL4320" s="107"/>
      <c r="AM4320" s="107"/>
      <c r="AN4320" s="107"/>
      <c r="AO4320" s="107"/>
      <c r="AP4320" s="107"/>
      <c r="AQ4320" s="107"/>
      <c r="AR4320" s="107"/>
      <c r="AS4320" s="107"/>
      <c r="AT4320" s="39"/>
    </row>
    <row r="4321" spans="1:63" x14ac:dyDescent="0.25">
      <c r="A4321" s="92"/>
      <c r="B4321" s="93"/>
      <c r="C4321" s="93"/>
      <c r="D4321" s="92"/>
      <c r="E4321" s="92"/>
      <c r="F4321" s="92"/>
      <c r="G4321" s="92"/>
      <c r="H4321" s="92"/>
      <c r="I4321" s="92"/>
      <c r="J4321" s="92"/>
      <c r="K4321" s="92"/>
      <c r="L4321" s="92"/>
      <c r="M4321" s="92"/>
      <c r="N4321" s="94"/>
      <c r="AG4321" s="107"/>
      <c r="AH4321" s="107"/>
      <c r="AI4321" s="107"/>
      <c r="AJ4321" s="107"/>
      <c r="AK4321" s="107"/>
      <c r="AL4321" s="107"/>
      <c r="AM4321" s="107"/>
      <c r="AN4321" s="107"/>
      <c r="AO4321" s="107"/>
      <c r="AP4321" s="107"/>
      <c r="AQ4321" s="107"/>
      <c r="AR4321" s="107"/>
      <c r="AS4321" s="107"/>
      <c r="AT4321" s="107"/>
    </row>
    <row r="4322" spans="1:63" x14ac:dyDescent="0.25">
      <c r="A4322" s="92"/>
      <c r="B4322" s="93"/>
      <c r="C4322" s="93"/>
      <c r="D4322" s="92"/>
      <c r="E4322" s="92"/>
      <c r="F4322" s="92"/>
      <c r="G4322" s="92"/>
      <c r="H4322" s="92"/>
      <c r="I4322" s="92"/>
      <c r="J4322" s="92"/>
      <c r="K4322" s="92"/>
      <c r="L4322" s="92"/>
      <c r="M4322" s="92"/>
      <c r="N4322" s="94"/>
      <c r="AG4322" s="107"/>
      <c r="AH4322" s="107"/>
      <c r="AI4322" s="107"/>
      <c r="AJ4322" s="107"/>
      <c r="AK4322" s="107"/>
      <c r="AL4322" s="107"/>
      <c r="AM4322" s="107"/>
      <c r="AN4322" s="107"/>
      <c r="AO4322" s="107"/>
      <c r="AP4322" s="107"/>
      <c r="AQ4322" s="107"/>
      <c r="AR4322" s="107"/>
      <c r="AS4322" s="107"/>
      <c r="AT4322" s="107"/>
    </row>
    <row r="4323" spans="1:63" x14ac:dyDescent="0.25">
      <c r="A4323" s="92"/>
      <c r="B4323" s="93"/>
      <c r="C4323" s="93"/>
      <c r="D4323" s="92"/>
      <c r="E4323" s="92"/>
      <c r="F4323" s="92"/>
      <c r="G4323" s="92"/>
      <c r="H4323" s="92"/>
      <c r="I4323" s="92"/>
      <c r="J4323" s="92"/>
      <c r="K4323" s="92"/>
      <c r="L4323" s="92"/>
      <c r="M4323" s="92"/>
      <c r="N4323" s="94"/>
      <c r="AG4323" s="107"/>
      <c r="AH4323" s="107"/>
      <c r="AI4323" s="107"/>
      <c r="AJ4323" s="107"/>
      <c r="AK4323" s="107"/>
      <c r="AL4323" s="107"/>
      <c r="AM4323" s="107"/>
      <c r="AN4323" s="107"/>
      <c r="AO4323" s="107"/>
      <c r="AP4323" s="107"/>
      <c r="AQ4323" s="107"/>
      <c r="AR4323" s="107"/>
      <c r="AS4323" s="107"/>
      <c r="AT4323" s="107"/>
    </row>
    <row r="4324" spans="1:63" x14ac:dyDescent="0.25">
      <c r="A4324" s="92"/>
      <c r="B4324" s="93"/>
      <c r="C4324" s="93"/>
      <c r="D4324" s="93"/>
      <c r="E4324" s="92"/>
      <c r="F4324" s="92"/>
      <c r="G4324" s="92"/>
      <c r="H4324" s="92"/>
      <c r="I4324" s="92"/>
      <c r="J4324" s="92"/>
      <c r="K4324" s="92"/>
      <c r="L4324" s="92"/>
      <c r="M4324" s="92"/>
      <c r="N4324" s="94"/>
      <c r="AG4324" s="107"/>
      <c r="AH4324" s="107"/>
      <c r="AI4324" s="107"/>
      <c r="AJ4324" s="107"/>
      <c r="AK4324" s="107"/>
      <c r="AL4324" s="107"/>
      <c r="AM4324" s="107"/>
      <c r="AN4324" s="107"/>
      <c r="AO4324" s="107"/>
      <c r="AP4324" s="107"/>
      <c r="AQ4324" s="107"/>
      <c r="AR4324" s="107"/>
      <c r="AS4324" s="107"/>
      <c r="AT4324" s="107"/>
    </row>
    <row r="4325" spans="1:63" x14ac:dyDescent="0.25">
      <c r="A4325" s="92"/>
      <c r="B4325" s="92"/>
      <c r="C4325" s="92"/>
      <c r="D4325" s="93"/>
      <c r="E4325" s="92"/>
      <c r="F4325" s="92"/>
      <c r="G4325" s="92"/>
      <c r="H4325" s="92"/>
      <c r="I4325" s="92"/>
      <c r="J4325" s="92"/>
      <c r="K4325" s="92"/>
      <c r="L4325" s="92"/>
      <c r="M4325" s="92"/>
      <c r="N4325" s="92"/>
      <c r="AG4325" s="107"/>
      <c r="AH4325" s="107"/>
      <c r="AI4325" s="107"/>
      <c r="AJ4325" s="107"/>
      <c r="AK4325" s="107"/>
      <c r="AL4325" s="107"/>
      <c r="AM4325" s="107"/>
      <c r="AN4325" s="107"/>
      <c r="AO4325" s="107"/>
      <c r="AP4325" s="107"/>
      <c r="AQ4325" s="107"/>
      <c r="AR4325" s="107"/>
      <c r="AS4325" s="107"/>
      <c r="AT4325" s="107"/>
    </row>
    <row r="4326" spans="1:63" x14ac:dyDescent="0.25">
      <c r="A4326" s="92"/>
      <c r="B4326" s="93"/>
      <c r="C4326" s="93"/>
      <c r="D4326" s="92"/>
      <c r="E4326" s="92"/>
      <c r="F4326" s="92"/>
      <c r="G4326" s="92"/>
      <c r="H4326" s="92"/>
      <c r="I4326" s="92"/>
      <c r="J4326" s="92"/>
      <c r="K4326" s="92"/>
      <c r="L4326" s="92"/>
      <c r="M4326" s="92"/>
      <c r="N4326" s="94"/>
      <c r="AG4326" s="107"/>
      <c r="AH4326" s="107"/>
      <c r="AI4326" s="107"/>
      <c r="AJ4326" s="107"/>
      <c r="AK4326" s="107"/>
      <c r="AL4326" s="107"/>
      <c r="AM4326" s="107"/>
      <c r="AN4326" s="107"/>
      <c r="AO4326" s="107"/>
      <c r="AP4326" s="107"/>
      <c r="AQ4326" s="107"/>
      <c r="AR4326" s="107"/>
      <c r="AS4326" s="107"/>
      <c r="AT4326" s="107"/>
    </row>
    <row r="4327" spans="1:63" x14ac:dyDescent="0.25">
      <c r="A4327" s="92"/>
      <c r="B4327" s="93"/>
      <c r="C4327" s="93"/>
      <c r="D4327" s="93"/>
      <c r="E4327" s="92"/>
      <c r="F4327" s="92"/>
      <c r="G4327" s="92"/>
      <c r="H4327" s="92"/>
      <c r="I4327" s="92"/>
      <c r="J4327" s="92"/>
      <c r="K4327" s="92"/>
      <c r="L4327" s="92"/>
      <c r="M4327" s="92"/>
      <c r="N4327" s="94"/>
      <c r="AG4327" s="107"/>
      <c r="AH4327" s="107"/>
      <c r="AI4327" s="107"/>
      <c r="AJ4327" s="107"/>
      <c r="AK4327" s="107"/>
      <c r="AL4327" s="107"/>
      <c r="AM4327" s="107"/>
      <c r="AN4327" s="107"/>
      <c r="AO4327" s="107"/>
      <c r="AP4327" s="107"/>
      <c r="AQ4327" s="107"/>
      <c r="AR4327" s="107"/>
      <c r="AS4327" s="107"/>
      <c r="AT4327" s="107"/>
    </row>
    <row r="4328" spans="1:63" x14ac:dyDescent="0.25">
      <c r="A4328" s="92"/>
      <c r="B4328" s="92"/>
      <c r="C4328" s="92"/>
      <c r="D4328" s="92"/>
      <c r="E4328" s="92"/>
      <c r="F4328" s="92"/>
      <c r="G4328" s="92"/>
      <c r="H4328" s="92"/>
      <c r="I4328" s="92"/>
      <c r="J4328" s="92"/>
      <c r="K4328" s="92"/>
      <c r="L4328" s="92"/>
      <c r="M4328" s="92"/>
      <c r="N4328" s="92"/>
      <c r="AG4328" s="107"/>
      <c r="AH4328" s="117"/>
      <c r="AI4328" s="117"/>
      <c r="AJ4328" s="107"/>
      <c r="AK4328" s="107"/>
      <c r="AL4328" s="107"/>
      <c r="AM4328" s="107"/>
      <c r="AN4328" s="107"/>
      <c r="AO4328" s="107"/>
      <c r="AP4328" s="107"/>
      <c r="AQ4328" s="107"/>
      <c r="AR4328" s="107"/>
      <c r="AS4328" s="107"/>
      <c r="AT4328" s="39"/>
    </row>
    <row r="4329" spans="1:63" x14ac:dyDescent="0.25">
      <c r="A4329" s="92"/>
      <c r="B4329" s="92"/>
      <c r="C4329" s="92"/>
      <c r="D4329" s="92"/>
      <c r="E4329" s="92"/>
      <c r="F4329" s="92"/>
      <c r="G4329" s="92"/>
      <c r="H4329" s="92"/>
      <c r="I4329" s="92"/>
      <c r="J4329" s="92"/>
      <c r="K4329" s="92"/>
      <c r="L4329" s="92"/>
      <c r="M4329" s="92"/>
      <c r="N4329" s="92"/>
      <c r="AG4329" s="107"/>
      <c r="AH4329" s="117"/>
      <c r="AI4329" s="117"/>
      <c r="AJ4329" s="107"/>
      <c r="AK4329" s="107"/>
      <c r="AL4329" s="107"/>
      <c r="AM4329" s="107"/>
      <c r="AN4329" s="107"/>
      <c r="AO4329" s="107"/>
      <c r="AP4329" s="107"/>
      <c r="AQ4329" s="107"/>
      <c r="AR4329" s="107"/>
      <c r="AS4329" s="107"/>
      <c r="AT4329" s="39"/>
    </row>
    <row r="4330" spans="1:63" x14ac:dyDescent="0.25">
      <c r="A4330" s="92"/>
      <c r="B4330" s="92"/>
      <c r="C4330" s="92"/>
      <c r="D4330" s="92"/>
      <c r="E4330" s="92"/>
      <c r="F4330" s="92"/>
      <c r="G4330" s="92"/>
      <c r="H4330" s="92"/>
      <c r="I4330" s="92"/>
      <c r="J4330" s="92"/>
      <c r="K4330" s="92"/>
      <c r="L4330" s="92"/>
      <c r="M4330" s="92"/>
      <c r="N4330" s="92"/>
      <c r="AG4330" s="107"/>
      <c r="AH4330" s="107"/>
      <c r="AI4330" s="107"/>
      <c r="AJ4330" s="107"/>
      <c r="AK4330" s="107"/>
      <c r="AL4330" s="107"/>
      <c r="AM4330" s="107"/>
      <c r="AN4330" s="107"/>
      <c r="AO4330" s="107"/>
      <c r="AP4330" s="107"/>
      <c r="AQ4330" s="107"/>
      <c r="AR4330" s="107"/>
      <c r="AS4330" s="107"/>
      <c r="AT4330" s="107"/>
      <c r="AZ4330" s="117"/>
      <c r="BA4330" s="117"/>
      <c r="BK4330" s="39"/>
    </row>
    <row r="4331" spans="1:63" x14ac:dyDescent="0.25">
      <c r="A4331" s="92"/>
      <c r="B4331" s="92"/>
      <c r="C4331" s="92"/>
      <c r="D4331" s="92"/>
      <c r="E4331" s="92"/>
      <c r="F4331" s="92"/>
      <c r="G4331" s="92"/>
      <c r="H4331" s="92"/>
      <c r="I4331" s="92"/>
      <c r="J4331" s="92"/>
      <c r="K4331" s="92"/>
      <c r="L4331" s="92"/>
      <c r="M4331" s="92"/>
      <c r="N4331" s="92"/>
      <c r="AG4331" s="107"/>
      <c r="AH4331" s="117"/>
      <c r="AI4331" s="117"/>
      <c r="AJ4331" s="107"/>
      <c r="AK4331" s="107"/>
      <c r="AL4331" s="107"/>
      <c r="AM4331" s="107"/>
      <c r="AN4331" s="107"/>
      <c r="AO4331" s="107"/>
      <c r="AP4331" s="107"/>
      <c r="AQ4331" s="107"/>
      <c r="AR4331" s="107"/>
      <c r="AS4331" s="107"/>
      <c r="AT4331" s="39"/>
    </row>
    <row r="4332" spans="1:63" x14ac:dyDescent="0.25">
      <c r="A4332" s="92"/>
      <c r="B4332" s="92"/>
      <c r="C4332" s="92"/>
      <c r="D4332" s="92"/>
      <c r="E4332" s="92"/>
      <c r="F4332" s="92"/>
      <c r="G4332" s="92"/>
      <c r="H4332" s="92"/>
      <c r="I4332" s="92"/>
      <c r="J4332" s="92"/>
      <c r="K4332" s="92"/>
      <c r="L4332" s="92"/>
      <c r="M4332" s="92"/>
      <c r="N4332" s="92"/>
      <c r="AG4332" s="107"/>
      <c r="AH4332" s="117"/>
      <c r="AI4332" s="117"/>
      <c r="AJ4332" s="107"/>
      <c r="AK4332" s="107"/>
      <c r="AL4332" s="107"/>
      <c r="AM4332" s="107"/>
      <c r="AN4332" s="107"/>
      <c r="AO4332" s="107"/>
      <c r="AP4332" s="107"/>
      <c r="AQ4332" s="107"/>
      <c r="AR4332" s="107"/>
      <c r="AS4332" s="107"/>
      <c r="AT4332" s="39"/>
    </row>
    <row r="4333" spans="1:63" x14ac:dyDescent="0.25">
      <c r="A4333" s="92"/>
      <c r="B4333" s="92"/>
      <c r="C4333" s="92"/>
      <c r="D4333" s="92"/>
      <c r="E4333" s="92"/>
      <c r="F4333" s="92"/>
      <c r="G4333" s="92"/>
      <c r="H4333" s="92"/>
      <c r="I4333" s="92"/>
      <c r="J4333" s="92"/>
      <c r="K4333" s="92"/>
      <c r="L4333" s="92"/>
      <c r="M4333" s="92"/>
      <c r="N4333" s="92"/>
      <c r="AG4333" s="107"/>
      <c r="AH4333" s="117"/>
      <c r="AI4333" s="117"/>
      <c r="AJ4333" s="107"/>
      <c r="AK4333" s="107"/>
      <c r="AL4333" s="107"/>
      <c r="AM4333" s="107"/>
      <c r="AN4333" s="107"/>
      <c r="AO4333" s="107"/>
      <c r="AP4333" s="107"/>
      <c r="AQ4333" s="107"/>
      <c r="AR4333" s="107"/>
      <c r="AS4333" s="107"/>
      <c r="AT4333" s="39"/>
      <c r="AZ4333" s="117"/>
      <c r="BA4333" s="117"/>
      <c r="BK4333" s="39"/>
    </row>
    <row r="4334" spans="1:63" x14ac:dyDescent="0.25">
      <c r="A4334" s="92"/>
      <c r="B4334" s="92"/>
      <c r="C4334" s="92"/>
      <c r="D4334" s="92"/>
      <c r="E4334" s="92"/>
      <c r="F4334" s="92"/>
      <c r="G4334" s="92"/>
      <c r="H4334" s="92"/>
      <c r="I4334" s="92"/>
      <c r="J4334" s="92"/>
      <c r="K4334" s="92"/>
      <c r="L4334" s="92"/>
      <c r="M4334" s="92"/>
      <c r="N4334" s="92"/>
      <c r="AG4334" s="107"/>
      <c r="AH4334" s="117"/>
      <c r="AI4334" s="117"/>
      <c r="AJ4334" s="107"/>
      <c r="AK4334" s="107"/>
      <c r="AL4334" s="107"/>
      <c r="AM4334" s="107"/>
      <c r="AN4334" s="107"/>
      <c r="AO4334" s="107"/>
      <c r="AP4334" s="107"/>
      <c r="AQ4334" s="107"/>
      <c r="AR4334" s="107"/>
      <c r="AS4334" s="107"/>
      <c r="AT4334" s="39"/>
    </row>
    <row r="4335" spans="1:63" x14ac:dyDescent="0.25">
      <c r="A4335" s="92"/>
      <c r="B4335" s="92"/>
      <c r="C4335" s="92"/>
      <c r="D4335" s="92"/>
      <c r="E4335" s="92"/>
      <c r="F4335" s="92"/>
      <c r="G4335" s="92"/>
      <c r="H4335" s="92"/>
      <c r="I4335" s="92"/>
      <c r="J4335" s="92"/>
      <c r="K4335" s="92"/>
      <c r="L4335" s="92"/>
      <c r="M4335" s="92"/>
      <c r="N4335" s="92"/>
      <c r="AG4335" s="107"/>
      <c r="AH4335" s="117"/>
      <c r="AI4335" s="117"/>
      <c r="AJ4335" s="107"/>
      <c r="AK4335" s="107"/>
      <c r="AL4335" s="107"/>
      <c r="AM4335" s="107"/>
      <c r="AN4335" s="107"/>
      <c r="AO4335" s="107"/>
      <c r="AP4335" s="107"/>
      <c r="AQ4335" s="107"/>
      <c r="AR4335" s="107"/>
      <c r="AS4335" s="107"/>
      <c r="AT4335" s="39"/>
    </row>
    <row r="4336" spans="1:63" x14ac:dyDescent="0.25">
      <c r="A4336" s="92"/>
      <c r="B4336" s="92"/>
      <c r="C4336" s="92"/>
      <c r="D4336" s="92"/>
      <c r="E4336" s="92"/>
      <c r="F4336" s="92"/>
      <c r="G4336" s="92"/>
      <c r="H4336" s="92"/>
      <c r="I4336" s="92"/>
      <c r="J4336" s="92"/>
      <c r="K4336" s="92"/>
      <c r="L4336" s="92"/>
      <c r="M4336" s="92"/>
      <c r="N4336" s="92"/>
      <c r="AG4336" s="107"/>
      <c r="AH4336" s="107"/>
      <c r="AI4336" s="107"/>
      <c r="AJ4336" s="107"/>
      <c r="AK4336" s="107"/>
      <c r="AL4336" s="107"/>
      <c r="AM4336" s="107"/>
      <c r="AN4336" s="107"/>
      <c r="AO4336" s="107"/>
      <c r="AP4336" s="107"/>
      <c r="AQ4336" s="107"/>
      <c r="AR4336" s="107"/>
      <c r="AS4336" s="107"/>
      <c r="AT4336" s="107"/>
    </row>
    <row r="4337" spans="1:63" x14ac:dyDescent="0.25">
      <c r="A4337" s="92"/>
      <c r="B4337" s="92"/>
      <c r="C4337" s="92"/>
      <c r="D4337" s="92"/>
      <c r="E4337" s="92"/>
      <c r="F4337" s="92"/>
      <c r="G4337" s="92"/>
      <c r="H4337" s="92"/>
      <c r="I4337" s="92"/>
      <c r="J4337" s="92"/>
      <c r="K4337" s="92"/>
      <c r="L4337" s="92"/>
      <c r="M4337" s="92"/>
      <c r="N4337" s="92"/>
      <c r="AG4337" s="107"/>
      <c r="AH4337" s="107"/>
      <c r="AI4337" s="107"/>
      <c r="AJ4337" s="107"/>
      <c r="AK4337" s="107"/>
      <c r="AL4337" s="107"/>
      <c r="AM4337" s="107"/>
      <c r="AN4337" s="107"/>
      <c r="AO4337" s="107"/>
      <c r="AP4337" s="107"/>
      <c r="AQ4337" s="107"/>
      <c r="AR4337" s="107"/>
      <c r="AS4337" s="107"/>
      <c r="AT4337" s="107"/>
    </row>
    <row r="4338" spans="1:63" x14ac:dyDescent="0.25">
      <c r="A4338" s="92"/>
      <c r="B4338" s="92"/>
      <c r="C4338" s="92"/>
      <c r="D4338" s="92"/>
      <c r="E4338" s="92"/>
      <c r="F4338" s="92"/>
      <c r="G4338" s="92"/>
      <c r="H4338" s="92"/>
      <c r="I4338" s="92"/>
      <c r="J4338" s="92"/>
      <c r="K4338" s="92"/>
      <c r="L4338" s="92"/>
      <c r="M4338" s="92"/>
      <c r="N4338" s="92"/>
      <c r="AG4338" s="107"/>
      <c r="AH4338" s="117"/>
      <c r="AI4338" s="117"/>
      <c r="AJ4338" s="117"/>
      <c r="AK4338" s="107"/>
      <c r="AL4338" s="107"/>
      <c r="AM4338" s="107"/>
      <c r="AN4338" s="107"/>
      <c r="AO4338" s="107"/>
      <c r="AP4338" s="107"/>
      <c r="AQ4338" s="107"/>
      <c r="AR4338" s="107"/>
      <c r="AS4338" s="107"/>
      <c r="AT4338" s="39"/>
      <c r="AZ4338" s="117"/>
      <c r="BK4338" s="39"/>
    </row>
    <row r="4339" spans="1:63" x14ac:dyDescent="0.25">
      <c r="A4339" s="92"/>
      <c r="B4339" s="92"/>
      <c r="C4339" s="92"/>
      <c r="D4339" s="92"/>
      <c r="E4339" s="92"/>
      <c r="F4339" s="92"/>
      <c r="G4339" s="92"/>
      <c r="H4339" s="92"/>
      <c r="I4339" s="92"/>
      <c r="J4339" s="92"/>
      <c r="K4339" s="92"/>
      <c r="L4339" s="92"/>
      <c r="M4339" s="92"/>
      <c r="N4339" s="92"/>
      <c r="AG4339" s="107"/>
      <c r="AH4339" s="117"/>
      <c r="AI4339" s="117"/>
      <c r="AJ4339" s="107"/>
      <c r="AK4339" s="107"/>
      <c r="AL4339" s="107"/>
      <c r="AM4339" s="107"/>
      <c r="AN4339" s="107"/>
      <c r="AO4339" s="107"/>
      <c r="AP4339" s="107"/>
      <c r="AQ4339" s="107"/>
      <c r="AR4339" s="107"/>
      <c r="AS4339" s="107"/>
      <c r="AT4339" s="39"/>
      <c r="AZ4339" s="117"/>
      <c r="BK4339" s="39"/>
    </row>
    <row r="4340" spans="1:63" x14ac:dyDescent="0.25">
      <c r="A4340" s="92"/>
      <c r="B4340" s="92"/>
      <c r="C4340" s="92"/>
      <c r="D4340" s="92"/>
      <c r="E4340" s="92"/>
      <c r="F4340" s="92"/>
      <c r="G4340" s="92"/>
      <c r="H4340" s="92"/>
      <c r="I4340" s="92"/>
      <c r="J4340" s="92"/>
      <c r="K4340" s="92"/>
      <c r="L4340" s="92"/>
      <c r="M4340" s="92"/>
      <c r="N4340" s="92"/>
      <c r="AG4340" s="107"/>
      <c r="AH4340" s="117"/>
      <c r="AI4340" s="117"/>
      <c r="AJ4340" s="107"/>
      <c r="AK4340" s="107"/>
      <c r="AL4340" s="107"/>
      <c r="AM4340" s="107"/>
      <c r="AN4340" s="107"/>
      <c r="AO4340" s="107"/>
      <c r="AP4340" s="107"/>
      <c r="AQ4340" s="107"/>
      <c r="AR4340" s="107"/>
      <c r="AS4340" s="107"/>
      <c r="AT4340" s="39"/>
    </row>
    <row r="4341" spans="1:63" x14ac:dyDescent="0.25">
      <c r="A4341" s="92"/>
      <c r="B4341" s="92"/>
      <c r="C4341" s="92"/>
      <c r="D4341" s="92"/>
      <c r="E4341" s="92"/>
      <c r="F4341" s="92"/>
      <c r="G4341" s="92"/>
      <c r="H4341" s="92"/>
      <c r="I4341" s="92"/>
      <c r="J4341" s="92"/>
      <c r="K4341" s="92"/>
      <c r="L4341" s="92"/>
      <c r="M4341" s="92"/>
      <c r="N4341" s="92"/>
      <c r="AG4341" s="107"/>
      <c r="AH4341" s="117"/>
      <c r="AI4341" s="117"/>
      <c r="AJ4341" s="107"/>
      <c r="AK4341" s="107"/>
      <c r="AL4341" s="107"/>
      <c r="AM4341" s="107"/>
      <c r="AN4341" s="107"/>
      <c r="AO4341" s="107"/>
      <c r="AP4341" s="107"/>
      <c r="AQ4341" s="107"/>
      <c r="AR4341" s="107"/>
      <c r="AS4341" s="107"/>
      <c r="AT4341" s="39"/>
      <c r="AZ4341" s="117"/>
      <c r="BK4341" s="39"/>
    </row>
    <row r="4342" spans="1:63" x14ac:dyDescent="0.25">
      <c r="A4342" s="92"/>
      <c r="B4342" s="92"/>
      <c r="C4342" s="92"/>
      <c r="D4342" s="92"/>
      <c r="E4342" s="92"/>
      <c r="F4342" s="92"/>
      <c r="G4342" s="92"/>
      <c r="H4342" s="92"/>
      <c r="I4342" s="92"/>
      <c r="J4342" s="92"/>
      <c r="K4342" s="92"/>
      <c r="L4342" s="92"/>
      <c r="M4342" s="92"/>
      <c r="N4342" s="92"/>
      <c r="AG4342" s="107"/>
      <c r="AH4342" s="117"/>
      <c r="AI4342" s="117"/>
      <c r="AJ4342" s="107"/>
      <c r="AK4342" s="107"/>
      <c r="AL4342" s="107"/>
      <c r="AM4342" s="107"/>
      <c r="AN4342" s="107"/>
      <c r="AO4342" s="107"/>
      <c r="AP4342" s="107"/>
      <c r="AQ4342" s="107"/>
      <c r="AR4342" s="107"/>
      <c r="AS4342" s="107"/>
      <c r="AT4342" s="39"/>
      <c r="AZ4342" s="117"/>
      <c r="BK4342" s="39"/>
    </row>
    <row r="4343" spans="1:63" x14ac:dyDescent="0.25">
      <c r="A4343" s="92"/>
      <c r="B4343" s="92"/>
      <c r="C4343" s="92"/>
      <c r="D4343" s="92"/>
      <c r="E4343" s="92"/>
      <c r="F4343" s="92"/>
      <c r="G4343" s="92"/>
      <c r="H4343" s="92"/>
      <c r="I4343" s="92"/>
      <c r="J4343" s="92"/>
      <c r="K4343" s="92"/>
      <c r="L4343" s="92"/>
      <c r="M4343" s="92"/>
      <c r="N4343" s="92"/>
      <c r="AG4343" s="107"/>
      <c r="AH4343" s="117"/>
      <c r="AI4343" s="117"/>
      <c r="AJ4343" s="117"/>
      <c r="AK4343" s="107"/>
      <c r="AL4343" s="107"/>
      <c r="AM4343" s="107"/>
      <c r="AN4343" s="107"/>
      <c r="AO4343" s="107"/>
      <c r="AP4343" s="107"/>
      <c r="AQ4343" s="107"/>
      <c r="AR4343" s="107"/>
      <c r="AS4343" s="107"/>
      <c r="AT4343" s="39"/>
    </row>
    <row r="4344" spans="1:63" x14ac:dyDescent="0.25">
      <c r="A4344" s="92"/>
      <c r="B4344" s="92"/>
      <c r="C4344" s="92"/>
      <c r="D4344" s="92"/>
      <c r="E4344" s="92"/>
      <c r="F4344" s="92"/>
      <c r="G4344" s="92"/>
      <c r="H4344" s="92"/>
      <c r="I4344" s="92"/>
      <c r="J4344" s="92"/>
      <c r="K4344" s="92"/>
      <c r="L4344" s="92"/>
      <c r="M4344" s="92"/>
      <c r="N4344" s="92"/>
      <c r="AG4344" s="107"/>
      <c r="AH4344" s="107"/>
      <c r="AI4344" s="107"/>
      <c r="AJ4344" s="117"/>
      <c r="AK4344" s="107"/>
      <c r="AL4344" s="107"/>
      <c r="AM4344" s="107"/>
      <c r="AN4344" s="107"/>
      <c r="AO4344" s="107"/>
      <c r="AP4344" s="107"/>
      <c r="AQ4344" s="107"/>
      <c r="AR4344" s="107"/>
      <c r="AS4344" s="107"/>
      <c r="AT4344" s="107"/>
    </row>
    <row r="4345" spans="1:63" x14ac:dyDescent="0.25">
      <c r="A4345" s="92"/>
      <c r="B4345" s="92"/>
      <c r="C4345" s="92"/>
      <c r="D4345" s="92"/>
      <c r="E4345" s="92"/>
      <c r="F4345" s="92"/>
      <c r="G4345" s="92"/>
      <c r="H4345" s="92"/>
      <c r="I4345" s="92"/>
      <c r="J4345" s="92"/>
      <c r="K4345" s="92"/>
      <c r="L4345" s="92"/>
      <c r="M4345" s="92"/>
      <c r="N4345" s="92"/>
      <c r="AG4345" s="107"/>
      <c r="AH4345" s="117"/>
      <c r="AI4345" s="117"/>
      <c r="AJ4345" s="117"/>
      <c r="AK4345" s="107"/>
      <c r="AL4345" s="107"/>
      <c r="AM4345" s="107"/>
      <c r="AN4345" s="107"/>
      <c r="AO4345" s="107"/>
      <c r="AP4345" s="107"/>
      <c r="AQ4345" s="107"/>
      <c r="AR4345" s="107"/>
      <c r="AS4345" s="107"/>
      <c r="AT4345" s="39"/>
    </row>
    <row r="4346" spans="1:63" x14ac:dyDescent="0.25">
      <c r="A4346" s="92"/>
      <c r="B4346" s="92"/>
      <c r="C4346" s="92"/>
      <c r="D4346" s="92"/>
      <c r="E4346" s="92"/>
      <c r="F4346" s="92"/>
      <c r="G4346" s="92"/>
      <c r="H4346" s="92"/>
      <c r="I4346" s="92"/>
      <c r="J4346" s="92"/>
      <c r="K4346" s="92"/>
      <c r="L4346" s="92"/>
      <c r="M4346" s="92"/>
      <c r="N4346" s="92"/>
      <c r="AG4346" s="107"/>
      <c r="AH4346" s="117"/>
      <c r="AI4346" s="117"/>
      <c r="AJ4346" s="107"/>
      <c r="AK4346" s="107"/>
      <c r="AL4346" s="107"/>
      <c r="AM4346" s="107"/>
      <c r="AN4346" s="107"/>
      <c r="AO4346" s="107"/>
      <c r="AP4346" s="107"/>
      <c r="AQ4346" s="107"/>
      <c r="AR4346" s="107"/>
      <c r="AS4346" s="107"/>
      <c r="AT4346" s="39"/>
      <c r="AZ4346" s="117"/>
      <c r="BK4346" s="39"/>
    </row>
    <row r="4347" spans="1:63" x14ac:dyDescent="0.25">
      <c r="A4347" s="92"/>
      <c r="B4347" s="92"/>
      <c r="C4347" s="92"/>
      <c r="D4347" s="92"/>
      <c r="E4347" s="92"/>
      <c r="F4347" s="92"/>
      <c r="G4347" s="92"/>
      <c r="H4347" s="92"/>
      <c r="I4347" s="92"/>
      <c r="J4347" s="92"/>
      <c r="K4347" s="92"/>
      <c r="L4347" s="92"/>
      <c r="M4347" s="92"/>
      <c r="N4347" s="92"/>
      <c r="AG4347" s="107"/>
      <c r="AH4347" s="107"/>
      <c r="AI4347" s="107"/>
      <c r="AJ4347" s="107"/>
      <c r="AK4347" s="107"/>
      <c r="AL4347" s="107"/>
      <c r="AM4347" s="107"/>
      <c r="AN4347" s="107"/>
      <c r="AO4347" s="107"/>
      <c r="AP4347" s="107"/>
      <c r="AQ4347" s="107"/>
      <c r="AR4347" s="107"/>
      <c r="AS4347" s="107"/>
      <c r="AT4347" s="107"/>
      <c r="AZ4347" s="117"/>
      <c r="BK4347" s="39"/>
    </row>
    <row r="4348" spans="1:63" x14ac:dyDescent="0.25">
      <c r="A4348" s="92"/>
      <c r="B4348" s="93"/>
      <c r="C4348" s="93"/>
      <c r="D4348" s="93"/>
      <c r="E4348" s="92"/>
      <c r="F4348" s="92"/>
      <c r="G4348" s="92"/>
      <c r="H4348" s="92"/>
      <c r="I4348" s="92"/>
      <c r="J4348" s="92"/>
      <c r="K4348" s="92"/>
      <c r="L4348" s="92"/>
      <c r="M4348" s="92"/>
      <c r="N4348" s="94"/>
      <c r="AG4348" s="107"/>
      <c r="AH4348" s="117"/>
      <c r="AI4348" s="117"/>
      <c r="AJ4348" s="107"/>
      <c r="AK4348" s="107"/>
      <c r="AL4348" s="107"/>
      <c r="AM4348" s="107"/>
      <c r="AN4348" s="107"/>
      <c r="AO4348" s="107"/>
      <c r="AP4348" s="107"/>
      <c r="AQ4348" s="107"/>
      <c r="AR4348" s="107"/>
      <c r="AS4348" s="107"/>
      <c r="AT4348" s="39"/>
      <c r="AZ4348" s="117"/>
      <c r="BK4348" s="39"/>
    </row>
    <row r="4349" spans="1:63" x14ac:dyDescent="0.25">
      <c r="A4349" s="92"/>
      <c r="B4349" s="92"/>
      <c r="C4349" s="92"/>
      <c r="D4349" s="92"/>
      <c r="E4349" s="92"/>
      <c r="F4349" s="92"/>
      <c r="G4349" s="92"/>
      <c r="H4349" s="92"/>
      <c r="I4349" s="92"/>
      <c r="J4349" s="92"/>
      <c r="K4349" s="92"/>
      <c r="L4349" s="92"/>
      <c r="M4349" s="92"/>
      <c r="N4349" s="92"/>
      <c r="AG4349" s="107"/>
      <c r="AH4349" s="117"/>
      <c r="AI4349" s="117"/>
      <c r="AJ4349" s="107"/>
      <c r="AK4349" s="107"/>
      <c r="AL4349" s="107"/>
      <c r="AM4349" s="107"/>
      <c r="AN4349" s="107"/>
      <c r="AO4349" s="107"/>
      <c r="AP4349" s="107"/>
      <c r="AQ4349" s="107"/>
      <c r="AR4349" s="107"/>
      <c r="AS4349" s="107"/>
      <c r="AT4349" s="39"/>
      <c r="AZ4349" s="117"/>
      <c r="BK4349" s="39"/>
    </row>
    <row r="4350" spans="1:63" x14ac:dyDescent="0.25">
      <c r="A4350" s="92"/>
      <c r="B4350" s="92"/>
      <c r="C4350" s="92"/>
      <c r="D4350" s="92"/>
      <c r="E4350" s="92"/>
      <c r="F4350" s="92"/>
      <c r="G4350" s="92"/>
      <c r="H4350" s="92"/>
      <c r="I4350" s="92"/>
      <c r="J4350" s="92"/>
      <c r="K4350" s="92"/>
      <c r="L4350" s="92"/>
      <c r="M4350" s="92"/>
      <c r="N4350" s="92"/>
      <c r="AG4350" s="107"/>
      <c r="AH4350" s="117"/>
      <c r="AI4350" s="117"/>
      <c r="AJ4350" s="107"/>
      <c r="AK4350" s="107"/>
      <c r="AL4350" s="107"/>
      <c r="AM4350" s="107"/>
      <c r="AN4350" s="107"/>
      <c r="AO4350" s="107"/>
      <c r="AP4350" s="107"/>
      <c r="AQ4350" s="107"/>
      <c r="AR4350" s="107"/>
      <c r="AS4350" s="107"/>
      <c r="AT4350" s="39"/>
      <c r="AZ4350" s="117"/>
      <c r="BK4350" s="39"/>
    </row>
    <row r="4351" spans="1:63" x14ac:dyDescent="0.25">
      <c r="A4351" s="92"/>
      <c r="B4351" s="93"/>
      <c r="C4351" s="93"/>
      <c r="D4351" s="93"/>
      <c r="E4351" s="92"/>
      <c r="F4351" s="92"/>
      <c r="G4351" s="92"/>
      <c r="H4351" s="92"/>
      <c r="I4351" s="92"/>
      <c r="J4351" s="92"/>
      <c r="K4351" s="92"/>
      <c r="L4351" s="92"/>
      <c r="M4351" s="92"/>
      <c r="N4351" s="94"/>
      <c r="AG4351" s="107"/>
      <c r="AH4351" s="117"/>
      <c r="AI4351" s="117"/>
      <c r="AJ4351" s="107"/>
      <c r="AK4351" s="107"/>
      <c r="AL4351" s="107"/>
      <c r="AM4351" s="107"/>
      <c r="AN4351" s="107"/>
      <c r="AO4351" s="107"/>
      <c r="AP4351" s="107"/>
      <c r="AQ4351" s="107"/>
      <c r="AR4351" s="107"/>
      <c r="AS4351" s="107"/>
      <c r="AT4351" s="39"/>
      <c r="AZ4351" s="117"/>
      <c r="BK4351" s="39"/>
    </row>
    <row r="4352" spans="1:63" x14ac:dyDescent="0.25">
      <c r="A4352" s="92"/>
      <c r="B4352" s="92"/>
      <c r="C4352" s="92"/>
      <c r="D4352" s="92"/>
      <c r="E4352" s="92"/>
      <c r="F4352" s="92"/>
      <c r="G4352" s="92"/>
      <c r="H4352" s="92"/>
      <c r="I4352" s="92"/>
      <c r="J4352" s="92"/>
      <c r="K4352" s="92"/>
      <c r="L4352" s="92"/>
      <c r="M4352" s="92"/>
      <c r="N4352" s="92"/>
      <c r="AG4352" s="107"/>
      <c r="AH4352" s="117"/>
      <c r="AI4352" s="117"/>
      <c r="AJ4352" s="107"/>
      <c r="AK4352" s="107"/>
      <c r="AL4352" s="107"/>
      <c r="AM4352" s="107"/>
      <c r="AN4352" s="107"/>
      <c r="AO4352" s="107"/>
      <c r="AP4352" s="107"/>
      <c r="AQ4352" s="107"/>
      <c r="AR4352" s="107"/>
      <c r="AS4352" s="107"/>
      <c r="AT4352" s="39"/>
      <c r="AZ4352" s="117"/>
      <c r="BK4352" s="39"/>
    </row>
    <row r="4353" spans="1:63" x14ac:dyDescent="0.25">
      <c r="A4353" s="92"/>
      <c r="B4353" s="92"/>
      <c r="C4353" s="92"/>
      <c r="D4353" s="92"/>
      <c r="E4353" s="92"/>
      <c r="F4353" s="92"/>
      <c r="G4353" s="92"/>
      <c r="H4353" s="92"/>
      <c r="I4353" s="92"/>
      <c r="J4353" s="92"/>
      <c r="K4353" s="92"/>
      <c r="L4353" s="92"/>
      <c r="M4353" s="92"/>
      <c r="N4353" s="92"/>
      <c r="AG4353" s="107"/>
      <c r="AH4353" s="107"/>
      <c r="AI4353" s="107"/>
      <c r="AJ4353" s="107"/>
      <c r="AK4353" s="107"/>
      <c r="AL4353" s="107"/>
      <c r="AM4353" s="107"/>
      <c r="AN4353" s="107"/>
      <c r="AO4353" s="107"/>
      <c r="AP4353" s="107"/>
      <c r="AQ4353" s="107"/>
      <c r="AR4353" s="107"/>
      <c r="AS4353" s="107"/>
      <c r="AT4353" s="107"/>
      <c r="AZ4353" s="117"/>
      <c r="BK4353" s="39"/>
    </row>
    <row r="4354" spans="1:63" x14ac:dyDescent="0.25">
      <c r="A4354" s="92"/>
      <c r="B4354" s="92"/>
      <c r="C4354" s="92"/>
      <c r="D4354" s="92"/>
      <c r="E4354" s="92"/>
      <c r="F4354" s="92"/>
      <c r="G4354" s="92"/>
      <c r="H4354" s="92"/>
      <c r="I4354" s="92"/>
      <c r="J4354" s="92"/>
      <c r="K4354" s="92"/>
      <c r="L4354" s="92"/>
      <c r="M4354" s="92"/>
      <c r="N4354" s="92"/>
      <c r="AG4354" s="107"/>
      <c r="AH4354" s="117"/>
      <c r="AI4354" s="117"/>
      <c r="AJ4354" s="107"/>
      <c r="AK4354" s="107"/>
      <c r="AL4354" s="107"/>
      <c r="AM4354" s="107"/>
      <c r="AN4354" s="107"/>
      <c r="AO4354" s="107"/>
      <c r="AP4354" s="107"/>
      <c r="AQ4354" s="107"/>
      <c r="AR4354" s="107"/>
      <c r="AS4354" s="107"/>
      <c r="AT4354" s="39"/>
      <c r="AZ4354" s="117"/>
      <c r="BK4354" s="39"/>
    </row>
    <row r="4355" spans="1:63" x14ac:dyDescent="0.25">
      <c r="A4355" s="92"/>
      <c r="B4355" s="92"/>
      <c r="C4355" s="92"/>
      <c r="D4355" s="92"/>
      <c r="E4355" s="92"/>
      <c r="F4355" s="92"/>
      <c r="G4355" s="92"/>
      <c r="H4355" s="92"/>
      <c r="I4355" s="92"/>
      <c r="J4355" s="92"/>
      <c r="K4355" s="92"/>
      <c r="L4355" s="92"/>
      <c r="M4355" s="92"/>
      <c r="N4355" s="92"/>
      <c r="AG4355" s="107"/>
      <c r="AH4355" s="117"/>
      <c r="AI4355" s="117"/>
      <c r="AJ4355" s="107"/>
      <c r="AK4355" s="107"/>
      <c r="AL4355" s="107"/>
      <c r="AM4355" s="107"/>
      <c r="AN4355" s="107"/>
      <c r="AO4355" s="107"/>
      <c r="AP4355" s="107"/>
      <c r="AQ4355" s="107"/>
      <c r="AR4355" s="107"/>
      <c r="AS4355" s="107"/>
      <c r="AT4355" s="39"/>
      <c r="AZ4355" s="117"/>
      <c r="BA4355" s="117"/>
      <c r="BK4355" s="39"/>
    </row>
    <row r="4356" spans="1:63" x14ac:dyDescent="0.25">
      <c r="A4356" s="92"/>
      <c r="B4356" s="93"/>
      <c r="C4356" s="93"/>
      <c r="D4356" s="92"/>
      <c r="E4356" s="92"/>
      <c r="F4356" s="92"/>
      <c r="G4356" s="92"/>
      <c r="H4356" s="92"/>
      <c r="I4356" s="92"/>
      <c r="J4356" s="92"/>
      <c r="K4356" s="92"/>
      <c r="L4356" s="92"/>
      <c r="M4356" s="92"/>
      <c r="N4356" s="94"/>
      <c r="AG4356" s="107"/>
      <c r="AH4356" s="117"/>
      <c r="AI4356" s="117"/>
      <c r="AJ4356" s="107"/>
      <c r="AK4356" s="107"/>
      <c r="AL4356" s="107"/>
      <c r="AM4356" s="107"/>
      <c r="AN4356" s="107"/>
      <c r="AO4356" s="107"/>
      <c r="AP4356" s="107"/>
      <c r="AQ4356" s="107"/>
      <c r="AR4356" s="107"/>
      <c r="AS4356" s="107"/>
      <c r="AT4356" s="39"/>
      <c r="AZ4356" s="117"/>
      <c r="BK4356" s="39"/>
    </row>
    <row r="4357" spans="1:63" x14ac:dyDescent="0.25">
      <c r="A4357" s="92"/>
      <c r="B4357" s="93"/>
      <c r="C4357" s="93"/>
      <c r="D4357" s="92"/>
      <c r="E4357" s="92"/>
      <c r="F4357" s="92"/>
      <c r="G4357" s="92"/>
      <c r="H4357" s="92"/>
      <c r="I4357" s="92"/>
      <c r="J4357" s="92"/>
      <c r="K4357" s="92"/>
      <c r="L4357" s="92"/>
      <c r="M4357" s="92"/>
      <c r="N4357" s="94"/>
      <c r="AG4357" s="107"/>
      <c r="AH4357" s="117"/>
      <c r="AI4357" s="117"/>
      <c r="AJ4357" s="107"/>
      <c r="AK4357" s="107"/>
      <c r="AL4357" s="107"/>
      <c r="AM4357" s="107"/>
      <c r="AN4357" s="107"/>
      <c r="AO4357" s="107"/>
      <c r="AP4357" s="107"/>
      <c r="AQ4357" s="107"/>
      <c r="AR4357" s="107"/>
      <c r="AS4357" s="107"/>
      <c r="AT4357" s="39"/>
      <c r="AZ4357" s="117"/>
      <c r="BA4357" s="117"/>
      <c r="BK4357" s="39"/>
    </row>
    <row r="4358" spans="1:63" x14ac:dyDescent="0.25">
      <c r="A4358" s="92"/>
      <c r="B4358" s="92"/>
      <c r="C4358" s="92"/>
      <c r="D4358" s="92"/>
      <c r="E4358" s="92"/>
      <c r="F4358" s="92"/>
      <c r="G4358" s="92"/>
      <c r="H4358" s="92"/>
      <c r="I4358" s="92"/>
      <c r="J4358" s="92"/>
      <c r="K4358" s="92"/>
      <c r="L4358" s="92"/>
      <c r="M4358" s="92"/>
      <c r="N4358" s="92"/>
      <c r="AG4358" s="107"/>
      <c r="AH4358" s="107"/>
      <c r="AI4358" s="107"/>
      <c r="AJ4358" s="107"/>
      <c r="AK4358" s="107"/>
      <c r="AL4358" s="107"/>
      <c r="AM4358" s="107"/>
      <c r="AN4358" s="107"/>
      <c r="AO4358" s="107"/>
      <c r="AP4358" s="107"/>
      <c r="AQ4358" s="107"/>
      <c r="AR4358" s="107"/>
      <c r="AS4358" s="107"/>
      <c r="AT4358" s="107"/>
      <c r="BA4358" s="117"/>
    </row>
    <row r="4359" spans="1:63" x14ac:dyDescent="0.25">
      <c r="A4359" s="92"/>
      <c r="B4359" s="93"/>
      <c r="C4359" s="93"/>
      <c r="D4359" s="92"/>
      <c r="E4359" s="92"/>
      <c r="F4359" s="92"/>
      <c r="G4359" s="92"/>
      <c r="H4359" s="92"/>
      <c r="I4359" s="92"/>
      <c r="J4359" s="92"/>
      <c r="K4359" s="92"/>
      <c r="L4359" s="92"/>
      <c r="M4359" s="92"/>
      <c r="N4359" s="94"/>
      <c r="AG4359" s="107"/>
      <c r="AH4359" s="117"/>
      <c r="AI4359" s="107"/>
      <c r="AJ4359" s="117"/>
      <c r="AK4359" s="107"/>
      <c r="AL4359" s="107"/>
      <c r="AM4359" s="107"/>
      <c r="AN4359" s="107"/>
      <c r="AO4359" s="107"/>
      <c r="AP4359" s="107"/>
      <c r="AQ4359" s="107"/>
      <c r="AR4359" s="107"/>
      <c r="AS4359" s="107"/>
      <c r="AT4359" s="39"/>
      <c r="BA4359" s="117"/>
    </row>
    <row r="4360" spans="1:63" x14ac:dyDescent="0.25">
      <c r="A4360" s="92"/>
      <c r="B4360" s="93"/>
      <c r="C4360" s="93"/>
      <c r="D4360" s="92"/>
      <c r="E4360" s="92"/>
      <c r="F4360" s="92"/>
      <c r="G4360" s="92"/>
      <c r="H4360" s="92"/>
      <c r="I4360" s="92"/>
      <c r="J4360" s="92"/>
      <c r="K4360" s="92"/>
      <c r="L4360" s="92"/>
      <c r="M4360" s="92"/>
      <c r="N4360" s="94"/>
      <c r="AG4360" s="107"/>
      <c r="AH4360" s="107"/>
      <c r="AI4360" s="107"/>
      <c r="AJ4360" s="107"/>
      <c r="AK4360" s="107"/>
      <c r="AL4360" s="107"/>
      <c r="AM4360" s="107"/>
      <c r="AN4360" s="107"/>
      <c r="AO4360" s="107"/>
      <c r="AP4360" s="107"/>
      <c r="AQ4360" s="107"/>
      <c r="AR4360" s="107"/>
      <c r="AS4360" s="107"/>
      <c r="AT4360" s="107"/>
    </row>
    <row r="4361" spans="1:63" x14ac:dyDescent="0.25">
      <c r="A4361" s="92"/>
      <c r="B4361" s="92"/>
      <c r="C4361" s="92"/>
      <c r="D4361" s="92"/>
      <c r="E4361" s="92"/>
      <c r="F4361" s="92"/>
      <c r="G4361" s="92"/>
      <c r="H4361" s="92"/>
      <c r="I4361" s="92"/>
      <c r="J4361" s="92"/>
      <c r="K4361" s="92"/>
      <c r="L4361" s="92"/>
      <c r="M4361" s="92"/>
      <c r="N4361" s="92"/>
      <c r="AG4361" s="107"/>
      <c r="AH4361" s="107"/>
      <c r="AI4361" s="107"/>
      <c r="AJ4361" s="107"/>
      <c r="AK4361" s="107"/>
      <c r="AL4361" s="107"/>
      <c r="AM4361" s="107"/>
      <c r="AN4361" s="107"/>
      <c r="AO4361" s="107"/>
      <c r="AP4361" s="107"/>
      <c r="AQ4361" s="107"/>
      <c r="AR4361" s="107"/>
      <c r="AS4361" s="107"/>
      <c r="AT4361" s="107"/>
    </row>
    <row r="4362" spans="1:63" x14ac:dyDescent="0.25">
      <c r="A4362" s="92"/>
      <c r="B4362" s="92"/>
      <c r="C4362" s="92"/>
      <c r="D4362" s="92"/>
      <c r="E4362" s="92"/>
      <c r="F4362" s="92"/>
      <c r="G4362" s="92"/>
      <c r="H4362" s="92"/>
      <c r="I4362" s="92"/>
      <c r="J4362" s="92"/>
      <c r="K4362" s="92"/>
      <c r="L4362" s="92"/>
      <c r="M4362" s="92"/>
      <c r="N4362" s="92"/>
      <c r="AG4362" s="107"/>
      <c r="AH4362" s="107"/>
      <c r="AI4362" s="107"/>
      <c r="AJ4362" s="107"/>
      <c r="AK4362" s="107"/>
      <c r="AL4362" s="107"/>
      <c r="AM4362" s="107"/>
      <c r="AN4362" s="107"/>
      <c r="AO4362" s="107"/>
      <c r="AP4362" s="107"/>
      <c r="AQ4362" s="107"/>
      <c r="AR4362" s="107"/>
      <c r="AS4362" s="107"/>
      <c r="AT4362" s="107"/>
    </row>
    <row r="4363" spans="1:63" x14ac:dyDescent="0.25">
      <c r="A4363" s="92"/>
      <c r="B4363" s="92"/>
      <c r="C4363" s="92"/>
      <c r="D4363" s="92"/>
      <c r="E4363" s="92"/>
      <c r="F4363" s="92"/>
      <c r="G4363" s="92"/>
      <c r="H4363" s="92"/>
      <c r="I4363" s="92"/>
      <c r="J4363" s="92"/>
      <c r="K4363" s="92"/>
      <c r="L4363" s="92"/>
      <c r="M4363" s="92"/>
      <c r="N4363" s="92"/>
      <c r="AG4363" s="107"/>
      <c r="AH4363" s="107"/>
      <c r="AI4363" s="107"/>
      <c r="AJ4363" s="107"/>
      <c r="AK4363" s="107"/>
      <c r="AL4363" s="107"/>
      <c r="AM4363" s="107"/>
      <c r="AN4363" s="107"/>
      <c r="AO4363" s="107"/>
      <c r="AP4363" s="107"/>
      <c r="AQ4363" s="107"/>
      <c r="AR4363" s="107"/>
      <c r="AS4363" s="107"/>
      <c r="AT4363" s="107"/>
    </row>
    <row r="4364" spans="1:63" x14ac:dyDescent="0.25">
      <c r="A4364" s="92"/>
      <c r="B4364" s="93"/>
      <c r="C4364" s="93"/>
      <c r="D4364" s="92"/>
      <c r="E4364" s="92"/>
      <c r="F4364" s="92"/>
      <c r="G4364" s="92"/>
      <c r="H4364" s="92"/>
      <c r="I4364" s="92"/>
      <c r="J4364" s="92"/>
      <c r="K4364" s="92"/>
      <c r="L4364" s="92"/>
      <c r="M4364" s="92"/>
      <c r="N4364" s="94"/>
      <c r="AG4364" s="107"/>
      <c r="AH4364" s="107"/>
      <c r="AI4364" s="107"/>
      <c r="AJ4364" s="107"/>
      <c r="AK4364" s="107"/>
      <c r="AL4364" s="107"/>
      <c r="AM4364" s="107"/>
      <c r="AN4364" s="107"/>
      <c r="AO4364" s="107"/>
      <c r="AP4364" s="107"/>
      <c r="AQ4364" s="107"/>
      <c r="AR4364" s="107"/>
      <c r="AS4364" s="107"/>
      <c r="AT4364" s="107"/>
    </row>
    <row r="4365" spans="1:63" x14ac:dyDescent="0.25">
      <c r="A4365" s="92"/>
      <c r="B4365" s="93"/>
      <c r="C4365" s="93"/>
      <c r="D4365" s="92"/>
      <c r="E4365" s="92"/>
      <c r="F4365" s="92"/>
      <c r="G4365" s="92"/>
      <c r="H4365" s="92"/>
      <c r="I4365" s="92"/>
      <c r="J4365" s="92"/>
      <c r="K4365" s="92"/>
      <c r="L4365" s="92"/>
      <c r="M4365" s="92"/>
      <c r="N4365" s="94"/>
      <c r="AG4365" s="107"/>
      <c r="AH4365" s="107"/>
      <c r="AI4365" s="107"/>
      <c r="AJ4365" s="107"/>
      <c r="AK4365" s="107"/>
      <c r="AL4365" s="107"/>
      <c r="AM4365" s="107"/>
      <c r="AN4365" s="107"/>
      <c r="AO4365" s="107"/>
      <c r="AP4365" s="107"/>
      <c r="AQ4365" s="107"/>
      <c r="AR4365" s="107"/>
      <c r="AS4365" s="107"/>
      <c r="AT4365" s="107"/>
    </row>
    <row r="4366" spans="1:63" x14ac:dyDescent="0.25">
      <c r="A4366" s="92"/>
      <c r="B4366" s="93"/>
      <c r="C4366" s="93"/>
      <c r="D4366" s="92"/>
      <c r="E4366" s="92"/>
      <c r="F4366" s="92"/>
      <c r="G4366" s="92"/>
      <c r="H4366" s="92"/>
      <c r="I4366" s="92"/>
      <c r="J4366" s="92"/>
      <c r="K4366" s="92"/>
      <c r="L4366" s="92"/>
      <c r="M4366" s="92"/>
      <c r="N4366" s="94"/>
      <c r="AG4366" s="107"/>
      <c r="AH4366" s="117"/>
      <c r="AI4366" s="107"/>
      <c r="AJ4366" s="117"/>
      <c r="AK4366" s="107"/>
      <c r="AL4366" s="107"/>
      <c r="AM4366" s="107"/>
      <c r="AN4366" s="107"/>
      <c r="AO4366" s="107"/>
      <c r="AP4366" s="107"/>
      <c r="AQ4366" s="107"/>
      <c r="AR4366" s="107"/>
      <c r="AS4366" s="107"/>
      <c r="AT4366" s="39"/>
    </row>
    <row r="4367" spans="1:63" x14ac:dyDescent="0.25">
      <c r="A4367" s="92"/>
      <c r="B4367" s="93"/>
      <c r="C4367" s="93"/>
      <c r="D4367" s="93"/>
      <c r="E4367" s="92"/>
      <c r="F4367" s="92"/>
      <c r="G4367" s="92"/>
      <c r="H4367" s="92"/>
      <c r="I4367" s="92"/>
      <c r="J4367" s="92"/>
      <c r="K4367" s="92"/>
      <c r="L4367" s="92"/>
      <c r="M4367" s="92"/>
      <c r="N4367" s="94"/>
      <c r="AG4367" s="107"/>
      <c r="AH4367" s="107"/>
      <c r="AI4367" s="107"/>
      <c r="AJ4367" s="117"/>
      <c r="AK4367" s="107"/>
      <c r="AL4367" s="107"/>
      <c r="AM4367" s="107"/>
      <c r="AN4367" s="107"/>
      <c r="AO4367" s="107"/>
      <c r="AP4367" s="107"/>
      <c r="AQ4367" s="107"/>
      <c r="AR4367" s="107"/>
      <c r="AS4367" s="107"/>
      <c r="AT4367" s="107"/>
      <c r="AZ4367" s="117"/>
      <c r="BK4367" s="39"/>
    </row>
    <row r="4368" spans="1:63" x14ac:dyDescent="0.25">
      <c r="A4368" s="92"/>
      <c r="B4368" s="92"/>
      <c r="C4368" s="92"/>
      <c r="D4368" s="93"/>
      <c r="E4368" s="92"/>
      <c r="F4368" s="92"/>
      <c r="G4368" s="92"/>
      <c r="H4368" s="92"/>
      <c r="I4368" s="92"/>
      <c r="J4368" s="92"/>
      <c r="K4368" s="92"/>
      <c r="L4368" s="92"/>
      <c r="M4368" s="92"/>
      <c r="N4368" s="92"/>
      <c r="AG4368" s="107"/>
      <c r="AH4368" s="107"/>
      <c r="AI4368" s="107"/>
      <c r="AJ4368" s="107"/>
      <c r="AK4368" s="107"/>
      <c r="AL4368" s="107"/>
      <c r="AM4368" s="107"/>
      <c r="AN4368" s="107"/>
      <c r="AO4368" s="107"/>
      <c r="AP4368" s="107"/>
      <c r="AQ4368" s="107"/>
      <c r="AR4368" s="107"/>
      <c r="AS4368" s="107"/>
      <c r="AT4368" s="107"/>
      <c r="AZ4368" s="117"/>
      <c r="BK4368" s="39"/>
    </row>
    <row r="4369" spans="1:63" x14ac:dyDescent="0.25">
      <c r="A4369" s="92"/>
      <c r="B4369" s="93"/>
      <c r="C4369" s="93"/>
      <c r="D4369" s="92"/>
      <c r="E4369" s="92"/>
      <c r="F4369" s="92"/>
      <c r="G4369" s="92"/>
      <c r="H4369" s="92"/>
      <c r="I4369" s="92"/>
      <c r="J4369" s="92"/>
      <c r="K4369" s="92"/>
      <c r="L4369" s="92"/>
      <c r="M4369" s="92"/>
      <c r="N4369" s="94"/>
      <c r="AG4369" s="107"/>
      <c r="AH4369" s="107"/>
      <c r="AI4369" s="107"/>
      <c r="AJ4369" s="107"/>
      <c r="AK4369" s="107"/>
      <c r="AL4369" s="107"/>
      <c r="AM4369" s="107"/>
      <c r="AN4369" s="107"/>
      <c r="AO4369" s="107"/>
      <c r="AP4369" s="107"/>
      <c r="AQ4369" s="107"/>
      <c r="AR4369" s="107"/>
      <c r="AS4369" s="107"/>
      <c r="AT4369" s="107"/>
      <c r="AZ4369" s="117"/>
      <c r="BK4369" s="39"/>
    </row>
    <row r="4370" spans="1:63" x14ac:dyDescent="0.25">
      <c r="A4370" s="92"/>
      <c r="B4370" s="93"/>
      <c r="C4370" s="93"/>
      <c r="D4370" s="92"/>
      <c r="E4370" s="92"/>
      <c r="F4370" s="92"/>
      <c r="G4370" s="92"/>
      <c r="H4370" s="92"/>
      <c r="I4370" s="92"/>
      <c r="J4370" s="92"/>
      <c r="K4370" s="92"/>
      <c r="L4370" s="92"/>
      <c r="M4370" s="92"/>
      <c r="N4370" s="94"/>
      <c r="AG4370" s="107"/>
      <c r="AH4370" s="107"/>
      <c r="AI4370" s="107"/>
      <c r="AJ4370" s="107"/>
      <c r="AK4370" s="107"/>
      <c r="AL4370" s="107"/>
      <c r="AM4370" s="107"/>
      <c r="AN4370" s="107"/>
      <c r="AO4370" s="107"/>
      <c r="AP4370" s="107"/>
      <c r="AQ4370" s="107"/>
      <c r="AR4370" s="107"/>
      <c r="AS4370" s="107"/>
      <c r="AT4370" s="107"/>
      <c r="AZ4370" s="117"/>
      <c r="BK4370" s="39"/>
    </row>
    <row r="4371" spans="1:63" x14ac:dyDescent="0.25">
      <c r="A4371" s="92"/>
      <c r="B4371" s="93"/>
      <c r="C4371" s="93"/>
      <c r="D4371" s="92"/>
      <c r="E4371" s="92"/>
      <c r="F4371" s="92"/>
      <c r="G4371" s="92"/>
      <c r="H4371" s="92"/>
      <c r="I4371" s="92"/>
      <c r="J4371" s="92"/>
      <c r="K4371" s="92"/>
      <c r="L4371" s="92"/>
      <c r="M4371" s="92"/>
      <c r="N4371" s="94"/>
      <c r="AG4371" s="107"/>
      <c r="AH4371" s="107"/>
      <c r="AI4371" s="107"/>
      <c r="AJ4371" s="107"/>
      <c r="AK4371" s="107"/>
      <c r="AL4371" s="107"/>
      <c r="AM4371" s="107"/>
      <c r="AN4371" s="107"/>
      <c r="AO4371" s="107"/>
      <c r="AP4371" s="107"/>
      <c r="AQ4371" s="107"/>
      <c r="AR4371" s="107"/>
      <c r="AS4371" s="107"/>
      <c r="AT4371" s="107"/>
      <c r="AZ4371" s="117"/>
      <c r="BA4371" s="117"/>
      <c r="BK4371" s="39"/>
    </row>
    <row r="4372" spans="1:63" x14ac:dyDescent="0.25">
      <c r="A4372" s="92"/>
      <c r="B4372" s="93"/>
      <c r="C4372" s="93"/>
      <c r="D4372" s="92"/>
      <c r="E4372" s="92"/>
      <c r="F4372" s="92"/>
      <c r="G4372" s="92"/>
      <c r="H4372" s="92"/>
      <c r="I4372" s="92"/>
      <c r="J4372" s="92"/>
      <c r="K4372" s="92"/>
      <c r="L4372" s="92"/>
      <c r="M4372" s="92"/>
      <c r="N4372" s="94"/>
      <c r="AG4372" s="107"/>
      <c r="AH4372" s="117"/>
      <c r="AI4372" s="107"/>
      <c r="AJ4372" s="117"/>
      <c r="AK4372" s="107"/>
      <c r="AL4372" s="107"/>
      <c r="AM4372" s="107"/>
      <c r="AN4372" s="107"/>
      <c r="AO4372" s="107"/>
      <c r="AP4372" s="107"/>
      <c r="AQ4372" s="107"/>
      <c r="AR4372" s="107"/>
      <c r="AS4372" s="107"/>
      <c r="AT4372" s="39"/>
      <c r="BA4372" s="117"/>
    </row>
    <row r="4373" spans="1:63" x14ac:dyDescent="0.25">
      <c r="A4373" s="92"/>
      <c r="B4373" s="93"/>
      <c r="C4373" s="93"/>
      <c r="D4373" s="92"/>
      <c r="E4373" s="92"/>
      <c r="F4373" s="92"/>
      <c r="G4373" s="92"/>
      <c r="H4373" s="92"/>
      <c r="I4373" s="92"/>
      <c r="J4373" s="92"/>
      <c r="K4373" s="92"/>
      <c r="L4373" s="92"/>
      <c r="M4373" s="92"/>
      <c r="N4373" s="94"/>
      <c r="AG4373" s="107"/>
      <c r="AH4373" s="107"/>
      <c r="AI4373" s="107"/>
      <c r="AJ4373" s="107"/>
      <c r="AK4373" s="107"/>
      <c r="AL4373" s="107"/>
      <c r="AM4373" s="107"/>
      <c r="AN4373" s="107"/>
      <c r="AO4373" s="107"/>
      <c r="AP4373" s="107"/>
      <c r="AQ4373" s="107"/>
      <c r="AR4373" s="107"/>
      <c r="AS4373" s="107"/>
      <c r="AT4373" s="107"/>
      <c r="BA4373" s="117"/>
    </row>
    <row r="4374" spans="1:63" x14ac:dyDescent="0.25">
      <c r="A4374" s="92"/>
      <c r="B4374" s="93"/>
      <c r="C4374" s="93"/>
      <c r="D4374" s="93"/>
      <c r="E4374" s="92"/>
      <c r="F4374" s="92"/>
      <c r="G4374" s="92"/>
      <c r="H4374" s="92"/>
      <c r="I4374" s="92"/>
      <c r="J4374" s="92"/>
      <c r="K4374" s="92"/>
      <c r="L4374" s="92"/>
      <c r="M4374" s="92"/>
      <c r="N4374" s="94"/>
      <c r="AG4374" s="107"/>
      <c r="AH4374" s="107"/>
      <c r="AI4374" s="107"/>
      <c r="AJ4374" s="107"/>
      <c r="AK4374" s="107"/>
      <c r="AL4374" s="107"/>
      <c r="AM4374" s="107"/>
      <c r="AN4374" s="107"/>
      <c r="AO4374" s="107"/>
      <c r="AP4374" s="107"/>
      <c r="AQ4374" s="107"/>
      <c r="AR4374" s="107"/>
      <c r="AS4374" s="107"/>
      <c r="AT4374" s="107"/>
      <c r="AZ4374" s="117"/>
      <c r="BK4374" s="39"/>
    </row>
    <row r="4375" spans="1:63" x14ac:dyDescent="0.25">
      <c r="A4375" s="92"/>
      <c r="B4375" s="93"/>
      <c r="C4375" s="93"/>
      <c r="D4375" s="92"/>
      <c r="E4375" s="92"/>
      <c r="F4375" s="92"/>
      <c r="G4375" s="92"/>
      <c r="H4375" s="92"/>
      <c r="I4375" s="92"/>
      <c r="J4375" s="92"/>
      <c r="K4375" s="92"/>
      <c r="L4375" s="92"/>
      <c r="M4375" s="92"/>
      <c r="N4375" s="94"/>
      <c r="AG4375" s="107"/>
      <c r="AH4375" s="107"/>
      <c r="AI4375" s="107"/>
      <c r="AJ4375" s="107"/>
      <c r="AK4375" s="107"/>
      <c r="AL4375" s="107"/>
      <c r="AM4375" s="107"/>
      <c r="AN4375" s="107"/>
      <c r="AO4375" s="107"/>
      <c r="AP4375" s="107"/>
      <c r="AQ4375" s="107"/>
      <c r="AR4375" s="107"/>
      <c r="AS4375" s="107"/>
      <c r="AT4375" s="107"/>
      <c r="AZ4375" s="117"/>
      <c r="BA4375" s="117"/>
      <c r="BK4375" s="39"/>
    </row>
    <row r="4376" spans="1:63" x14ac:dyDescent="0.25">
      <c r="A4376" s="92"/>
      <c r="B4376" s="93"/>
      <c r="C4376" s="93"/>
      <c r="D4376" s="93"/>
      <c r="E4376" s="92"/>
      <c r="F4376" s="92"/>
      <c r="G4376" s="92"/>
      <c r="H4376" s="92"/>
      <c r="I4376" s="92"/>
      <c r="J4376" s="92"/>
      <c r="K4376" s="92"/>
      <c r="L4376" s="92"/>
      <c r="M4376" s="92"/>
      <c r="N4376" s="94"/>
      <c r="AG4376" s="107"/>
      <c r="AH4376" s="107"/>
      <c r="AI4376" s="107"/>
      <c r="AJ4376" s="107"/>
      <c r="AK4376" s="107"/>
      <c r="AL4376" s="107"/>
      <c r="AM4376" s="107"/>
      <c r="AN4376" s="107"/>
      <c r="AO4376" s="107"/>
      <c r="AP4376" s="107"/>
      <c r="AQ4376" s="107"/>
      <c r="AR4376" s="107"/>
      <c r="AS4376" s="107"/>
      <c r="AT4376" s="107"/>
      <c r="AZ4376" s="117"/>
      <c r="BK4376" s="39"/>
    </row>
    <row r="4377" spans="1:63" x14ac:dyDescent="0.25">
      <c r="A4377" s="92"/>
      <c r="B4377" s="92"/>
      <c r="C4377" s="92"/>
      <c r="D4377" s="93"/>
      <c r="E4377" s="92"/>
      <c r="F4377" s="92"/>
      <c r="G4377" s="92"/>
      <c r="H4377" s="92"/>
      <c r="I4377" s="92"/>
      <c r="J4377" s="92"/>
      <c r="K4377" s="92"/>
      <c r="L4377" s="92"/>
      <c r="M4377" s="92"/>
      <c r="N4377" s="92"/>
      <c r="AG4377" s="107"/>
      <c r="AH4377" s="107"/>
      <c r="AI4377" s="107"/>
      <c r="AJ4377" s="107"/>
      <c r="AK4377" s="107"/>
      <c r="AL4377" s="107"/>
      <c r="AM4377" s="107"/>
      <c r="AN4377" s="107"/>
      <c r="AO4377" s="107"/>
      <c r="AP4377" s="107"/>
      <c r="AQ4377" s="107"/>
      <c r="AR4377" s="107"/>
      <c r="AS4377" s="107"/>
      <c r="AT4377" s="107"/>
    </row>
    <row r="4378" spans="1:63" x14ac:dyDescent="0.25">
      <c r="A4378" s="92"/>
      <c r="B4378" s="92"/>
      <c r="C4378" s="92"/>
      <c r="D4378" s="93"/>
      <c r="E4378" s="92"/>
      <c r="F4378" s="92"/>
      <c r="G4378" s="92"/>
      <c r="H4378" s="92"/>
      <c r="I4378" s="92"/>
      <c r="J4378" s="92"/>
      <c r="K4378" s="92"/>
      <c r="L4378" s="92"/>
      <c r="M4378" s="92"/>
      <c r="N4378" s="92"/>
      <c r="AG4378" s="107"/>
      <c r="AH4378" s="117"/>
      <c r="AI4378" s="117"/>
      <c r="AJ4378" s="107"/>
      <c r="AK4378" s="107"/>
      <c r="AL4378" s="107"/>
      <c r="AM4378" s="107"/>
      <c r="AN4378" s="107"/>
      <c r="AO4378" s="107"/>
      <c r="AP4378" s="107"/>
      <c r="AQ4378" s="107"/>
      <c r="AR4378" s="107"/>
      <c r="AS4378" s="107"/>
      <c r="AT4378" s="39"/>
      <c r="AZ4378" s="117"/>
      <c r="BK4378" s="39"/>
    </row>
    <row r="4379" spans="1:63" x14ac:dyDescent="0.25">
      <c r="A4379" s="92"/>
      <c r="B4379" s="92"/>
      <c r="C4379" s="92"/>
      <c r="D4379" s="92"/>
      <c r="E4379" s="92"/>
      <c r="F4379" s="92"/>
      <c r="G4379" s="92"/>
      <c r="H4379" s="92"/>
      <c r="I4379" s="92"/>
      <c r="J4379" s="92"/>
      <c r="K4379" s="92"/>
      <c r="L4379" s="92"/>
      <c r="M4379" s="92"/>
      <c r="N4379" s="92"/>
      <c r="AG4379" s="107"/>
      <c r="AH4379" s="107"/>
      <c r="AI4379" s="107"/>
      <c r="AJ4379" s="107"/>
      <c r="AK4379" s="107"/>
      <c r="AL4379" s="107"/>
      <c r="AM4379" s="107"/>
      <c r="AN4379" s="107"/>
      <c r="AO4379" s="107"/>
      <c r="AP4379" s="107"/>
      <c r="AQ4379" s="107"/>
      <c r="AR4379" s="107"/>
      <c r="AS4379" s="107"/>
      <c r="AT4379" s="107"/>
      <c r="AZ4379" s="117"/>
      <c r="BK4379" s="39"/>
    </row>
    <row r="4380" spans="1:63" x14ac:dyDescent="0.25">
      <c r="A4380" s="92"/>
      <c r="B4380" s="92"/>
      <c r="C4380" s="92"/>
      <c r="D4380" s="92"/>
      <c r="E4380" s="92"/>
      <c r="F4380" s="92"/>
      <c r="G4380" s="92"/>
      <c r="H4380" s="92"/>
      <c r="I4380" s="92"/>
      <c r="J4380" s="92"/>
      <c r="K4380" s="92"/>
      <c r="L4380" s="92"/>
      <c r="M4380" s="92"/>
      <c r="N4380" s="92"/>
      <c r="AG4380" s="107"/>
      <c r="AH4380" s="107"/>
      <c r="AI4380" s="107"/>
      <c r="AJ4380" s="107"/>
      <c r="AK4380" s="107"/>
      <c r="AL4380" s="107"/>
      <c r="AM4380" s="107"/>
      <c r="AN4380" s="107"/>
      <c r="AO4380" s="107"/>
      <c r="AP4380" s="107"/>
      <c r="AQ4380" s="107"/>
      <c r="AR4380" s="107"/>
      <c r="AS4380" s="107"/>
      <c r="AT4380" s="107"/>
    </row>
    <row r="4381" spans="1:63" x14ac:dyDescent="0.25">
      <c r="A4381" s="92"/>
      <c r="B4381" s="92"/>
      <c r="C4381" s="92"/>
      <c r="D4381" s="92"/>
      <c r="E4381" s="92"/>
      <c r="F4381" s="92"/>
      <c r="G4381" s="92"/>
      <c r="H4381" s="92"/>
      <c r="I4381" s="92"/>
      <c r="J4381" s="92"/>
      <c r="K4381" s="92"/>
      <c r="L4381" s="92"/>
      <c r="M4381" s="92"/>
      <c r="N4381" s="92"/>
      <c r="AG4381" s="107"/>
      <c r="AH4381" s="107"/>
      <c r="AI4381" s="107"/>
      <c r="AJ4381" s="107"/>
      <c r="AK4381" s="107"/>
      <c r="AL4381" s="107"/>
      <c r="AM4381" s="107"/>
      <c r="AN4381" s="107"/>
      <c r="AO4381" s="107"/>
      <c r="AP4381" s="107"/>
      <c r="AQ4381" s="107"/>
      <c r="AR4381" s="107"/>
      <c r="AS4381" s="107"/>
      <c r="AT4381" s="107"/>
    </row>
    <row r="4382" spans="1:63" x14ac:dyDescent="0.25">
      <c r="A4382" s="92"/>
      <c r="B4382" s="92"/>
      <c r="C4382" s="92"/>
      <c r="D4382" s="92"/>
      <c r="E4382" s="92"/>
      <c r="F4382" s="92"/>
      <c r="G4382" s="92"/>
      <c r="H4382" s="92"/>
      <c r="I4382" s="92"/>
      <c r="J4382" s="92"/>
      <c r="K4382" s="92"/>
      <c r="L4382" s="92"/>
      <c r="M4382" s="92"/>
      <c r="N4382" s="92"/>
      <c r="AG4382" s="107"/>
      <c r="AH4382" s="107"/>
      <c r="AI4382" s="107"/>
      <c r="AJ4382" s="107"/>
      <c r="AK4382" s="107"/>
      <c r="AL4382" s="107"/>
      <c r="AM4382" s="107"/>
      <c r="AN4382" s="107"/>
      <c r="AO4382" s="107"/>
      <c r="AP4382" s="107"/>
      <c r="AQ4382" s="107"/>
      <c r="AR4382" s="107"/>
      <c r="AS4382" s="107"/>
      <c r="AT4382" s="107"/>
    </row>
    <row r="4383" spans="1:63" x14ac:dyDescent="0.25">
      <c r="A4383" s="92"/>
      <c r="B4383" s="92"/>
      <c r="C4383" s="92"/>
      <c r="D4383" s="92"/>
      <c r="E4383" s="92"/>
      <c r="F4383" s="92"/>
      <c r="G4383" s="92"/>
      <c r="H4383" s="92"/>
      <c r="I4383" s="92"/>
      <c r="J4383" s="92"/>
      <c r="K4383" s="92"/>
      <c r="L4383" s="92"/>
      <c r="M4383" s="92"/>
      <c r="N4383" s="92"/>
      <c r="AG4383" s="107"/>
      <c r="AH4383" s="107"/>
      <c r="AI4383" s="107"/>
      <c r="AJ4383" s="107"/>
      <c r="AK4383" s="107"/>
      <c r="AL4383" s="107"/>
      <c r="AM4383" s="107"/>
      <c r="AN4383" s="107"/>
      <c r="AO4383" s="107"/>
      <c r="AP4383" s="107"/>
      <c r="AQ4383" s="107"/>
      <c r="AR4383" s="107"/>
      <c r="AS4383" s="107"/>
      <c r="AT4383" s="107"/>
    </row>
    <row r="4384" spans="1:63" x14ac:dyDescent="0.25">
      <c r="A4384" s="92"/>
      <c r="B4384" s="92"/>
      <c r="C4384" s="92"/>
      <c r="D4384" s="92"/>
      <c r="E4384" s="92"/>
      <c r="F4384" s="92"/>
      <c r="G4384" s="92"/>
      <c r="H4384" s="92"/>
      <c r="I4384" s="92"/>
      <c r="J4384" s="92"/>
      <c r="K4384" s="92"/>
      <c r="L4384" s="92"/>
      <c r="M4384" s="92"/>
      <c r="N4384" s="92"/>
      <c r="AG4384" s="107"/>
      <c r="AH4384" s="107"/>
      <c r="AI4384" s="107"/>
      <c r="AJ4384" s="107"/>
      <c r="AK4384" s="107"/>
      <c r="AL4384" s="107"/>
      <c r="AM4384" s="107"/>
      <c r="AN4384" s="107"/>
      <c r="AO4384" s="107"/>
      <c r="AP4384" s="107"/>
      <c r="AQ4384" s="107"/>
      <c r="AR4384" s="107"/>
      <c r="AS4384" s="107"/>
      <c r="AT4384" s="107"/>
    </row>
    <row r="4385" spans="1:63" x14ac:dyDescent="0.25">
      <c r="A4385" s="92"/>
      <c r="B4385" s="92"/>
      <c r="C4385" s="92"/>
      <c r="D4385" s="92"/>
      <c r="E4385" s="92"/>
      <c r="F4385" s="92"/>
      <c r="G4385" s="92"/>
      <c r="H4385" s="92"/>
      <c r="I4385" s="92"/>
      <c r="J4385" s="92"/>
      <c r="K4385" s="92"/>
      <c r="L4385" s="92"/>
      <c r="M4385" s="92"/>
      <c r="N4385" s="92"/>
      <c r="AG4385" s="107"/>
      <c r="AH4385" s="107"/>
      <c r="AI4385" s="107"/>
      <c r="AJ4385" s="107"/>
      <c r="AK4385" s="107"/>
      <c r="AL4385" s="107"/>
      <c r="AM4385" s="107"/>
      <c r="AN4385" s="107"/>
      <c r="AO4385" s="107"/>
      <c r="AP4385" s="107"/>
      <c r="AQ4385" s="107"/>
      <c r="AR4385" s="107"/>
      <c r="AS4385" s="107"/>
      <c r="AT4385" s="107"/>
    </row>
    <row r="4386" spans="1:63" x14ac:dyDescent="0.25">
      <c r="A4386" s="92"/>
      <c r="B4386" s="93"/>
      <c r="C4386" s="93"/>
      <c r="D4386" s="92"/>
      <c r="E4386" s="92"/>
      <c r="F4386" s="92"/>
      <c r="G4386" s="92"/>
      <c r="H4386" s="92"/>
      <c r="I4386" s="92"/>
      <c r="J4386" s="92"/>
      <c r="K4386" s="92"/>
      <c r="L4386" s="92"/>
      <c r="M4386" s="92"/>
      <c r="N4386" s="94"/>
      <c r="AG4386" s="107"/>
      <c r="AH4386" s="117"/>
      <c r="AI4386" s="117"/>
      <c r="AJ4386" s="107"/>
      <c r="AK4386" s="107"/>
      <c r="AL4386" s="107"/>
      <c r="AM4386" s="107"/>
      <c r="AN4386" s="107"/>
      <c r="AO4386" s="107"/>
      <c r="AP4386" s="107"/>
      <c r="AQ4386" s="107"/>
      <c r="AR4386" s="107"/>
      <c r="AS4386" s="107"/>
      <c r="AT4386" s="39"/>
      <c r="AZ4386" s="117"/>
      <c r="BA4386" s="117"/>
      <c r="BK4386" s="39"/>
    </row>
    <row r="4387" spans="1:63" x14ac:dyDescent="0.25">
      <c r="A4387" s="92"/>
      <c r="B4387" s="93"/>
      <c r="C4387" s="93"/>
      <c r="D4387" s="92"/>
      <c r="E4387" s="92"/>
      <c r="F4387" s="92"/>
      <c r="G4387" s="92"/>
      <c r="H4387" s="92"/>
      <c r="I4387" s="92"/>
      <c r="J4387" s="92"/>
      <c r="K4387" s="92"/>
      <c r="L4387" s="92"/>
      <c r="M4387" s="92"/>
      <c r="N4387" s="94"/>
      <c r="AG4387" s="107"/>
      <c r="AH4387" s="117"/>
      <c r="AI4387" s="117"/>
      <c r="AJ4387" s="117"/>
      <c r="AK4387" s="107"/>
      <c r="AL4387" s="107"/>
      <c r="AM4387" s="107"/>
      <c r="AN4387" s="107"/>
      <c r="AO4387" s="107"/>
      <c r="AP4387" s="107"/>
      <c r="AQ4387" s="107"/>
      <c r="AR4387" s="107"/>
      <c r="AS4387" s="107"/>
      <c r="AT4387" s="39"/>
      <c r="AZ4387" s="117"/>
      <c r="BK4387" s="39"/>
    </row>
    <row r="4388" spans="1:63" x14ac:dyDescent="0.25">
      <c r="A4388" s="92"/>
      <c r="B4388" s="93"/>
      <c r="C4388" s="93"/>
      <c r="D4388" s="92"/>
      <c r="E4388" s="92"/>
      <c r="F4388" s="92"/>
      <c r="G4388" s="92"/>
      <c r="H4388" s="92"/>
      <c r="I4388" s="92"/>
      <c r="J4388" s="92"/>
      <c r="K4388" s="92"/>
      <c r="L4388" s="92"/>
      <c r="M4388" s="92"/>
      <c r="N4388" s="94"/>
      <c r="AG4388" s="107"/>
      <c r="AH4388" s="117"/>
      <c r="AI4388" s="117"/>
      <c r="AJ4388" s="107"/>
      <c r="AK4388" s="107"/>
      <c r="AL4388" s="107"/>
      <c r="AM4388" s="107"/>
      <c r="AN4388" s="107"/>
      <c r="AO4388" s="107"/>
      <c r="AP4388" s="107"/>
      <c r="AQ4388" s="107"/>
      <c r="AR4388" s="107"/>
      <c r="AS4388" s="107"/>
      <c r="AT4388" s="39"/>
    </row>
    <row r="4389" spans="1:63" x14ac:dyDescent="0.25">
      <c r="A4389" s="92"/>
      <c r="B4389" s="93"/>
      <c r="C4389" s="93"/>
      <c r="D4389" s="92"/>
      <c r="E4389" s="92"/>
      <c r="F4389" s="92"/>
      <c r="G4389" s="92"/>
      <c r="H4389" s="92"/>
      <c r="I4389" s="92"/>
      <c r="J4389" s="92"/>
      <c r="K4389" s="92"/>
      <c r="L4389" s="92"/>
      <c r="M4389" s="92"/>
      <c r="N4389" s="94"/>
      <c r="AG4389" s="107"/>
      <c r="AH4389" s="117"/>
      <c r="AI4389" s="117"/>
      <c r="AJ4389" s="107"/>
      <c r="AK4389" s="107"/>
      <c r="AL4389" s="107"/>
      <c r="AM4389" s="107"/>
      <c r="AN4389" s="107"/>
      <c r="AO4389" s="107"/>
      <c r="AP4389" s="107"/>
      <c r="AQ4389" s="107"/>
      <c r="AR4389" s="107"/>
      <c r="AS4389" s="107"/>
      <c r="AT4389" s="39"/>
    </row>
    <row r="4390" spans="1:63" x14ac:dyDescent="0.25">
      <c r="A4390" s="92"/>
      <c r="B4390" s="93"/>
      <c r="C4390" s="93"/>
      <c r="D4390" s="93"/>
      <c r="E4390" s="92"/>
      <c r="F4390" s="92"/>
      <c r="G4390" s="92"/>
      <c r="H4390" s="92"/>
      <c r="I4390" s="92"/>
      <c r="J4390" s="92"/>
      <c r="K4390" s="92"/>
      <c r="L4390" s="92"/>
      <c r="M4390" s="92"/>
      <c r="N4390" s="94"/>
      <c r="AG4390" s="107"/>
      <c r="AH4390" s="117"/>
      <c r="AI4390" s="117"/>
      <c r="AJ4390" s="107"/>
      <c r="AK4390" s="107"/>
      <c r="AL4390" s="107"/>
      <c r="AM4390" s="107"/>
      <c r="AN4390" s="107"/>
      <c r="AO4390" s="107"/>
      <c r="AP4390" s="107"/>
      <c r="AQ4390" s="107"/>
      <c r="AR4390" s="107"/>
      <c r="AS4390" s="107"/>
      <c r="AT4390" s="39"/>
    </row>
    <row r="4391" spans="1:63" x14ac:dyDescent="0.25">
      <c r="A4391" s="92"/>
      <c r="B4391" s="92"/>
      <c r="C4391" s="92"/>
      <c r="D4391" s="93"/>
      <c r="E4391" s="92"/>
      <c r="F4391" s="92"/>
      <c r="G4391" s="92"/>
      <c r="H4391" s="92"/>
      <c r="I4391" s="92"/>
      <c r="J4391" s="92"/>
      <c r="K4391" s="92"/>
      <c r="L4391" s="92"/>
      <c r="M4391" s="92"/>
      <c r="N4391" s="92"/>
      <c r="AG4391" s="107"/>
      <c r="AH4391" s="117"/>
      <c r="AI4391" s="117"/>
      <c r="AJ4391" s="107"/>
      <c r="AK4391" s="107"/>
      <c r="AL4391" s="107"/>
      <c r="AM4391" s="107"/>
      <c r="AN4391" s="107"/>
      <c r="AO4391" s="107"/>
      <c r="AP4391" s="107"/>
      <c r="AQ4391" s="107"/>
      <c r="AR4391" s="107"/>
      <c r="AS4391" s="107"/>
      <c r="AT4391" s="39"/>
    </row>
    <row r="4392" spans="1:63" x14ac:dyDescent="0.25">
      <c r="A4392" s="92"/>
      <c r="B4392" s="92"/>
      <c r="C4392" s="92"/>
      <c r="D4392" s="93"/>
      <c r="E4392" s="92"/>
      <c r="F4392" s="92"/>
      <c r="G4392" s="92"/>
      <c r="H4392" s="92"/>
      <c r="I4392" s="92"/>
      <c r="J4392" s="92"/>
      <c r="K4392" s="92"/>
      <c r="L4392" s="92"/>
      <c r="M4392" s="92"/>
      <c r="N4392" s="92"/>
      <c r="AG4392" s="107"/>
      <c r="AH4392" s="107"/>
      <c r="AI4392" s="107"/>
      <c r="AJ4392" s="107"/>
      <c r="AK4392" s="107"/>
      <c r="AL4392" s="107"/>
      <c r="AM4392" s="107"/>
      <c r="AN4392" s="107"/>
      <c r="AO4392" s="107"/>
      <c r="AP4392" s="107"/>
      <c r="AQ4392" s="107"/>
      <c r="AR4392" s="107"/>
      <c r="AS4392" s="107"/>
      <c r="AT4392" s="107"/>
    </row>
    <row r="4393" spans="1:63" x14ac:dyDescent="0.25">
      <c r="A4393" s="92"/>
      <c r="B4393" s="93"/>
      <c r="C4393" s="93"/>
      <c r="D4393" s="92"/>
      <c r="E4393" s="92"/>
      <c r="F4393" s="92"/>
      <c r="G4393" s="92"/>
      <c r="H4393" s="92"/>
      <c r="I4393" s="92"/>
      <c r="J4393" s="92"/>
      <c r="K4393" s="92"/>
      <c r="L4393" s="92"/>
      <c r="M4393" s="92"/>
      <c r="N4393" s="94"/>
      <c r="AG4393" s="107"/>
      <c r="AH4393" s="117"/>
      <c r="AI4393" s="117"/>
      <c r="AJ4393" s="107"/>
      <c r="AK4393" s="107"/>
      <c r="AL4393" s="107"/>
      <c r="AM4393" s="107"/>
      <c r="AN4393" s="107"/>
      <c r="AO4393" s="107"/>
      <c r="AP4393" s="107"/>
      <c r="AQ4393" s="107"/>
      <c r="AR4393" s="107"/>
      <c r="AS4393" s="107"/>
      <c r="AT4393" s="39"/>
    </row>
    <row r="4394" spans="1:63" x14ac:dyDescent="0.25">
      <c r="A4394" s="92"/>
      <c r="B4394" s="93"/>
      <c r="C4394" s="93"/>
      <c r="D4394" s="93"/>
      <c r="E4394" s="92"/>
      <c r="F4394" s="92"/>
      <c r="G4394" s="92"/>
      <c r="H4394" s="92"/>
      <c r="I4394" s="92"/>
      <c r="J4394" s="92"/>
      <c r="K4394" s="92"/>
      <c r="L4394" s="92"/>
      <c r="M4394" s="92"/>
      <c r="N4394" s="94"/>
      <c r="AG4394" s="107"/>
      <c r="AH4394" s="117"/>
      <c r="AI4394" s="117"/>
      <c r="AJ4394" s="107"/>
      <c r="AK4394" s="107"/>
      <c r="AL4394" s="107"/>
      <c r="AM4394" s="107"/>
      <c r="AN4394" s="107"/>
      <c r="AO4394" s="107"/>
      <c r="AP4394" s="107"/>
      <c r="AQ4394" s="107"/>
      <c r="AR4394" s="107"/>
      <c r="AS4394" s="107"/>
      <c r="AT4394" s="39"/>
      <c r="AZ4394" s="117"/>
      <c r="BA4394" s="117"/>
      <c r="BK4394" s="39"/>
    </row>
    <row r="4395" spans="1:63" x14ac:dyDescent="0.25">
      <c r="A4395" s="92"/>
      <c r="B4395" s="93"/>
      <c r="C4395" s="93"/>
      <c r="D4395" s="92"/>
      <c r="E4395" s="92"/>
      <c r="F4395" s="92"/>
      <c r="G4395" s="92"/>
      <c r="H4395" s="92"/>
      <c r="I4395" s="92"/>
      <c r="J4395" s="92"/>
      <c r="K4395" s="92"/>
      <c r="L4395" s="92"/>
      <c r="M4395" s="92"/>
      <c r="N4395" s="94"/>
      <c r="AG4395" s="107"/>
      <c r="AH4395" s="117"/>
      <c r="AI4395" s="117"/>
      <c r="AJ4395" s="107"/>
      <c r="AK4395" s="107"/>
      <c r="AL4395" s="107"/>
      <c r="AM4395" s="107"/>
      <c r="AN4395" s="107"/>
      <c r="AO4395" s="107"/>
      <c r="AP4395" s="107"/>
      <c r="AQ4395" s="107"/>
      <c r="AR4395" s="107"/>
      <c r="AS4395" s="107"/>
      <c r="AT4395" s="39"/>
    </row>
    <row r="4396" spans="1:63" x14ac:dyDescent="0.25">
      <c r="A4396" s="92"/>
      <c r="B4396" s="92"/>
      <c r="C4396" s="92"/>
      <c r="D4396" s="92"/>
      <c r="E4396" s="92"/>
      <c r="F4396" s="92"/>
      <c r="G4396" s="92"/>
      <c r="H4396" s="92"/>
      <c r="I4396" s="92"/>
      <c r="J4396" s="92"/>
      <c r="K4396" s="92"/>
      <c r="L4396" s="92"/>
      <c r="M4396" s="92"/>
      <c r="N4396" s="92"/>
      <c r="AG4396" s="107"/>
      <c r="AH4396" s="107"/>
      <c r="AI4396" s="107"/>
      <c r="AJ4396" s="107"/>
      <c r="AK4396" s="107"/>
      <c r="AL4396" s="107"/>
      <c r="AM4396" s="107"/>
      <c r="AN4396" s="107"/>
      <c r="AO4396" s="107"/>
      <c r="AP4396" s="107"/>
      <c r="AQ4396" s="107"/>
      <c r="AR4396" s="107"/>
      <c r="AS4396" s="107"/>
      <c r="AT4396" s="107"/>
    </row>
    <row r="4397" spans="1:63" x14ac:dyDescent="0.25">
      <c r="A4397" s="92"/>
      <c r="B4397" s="93"/>
      <c r="C4397" s="93"/>
      <c r="D4397" s="92"/>
      <c r="E4397" s="92"/>
      <c r="F4397" s="92"/>
      <c r="G4397" s="92"/>
      <c r="H4397" s="92"/>
      <c r="I4397" s="92"/>
      <c r="J4397" s="92"/>
      <c r="K4397" s="92"/>
      <c r="L4397" s="92"/>
      <c r="M4397" s="92"/>
      <c r="N4397" s="94"/>
      <c r="AG4397" s="107"/>
      <c r="AH4397" s="117"/>
      <c r="AI4397" s="117"/>
      <c r="AJ4397" s="107"/>
      <c r="AK4397" s="107"/>
      <c r="AL4397" s="107"/>
      <c r="AM4397" s="107"/>
      <c r="AN4397" s="107"/>
      <c r="AO4397" s="107"/>
      <c r="AP4397" s="107"/>
      <c r="AQ4397" s="107"/>
      <c r="AR4397" s="107"/>
      <c r="AS4397" s="107"/>
      <c r="AT4397" s="39"/>
      <c r="AZ4397" s="117"/>
      <c r="BA4397" s="117"/>
      <c r="BK4397" s="39"/>
    </row>
    <row r="4398" spans="1:63" x14ac:dyDescent="0.25">
      <c r="A4398" s="92"/>
      <c r="B4398" s="93"/>
      <c r="C4398" s="93"/>
      <c r="D4398" s="92"/>
      <c r="E4398" s="92"/>
      <c r="F4398" s="92"/>
      <c r="G4398" s="92"/>
      <c r="H4398" s="92"/>
      <c r="I4398" s="92"/>
      <c r="J4398" s="92"/>
      <c r="K4398" s="92"/>
      <c r="L4398" s="92"/>
      <c r="M4398" s="92"/>
      <c r="N4398" s="94"/>
      <c r="AG4398" s="107"/>
      <c r="AH4398" s="117"/>
      <c r="AI4398" s="117"/>
      <c r="AJ4398" s="107"/>
      <c r="AK4398" s="107"/>
      <c r="AL4398" s="107"/>
      <c r="AM4398" s="107"/>
      <c r="AN4398" s="107"/>
      <c r="AO4398" s="107"/>
      <c r="AP4398" s="107"/>
      <c r="AQ4398" s="107"/>
      <c r="AR4398" s="107"/>
      <c r="AS4398" s="107"/>
      <c r="AT4398" s="39"/>
      <c r="BA4398" s="117"/>
    </row>
    <row r="4399" spans="1:63" x14ac:dyDescent="0.25">
      <c r="A4399" s="92"/>
      <c r="B4399" s="92"/>
      <c r="C4399" s="92"/>
      <c r="D4399" s="92"/>
      <c r="E4399" s="92"/>
      <c r="F4399" s="92"/>
      <c r="G4399" s="92"/>
      <c r="H4399" s="92"/>
      <c r="I4399" s="92"/>
      <c r="J4399" s="92"/>
      <c r="K4399" s="92"/>
      <c r="L4399" s="92"/>
      <c r="M4399" s="92"/>
      <c r="N4399" s="92"/>
      <c r="AG4399" s="107"/>
      <c r="AH4399" s="117"/>
      <c r="AI4399" s="117"/>
      <c r="AJ4399" s="107"/>
      <c r="AK4399" s="107"/>
      <c r="AL4399" s="107"/>
      <c r="AM4399" s="107"/>
      <c r="AN4399" s="107"/>
      <c r="AO4399" s="107"/>
      <c r="AP4399" s="107"/>
      <c r="AQ4399" s="107"/>
      <c r="AR4399" s="107"/>
      <c r="AS4399" s="107"/>
      <c r="AT4399" s="39"/>
      <c r="BA4399" s="117"/>
    </row>
    <row r="4400" spans="1:63" x14ac:dyDescent="0.25">
      <c r="A4400" s="92"/>
      <c r="B4400" s="92"/>
      <c r="C4400" s="92"/>
      <c r="D4400" s="92"/>
      <c r="E4400" s="92"/>
      <c r="F4400" s="92"/>
      <c r="G4400" s="92"/>
      <c r="H4400" s="92"/>
      <c r="I4400" s="92"/>
      <c r="J4400" s="92"/>
      <c r="K4400" s="92"/>
      <c r="L4400" s="92"/>
      <c r="M4400" s="92"/>
      <c r="N4400" s="92"/>
      <c r="AG4400" s="107"/>
      <c r="AH4400" s="117"/>
      <c r="AI4400" s="117"/>
      <c r="AJ4400" s="107"/>
      <c r="AK4400" s="107"/>
      <c r="AL4400" s="107"/>
      <c r="AM4400" s="107"/>
      <c r="AN4400" s="107"/>
      <c r="AO4400" s="107"/>
      <c r="AP4400" s="107"/>
      <c r="AQ4400" s="107"/>
      <c r="AR4400" s="107"/>
      <c r="AS4400" s="107"/>
      <c r="AT4400" s="39"/>
      <c r="BA4400" s="117"/>
    </row>
    <row r="4401" spans="1:63" x14ac:dyDescent="0.25">
      <c r="A4401" s="92"/>
      <c r="B4401" s="92"/>
      <c r="C4401" s="92"/>
      <c r="D4401" s="92"/>
      <c r="E4401" s="92"/>
      <c r="F4401" s="92"/>
      <c r="G4401" s="92"/>
      <c r="H4401" s="92"/>
      <c r="I4401" s="92"/>
      <c r="J4401" s="92"/>
      <c r="K4401" s="92"/>
      <c r="L4401" s="92"/>
      <c r="M4401" s="92"/>
      <c r="N4401" s="92"/>
      <c r="AG4401" s="107"/>
      <c r="AH4401" s="117"/>
      <c r="AI4401" s="117"/>
      <c r="AJ4401" s="107"/>
      <c r="AK4401" s="107"/>
      <c r="AL4401" s="107"/>
      <c r="AM4401" s="107"/>
      <c r="AN4401" s="107"/>
      <c r="AO4401" s="107"/>
      <c r="AP4401" s="107"/>
      <c r="AQ4401" s="107"/>
      <c r="AR4401" s="107"/>
      <c r="AS4401" s="107"/>
      <c r="AT4401" s="39"/>
      <c r="AZ4401" s="117"/>
      <c r="BK4401" s="39"/>
    </row>
    <row r="4402" spans="1:63" x14ac:dyDescent="0.25">
      <c r="A4402" s="92"/>
      <c r="B4402" s="92"/>
      <c r="C4402" s="92"/>
      <c r="D4402" s="92"/>
      <c r="E4402" s="92"/>
      <c r="F4402" s="92"/>
      <c r="G4402" s="92"/>
      <c r="H4402" s="92"/>
      <c r="I4402" s="92"/>
      <c r="J4402" s="92"/>
      <c r="K4402" s="92"/>
      <c r="L4402" s="92"/>
      <c r="M4402" s="92"/>
      <c r="N4402" s="92"/>
      <c r="AG4402" s="107"/>
      <c r="AH4402" s="117"/>
      <c r="AI4402" s="117"/>
      <c r="AJ4402" s="117"/>
      <c r="AK4402" s="107"/>
      <c r="AL4402" s="107"/>
      <c r="AM4402" s="107"/>
      <c r="AN4402" s="107"/>
      <c r="AO4402" s="107"/>
      <c r="AP4402" s="107"/>
      <c r="AQ4402" s="107"/>
      <c r="AR4402" s="107"/>
      <c r="AS4402" s="107"/>
      <c r="AT4402" s="39"/>
    </row>
    <row r="4403" spans="1:63" x14ac:dyDescent="0.25">
      <c r="A4403" s="92"/>
      <c r="B4403" s="92"/>
      <c r="C4403" s="92"/>
      <c r="D4403" s="92"/>
      <c r="E4403" s="92"/>
      <c r="F4403" s="92"/>
      <c r="G4403" s="92"/>
      <c r="H4403" s="92"/>
      <c r="I4403" s="92"/>
      <c r="J4403" s="92"/>
      <c r="K4403" s="92"/>
      <c r="L4403" s="92"/>
      <c r="M4403" s="92"/>
      <c r="N4403" s="92"/>
      <c r="AG4403" s="107"/>
      <c r="AH4403" s="107"/>
      <c r="AI4403" s="107"/>
      <c r="AJ4403" s="117"/>
      <c r="AK4403" s="107"/>
      <c r="AL4403" s="107"/>
      <c r="AM4403" s="107"/>
      <c r="AN4403" s="107"/>
      <c r="AO4403" s="107"/>
      <c r="AP4403" s="107"/>
      <c r="AQ4403" s="107"/>
      <c r="AR4403" s="107"/>
      <c r="AS4403" s="107"/>
      <c r="AT4403" s="107"/>
      <c r="AZ4403" s="117"/>
      <c r="BK4403" s="39"/>
    </row>
    <row r="4404" spans="1:63" x14ac:dyDescent="0.25">
      <c r="A4404" s="92"/>
      <c r="B4404" s="92"/>
      <c r="C4404" s="92"/>
      <c r="D4404" s="92"/>
      <c r="E4404" s="92"/>
      <c r="F4404" s="92"/>
      <c r="G4404" s="92"/>
      <c r="H4404" s="92"/>
      <c r="I4404" s="92"/>
      <c r="J4404" s="92"/>
      <c r="K4404" s="92"/>
      <c r="L4404" s="92"/>
      <c r="M4404" s="92"/>
      <c r="N4404" s="92"/>
      <c r="AG4404" s="107"/>
      <c r="AH4404" s="117"/>
      <c r="AI4404" s="117"/>
      <c r="AJ4404" s="107"/>
      <c r="AK4404" s="107"/>
      <c r="AL4404" s="107"/>
      <c r="AM4404" s="107"/>
      <c r="AN4404" s="107"/>
      <c r="AO4404" s="107"/>
      <c r="AP4404" s="107"/>
      <c r="AQ4404" s="107"/>
      <c r="AR4404" s="107"/>
      <c r="AS4404" s="107"/>
      <c r="AT4404" s="39"/>
    </row>
    <row r="4405" spans="1:63" x14ac:dyDescent="0.25">
      <c r="A4405" s="92"/>
      <c r="B4405" s="93"/>
      <c r="C4405" s="93"/>
      <c r="D4405" s="93"/>
      <c r="E4405" s="92"/>
      <c r="F4405" s="92"/>
      <c r="G4405" s="92"/>
      <c r="H4405" s="92"/>
      <c r="I4405" s="92"/>
      <c r="J4405" s="92"/>
      <c r="K4405" s="92"/>
      <c r="L4405" s="92"/>
      <c r="M4405" s="92"/>
      <c r="N4405" s="94"/>
      <c r="AG4405" s="107"/>
      <c r="AH4405" s="117"/>
      <c r="AI4405" s="117"/>
      <c r="AJ4405" s="107"/>
      <c r="AK4405" s="107"/>
      <c r="AL4405" s="107"/>
      <c r="AM4405" s="107"/>
      <c r="AN4405" s="107"/>
      <c r="AO4405" s="107"/>
      <c r="AP4405" s="107"/>
      <c r="AQ4405" s="107"/>
      <c r="AR4405" s="107"/>
      <c r="AS4405" s="107"/>
      <c r="AT4405" s="39"/>
    </row>
    <row r="4406" spans="1:63" x14ac:dyDescent="0.25">
      <c r="A4406" s="92"/>
      <c r="B4406" s="93"/>
      <c r="C4406" s="93"/>
      <c r="D4406" s="92"/>
      <c r="E4406" s="92"/>
      <c r="F4406" s="92"/>
      <c r="G4406" s="92"/>
      <c r="H4406" s="92"/>
      <c r="I4406" s="92"/>
      <c r="J4406" s="92"/>
      <c r="K4406" s="92"/>
      <c r="L4406" s="92"/>
      <c r="M4406" s="92"/>
      <c r="N4406" s="94"/>
      <c r="AG4406" s="107"/>
      <c r="AH4406" s="117"/>
      <c r="AI4406" s="117"/>
      <c r="AJ4406" s="107"/>
      <c r="AK4406" s="107"/>
      <c r="AL4406" s="107"/>
      <c r="AM4406" s="107"/>
      <c r="AN4406" s="107"/>
      <c r="AO4406" s="107"/>
      <c r="AP4406" s="107"/>
      <c r="AQ4406" s="107"/>
      <c r="AR4406" s="107"/>
      <c r="AS4406" s="107"/>
      <c r="AT4406" s="39"/>
      <c r="AZ4406" s="117"/>
      <c r="BK4406" s="39"/>
    </row>
    <row r="4407" spans="1:63" x14ac:dyDescent="0.25">
      <c r="A4407" s="92"/>
      <c r="B4407" s="92"/>
      <c r="C4407" s="92"/>
      <c r="D4407" s="92"/>
      <c r="E4407" s="92"/>
      <c r="F4407" s="92"/>
      <c r="G4407" s="92"/>
      <c r="H4407" s="92"/>
      <c r="I4407" s="92"/>
      <c r="J4407" s="92"/>
      <c r="K4407" s="92"/>
      <c r="L4407" s="92"/>
      <c r="M4407" s="92"/>
      <c r="N4407" s="92"/>
      <c r="AG4407" s="107"/>
      <c r="AH4407" s="117"/>
      <c r="AI4407" s="117"/>
      <c r="AJ4407" s="107"/>
      <c r="AK4407" s="107"/>
      <c r="AL4407" s="107"/>
      <c r="AM4407" s="107"/>
      <c r="AN4407" s="107"/>
      <c r="AO4407" s="107"/>
      <c r="AP4407" s="107"/>
      <c r="AQ4407" s="107"/>
      <c r="AR4407" s="107"/>
      <c r="AS4407" s="107"/>
      <c r="AT4407" s="39"/>
      <c r="AZ4407" s="117"/>
      <c r="BK4407" s="39"/>
    </row>
    <row r="4408" spans="1:63" x14ac:dyDescent="0.25">
      <c r="A4408" s="92"/>
      <c r="B4408" s="92"/>
      <c r="C4408" s="92"/>
      <c r="D4408" s="92"/>
      <c r="E4408" s="92"/>
      <c r="F4408" s="92"/>
      <c r="G4408" s="92"/>
      <c r="H4408" s="92"/>
      <c r="I4408" s="92"/>
      <c r="J4408" s="92"/>
      <c r="K4408" s="92"/>
      <c r="L4408" s="92"/>
      <c r="M4408" s="92"/>
      <c r="N4408" s="92"/>
      <c r="AG4408" s="107"/>
      <c r="AH4408" s="117"/>
      <c r="AI4408" s="117"/>
      <c r="AJ4408" s="107"/>
      <c r="AK4408" s="107"/>
      <c r="AL4408" s="107"/>
      <c r="AM4408" s="107"/>
      <c r="AN4408" s="107"/>
      <c r="AO4408" s="107"/>
      <c r="AP4408" s="107"/>
      <c r="AQ4408" s="107"/>
      <c r="AR4408" s="107"/>
      <c r="AS4408" s="107"/>
      <c r="AT4408" s="39"/>
    </row>
    <row r="4409" spans="1:63" x14ac:dyDescent="0.25">
      <c r="A4409" s="92"/>
      <c r="B4409" s="92"/>
      <c r="C4409" s="92"/>
      <c r="D4409" s="92"/>
      <c r="E4409" s="92"/>
      <c r="F4409" s="92"/>
      <c r="G4409" s="92"/>
      <c r="H4409" s="92"/>
      <c r="I4409" s="92"/>
      <c r="J4409" s="92"/>
      <c r="K4409" s="92"/>
      <c r="L4409" s="92"/>
      <c r="M4409" s="92"/>
      <c r="N4409" s="92"/>
      <c r="AG4409" s="107"/>
      <c r="AH4409" s="117"/>
      <c r="AI4409" s="117"/>
      <c r="AJ4409" s="107"/>
      <c r="AK4409" s="107"/>
      <c r="AL4409" s="107"/>
      <c r="AM4409" s="107"/>
      <c r="AN4409" s="107"/>
      <c r="AO4409" s="107"/>
      <c r="AP4409" s="107"/>
      <c r="AQ4409" s="107"/>
      <c r="AR4409" s="107"/>
      <c r="AS4409" s="107"/>
      <c r="AT4409" s="39"/>
    </row>
    <row r="4410" spans="1:63" x14ac:dyDescent="0.25">
      <c r="A4410" s="92"/>
      <c r="B4410" s="92"/>
      <c r="C4410" s="92"/>
      <c r="D4410" s="92"/>
      <c r="E4410" s="92"/>
      <c r="F4410" s="92"/>
      <c r="G4410" s="92"/>
      <c r="H4410" s="92"/>
      <c r="I4410" s="92"/>
      <c r="J4410" s="92"/>
      <c r="K4410" s="92"/>
      <c r="L4410" s="92"/>
      <c r="M4410" s="92"/>
      <c r="N4410" s="92"/>
      <c r="AG4410" s="107"/>
      <c r="AH4410" s="107"/>
      <c r="AI4410" s="107"/>
      <c r="AJ4410" s="107"/>
      <c r="AK4410" s="107"/>
      <c r="AL4410" s="107"/>
      <c r="AM4410" s="107"/>
      <c r="AN4410" s="107"/>
      <c r="AO4410" s="107"/>
      <c r="AP4410" s="107"/>
      <c r="AQ4410" s="107"/>
      <c r="AR4410" s="107"/>
      <c r="AS4410" s="107"/>
      <c r="AT4410" s="107"/>
    </row>
    <row r="4411" spans="1:63" x14ac:dyDescent="0.25">
      <c r="A4411" s="92"/>
      <c r="B4411" s="92"/>
      <c r="C4411" s="92"/>
      <c r="D4411" s="92"/>
      <c r="E4411" s="92"/>
      <c r="F4411" s="92"/>
      <c r="G4411" s="92"/>
      <c r="H4411" s="92"/>
      <c r="I4411" s="92"/>
      <c r="J4411" s="92"/>
      <c r="K4411" s="92"/>
      <c r="L4411" s="92"/>
      <c r="M4411" s="92"/>
      <c r="N4411" s="92"/>
      <c r="AG4411" s="107"/>
      <c r="AH4411" s="117"/>
      <c r="AI4411" s="117"/>
      <c r="AJ4411" s="117"/>
      <c r="AK4411" s="107"/>
      <c r="AL4411" s="107"/>
      <c r="AM4411" s="107"/>
      <c r="AN4411" s="107"/>
      <c r="AO4411" s="107"/>
      <c r="AP4411" s="107"/>
      <c r="AQ4411" s="107"/>
      <c r="AR4411" s="107"/>
      <c r="AS4411" s="107"/>
      <c r="AT4411" s="39"/>
    </row>
    <row r="4412" spans="1:63" x14ac:dyDescent="0.25">
      <c r="A4412" s="92"/>
      <c r="B4412" s="92"/>
      <c r="C4412" s="92"/>
      <c r="D4412" s="92"/>
      <c r="E4412" s="92"/>
      <c r="F4412" s="92"/>
      <c r="G4412" s="92"/>
      <c r="H4412" s="92"/>
      <c r="I4412" s="92"/>
      <c r="J4412" s="92"/>
      <c r="K4412" s="92"/>
      <c r="L4412" s="92"/>
      <c r="M4412" s="92"/>
      <c r="N4412" s="92"/>
      <c r="AG4412" s="107"/>
      <c r="AH4412" s="107"/>
      <c r="AI4412" s="107"/>
      <c r="AJ4412" s="117"/>
      <c r="AK4412" s="107"/>
      <c r="AL4412" s="107"/>
      <c r="AM4412" s="107"/>
      <c r="AN4412" s="107"/>
      <c r="AO4412" s="107"/>
      <c r="AP4412" s="107"/>
      <c r="AQ4412" s="107"/>
      <c r="AR4412" s="107"/>
      <c r="AS4412" s="107"/>
      <c r="AT4412" s="107"/>
    </row>
    <row r="4413" spans="1:63" x14ac:dyDescent="0.25">
      <c r="A4413" s="92"/>
      <c r="B4413" s="93"/>
      <c r="C4413" s="93"/>
      <c r="D4413" s="93"/>
      <c r="E4413" s="92"/>
      <c r="F4413" s="92"/>
      <c r="G4413" s="92"/>
      <c r="H4413" s="92"/>
      <c r="I4413" s="92"/>
      <c r="J4413" s="92"/>
      <c r="K4413" s="92"/>
      <c r="L4413" s="92"/>
      <c r="M4413" s="92"/>
      <c r="N4413" s="94"/>
      <c r="AG4413" s="107"/>
      <c r="AH4413" s="107"/>
      <c r="AI4413" s="107"/>
      <c r="AJ4413" s="117"/>
      <c r="AK4413" s="107"/>
      <c r="AL4413" s="107"/>
      <c r="AM4413" s="107"/>
      <c r="AN4413" s="107"/>
      <c r="AO4413" s="107"/>
      <c r="AP4413" s="107"/>
      <c r="AQ4413" s="107"/>
      <c r="AR4413" s="107"/>
      <c r="AS4413" s="107"/>
      <c r="AT4413" s="107"/>
    </row>
    <row r="4414" spans="1:63" x14ac:dyDescent="0.25">
      <c r="A4414" s="92"/>
      <c r="B4414" s="92"/>
      <c r="C4414" s="92"/>
      <c r="D4414" s="92"/>
      <c r="E4414" s="92"/>
      <c r="F4414" s="92"/>
      <c r="G4414" s="92"/>
      <c r="H4414" s="92"/>
      <c r="I4414" s="92"/>
      <c r="J4414" s="92"/>
      <c r="K4414" s="92"/>
      <c r="L4414" s="92"/>
      <c r="M4414" s="92"/>
      <c r="N4414" s="92"/>
      <c r="AG4414" s="107"/>
      <c r="AH4414" s="117"/>
      <c r="AI4414" s="117"/>
      <c r="AJ4414" s="107"/>
      <c r="AK4414" s="107"/>
      <c r="AL4414" s="107"/>
      <c r="AM4414" s="107"/>
      <c r="AN4414" s="107"/>
      <c r="AO4414" s="107"/>
      <c r="AP4414" s="107"/>
      <c r="AQ4414" s="107"/>
      <c r="AR4414" s="107"/>
      <c r="AS4414" s="107"/>
      <c r="AT4414" s="39"/>
    </row>
    <row r="4415" spans="1:63" x14ac:dyDescent="0.25">
      <c r="A4415" s="92"/>
      <c r="B4415" s="92"/>
      <c r="C4415" s="92"/>
      <c r="D4415" s="92"/>
      <c r="E4415" s="92"/>
      <c r="F4415" s="92"/>
      <c r="G4415" s="92"/>
      <c r="H4415" s="92"/>
      <c r="I4415" s="92"/>
      <c r="J4415" s="92"/>
      <c r="K4415" s="92"/>
      <c r="L4415" s="92"/>
      <c r="M4415" s="92"/>
      <c r="N4415" s="92"/>
      <c r="AG4415" s="107"/>
      <c r="AH4415" s="107"/>
      <c r="AI4415" s="107"/>
      <c r="AJ4415" s="107"/>
      <c r="AK4415" s="107"/>
      <c r="AL4415" s="107"/>
      <c r="AM4415" s="107"/>
      <c r="AN4415" s="107"/>
      <c r="AO4415" s="107"/>
      <c r="AP4415" s="107"/>
      <c r="AQ4415" s="107"/>
      <c r="AR4415" s="107"/>
      <c r="AS4415" s="107"/>
      <c r="AT4415" s="107"/>
    </row>
    <row r="4416" spans="1:63" x14ac:dyDescent="0.25">
      <c r="A4416" s="92"/>
      <c r="B4416" s="93"/>
      <c r="C4416" s="93"/>
      <c r="D4416" s="93"/>
      <c r="E4416" s="92"/>
      <c r="F4416" s="92"/>
      <c r="G4416" s="92"/>
      <c r="H4416" s="92"/>
      <c r="I4416" s="92"/>
      <c r="J4416" s="92"/>
      <c r="K4416" s="92"/>
      <c r="L4416" s="92"/>
      <c r="M4416" s="92"/>
      <c r="N4416" s="94"/>
      <c r="AG4416" s="107"/>
      <c r="AH4416" s="107"/>
      <c r="AI4416" s="107"/>
      <c r="AJ4416" s="107"/>
      <c r="AK4416" s="107"/>
      <c r="AL4416" s="107"/>
      <c r="AM4416" s="107"/>
      <c r="AN4416" s="107"/>
      <c r="AO4416" s="107"/>
      <c r="AP4416" s="107"/>
      <c r="AQ4416" s="107"/>
      <c r="AR4416" s="107"/>
      <c r="AS4416" s="107"/>
      <c r="AT4416" s="107"/>
    </row>
    <row r="4417" spans="1:63" x14ac:dyDescent="0.25">
      <c r="A4417" s="92"/>
      <c r="B4417" s="92"/>
      <c r="C4417" s="92"/>
      <c r="D4417" s="93"/>
      <c r="E4417" s="92"/>
      <c r="F4417" s="92"/>
      <c r="G4417" s="92"/>
      <c r="H4417" s="92"/>
      <c r="I4417" s="92"/>
      <c r="J4417" s="92"/>
      <c r="K4417" s="92"/>
      <c r="L4417" s="92"/>
      <c r="M4417" s="92"/>
      <c r="N4417" s="92"/>
      <c r="AG4417" s="107"/>
      <c r="AH4417" s="107"/>
      <c r="AI4417" s="107"/>
      <c r="AJ4417" s="107"/>
      <c r="AK4417" s="107"/>
      <c r="AL4417" s="107"/>
      <c r="AM4417" s="107"/>
      <c r="AN4417" s="107"/>
      <c r="AO4417" s="107"/>
      <c r="AP4417" s="107"/>
      <c r="AQ4417" s="107"/>
      <c r="AR4417" s="107"/>
      <c r="AS4417" s="107"/>
      <c r="AT4417" s="107"/>
    </row>
    <row r="4418" spans="1:63" x14ac:dyDescent="0.25">
      <c r="A4418" s="92"/>
      <c r="B4418" s="92"/>
      <c r="C4418" s="92"/>
      <c r="D4418" s="93"/>
      <c r="E4418" s="92"/>
      <c r="F4418" s="92"/>
      <c r="G4418" s="92"/>
      <c r="H4418" s="92"/>
      <c r="I4418" s="92"/>
      <c r="J4418" s="92"/>
      <c r="K4418" s="92"/>
      <c r="L4418" s="92"/>
      <c r="M4418" s="92"/>
      <c r="N4418" s="92"/>
      <c r="AG4418" s="107"/>
      <c r="AH4418" s="117"/>
      <c r="AI4418" s="117"/>
      <c r="AJ4418" s="117"/>
      <c r="AK4418" s="107"/>
      <c r="AL4418" s="107"/>
      <c r="AM4418" s="107"/>
      <c r="AN4418" s="107"/>
      <c r="AO4418" s="107"/>
      <c r="AP4418" s="107"/>
      <c r="AQ4418" s="107"/>
      <c r="AR4418" s="107"/>
      <c r="AS4418" s="107"/>
      <c r="AT4418" s="39"/>
    </row>
    <row r="4419" spans="1:63" x14ac:dyDescent="0.25">
      <c r="A4419" s="92"/>
      <c r="B4419" s="92"/>
      <c r="C4419" s="92"/>
      <c r="D4419" s="93"/>
      <c r="E4419" s="92"/>
      <c r="F4419" s="92"/>
      <c r="G4419" s="92"/>
      <c r="H4419" s="92"/>
      <c r="I4419" s="92"/>
      <c r="J4419" s="92"/>
      <c r="K4419" s="92"/>
      <c r="L4419" s="92"/>
      <c r="M4419" s="92"/>
      <c r="N4419" s="92"/>
      <c r="AG4419" s="107"/>
      <c r="AH4419" s="117"/>
      <c r="AI4419" s="117"/>
      <c r="AJ4419" s="117"/>
      <c r="AK4419" s="107"/>
      <c r="AL4419" s="107"/>
      <c r="AM4419" s="107"/>
      <c r="AN4419" s="107"/>
      <c r="AO4419" s="107"/>
      <c r="AP4419" s="107"/>
      <c r="AQ4419" s="107"/>
      <c r="AR4419" s="107"/>
      <c r="AS4419" s="107"/>
      <c r="AT4419" s="39"/>
    </row>
    <row r="4420" spans="1:63" x14ac:dyDescent="0.25">
      <c r="A4420" s="92"/>
      <c r="B4420" s="93"/>
      <c r="C4420" s="93"/>
      <c r="D4420" s="92"/>
      <c r="E4420" s="92"/>
      <c r="F4420" s="92"/>
      <c r="G4420" s="92"/>
      <c r="H4420" s="92"/>
      <c r="I4420" s="92"/>
      <c r="J4420" s="92"/>
      <c r="K4420" s="92"/>
      <c r="L4420" s="92"/>
      <c r="M4420" s="92"/>
      <c r="N4420" s="94"/>
      <c r="AG4420" s="107"/>
      <c r="AH4420" s="117"/>
      <c r="AI4420" s="117"/>
      <c r="AJ4420" s="107"/>
      <c r="AK4420" s="107"/>
      <c r="AL4420" s="107"/>
      <c r="AM4420" s="107"/>
      <c r="AN4420" s="107"/>
      <c r="AO4420" s="107"/>
      <c r="AP4420" s="107"/>
      <c r="AQ4420" s="107"/>
      <c r="AR4420" s="107"/>
      <c r="AS4420" s="107"/>
      <c r="AT4420" s="39"/>
    </row>
    <row r="4421" spans="1:63" x14ac:dyDescent="0.25">
      <c r="A4421" s="92"/>
      <c r="B4421" s="92"/>
      <c r="C4421" s="92"/>
      <c r="D4421" s="92"/>
      <c r="E4421" s="92"/>
      <c r="F4421" s="92"/>
      <c r="G4421" s="92"/>
      <c r="H4421" s="92"/>
      <c r="I4421" s="92"/>
      <c r="J4421" s="92"/>
      <c r="K4421" s="92"/>
      <c r="L4421" s="92"/>
      <c r="M4421" s="92"/>
      <c r="N4421" s="92"/>
      <c r="AG4421" s="107"/>
      <c r="AH4421" s="117"/>
      <c r="AI4421" s="117"/>
      <c r="AJ4421" s="107"/>
      <c r="AK4421" s="107"/>
      <c r="AL4421" s="107"/>
      <c r="AM4421" s="107"/>
      <c r="AN4421" s="107"/>
      <c r="AO4421" s="107"/>
      <c r="AP4421" s="107"/>
      <c r="AQ4421" s="107"/>
      <c r="AR4421" s="107"/>
      <c r="AS4421" s="107"/>
      <c r="AT4421" s="39"/>
    </row>
    <row r="4422" spans="1:63" x14ac:dyDescent="0.25">
      <c r="A4422" s="92"/>
      <c r="B4422" s="93"/>
      <c r="C4422" s="93"/>
      <c r="D4422" s="92"/>
      <c r="E4422" s="92"/>
      <c r="F4422" s="92"/>
      <c r="G4422" s="92"/>
      <c r="H4422" s="92"/>
      <c r="I4422" s="92"/>
      <c r="J4422" s="92"/>
      <c r="K4422" s="92"/>
      <c r="L4422" s="92"/>
      <c r="M4422" s="92"/>
      <c r="N4422" s="94"/>
      <c r="AG4422" s="107"/>
      <c r="AH4422" s="117"/>
      <c r="AI4422" s="117"/>
      <c r="AJ4422" s="107"/>
      <c r="AK4422" s="107"/>
      <c r="AL4422" s="107"/>
      <c r="AM4422" s="107"/>
      <c r="AN4422" s="107"/>
      <c r="AO4422" s="107"/>
      <c r="AP4422" s="107"/>
      <c r="AQ4422" s="107"/>
      <c r="AR4422" s="107"/>
      <c r="AS4422" s="107"/>
      <c r="AT4422" s="39"/>
    </row>
    <row r="4423" spans="1:63" x14ac:dyDescent="0.25">
      <c r="A4423" s="92"/>
      <c r="B4423" s="92"/>
      <c r="C4423" s="92"/>
      <c r="D4423" s="92"/>
      <c r="E4423" s="92"/>
      <c r="F4423" s="92"/>
      <c r="G4423" s="92"/>
      <c r="H4423" s="92"/>
      <c r="I4423" s="92"/>
      <c r="J4423" s="92"/>
      <c r="K4423" s="92"/>
      <c r="L4423" s="92"/>
      <c r="M4423" s="92"/>
      <c r="N4423" s="92"/>
      <c r="AG4423" s="107"/>
      <c r="AH4423" s="107"/>
      <c r="AI4423" s="107"/>
      <c r="AJ4423" s="107"/>
      <c r="AK4423" s="107"/>
      <c r="AL4423" s="107"/>
      <c r="AM4423" s="107"/>
      <c r="AN4423" s="107"/>
      <c r="AO4423" s="107"/>
      <c r="AP4423" s="107"/>
      <c r="AQ4423" s="107"/>
      <c r="AR4423" s="107"/>
      <c r="AS4423" s="107"/>
      <c r="AT4423" s="107"/>
    </row>
    <row r="4424" spans="1:63" x14ac:dyDescent="0.25">
      <c r="A4424" s="92"/>
      <c r="B4424" s="92"/>
      <c r="C4424" s="92"/>
      <c r="D4424" s="92"/>
      <c r="E4424" s="92"/>
      <c r="F4424" s="92"/>
      <c r="G4424" s="92"/>
      <c r="H4424" s="92"/>
      <c r="I4424" s="92"/>
      <c r="J4424" s="92"/>
      <c r="K4424" s="92"/>
      <c r="L4424" s="92"/>
      <c r="M4424" s="92"/>
      <c r="N4424" s="92"/>
      <c r="AG4424" s="107"/>
      <c r="AH4424" s="117"/>
      <c r="AI4424" s="117"/>
      <c r="AJ4424" s="107"/>
      <c r="AK4424" s="107"/>
      <c r="AL4424" s="107"/>
      <c r="AM4424" s="107"/>
      <c r="AN4424" s="107"/>
      <c r="AO4424" s="107"/>
      <c r="AP4424" s="107"/>
      <c r="AQ4424" s="107"/>
      <c r="AR4424" s="107"/>
      <c r="AS4424" s="107"/>
      <c r="AT4424" s="39"/>
    </row>
    <row r="4425" spans="1:63" x14ac:dyDescent="0.25">
      <c r="A4425" s="92"/>
      <c r="B4425" s="93"/>
      <c r="C4425" s="93"/>
      <c r="D4425" s="92"/>
      <c r="E4425" s="92"/>
      <c r="F4425" s="92"/>
      <c r="G4425" s="92"/>
      <c r="H4425" s="92"/>
      <c r="I4425" s="92"/>
      <c r="J4425" s="92"/>
      <c r="K4425" s="92"/>
      <c r="L4425" s="92"/>
      <c r="M4425" s="92"/>
      <c r="N4425" s="94"/>
      <c r="AG4425" s="107"/>
      <c r="AH4425" s="107"/>
      <c r="AI4425" s="107"/>
      <c r="AJ4425" s="107"/>
      <c r="AK4425" s="107"/>
      <c r="AL4425" s="107"/>
      <c r="AM4425" s="107"/>
      <c r="AN4425" s="107"/>
      <c r="AO4425" s="107"/>
      <c r="AP4425" s="107"/>
      <c r="AQ4425" s="107"/>
      <c r="AR4425" s="107"/>
      <c r="AS4425" s="107"/>
      <c r="AT4425" s="107"/>
      <c r="AZ4425" s="117"/>
      <c r="BK4425" s="39"/>
    </row>
    <row r="4426" spans="1:63" x14ac:dyDescent="0.25">
      <c r="A4426" s="92"/>
      <c r="B4426" s="93"/>
      <c r="C4426" s="93"/>
      <c r="D4426" s="92"/>
      <c r="E4426" s="92"/>
      <c r="F4426" s="92"/>
      <c r="G4426" s="92"/>
      <c r="H4426" s="92"/>
      <c r="I4426" s="92"/>
      <c r="J4426" s="92"/>
      <c r="K4426" s="92"/>
      <c r="L4426" s="92"/>
      <c r="M4426" s="92"/>
      <c r="N4426" s="94"/>
      <c r="AG4426" s="107"/>
      <c r="AH4426" s="107"/>
      <c r="AI4426" s="107"/>
      <c r="AJ4426" s="107"/>
      <c r="AK4426" s="107"/>
      <c r="AL4426" s="107"/>
      <c r="AM4426" s="107"/>
      <c r="AN4426" s="107"/>
      <c r="AO4426" s="107"/>
      <c r="AP4426" s="107"/>
      <c r="AQ4426" s="107"/>
      <c r="AR4426" s="107"/>
      <c r="AS4426" s="107"/>
      <c r="AT4426" s="107"/>
      <c r="AZ4426" s="117"/>
      <c r="BK4426" s="39"/>
    </row>
    <row r="4427" spans="1:63" x14ac:dyDescent="0.25">
      <c r="A4427" s="92"/>
      <c r="B4427" s="92"/>
      <c r="C4427" s="92"/>
      <c r="D4427" s="92"/>
      <c r="E4427" s="92"/>
      <c r="F4427" s="92"/>
      <c r="G4427" s="92"/>
      <c r="H4427" s="92"/>
      <c r="I4427" s="92"/>
      <c r="J4427" s="92"/>
      <c r="K4427" s="92"/>
      <c r="L4427" s="92"/>
      <c r="M4427" s="92"/>
      <c r="N4427" s="92"/>
      <c r="AG4427" s="107"/>
      <c r="AH4427" s="107"/>
      <c r="AI4427" s="107"/>
      <c r="AJ4427" s="107"/>
      <c r="AK4427" s="107"/>
      <c r="AL4427" s="107"/>
      <c r="AM4427" s="107"/>
      <c r="AN4427" s="107"/>
      <c r="AO4427" s="107"/>
      <c r="AP4427" s="107"/>
      <c r="AQ4427" s="107"/>
      <c r="AR4427" s="107"/>
      <c r="AS4427" s="107"/>
      <c r="AT4427" s="107"/>
      <c r="AZ4427" s="117"/>
      <c r="BA4427" s="117"/>
      <c r="BK4427" s="39"/>
    </row>
    <row r="4428" spans="1:63" x14ac:dyDescent="0.25">
      <c r="A4428" s="92"/>
      <c r="B4428" s="92"/>
      <c r="C4428" s="92"/>
      <c r="D4428" s="92"/>
      <c r="E4428" s="92"/>
      <c r="F4428" s="92"/>
      <c r="G4428" s="92"/>
      <c r="H4428" s="92"/>
      <c r="I4428" s="92"/>
      <c r="J4428" s="92"/>
      <c r="K4428" s="92"/>
      <c r="L4428" s="92"/>
      <c r="M4428" s="92"/>
      <c r="N4428" s="92"/>
      <c r="AG4428" s="107"/>
      <c r="AH4428" s="107"/>
      <c r="AI4428" s="107"/>
      <c r="AJ4428" s="107"/>
      <c r="AK4428" s="107"/>
      <c r="AL4428" s="107"/>
      <c r="AM4428" s="107"/>
      <c r="AN4428" s="107"/>
      <c r="AO4428" s="107"/>
      <c r="AP4428" s="107"/>
      <c r="AQ4428" s="107"/>
      <c r="AR4428" s="107"/>
      <c r="AS4428" s="107"/>
      <c r="AT4428" s="107"/>
    </row>
    <row r="4429" spans="1:63" x14ac:dyDescent="0.25">
      <c r="A4429" s="92"/>
      <c r="B4429" s="92"/>
      <c r="C4429" s="92"/>
      <c r="D4429" s="92"/>
      <c r="E4429" s="92"/>
      <c r="F4429" s="92"/>
      <c r="G4429" s="92"/>
      <c r="H4429" s="92"/>
      <c r="I4429" s="92"/>
      <c r="J4429" s="92"/>
      <c r="K4429" s="92"/>
      <c r="L4429" s="92"/>
      <c r="M4429" s="92"/>
      <c r="N4429" s="92"/>
      <c r="AG4429" s="107"/>
      <c r="AH4429" s="117"/>
      <c r="AI4429" s="117"/>
      <c r="AJ4429" s="107"/>
      <c r="AK4429" s="107"/>
      <c r="AL4429" s="107"/>
      <c r="AM4429" s="107"/>
      <c r="AN4429" s="107"/>
      <c r="AO4429" s="107"/>
      <c r="AP4429" s="107"/>
      <c r="AQ4429" s="107"/>
      <c r="AR4429" s="107"/>
      <c r="AS4429" s="107"/>
      <c r="AT4429" s="39"/>
    </row>
    <row r="4430" spans="1:63" x14ac:dyDescent="0.25">
      <c r="A4430" s="92"/>
      <c r="B4430" s="92"/>
      <c r="C4430" s="92"/>
      <c r="D4430" s="92"/>
      <c r="E4430" s="92"/>
      <c r="F4430" s="92"/>
      <c r="G4430" s="92"/>
      <c r="H4430" s="92"/>
      <c r="I4430" s="92"/>
      <c r="J4430" s="92"/>
      <c r="K4430" s="92"/>
      <c r="L4430" s="92"/>
      <c r="M4430" s="92"/>
      <c r="N4430" s="92"/>
      <c r="AG4430" s="107"/>
      <c r="AH4430" s="117"/>
      <c r="AI4430" s="117"/>
      <c r="AJ4430" s="117"/>
      <c r="AK4430" s="107"/>
      <c r="AL4430" s="107"/>
      <c r="AM4430" s="107"/>
      <c r="AN4430" s="107"/>
      <c r="AO4430" s="107"/>
      <c r="AP4430" s="107"/>
      <c r="AQ4430" s="107"/>
      <c r="AR4430" s="107"/>
      <c r="AS4430" s="107"/>
      <c r="AT4430" s="39"/>
    </row>
    <row r="4431" spans="1:63" x14ac:dyDescent="0.25">
      <c r="A4431" s="92"/>
      <c r="B4431" s="92"/>
      <c r="C4431" s="92"/>
      <c r="D4431" s="92"/>
      <c r="E4431" s="92"/>
      <c r="F4431" s="92"/>
      <c r="G4431" s="92"/>
      <c r="H4431" s="92"/>
      <c r="I4431" s="92"/>
      <c r="J4431" s="92"/>
      <c r="K4431" s="92"/>
      <c r="L4431" s="92"/>
      <c r="M4431" s="92"/>
      <c r="N4431" s="92"/>
      <c r="AG4431" s="107"/>
      <c r="AH4431" s="107"/>
      <c r="AI4431" s="107"/>
      <c r="AJ4431" s="107"/>
      <c r="AK4431" s="107"/>
      <c r="AL4431" s="107"/>
      <c r="AM4431" s="107"/>
      <c r="AN4431" s="107"/>
      <c r="AO4431" s="107"/>
      <c r="AP4431" s="107"/>
      <c r="AQ4431" s="107"/>
      <c r="AR4431" s="107"/>
      <c r="AS4431" s="107"/>
      <c r="AT4431" s="107"/>
    </row>
    <row r="4432" spans="1:63" x14ac:dyDescent="0.25">
      <c r="A4432" s="92"/>
      <c r="B4432" s="92"/>
      <c r="C4432" s="92"/>
      <c r="D4432" s="92"/>
      <c r="E4432" s="92"/>
      <c r="F4432" s="92"/>
      <c r="G4432" s="92"/>
      <c r="H4432" s="92"/>
      <c r="I4432" s="92"/>
      <c r="J4432" s="92"/>
      <c r="K4432" s="92"/>
      <c r="L4432" s="92"/>
      <c r="M4432" s="92"/>
      <c r="N4432" s="92"/>
      <c r="AG4432" s="107"/>
      <c r="AH4432" s="117"/>
      <c r="AI4432" s="117"/>
      <c r="AJ4432" s="117"/>
      <c r="AK4432" s="107"/>
      <c r="AL4432" s="107"/>
      <c r="AM4432" s="107"/>
      <c r="AN4432" s="107"/>
      <c r="AO4432" s="107"/>
      <c r="AP4432" s="107"/>
      <c r="AQ4432" s="107"/>
      <c r="AR4432" s="107"/>
      <c r="AS4432" s="107"/>
      <c r="AT4432" s="39"/>
    </row>
    <row r="4433" spans="1:63" x14ac:dyDescent="0.25">
      <c r="A4433" s="92"/>
      <c r="B4433" s="92"/>
      <c r="C4433" s="92"/>
      <c r="D4433" s="92"/>
      <c r="E4433" s="92"/>
      <c r="F4433" s="92"/>
      <c r="G4433" s="92"/>
      <c r="H4433" s="92"/>
      <c r="I4433" s="92"/>
      <c r="J4433" s="92"/>
      <c r="K4433" s="92"/>
      <c r="L4433" s="92"/>
      <c r="M4433" s="92"/>
      <c r="N4433" s="92"/>
      <c r="AG4433" s="107"/>
      <c r="AH4433" s="107"/>
      <c r="AI4433" s="107"/>
      <c r="AJ4433" s="107"/>
      <c r="AK4433" s="107"/>
      <c r="AL4433" s="107"/>
      <c r="AM4433" s="107"/>
      <c r="AN4433" s="107"/>
      <c r="AO4433" s="107"/>
      <c r="AP4433" s="107"/>
      <c r="AQ4433" s="107"/>
      <c r="AR4433" s="107"/>
      <c r="AS4433" s="107"/>
      <c r="AT4433" s="107"/>
    </row>
    <row r="4434" spans="1:63" x14ac:dyDescent="0.25">
      <c r="A4434" s="92"/>
      <c r="B4434" s="92"/>
      <c r="C4434" s="92"/>
      <c r="D4434" s="92"/>
      <c r="E4434" s="92"/>
      <c r="F4434" s="92"/>
      <c r="G4434" s="92"/>
      <c r="H4434" s="92"/>
      <c r="I4434" s="92"/>
      <c r="J4434" s="92"/>
      <c r="K4434" s="92"/>
      <c r="L4434" s="92"/>
      <c r="M4434" s="92"/>
      <c r="N4434" s="92"/>
      <c r="AG4434" s="107"/>
      <c r="AH4434" s="107"/>
      <c r="AI4434" s="107"/>
      <c r="AJ4434" s="107"/>
      <c r="AK4434" s="107"/>
      <c r="AL4434" s="107"/>
      <c r="AM4434" s="107"/>
      <c r="AN4434" s="107"/>
      <c r="AO4434" s="107"/>
      <c r="AP4434" s="107"/>
      <c r="AQ4434" s="107"/>
      <c r="AR4434" s="107"/>
      <c r="AS4434" s="107"/>
      <c r="AT4434" s="107"/>
    </row>
    <row r="4435" spans="1:63" x14ac:dyDescent="0.25">
      <c r="A4435" s="92"/>
      <c r="B4435" s="92"/>
      <c r="C4435" s="92"/>
      <c r="D4435" s="92"/>
      <c r="E4435" s="92"/>
      <c r="F4435" s="92"/>
      <c r="G4435" s="92"/>
      <c r="H4435" s="92"/>
      <c r="I4435" s="92"/>
      <c r="J4435" s="92"/>
      <c r="K4435" s="92"/>
      <c r="L4435" s="92"/>
      <c r="M4435" s="92"/>
      <c r="N4435" s="92"/>
      <c r="AG4435" s="107"/>
      <c r="AH4435" s="107"/>
      <c r="AI4435" s="107"/>
      <c r="AJ4435" s="107"/>
      <c r="AK4435" s="107"/>
      <c r="AL4435" s="107"/>
      <c r="AM4435" s="107"/>
      <c r="AN4435" s="107"/>
      <c r="AO4435" s="107"/>
      <c r="AP4435" s="107"/>
      <c r="AQ4435" s="107"/>
      <c r="AR4435" s="107"/>
      <c r="AS4435" s="107"/>
      <c r="AT4435" s="107"/>
    </row>
    <row r="4436" spans="1:63" x14ac:dyDescent="0.25">
      <c r="A4436" s="92"/>
      <c r="B4436" s="92"/>
      <c r="C4436" s="92"/>
      <c r="D4436" s="92"/>
      <c r="E4436" s="92"/>
      <c r="F4436" s="92"/>
      <c r="G4436" s="92"/>
      <c r="H4436" s="92"/>
      <c r="I4436" s="92"/>
      <c r="J4436" s="92"/>
      <c r="K4436" s="92"/>
      <c r="L4436" s="92"/>
      <c r="M4436" s="92"/>
      <c r="N4436" s="92"/>
      <c r="AG4436" s="107"/>
      <c r="AH4436" s="107"/>
      <c r="AI4436" s="107"/>
      <c r="AJ4436" s="107"/>
      <c r="AK4436" s="107"/>
      <c r="AL4436" s="107"/>
      <c r="AM4436" s="107"/>
      <c r="AN4436" s="107"/>
      <c r="AO4436" s="107"/>
      <c r="AP4436" s="107"/>
      <c r="AQ4436" s="107"/>
      <c r="AR4436" s="107"/>
      <c r="AS4436" s="107"/>
      <c r="AT4436" s="107"/>
      <c r="AZ4436" s="117"/>
      <c r="BK4436" s="39"/>
    </row>
    <row r="4437" spans="1:63" x14ac:dyDescent="0.25">
      <c r="A4437" s="92"/>
      <c r="B4437" s="92"/>
      <c r="C4437" s="92"/>
      <c r="D4437" s="92"/>
      <c r="E4437" s="92"/>
      <c r="F4437" s="92"/>
      <c r="G4437" s="92"/>
      <c r="H4437" s="92"/>
      <c r="I4437" s="92"/>
      <c r="J4437" s="92"/>
      <c r="K4437" s="92"/>
      <c r="L4437" s="92"/>
      <c r="M4437" s="92"/>
      <c r="N4437" s="92"/>
      <c r="AG4437" s="107"/>
      <c r="AH4437" s="107"/>
      <c r="AI4437" s="107"/>
      <c r="AJ4437" s="107"/>
      <c r="AK4437" s="107"/>
      <c r="AL4437" s="107"/>
      <c r="AM4437" s="107"/>
      <c r="AN4437" s="107"/>
      <c r="AO4437" s="107"/>
      <c r="AP4437" s="107"/>
      <c r="AQ4437" s="107"/>
      <c r="AR4437" s="107"/>
      <c r="AS4437" s="107"/>
      <c r="AT4437" s="107"/>
      <c r="AZ4437" s="117"/>
      <c r="BK4437" s="39"/>
    </row>
    <row r="4438" spans="1:63" x14ac:dyDescent="0.25">
      <c r="A4438" s="92"/>
      <c r="B4438" s="92"/>
      <c r="C4438" s="92"/>
      <c r="D4438" s="92"/>
      <c r="E4438" s="92"/>
      <c r="F4438" s="92"/>
      <c r="G4438" s="92"/>
      <c r="H4438" s="92"/>
      <c r="I4438" s="92"/>
      <c r="J4438" s="92"/>
      <c r="K4438" s="92"/>
      <c r="L4438" s="92"/>
      <c r="M4438" s="92"/>
      <c r="N4438" s="92"/>
      <c r="AG4438" s="107"/>
      <c r="AH4438" s="107"/>
      <c r="AI4438" s="107"/>
      <c r="AJ4438" s="107"/>
      <c r="AK4438" s="107"/>
      <c r="AL4438" s="107"/>
      <c r="AM4438" s="107"/>
      <c r="AN4438" s="107"/>
      <c r="AO4438" s="107"/>
      <c r="AP4438" s="107"/>
      <c r="AQ4438" s="107"/>
      <c r="AR4438" s="107"/>
      <c r="AS4438" s="107"/>
      <c r="AT4438" s="107"/>
      <c r="AZ4438" s="117"/>
      <c r="BK4438" s="39"/>
    </row>
    <row r="4439" spans="1:63" x14ac:dyDescent="0.25">
      <c r="A4439" s="92"/>
      <c r="B4439" s="92"/>
      <c r="C4439" s="92"/>
      <c r="D4439" s="92"/>
      <c r="E4439" s="92"/>
      <c r="F4439" s="92"/>
      <c r="G4439" s="92"/>
      <c r="H4439" s="92"/>
      <c r="I4439" s="92"/>
      <c r="J4439" s="92"/>
      <c r="K4439" s="92"/>
      <c r="L4439" s="92"/>
      <c r="M4439" s="92"/>
      <c r="N4439" s="92"/>
      <c r="AG4439" s="107"/>
      <c r="AH4439" s="107"/>
      <c r="AI4439" s="107"/>
      <c r="AJ4439" s="107"/>
      <c r="AK4439" s="107"/>
      <c r="AL4439" s="107"/>
      <c r="AM4439" s="107"/>
      <c r="AN4439" s="107"/>
      <c r="AO4439" s="107"/>
      <c r="AP4439" s="107"/>
      <c r="AQ4439" s="107"/>
      <c r="AR4439" s="107"/>
      <c r="AS4439" s="107"/>
      <c r="AT4439" s="107"/>
    </row>
    <row r="4440" spans="1:63" x14ac:dyDescent="0.25">
      <c r="A4440" s="92"/>
      <c r="B4440" s="92"/>
      <c r="C4440" s="92"/>
      <c r="D4440" s="92"/>
      <c r="E4440" s="92"/>
      <c r="F4440" s="92"/>
      <c r="G4440" s="92"/>
      <c r="H4440" s="92"/>
      <c r="I4440" s="92"/>
      <c r="J4440" s="92"/>
      <c r="K4440" s="92"/>
      <c r="L4440" s="92"/>
      <c r="M4440" s="92"/>
      <c r="N4440" s="92"/>
      <c r="AG4440" s="107"/>
      <c r="AH4440" s="117"/>
      <c r="AI4440" s="117"/>
      <c r="AJ4440" s="107"/>
      <c r="AK4440" s="107"/>
      <c r="AL4440" s="107"/>
      <c r="AM4440" s="107"/>
      <c r="AN4440" s="107"/>
      <c r="AO4440" s="107"/>
      <c r="AP4440" s="107"/>
      <c r="AQ4440" s="107"/>
      <c r="AR4440" s="107"/>
      <c r="AS4440" s="107"/>
      <c r="AT4440" s="39"/>
      <c r="AZ4440" s="117"/>
      <c r="BK4440" s="39"/>
    </row>
    <row r="4441" spans="1:63" x14ac:dyDescent="0.25">
      <c r="A4441" s="92"/>
      <c r="B4441" s="92"/>
      <c r="C4441" s="92"/>
      <c r="D4441" s="92"/>
      <c r="E4441" s="92"/>
      <c r="F4441" s="92"/>
      <c r="G4441" s="92"/>
      <c r="H4441" s="92"/>
      <c r="I4441" s="92"/>
      <c r="J4441" s="92"/>
      <c r="K4441" s="92"/>
      <c r="L4441" s="92"/>
      <c r="M4441" s="92"/>
      <c r="N4441" s="92"/>
      <c r="AG4441" s="107"/>
      <c r="AH4441" s="117"/>
      <c r="AI4441" s="117"/>
      <c r="AJ4441" s="117"/>
      <c r="AK4441" s="107"/>
      <c r="AL4441" s="107"/>
      <c r="AM4441" s="107"/>
      <c r="AN4441" s="107"/>
      <c r="AO4441" s="107"/>
      <c r="AP4441" s="107"/>
      <c r="AQ4441" s="107"/>
      <c r="AR4441" s="107"/>
      <c r="AS4441" s="107"/>
      <c r="AT4441" s="39"/>
      <c r="AZ4441" s="117"/>
      <c r="BK4441" s="39"/>
    </row>
    <row r="4442" spans="1:63" x14ac:dyDescent="0.25">
      <c r="A4442" s="92"/>
      <c r="B4442" s="92"/>
      <c r="C4442" s="92"/>
      <c r="D4442" s="92"/>
      <c r="E4442" s="92"/>
      <c r="F4442" s="92"/>
      <c r="G4442" s="92"/>
      <c r="H4442" s="92"/>
      <c r="I4442" s="92"/>
      <c r="J4442" s="92"/>
      <c r="K4442" s="92"/>
      <c r="L4442" s="92"/>
      <c r="M4442" s="92"/>
      <c r="N4442" s="92"/>
      <c r="AG4442" s="107"/>
      <c r="AH4442" s="107"/>
      <c r="AI4442" s="107"/>
      <c r="AJ4442" s="117"/>
      <c r="AK4442" s="107"/>
      <c r="AL4442" s="107"/>
      <c r="AM4442" s="107"/>
      <c r="AN4442" s="107"/>
      <c r="AO4442" s="107"/>
      <c r="AP4442" s="107"/>
      <c r="AQ4442" s="107"/>
      <c r="AR4442" s="107"/>
      <c r="AS4442" s="107"/>
      <c r="AT4442" s="107"/>
      <c r="AZ4442" s="117"/>
      <c r="BK4442" s="39"/>
    </row>
    <row r="4443" spans="1:63" x14ac:dyDescent="0.25">
      <c r="A4443" s="92"/>
      <c r="B4443" s="92"/>
      <c r="C4443" s="92"/>
      <c r="D4443" s="92"/>
      <c r="E4443" s="92"/>
      <c r="F4443" s="92"/>
      <c r="G4443" s="92"/>
      <c r="H4443" s="92"/>
      <c r="I4443" s="92"/>
      <c r="J4443" s="92"/>
      <c r="K4443" s="92"/>
      <c r="L4443" s="92"/>
      <c r="M4443" s="92"/>
      <c r="N4443" s="92"/>
      <c r="AG4443" s="107"/>
      <c r="AH4443" s="107"/>
      <c r="AI4443" s="107"/>
      <c r="AJ4443" s="117"/>
      <c r="AK4443" s="107"/>
      <c r="AL4443" s="107"/>
      <c r="AM4443" s="107"/>
      <c r="AN4443" s="107"/>
      <c r="AO4443" s="107"/>
      <c r="AP4443" s="107"/>
      <c r="AQ4443" s="107"/>
      <c r="AR4443" s="107"/>
      <c r="AS4443" s="107"/>
      <c r="AT4443" s="107"/>
      <c r="AZ4443" s="117"/>
      <c r="BK4443" s="39"/>
    </row>
    <row r="4444" spans="1:63" x14ac:dyDescent="0.25">
      <c r="A4444" s="92"/>
      <c r="B4444" s="93"/>
      <c r="C4444" s="93"/>
      <c r="D4444" s="92"/>
      <c r="E4444" s="92"/>
      <c r="F4444" s="92"/>
      <c r="G4444" s="92"/>
      <c r="H4444" s="92"/>
      <c r="I4444" s="92"/>
      <c r="J4444" s="92"/>
      <c r="K4444" s="92"/>
      <c r="L4444" s="92"/>
      <c r="M4444" s="92"/>
      <c r="N4444" s="94"/>
      <c r="AG4444" s="107"/>
      <c r="AH4444" s="107"/>
      <c r="AI4444" s="107"/>
      <c r="AJ4444" s="117"/>
      <c r="AK4444" s="107"/>
      <c r="AL4444" s="107"/>
      <c r="AM4444" s="107"/>
      <c r="AN4444" s="107"/>
      <c r="AO4444" s="107"/>
      <c r="AP4444" s="107"/>
      <c r="AQ4444" s="107"/>
      <c r="AR4444" s="107"/>
      <c r="AS4444" s="107"/>
      <c r="AT4444" s="107"/>
      <c r="AZ4444" s="117"/>
      <c r="BA4444" s="117"/>
      <c r="BK4444" s="39"/>
    </row>
    <row r="4445" spans="1:63" x14ac:dyDescent="0.25">
      <c r="A4445" s="92"/>
      <c r="B4445" s="93"/>
      <c r="C4445" s="93"/>
      <c r="D4445" s="92"/>
      <c r="E4445" s="92"/>
      <c r="F4445" s="92"/>
      <c r="G4445" s="92"/>
      <c r="H4445" s="92"/>
      <c r="I4445" s="92"/>
      <c r="J4445" s="92"/>
      <c r="K4445" s="92"/>
      <c r="L4445" s="92"/>
      <c r="M4445" s="92"/>
      <c r="N4445" s="94"/>
      <c r="AG4445" s="107"/>
      <c r="AH4445" s="107"/>
      <c r="AI4445" s="107"/>
      <c r="AJ4445" s="117"/>
      <c r="AK4445" s="107"/>
      <c r="AL4445" s="107"/>
      <c r="AM4445" s="107"/>
      <c r="AN4445" s="107"/>
      <c r="AO4445" s="107"/>
      <c r="AP4445" s="107"/>
      <c r="AQ4445" s="107"/>
      <c r="AR4445" s="107"/>
      <c r="AS4445" s="107"/>
      <c r="AT4445" s="107"/>
      <c r="BA4445" s="117"/>
    </row>
    <row r="4446" spans="1:63" x14ac:dyDescent="0.25">
      <c r="A4446" s="92"/>
      <c r="B4446" s="93"/>
      <c r="C4446" s="93"/>
      <c r="D4446" s="93"/>
      <c r="E4446" s="92"/>
      <c r="F4446" s="92"/>
      <c r="G4446" s="92"/>
      <c r="H4446" s="92"/>
      <c r="I4446" s="92"/>
      <c r="J4446" s="92"/>
      <c r="K4446" s="92"/>
      <c r="L4446" s="92"/>
      <c r="M4446" s="92"/>
      <c r="N4446" s="94"/>
      <c r="AG4446" s="107"/>
      <c r="AH4446" s="107"/>
      <c r="AI4446" s="107"/>
      <c r="AJ4446" s="117"/>
      <c r="AK4446" s="107"/>
      <c r="AL4446" s="107"/>
      <c r="AM4446" s="107"/>
      <c r="AN4446" s="107"/>
      <c r="AO4446" s="107"/>
      <c r="AP4446" s="107"/>
      <c r="AQ4446" s="107"/>
      <c r="AR4446" s="107"/>
      <c r="AS4446" s="107"/>
      <c r="AT4446" s="107"/>
    </row>
    <row r="4447" spans="1:63" x14ac:dyDescent="0.25">
      <c r="A4447" s="92"/>
      <c r="B4447" s="92"/>
      <c r="C4447" s="92"/>
      <c r="D4447" s="92"/>
      <c r="E4447" s="92"/>
      <c r="F4447" s="92"/>
      <c r="G4447" s="92"/>
      <c r="H4447" s="92"/>
      <c r="I4447" s="92"/>
      <c r="J4447" s="92"/>
      <c r="K4447" s="92"/>
      <c r="L4447" s="92"/>
      <c r="M4447" s="92"/>
      <c r="N4447" s="92"/>
      <c r="AG4447" s="107"/>
      <c r="AH4447" s="107"/>
      <c r="AI4447" s="107"/>
      <c r="AJ4447" s="117"/>
      <c r="AK4447" s="107"/>
      <c r="AL4447" s="107"/>
      <c r="AM4447" s="107"/>
      <c r="AN4447" s="107"/>
      <c r="AO4447" s="107"/>
      <c r="AP4447" s="107"/>
      <c r="AQ4447" s="107"/>
      <c r="AR4447" s="107"/>
      <c r="AS4447" s="107"/>
      <c r="AT4447" s="107"/>
    </row>
    <row r="4448" spans="1:63" x14ac:dyDescent="0.25">
      <c r="A4448" s="92"/>
      <c r="B4448" s="92"/>
      <c r="C4448" s="92"/>
      <c r="D4448" s="92"/>
      <c r="E4448" s="92"/>
      <c r="F4448" s="92"/>
      <c r="G4448" s="92"/>
      <c r="H4448" s="92"/>
      <c r="I4448" s="92"/>
      <c r="J4448" s="92"/>
      <c r="K4448" s="92"/>
      <c r="L4448" s="92"/>
      <c r="M4448" s="92"/>
      <c r="N4448" s="92"/>
      <c r="AG4448" s="107"/>
      <c r="AH4448" s="107"/>
      <c r="AI4448" s="107"/>
      <c r="AJ4448" s="117"/>
      <c r="AK4448" s="107"/>
      <c r="AL4448" s="107"/>
      <c r="AM4448" s="107"/>
      <c r="AN4448" s="107"/>
      <c r="AO4448" s="107"/>
      <c r="AP4448" s="107"/>
      <c r="AQ4448" s="107"/>
      <c r="AR4448" s="107"/>
      <c r="AS4448" s="107"/>
      <c r="AT4448" s="107"/>
    </row>
    <row r="4449" spans="1:63" x14ac:dyDescent="0.25">
      <c r="A4449" s="92"/>
      <c r="B4449" s="92"/>
      <c r="C4449" s="92"/>
      <c r="D4449" s="92"/>
      <c r="E4449" s="92"/>
      <c r="F4449" s="92"/>
      <c r="G4449" s="92"/>
      <c r="H4449" s="92"/>
      <c r="I4449" s="92"/>
      <c r="J4449" s="92"/>
      <c r="K4449" s="92"/>
      <c r="L4449" s="92"/>
      <c r="M4449" s="92"/>
      <c r="N4449" s="92"/>
      <c r="AG4449" s="107"/>
      <c r="AH4449" s="107"/>
      <c r="AI4449" s="107"/>
      <c r="AJ4449" s="117"/>
      <c r="AK4449" s="107"/>
      <c r="AL4449" s="107"/>
      <c r="AM4449" s="107"/>
      <c r="AN4449" s="107"/>
      <c r="AO4449" s="107"/>
      <c r="AP4449" s="107"/>
      <c r="AQ4449" s="107"/>
      <c r="AR4449" s="107"/>
      <c r="AS4449" s="107"/>
      <c r="AT4449" s="107"/>
    </row>
    <row r="4450" spans="1:63" x14ac:dyDescent="0.25">
      <c r="A4450" s="92"/>
      <c r="B4450" s="92"/>
      <c r="C4450" s="92"/>
      <c r="D4450" s="92"/>
      <c r="E4450" s="92"/>
      <c r="F4450" s="92"/>
      <c r="G4450" s="92"/>
      <c r="H4450" s="92"/>
      <c r="I4450" s="92"/>
      <c r="J4450" s="92"/>
      <c r="K4450" s="92"/>
      <c r="L4450" s="92"/>
      <c r="M4450" s="92"/>
      <c r="N4450" s="92"/>
      <c r="AG4450" s="107"/>
      <c r="AH4450" s="107"/>
      <c r="AI4450" s="107"/>
      <c r="AJ4450" s="117"/>
      <c r="AK4450" s="107"/>
      <c r="AL4450" s="107"/>
      <c r="AM4450" s="107"/>
      <c r="AN4450" s="107"/>
      <c r="AO4450" s="107"/>
      <c r="AP4450" s="107"/>
      <c r="AQ4450" s="107"/>
      <c r="AR4450" s="107"/>
      <c r="AS4450" s="107"/>
      <c r="AT4450" s="107"/>
    </row>
    <row r="4451" spans="1:63" x14ac:dyDescent="0.25">
      <c r="A4451" s="92"/>
      <c r="B4451" s="92"/>
      <c r="C4451" s="92"/>
      <c r="D4451" s="92"/>
      <c r="E4451" s="92"/>
      <c r="F4451" s="92"/>
      <c r="G4451" s="92"/>
      <c r="H4451" s="92"/>
      <c r="I4451" s="92"/>
      <c r="J4451" s="92"/>
      <c r="K4451" s="92"/>
      <c r="L4451" s="92"/>
      <c r="M4451" s="92"/>
      <c r="N4451" s="92"/>
      <c r="AG4451" s="107"/>
      <c r="AH4451" s="107"/>
      <c r="AI4451" s="107"/>
      <c r="AJ4451" s="117"/>
      <c r="AK4451" s="107"/>
      <c r="AL4451" s="107"/>
      <c r="AM4451" s="107"/>
      <c r="AN4451" s="107"/>
      <c r="AO4451" s="107"/>
      <c r="AP4451" s="107"/>
      <c r="AQ4451" s="107"/>
      <c r="AR4451" s="107"/>
      <c r="AS4451" s="107"/>
      <c r="AT4451" s="107"/>
    </row>
    <row r="4452" spans="1:63" x14ac:dyDescent="0.25">
      <c r="A4452" s="92"/>
      <c r="B4452" s="92"/>
      <c r="C4452" s="92"/>
      <c r="D4452" s="92"/>
      <c r="E4452" s="92"/>
      <c r="F4452" s="92"/>
      <c r="G4452" s="92"/>
      <c r="H4452" s="92"/>
      <c r="I4452" s="92"/>
      <c r="J4452" s="92"/>
      <c r="K4452" s="92"/>
      <c r="L4452" s="92"/>
      <c r="M4452" s="92"/>
      <c r="N4452" s="92"/>
      <c r="AG4452" s="107"/>
      <c r="AH4452" s="107"/>
      <c r="AI4452" s="107"/>
      <c r="AJ4452" s="117"/>
      <c r="AK4452" s="107"/>
      <c r="AL4452" s="107"/>
      <c r="AM4452" s="107"/>
      <c r="AN4452" s="107"/>
      <c r="AO4452" s="107"/>
      <c r="AP4452" s="107"/>
      <c r="AQ4452" s="107"/>
      <c r="AR4452" s="107"/>
      <c r="AS4452" s="107"/>
      <c r="AT4452" s="107"/>
    </row>
    <row r="4453" spans="1:63" x14ac:dyDescent="0.25">
      <c r="A4453" s="92"/>
      <c r="B4453" s="92"/>
      <c r="C4453" s="92"/>
      <c r="D4453" s="92"/>
      <c r="E4453" s="92"/>
      <c r="F4453" s="92"/>
      <c r="G4453" s="92"/>
      <c r="H4453" s="92"/>
      <c r="I4453" s="92"/>
      <c r="J4453" s="92"/>
      <c r="K4453" s="92"/>
      <c r="L4453" s="92"/>
      <c r="M4453" s="92"/>
      <c r="N4453" s="92"/>
      <c r="AG4453" s="107"/>
      <c r="AH4453" s="107"/>
      <c r="AI4453" s="107"/>
      <c r="AJ4453" s="117"/>
      <c r="AK4453" s="107"/>
      <c r="AL4453" s="107"/>
      <c r="AM4453" s="107"/>
      <c r="AN4453" s="107"/>
      <c r="AO4453" s="107"/>
      <c r="AP4453" s="107"/>
      <c r="AQ4453" s="107"/>
      <c r="AR4453" s="107"/>
      <c r="AS4453" s="107"/>
      <c r="AT4453" s="107"/>
    </row>
    <row r="4454" spans="1:63" x14ac:dyDescent="0.25">
      <c r="A4454" s="92"/>
      <c r="B4454" s="92"/>
      <c r="C4454" s="92"/>
      <c r="D4454" s="92"/>
      <c r="E4454" s="92"/>
      <c r="F4454" s="92"/>
      <c r="G4454" s="92"/>
      <c r="H4454" s="92"/>
      <c r="I4454" s="92"/>
      <c r="J4454" s="92"/>
      <c r="K4454" s="92"/>
      <c r="L4454" s="92"/>
      <c r="M4454" s="92"/>
      <c r="N4454" s="92"/>
      <c r="AG4454" s="107"/>
      <c r="AH4454" s="107"/>
      <c r="AI4454" s="107"/>
      <c r="AJ4454" s="117"/>
      <c r="AK4454" s="107"/>
      <c r="AL4454" s="107"/>
      <c r="AM4454" s="107"/>
      <c r="AN4454" s="107"/>
      <c r="AO4454" s="107"/>
      <c r="AP4454" s="107"/>
      <c r="AQ4454" s="107"/>
      <c r="AR4454" s="107"/>
      <c r="AS4454" s="107"/>
      <c r="AT4454" s="107"/>
      <c r="AZ4454" s="117"/>
      <c r="BK4454" s="39"/>
    </row>
    <row r="4455" spans="1:63" x14ac:dyDescent="0.25">
      <c r="A4455" s="92"/>
      <c r="B4455" s="93"/>
      <c r="C4455" s="93"/>
      <c r="D4455" s="92"/>
      <c r="E4455" s="92"/>
      <c r="F4455" s="92"/>
      <c r="G4455" s="92"/>
      <c r="H4455" s="92"/>
      <c r="I4455" s="92"/>
      <c r="J4455" s="92"/>
      <c r="K4455" s="92"/>
      <c r="L4455" s="92"/>
      <c r="M4455" s="92"/>
      <c r="N4455" s="94"/>
      <c r="AG4455" s="107"/>
      <c r="AH4455" s="107"/>
      <c r="AI4455" s="107"/>
      <c r="AJ4455" s="117"/>
      <c r="AK4455" s="107"/>
      <c r="AL4455" s="107"/>
      <c r="AM4455" s="107"/>
      <c r="AN4455" s="107"/>
      <c r="AO4455" s="107"/>
      <c r="AP4455" s="107"/>
      <c r="AQ4455" s="107"/>
      <c r="AR4455" s="107"/>
      <c r="AS4455" s="107"/>
      <c r="AT4455" s="107"/>
    </row>
    <row r="4456" spans="1:63" x14ac:dyDescent="0.25">
      <c r="A4456" s="92"/>
      <c r="B4456" s="93"/>
      <c r="C4456" s="93"/>
      <c r="D4456" s="92"/>
      <c r="E4456" s="92"/>
      <c r="F4456" s="92"/>
      <c r="G4456" s="92"/>
      <c r="H4456" s="92"/>
      <c r="I4456" s="92"/>
      <c r="J4456" s="92"/>
      <c r="K4456" s="92"/>
      <c r="L4456" s="92"/>
      <c r="M4456" s="92"/>
      <c r="N4456" s="94"/>
      <c r="AG4456" s="107"/>
      <c r="AH4456" s="117"/>
      <c r="AI4456" s="117"/>
      <c r="AJ4456" s="107"/>
      <c r="AK4456" s="107"/>
      <c r="AL4456" s="107"/>
      <c r="AM4456" s="107"/>
      <c r="AN4456" s="107"/>
      <c r="AO4456" s="107"/>
      <c r="AP4456" s="107"/>
      <c r="AQ4456" s="107"/>
      <c r="AR4456" s="107"/>
      <c r="AS4456" s="107"/>
      <c r="AT4456" s="39"/>
    </row>
    <row r="4457" spans="1:63" x14ac:dyDescent="0.25">
      <c r="A4457" s="92"/>
      <c r="B4457" s="93"/>
      <c r="C4457" s="93"/>
      <c r="D4457" s="92"/>
      <c r="E4457" s="92"/>
      <c r="F4457" s="92"/>
      <c r="G4457" s="92"/>
      <c r="H4457" s="92"/>
      <c r="I4457" s="92"/>
      <c r="J4457" s="92"/>
      <c r="K4457" s="92"/>
      <c r="L4457" s="92"/>
      <c r="M4457" s="92"/>
      <c r="N4457" s="94"/>
      <c r="AG4457" s="107"/>
      <c r="AH4457" s="117"/>
      <c r="AI4457" s="117"/>
      <c r="AJ4457" s="117"/>
      <c r="AK4457" s="107"/>
      <c r="AL4457" s="107"/>
      <c r="AM4457" s="107"/>
      <c r="AN4457" s="107"/>
      <c r="AO4457" s="107"/>
      <c r="AP4457" s="107"/>
      <c r="AQ4457" s="107"/>
      <c r="AR4457" s="107"/>
      <c r="AS4457" s="107"/>
      <c r="AT4457" s="39"/>
      <c r="AZ4457" s="117"/>
      <c r="BK4457" s="39"/>
    </row>
    <row r="4458" spans="1:63" x14ac:dyDescent="0.25">
      <c r="A4458" s="92"/>
      <c r="B4458" s="92"/>
      <c r="C4458" s="92"/>
      <c r="D4458" s="92"/>
      <c r="E4458" s="92"/>
      <c r="F4458" s="92"/>
      <c r="G4458" s="92"/>
      <c r="H4458" s="92"/>
      <c r="I4458" s="92"/>
      <c r="J4458" s="92"/>
      <c r="K4458" s="92"/>
      <c r="L4458" s="92"/>
      <c r="M4458" s="92"/>
      <c r="N4458" s="92"/>
      <c r="AG4458" s="107"/>
      <c r="AH4458" s="117"/>
      <c r="AI4458" s="117"/>
      <c r="AJ4458" s="117"/>
      <c r="AK4458" s="107"/>
      <c r="AL4458" s="107"/>
      <c r="AM4458" s="107"/>
      <c r="AN4458" s="107"/>
      <c r="AO4458" s="107"/>
      <c r="AP4458" s="107"/>
      <c r="AQ4458" s="107"/>
      <c r="AR4458" s="107"/>
      <c r="AS4458" s="107"/>
      <c r="AT4458" s="39"/>
      <c r="AZ4458" s="117"/>
      <c r="BK4458" s="39"/>
    </row>
    <row r="4459" spans="1:63" x14ac:dyDescent="0.25">
      <c r="A4459" s="92"/>
      <c r="B4459" s="93"/>
      <c r="C4459" s="93"/>
      <c r="D4459" s="92"/>
      <c r="E4459" s="92"/>
      <c r="F4459" s="92"/>
      <c r="G4459" s="92"/>
      <c r="H4459" s="92"/>
      <c r="I4459" s="92"/>
      <c r="J4459" s="92"/>
      <c r="K4459" s="92"/>
      <c r="L4459" s="92"/>
      <c r="M4459" s="92"/>
      <c r="N4459" s="94"/>
      <c r="AG4459" s="107"/>
      <c r="AH4459" s="107"/>
      <c r="AI4459" s="107"/>
      <c r="AJ4459" s="11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T4459" s="107"/>
      <c r="AZ4459" s="117"/>
      <c r="BK4459" s="39"/>
    </row>
    <row r="4460" spans="1:63" x14ac:dyDescent="0.25">
      <c r="A4460" s="92"/>
      <c r="B4460" s="93"/>
      <c r="C4460" s="93"/>
      <c r="D4460" s="92"/>
      <c r="E4460" s="92"/>
      <c r="F4460" s="92"/>
      <c r="G4460" s="92"/>
      <c r="H4460" s="92"/>
      <c r="I4460" s="92"/>
      <c r="J4460" s="92"/>
      <c r="K4460" s="92"/>
      <c r="L4460" s="92"/>
      <c r="M4460" s="92"/>
      <c r="N4460" s="94"/>
      <c r="AG4460" s="107"/>
      <c r="AH4460" s="107"/>
      <c r="AI4460" s="107"/>
      <c r="AJ4460" s="117"/>
      <c r="AK4460" s="107"/>
      <c r="AL4460" s="107"/>
      <c r="AM4460" s="107"/>
      <c r="AN4460" s="107"/>
      <c r="AO4460" s="107"/>
      <c r="AP4460" s="107"/>
      <c r="AQ4460" s="107"/>
      <c r="AR4460" s="107"/>
      <c r="AS4460" s="107"/>
      <c r="AT4460" s="107"/>
      <c r="AZ4460" s="117"/>
      <c r="BK4460" s="39"/>
    </row>
    <row r="4461" spans="1:63" x14ac:dyDescent="0.25">
      <c r="A4461" s="92"/>
      <c r="B4461" s="93"/>
      <c r="C4461" s="93"/>
      <c r="D4461" s="92"/>
      <c r="E4461" s="92"/>
      <c r="F4461" s="92"/>
      <c r="G4461" s="92"/>
      <c r="H4461" s="92"/>
      <c r="I4461" s="92"/>
      <c r="J4461" s="92"/>
      <c r="K4461" s="92"/>
      <c r="L4461" s="92"/>
      <c r="M4461" s="92"/>
      <c r="N4461" s="94"/>
      <c r="AG4461" s="107"/>
      <c r="AH4461" s="117"/>
      <c r="AI4461" s="117"/>
      <c r="AJ4461" s="107"/>
      <c r="AK4461" s="107"/>
      <c r="AL4461" s="107"/>
      <c r="AM4461" s="107"/>
      <c r="AN4461" s="107"/>
      <c r="AO4461" s="107"/>
      <c r="AP4461" s="107"/>
      <c r="AQ4461" s="107"/>
      <c r="AR4461" s="107"/>
      <c r="AS4461" s="107"/>
      <c r="AT4461" s="39"/>
      <c r="AZ4461" s="117"/>
      <c r="BK4461" s="39"/>
    </row>
    <row r="4462" spans="1:63" x14ac:dyDescent="0.25">
      <c r="A4462" s="92"/>
      <c r="B4462" s="93"/>
      <c r="C4462" s="93"/>
      <c r="D4462" s="92"/>
      <c r="E4462" s="92"/>
      <c r="F4462" s="92"/>
      <c r="G4462" s="92"/>
      <c r="H4462" s="92"/>
      <c r="I4462" s="92"/>
      <c r="J4462" s="92"/>
      <c r="K4462" s="92"/>
      <c r="L4462" s="92"/>
      <c r="M4462" s="92"/>
      <c r="N4462" s="94"/>
      <c r="AG4462" s="107"/>
      <c r="AH4462" s="117"/>
      <c r="AI4462" s="117"/>
      <c r="AJ4462" s="107"/>
      <c r="AK4462" s="107"/>
      <c r="AL4462" s="107"/>
      <c r="AM4462" s="107"/>
      <c r="AN4462" s="107"/>
      <c r="AO4462" s="107"/>
      <c r="AP4462" s="107"/>
      <c r="AQ4462" s="107"/>
      <c r="AR4462" s="107"/>
      <c r="AS4462" s="107"/>
      <c r="AT4462" s="39"/>
      <c r="AZ4462" s="117"/>
      <c r="BK4462" s="39"/>
    </row>
    <row r="4463" spans="1:63" x14ac:dyDescent="0.25">
      <c r="A4463" s="92"/>
      <c r="B4463" s="93"/>
      <c r="C4463" s="93"/>
      <c r="D4463" s="93"/>
      <c r="E4463" s="92"/>
      <c r="F4463" s="92"/>
      <c r="G4463" s="92"/>
      <c r="H4463" s="92"/>
      <c r="I4463" s="92"/>
      <c r="J4463" s="92"/>
      <c r="K4463" s="92"/>
      <c r="L4463" s="92"/>
      <c r="M4463" s="92"/>
      <c r="N4463" s="94"/>
      <c r="AG4463" s="107"/>
      <c r="AH4463" s="117"/>
      <c r="AI4463" s="117"/>
      <c r="AJ4463" s="117"/>
      <c r="AK4463" s="107"/>
      <c r="AL4463" s="107"/>
      <c r="AM4463" s="107"/>
      <c r="AN4463" s="107"/>
      <c r="AO4463" s="107"/>
      <c r="AP4463" s="107"/>
      <c r="AQ4463" s="107"/>
      <c r="AR4463" s="107"/>
      <c r="AS4463" s="107"/>
      <c r="AT4463" s="39"/>
    </row>
    <row r="4464" spans="1:63" x14ac:dyDescent="0.25">
      <c r="A4464" s="92"/>
      <c r="B4464" s="92"/>
      <c r="C4464" s="92"/>
      <c r="D4464" s="93"/>
      <c r="E4464" s="92"/>
      <c r="F4464" s="92"/>
      <c r="G4464" s="92"/>
      <c r="H4464" s="92"/>
      <c r="I4464" s="92"/>
      <c r="J4464" s="92"/>
      <c r="K4464" s="92"/>
      <c r="L4464" s="92"/>
      <c r="M4464" s="92"/>
      <c r="N4464" s="92"/>
      <c r="AG4464" s="107"/>
      <c r="AH4464" s="107"/>
      <c r="AI4464" s="107"/>
      <c r="AJ4464" s="117"/>
      <c r="AK4464" s="107"/>
      <c r="AL4464" s="107"/>
      <c r="AM4464" s="107"/>
      <c r="AN4464" s="107"/>
      <c r="AO4464" s="107"/>
      <c r="AP4464" s="107"/>
      <c r="AQ4464" s="107"/>
      <c r="AR4464" s="107"/>
      <c r="AS4464" s="107"/>
      <c r="AT4464" s="107"/>
      <c r="AZ4464" s="117"/>
      <c r="BK4464" s="39"/>
    </row>
    <row r="4465" spans="1:63" x14ac:dyDescent="0.25">
      <c r="A4465" s="92"/>
      <c r="B4465" s="92"/>
      <c r="C4465" s="92"/>
      <c r="D4465" s="92"/>
      <c r="E4465" s="92"/>
      <c r="F4465" s="92"/>
      <c r="G4465" s="92"/>
      <c r="H4465" s="92"/>
      <c r="I4465" s="92"/>
      <c r="J4465" s="92"/>
      <c r="K4465" s="92"/>
      <c r="L4465" s="92"/>
      <c r="M4465" s="92"/>
      <c r="N4465" s="92"/>
      <c r="AG4465" s="107"/>
      <c r="AH4465" s="107"/>
      <c r="AI4465" s="107"/>
      <c r="AJ4465" s="117"/>
      <c r="AK4465" s="107"/>
      <c r="AL4465" s="107"/>
      <c r="AM4465" s="107"/>
      <c r="AN4465" s="107"/>
      <c r="AO4465" s="107"/>
      <c r="AP4465" s="107"/>
      <c r="AQ4465" s="107"/>
      <c r="AR4465" s="107"/>
      <c r="AS4465" s="107"/>
      <c r="AT4465" s="107"/>
      <c r="AZ4465" s="117"/>
      <c r="BK4465" s="39"/>
    </row>
    <row r="4466" spans="1:63" x14ac:dyDescent="0.25">
      <c r="A4466" s="92"/>
      <c r="B4466" s="92"/>
      <c r="C4466" s="92"/>
      <c r="D4466" s="92"/>
      <c r="E4466" s="92"/>
      <c r="F4466" s="92"/>
      <c r="G4466" s="92"/>
      <c r="H4466" s="92"/>
      <c r="I4466" s="92"/>
      <c r="J4466" s="92"/>
      <c r="K4466" s="92"/>
      <c r="L4466" s="92"/>
      <c r="M4466" s="92"/>
      <c r="N4466" s="92"/>
      <c r="AG4466" s="107"/>
      <c r="AH4466" s="107"/>
      <c r="AI4466" s="107"/>
      <c r="AJ4466" s="117"/>
      <c r="AK4466" s="107"/>
      <c r="AL4466" s="107"/>
      <c r="AM4466" s="107"/>
      <c r="AN4466" s="107"/>
      <c r="AO4466" s="107"/>
      <c r="AP4466" s="107"/>
      <c r="AQ4466" s="107"/>
      <c r="AR4466" s="107"/>
      <c r="AS4466" s="107"/>
      <c r="AT4466" s="107"/>
    </row>
    <row r="4467" spans="1:63" x14ac:dyDescent="0.25">
      <c r="A4467" s="92"/>
      <c r="B4467" s="92"/>
      <c r="C4467" s="92"/>
      <c r="D4467" s="92"/>
      <c r="E4467" s="92"/>
      <c r="F4467" s="92"/>
      <c r="G4467" s="92"/>
      <c r="H4467" s="92"/>
      <c r="I4467" s="92"/>
      <c r="J4467" s="92"/>
      <c r="K4467" s="92"/>
      <c r="L4467" s="92"/>
      <c r="M4467" s="92"/>
      <c r="N4467" s="92"/>
      <c r="AG4467" s="107"/>
      <c r="AH4467" s="117"/>
      <c r="AI4467" s="117"/>
      <c r="AJ4467" s="107"/>
      <c r="AK4467" s="107"/>
      <c r="AL4467" s="107"/>
      <c r="AM4467" s="107"/>
      <c r="AN4467" s="107"/>
      <c r="AO4467" s="107"/>
      <c r="AP4467" s="107"/>
      <c r="AQ4467" s="107"/>
      <c r="AR4467" s="107"/>
      <c r="AS4467" s="107"/>
      <c r="AT4467" s="39"/>
      <c r="AZ4467" s="117"/>
      <c r="BK4467" s="39"/>
    </row>
    <row r="4468" spans="1:63" x14ac:dyDescent="0.25">
      <c r="A4468" s="92"/>
      <c r="B4468" s="92"/>
      <c r="C4468" s="92"/>
      <c r="D4468" s="92"/>
      <c r="E4468" s="92"/>
      <c r="F4468" s="92"/>
      <c r="G4468" s="92"/>
      <c r="H4468" s="92"/>
      <c r="I4468" s="92"/>
      <c r="J4468" s="92"/>
      <c r="K4468" s="92"/>
      <c r="L4468" s="92"/>
      <c r="M4468" s="92"/>
      <c r="N4468" s="92"/>
      <c r="AG4468" s="107"/>
      <c r="AH4468" s="107"/>
      <c r="AI4468" s="107"/>
      <c r="AJ4468" s="107"/>
      <c r="AK4468" s="107"/>
      <c r="AL4468" s="107"/>
      <c r="AM4468" s="107"/>
      <c r="AN4468" s="107"/>
      <c r="AO4468" s="107"/>
      <c r="AP4468" s="107"/>
      <c r="AQ4468" s="107"/>
      <c r="AR4468" s="107"/>
      <c r="AS4468" s="107"/>
      <c r="AT4468" s="107"/>
      <c r="AZ4468" s="117"/>
      <c r="BK4468" s="39"/>
    </row>
    <row r="4469" spans="1:63" x14ac:dyDescent="0.25">
      <c r="A4469" s="92"/>
      <c r="B4469" s="92"/>
      <c r="C4469" s="92"/>
      <c r="D4469" s="92"/>
      <c r="E4469" s="92"/>
      <c r="F4469" s="92"/>
      <c r="G4469" s="92"/>
      <c r="H4469" s="92"/>
      <c r="I4469" s="92"/>
      <c r="J4469" s="92"/>
      <c r="K4469" s="92"/>
      <c r="L4469" s="92"/>
      <c r="M4469" s="92"/>
      <c r="N4469" s="92"/>
      <c r="AG4469" s="107"/>
      <c r="AH4469" s="107"/>
      <c r="AI4469" s="107"/>
      <c r="AJ4469" s="107"/>
      <c r="AK4469" s="107"/>
      <c r="AL4469" s="107"/>
      <c r="AM4469" s="107"/>
      <c r="AN4469" s="107"/>
      <c r="AO4469" s="107"/>
      <c r="AP4469" s="107"/>
      <c r="AQ4469" s="107"/>
      <c r="AR4469" s="107"/>
      <c r="AS4469" s="107"/>
      <c r="AT4469" s="107"/>
      <c r="AZ4469" s="117"/>
      <c r="BK4469" s="39"/>
    </row>
    <row r="4470" spans="1:63" x14ac:dyDescent="0.25">
      <c r="A4470" s="92"/>
      <c r="B4470" s="92"/>
      <c r="C4470" s="92"/>
      <c r="D4470" s="92"/>
      <c r="E4470" s="92"/>
      <c r="F4470" s="92"/>
      <c r="G4470" s="92"/>
      <c r="H4470" s="92"/>
      <c r="I4470" s="92"/>
      <c r="J4470" s="92"/>
      <c r="K4470" s="92"/>
      <c r="L4470" s="92"/>
      <c r="M4470" s="92"/>
      <c r="N4470" s="92"/>
      <c r="AG4470" s="107"/>
      <c r="AH4470" s="117"/>
      <c r="AI4470" s="117"/>
      <c r="AJ4470" s="107"/>
      <c r="AK4470" s="107"/>
      <c r="AL4470" s="107"/>
      <c r="AM4470" s="107"/>
      <c r="AN4470" s="107"/>
      <c r="AO4470" s="107"/>
      <c r="AP4470" s="107"/>
      <c r="AQ4470" s="107"/>
      <c r="AR4470" s="107"/>
      <c r="AS4470" s="107"/>
      <c r="AT4470" s="39"/>
      <c r="AZ4470" s="117"/>
      <c r="BA4470" s="117"/>
      <c r="BK4470" s="39"/>
    </row>
    <row r="4471" spans="1:63" x14ac:dyDescent="0.25">
      <c r="A4471" s="92"/>
      <c r="B4471" s="92"/>
      <c r="C4471" s="92"/>
      <c r="D4471" s="92"/>
      <c r="E4471" s="92"/>
      <c r="F4471" s="92"/>
      <c r="G4471" s="92"/>
      <c r="H4471" s="92"/>
      <c r="I4471" s="92"/>
      <c r="J4471" s="92"/>
      <c r="K4471" s="92"/>
      <c r="L4471" s="92"/>
      <c r="M4471" s="92"/>
      <c r="N4471" s="92"/>
      <c r="AG4471" s="107"/>
      <c r="AH4471" s="107"/>
      <c r="AI4471" s="107"/>
      <c r="AJ4471" s="107"/>
      <c r="AK4471" s="107"/>
      <c r="AL4471" s="107"/>
      <c r="AM4471" s="107"/>
      <c r="AN4471" s="107"/>
      <c r="AO4471" s="107"/>
      <c r="AP4471" s="107"/>
      <c r="AQ4471" s="107"/>
      <c r="AR4471" s="107"/>
      <c r="AS4471" s="107"/>
      <c r="AT4471" s="107"/>
      <c r="AZ4471" s="117"/>
      <c r="BK4471" s="39"/>
    </row>
    <row r="4472" spans="1:63" x14ac:dyDescent="0.25">
      <c r="A4472" s="92"/>
      <c r="B4472" s="93"/>
      <c r="C4472" s="93"/>
      <c r="D4472" s="92"/>
      <c r="E4472" s="92"/>
      <c r="F4472" s="92"/>
      <c r="G4472" s="92"/>
      <c r="H4472" s="92"/>
      <c r="I4472" s="92"/>
      <c r="J4472" s="92"/>
      <c r="K4472" s="92"/>
      <c r="L4472" s="92"/>
      <c r="M4472" s="92"/>
      <c r="N4472" s="94"/>
      <c r="AG4472" s="107"/>
      <c r="AH4472" s="107"/>
      <c r="AI4472" s="107"/>
      <c r="AJ4472" s="107"/>
      <c r="AK4472" s="107"/>
      <c r="AL4472" s="107"/>
      <c r="AM4472" s="107"/>
      <c r="AN4472" s="107"/>
      <c r="AO4472" s="107"/>
      <c r="AP4472" s="107"/>
      <c r="AQ4472" s="107"/>
      <c r="AR4472" s="107"/>
      <c r="AS4472" s="107"/>
      <c r="AT4472" s="107"/>
      <c r="AZ4472" s="117"/>
      <c r="BK4472" s="39"/>
    </row>
    <row r="4473" spans="1:63" x14ac:dyDescent="0.25">
      <c r="A4473" s="92"/>
      <c r="B4473" s="92"/>
      <c r="C4473" s="92"/>
      <c r="D4473" s="92"/>
      <c r="E4473" s="92"/>
      <c r="F4473" s="92"/>
      <c r="G4473" s="92"/>
      <c r="H4473" s="92"/>
      <c r="I4473" s="92"/>
      <c r="J4473" s="92"/>
      <c r="K4473" s="92"/>
      <c r="L4473" s="92"/>
      <c r="M4473" s="92"/>
      <c r="N4473" s="92"/>
      <c r="AG4473" s="107"/>
      <c r="AH4473" s="117"/>
      <c r="AI4473" s="117"/>
      <c r="AJ4473" s="107"/>
      <c r="AK4473" s="107"/>
      <c r="AL4473" s="107"/>
      <c r="AM4473" s="107"/>
      <c r="AN4473" s="107"/>
      <c r="AO4473" s="107"/>
      <c r="AP4473" s="107"/>
      <c r="AQ4473" s="107"/>
      <c r="AR4473" s="107"/>
      <c r="AS4473" s="107"/>
      <c r="AT4473" s="39"/>
    </row>
    <row r="4474" spans="1:63" x14ac:dyDescent="0.25">
      <c r="A4474" s="92"/>
      <c r="B4474" s="92"/>
      <c r="C4474" s="92"/>
      <c r="D4474" s="92"/>
      <c r="E4474" s="92"/>
      <c r="F4474" s="92"/>
      <c r="G4474" s="92"/>
      <c r="H4474" s="92"/>
      <c r="I4474" s="92"/>
      <c r="J4474" s="92"/>
      <c r="K4474" s="92"/>
      <c r="L4474" s="92"/>
      <c r="M4474" s="92"/>
      <c r="N4474" s="92"/>
      <c r="AG4474" s="107"/>
      <c r="AH4474" s="107"/>
      <c r="AI4474" s="107"/>
      <c r="AJ4474" s="107"/>
      <c r="AK4474" s="107"/>
      <c r="AL4474" s="107"/>
      <c r="AM4474" s="107"/>
      <c r="AN4474" s="107"/>
      <c r="AO4474" s="107"/>
      <c r="AP4474" s="107"/>
      <c r="AQ4474" s="107"/>
      <c r="AR4474" s="107"/>
      <c r="AS4474" s="107"/>
      <c r="AT4474" s="107"/>
    </row>
    <row r="4475" spans="1:63" x14ac:dyDescent="0.25">
      <c r="A4475" s="92"/>
      <c r="B4475" s="93"/>
      <c r="C4475" s="93"/>
      <c r="D4475" s="92"/>
      <c r="E4475" s="92"/>
      <c r="F4475" s="92"/>
      <c r="G4475" s="92"/>
      <c r="H4475" s="92"/>
      <c r="I4475" s="92"/>
      <c r="J4475" s="92"/>
      <c r="K4475" s="92"/>
      <c r="L4475" s="92"/>
      <c r="M4475" s="92"/>
      <c r="N4475" s="94"/>
      <c r="AG4475" s="107"/>
      <c r="AH4475" s="117"/>
      <c r="AI4475" s="117"/>
      <c r="AJ4475" s="117"/>
      <c r="AK4475" s="107"/>
      <c r="AL4475" s="107"/>
      <c r="AM4475" s="107"/>
      <c r="AN4475" s="107"/>
      <c r="AO4475" s="107"/>
      <c r="AP4475" s="107"/>
      <c r="AQ4475" s="107"/>
      <c r="AR4475" s="107"/>
      <c r="AS4475" s="107"/>
      <c r="AT4475" s="39"/>
      <c r="AZ4475" s="117"/>
      <c r="BK4475" s="39"/>
    </row>
    <row r="4476" spans="1:63" x14ac:dyDescent="0.25">
      <c r="A4476" s="92"/>
      <c r="B4476" s="93"/>
      <c r="C4476" s="93"/>
      <c r="D4476" s="92"/>
      <c r="E4476" s="92"/>
      <c r="F4476" s="92"/>
      <c r="G4476" s="92"/>
      <c r="H4476" s="92"/>
      <c r="I4476" s="92"/>
      <c r="J4476" s="92"/>
      <c r="K4476" s="92"/>
      <c r="L4476" s="92"/>
      <c r="M4476" s="92"/>
      <c r="N4476" s="94"/>
      <c r="AG4476" s="107"/>
      <c r="AH4476" s="117"/>
      <c r="AI4476" s="117"/>
      <c r="AJ4476" s="107"/>
      <c r="AK4476" s="107"/>
      <c r="AL4476" s="107"/>
      <c r="AM4476" s="107"/>
      <c r="AN4476" s="107"/>
      <c r="AO4476" s="107"/>
      <c r="AP4476" s="107"/>
      <c r="AQ4476" s="107"/>
      <c r="AR4476" s="107"/>
      <c r="AS4476" s="107"/>
      <c r="AT4476" s="39"/>
      <c r="AZ4476" s="117"/>
      <c r="BK4476" s="39"/>
    </row>
    <row r="4477" spans="1:63" x14ac:dyDescent="0.25">
      <c r="A4477" s="92"/>
      <c r="B4477" s="93"/>
      <c r="C4477" s="93"/>
      <c r="D4477" s="92"/>
      <c r="E4477" s="92"/>
      <c r="F4477" s="92"/>
      <c r="G4477" s="92"/>
      <c r="H4477" s="92"/>
      <c r="I4477" s="92"/>
      <c r="J4477" s="92"/>
      <c r="K4477" s="92"/>
      <c r="L4477" s="92"/>
      <c r="M4477" s="92"/>
      <c r="N4477" s="94"/>
      <c r="AG4477" s="107"/>
      <c r="AH4477" s="107"/>
      <c r="AI4477" s="107"/>
      <c r="AJ4477" s="107"/>
      <c r="AK4477" s="107"/>
      <c r="AL4477" s="107"/>
      <c r="AM4477" s="107"/>
      <c r="AN4477" s="107"/>
      <c r="AO4477" s="107"/>
      <c r="AP4477" s="107"/>
      <c r="AQ4477" s="107"/>
      <c r="AR4477" s="107"/>
      <c r="AS4477" s="107"/>
      <c r="AT4477" s="107"/>
      <c r="AZ4477" s="117"/>
      <c r="BK4477" s="39"/>
    </row>
    <row r="4478" spans="1:63" x14ac:dyDescent="0.25">
      <c r="A4478" s="92"/>
      <c r="B4478" s="93"/>
      <c r="C4478" s="93"/>
      <c r="D4478" s="92"/>
      <c r="E4478" s="92"/>
      <c r="F4478" s="92"/>
      <c r="G4478" s="92"/>
      <c r="H4478" s="92"/>
      <c r="I4478" s="92"/>
      <c r="J4478" s="92"/>
      <c r="K4478" s="92"/>
      <c r="L4478" s="92"/>
      <c r="M4478" s="92"/>
      <c r="N4478" s="94"/>
      <c r="AG4478" s="107"/>
      <c r="AH4478" s="117"/>
      <c r="AI4478" s="117"/>
      <c r="AJ4478" s="107"/>
      <c r="AK4478" s="107"/>
      <c r="AL4478" s="107"/>
      <c r="AM4478" s="107"/>
      <c r="AN4478" s="107"/>
      <c r="AO4478" s="107"/>
      <c r="AP4478" s="107"/>
      <c r="AQ4478" s="107"/>
      <c r="AR4478" s="107"/>
      <c r="AS4478" s="107"/>
      <c r="AT4478" s="39"/>
      <c r="AZ4478" s="117"/>
      <c r="BK4478" s="39"/>
    </row>
    <row r="4479" spans="1:63" x14ac:dyDescent="0.25">
      <c r="A4479" s="92"/>
      <c r="B4479" s="93"/>
      <c r="C4479" s="93"/>
      <c r="D4479" s="92"/>
      <c r="E4479" s="92"/>
      <c r="F4479" s="92"/>
      <c r="G4479" s="92"/>
      <c r="H4479" s="92"/>
      <c r="I4479" s="92"/>
      <c r="J4479" s="92"/>
      <c r="K4479" s="92"/>
      <c r="L4479" s="92"/>
      <c r="M4479" s="92"/>
      <c r="N4479" s="94"/>
      <c r="AG4479" s="107"/>
      <c r="AH4479" s="107"/>
      <c r="AI4479" s="107"/>
      <c r="AJ4479" s="107"/>
      <c r="AK4479" s="107"/>
      <c r="AL4479" s="107"/>
      <c r="AM4479" s="107"/>
      <c r="AN4479" s="107"/>
      <c r="AO4479" s="107"/>
      <c r="AP4479" s="107"/>
      <c r="AQ4479" s="107"/>
      <c r="AR4479" s="107"/>
      <c r="AS4479" s="107"/>
      <c r="AT4479" s="107"/>
    </row>
    <row r="4480" spans="1:63" x14ac:dyDescent="0.25">
      <c r="A4480" s="92"/>
      <c r="B4480" s="93"/>
      <c r="C4480" s="93"/>
      <c r="D4480" s="92"/>
      <c r="E4480" s="92"/>
      <c r="F4480" s="92"/>
      <c r="G4480" s="92"/>
      <c r="H4480" s="92"/>
      <c r="I4480" s="92"/>
      <c r="J4480" s="92"/>
      <c r="K4480" s="92"/>
      <c r="L4480" s="92"/>
      <c r="M4480" s="92"/>
      <c r="N4480" s="94"/>
      <c r="AG4480" s="107"/>
      <c r="AH4480" s="107"/>
      <c r="AI4480" s="107"/>
      <c r="AJ4480" s="107"/>
      <c r="AK4480" s="107"/>
      <c r="AL4480" s="107"/>
      <c r="AM4480" s="107"/>
      <c r="AN4480" s="107"/>
      <c r="AO4480" s="107"/>
      <c r="AP4480" s="107"/>
      <c r="AQ4480" s="107"/>
      <c r="AR4480" s="107"/>
      <c r="AS4480" s="107"/>
      <c r="AT4480" s="107"/>
      <c r="AZ4480" s="117"/>
      <c r="BK4480" s="39"/>
    </row>
    <row r="4481" spans="1:63" x14ac:dyDescent="0.25">
      <c r="A4481" s="92"/>
      <c r="B4481" s="92"/>
      <c r="C4481" s="92"/>
      <c r="D4481" s="92"/>
      <c r="E4481" s="92"/>
      <c r="F4481" s="92"/>
      <c r="G4481" s="92"/>
      <c r="H4481" s="92"/>
      <c r="I4481" s="92"/>
      <c r="J4481" s="92"/>
      <c r="K4481" s="92"/>
      <c r="L4481" s="92"/>
      <c r="M4481" s="92"/>
      <c r="N4481" s="92"/>
      <c r="AG4481" s="107"/>
      <c r="AH4481" s="107"/>
      <c r="AI4481" s="107"/>
      <c r="AJ4481" s="107"/>
      <c r="AK4481" s="107"/>
      <c r="AL4481" s="107"/>
      <c r="AM4481" s="107"/>
      <c r="AN4481" s="107"/>
      <c r="AO4481" s="107"/>
      <c r="AP4481" s="107"/>
      <c r="AQ4481" s="107"/>
      <c r="AR4481" s="107"/>
      <c r="AS4481" s="107"/>
      <c r="AT4481" s="107"/>
    </row>
    <row r="4482" spans="1:63" x14ac:dyDescent="0.25">
      <c r="A4482" s="92"/>
      <c r="B4482" s="93"/>
      <c r="C4482" s="93"/>
      <c r="D4482" s="92"/>
      <c r="E4482" s="92"/>
      <c r="F4482" s="92"/>
      <c r="G4482" s="92"/>
      <c r="H4482" s="92"/>
      <c r="I4482" s="92"/>
      <c r="J4482" s="92"/>
      <c r="K4482" s="92"/>
      <c r="L4482" s="92"/>
      <c r="M4482" s="92"/>
      <c r="N4482" s="94"/>
      <c r="AG4482" s="107"/>
      <c r="AH4482" s="107"/>
      <c r="AI4482" s="107"/>
      <c r="AJ4482" s="107"/>
      <c r="AK4482" s="107"/>
      <c r="AL4482" s="107"/>
      <c r="AM4482" s="107"/>
      <c r="AN4482" s="107"/>
      <c r="AO4482" s="107"/>
      <c r="AP4482" s="107"/>
      <c r="AQ4482" s="107"/>
      <c r="AR4482" s="107"/>
      <c r="AS4482" s="107"/>
      <c r="AT4482" s="107"/>
      <c r="AZ4482" s="117"/>
      <c r="BA4482" s="117"/>
      <c r="BK4482" s="39"/>
    </row>
    <row r="4483" spans="1:63" x14ac:dyDescent="0.25">
      <c r="A4483" s="92"/>
      <c r="B4483" s="93"/>
      <c r="C4483" s="93"/>
      <c r="D4483" s="92"/>
      <c r="E4483" s="92"/>
      <c r="F4483" s="92"/>
      <c r="G4483" s="92"/>
      <c r="H4483" s="92"/>
      <c r="I4483" s="92"/>
      <c r="J4483" s="92"/>
      <c r="K4483" s="92"/>
      <c r="L4483" s="92"/>
      <c r="M4483" s="92"/>
      <c r="N4483" s="94"/>
      <c r="AG4483" s="107"/>
      <c r="AH4483" s="117"/>
      <c r="AI4483" s="117"/>
      <c r="AJ4483" s="117"/>
      <c r="AK4483" s="107"/>
      <c r="AL4483" s="107"/>
      <c r="AM4483" s="107"/>
      <c r="AN4483" s="107"/>
      <c r="AO4483" s="107"/>
      <c r="AP4483" s="107"/>
      <c r="AQ4483" s="107"/>
      <c r="AR4483" s="107"/>
      <c r="AS4483" s="107"/>
      <c r="AT4483" s="39"/>
    </row>
    <row r="4484" spans="1:63" x14ac:dyDescent="0.25">
      <c r="A4484" s="92"/>
      <c r="B4484" s="92"/>
      <c r="C4484" s="92"/>
      <c r="D4484" s="92"/>
      <c r="E4484" s="92"/>
      <c r="F4484" s="92"/>
      <c r="G4484" s="92"/>
      <c r="H4484" s="92"/>
      <c r="I4484" s="92"/>
      <c r="J4484" s="92"/>
      <c r="K4484" s="92"/>
      <c r="L4484" s="92"/>
      <c r="M4484" s="92"/>
      <c r="N4484" s="92"/>
      <c r="AG4484" s="107"/>
      <c r="AH4484" s="107"/>
      <c r="AI4484" s="107"/>
      <c r="AJ4484" s="11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</row>
    <row r="4485" spans="1:63" x14ac:dyDescent="0.25">
      <c r="A4485" s="92"/>
      <c r="B4485" s="93"/>
      <c r="C4485" s="93"/>
      <c r="D4485" s="92"/>
      <c r="E4485" s="92"/>
      <c r="F4485" s="92"/>
      <c r="G4485" s="92"/>
      <c r="H4485" s="92"/>
      <c r="I4485" s="92"/>
      <c r="J4485" s="92"/>
      <c r="K4485" s="92"/>
      <c r="L4485" s="92"/>
      <c r="M4485" s="92"/>
      <c r="N4485" s="94"/>
      <c r="AG4485" s="107"/>
      <c r="AH4485" s="107"/>
      <c r="AI4485" s="107"/>
      <c r="AJ4485" s="107"/>
      <c r="AK4485" s="107"/>
      <c r="AL4485" s="107"/>
      <c r="AM4485" s="107"/>
      <c r="AN4485" s="107"/>
      <c r="AO4485" s="107"/>
      <c r="AP4485" s="107"/>
      <c r="AQ4485" s="107"/>
      <c r="AR4485" s="107"/>
      <c r="AS4485" s="107"/>
      <c r="AT4485" s="107"/>
    </row>
    <row r="4486" spans="1:63" x14ac:dyDescent="0.25">
      <c r="A4486" s="92"/>
      <c r="B4486" s="93"/>
      <c r="C4486" s="93"/>
      <c r="D4486" s="92"/>
      <c r="E4486" s="92"/>
      <c r="F4486" s="92"/>
      <c r="G4486" s="92"/>
      <c r="H4486" s="92"/>
      <c r="I4486" s="92"/>
      <c r="J4486" s="92"/>
      <c r="K4486" s="92"/>
      <c r="L4486" s="92"/>
      <c r="M4486" s="92"/>
      <c r="N4486" s="94"/>
      <c r="AG4486" s="107"/>
      <c r="AH4486" s="117"/>
      <c r="AI4486" s="117"/>
      <c r="AJ4486" s="107"/>
      <c r="AK4486" s="107"/>
      <c r="AL4486" s="107"/>
      <c r="AM4486" s="107"/>
      <c r="AN4486" s="107"/>
      <c r="AO4486" s="107"/>
      <c r="AP4486" s="107"/>
      <c r="AQ4486" s="107"/>
      <c r="AR4486" s="107"/>
      <c r="AS4486" s="107"/>
      <c r="AT4486" s="39"/>
    </row>
    <row r="4487" spans="1:63" x14ac:dyDescent="0.25">
      <c r="A4487" s="92"/>
      <c r="B4487" s="93"/>
      <c r="C4487" s="93"/>
      <c r="D4487" s="93"/>
      <c r="E4487" s="92"/>
      <c r="F4487" s="92"/>
      <c r="G4487" s="92"/>
      <c r="H4487" s="92"/>
      <c r="I4487" s="92"/>
      <c r="J4487" s="92"/>
      <c r="K4487" s="92"/>
      <c r="L4487" s="92"/>
      <c r="M4487" s="92"/>
      <c r="N4487" s="94"/>
      <c r="AG4487" s="107"/>
      <c r="AH4487" s="107"/>
      <c r="AI4487" s="107"/>
      <c r="AJ4487" s="107"/>
      <c r="AK4487" s="107"/>
      <c r="AL4487" s="107"/>
      <c r="AM4487" s="107"/>
      <c r="AN4487" s="107"/>
      <c r="AO4487" s="107"/>
      <c r="AP4487" s="107"/>
      <c r="AQ4487" s="107"/>
      <c r="AR4487" s="107"/>
      <c r="AS4487" s="107"/>
      <c r="AT4487" s="107"/>
    </row>
    <row r="4488" spans="1:63" x14ac:dyDescent="0.25">
      <c r="A4488" s="92"/>
      <c r="B4488" s="93"/>
      <c r="C4488" s="93"/>
      <c r="D4488" s="93"/>
      <c r="E4488" s="92"/>
      <c r="F4488" s="92"/>
      <c r="G4488" s="92"/>
      <c r="H4488" s="92"/>
      <c r="I4488" s="92"/>
      <c r="J4488" s="92"/>
      <c r="K4488" s="92"/>
      <c r="L4488" s="92"/>
      <c r="M4488" s="92"/>
      <c r="N4488" s="94"/>
      <c r="AG4488" s="107"/>
      <c r="AH4488" s="107"/>
      <c r="AI4488" s="107"/>
      <c r="AJ4488" s="107"/>
      <c r="AK4488" s="107"/>
      <c r="AL4488" s="107"/>
      <c r="AM4488" s="107"/>
      <c r="AN4488" s="107"/>
      <c r="AO4488" s="107"/>
      <c r="AP4488" s="107"/>
      <c r="AQ4488" s="107"/>
      <c r="AR4488" s="107"/>
      <c r="AS4488" s="107"/>
      <c r="AT4488" s="107"/>
    </row>
    <row r="4489" spans="1:63" x14ac:dyDescent="0.25">
      <c r="A4489" s="92"/>
      <c r="B4489" s="93"/>
      <c r="C4489" s="93"/>
      <c r="D4489" s="92"/>
      <c r="E4489" s="92"/>
      <c r="F4489" s="92"/>
      <c r="G4489" s="92"/>
      <c r="H4489" s="92"/>
      <c r="I4489" s="92"/>
      <c r="J4489" s="92"/>
      <c r="K4489" s="92"/>
      <c r="L4489" s="92"/>
      <c r="M4489" s="92"/>
      <c r="N4489" s="94"/>
      <c r="AG4489" s="107"/>
      <c r="AH4489" s="107"/>
      <c r="AI4489" s="107"/>
      <c r="AJ4489" s="107"/>
      <c r="AK4489" s="107"/>
      <c r="AL4489" s="107"/>
      <c r="AM4489" s="107"/>
      <c r="AN4489" s="107"/>
      <c r="AO4489" s="107"/>
      <c r="AP4489" s="107"/>
      <c r="AQ4489" s="107"/>
      <c r="AR4489" s="107"/>
      <c r="AS4489" s="107"/>
      <c r="AT4489" s="107"/>
    </row>
    <row r="4490" spans="1:63" x14ac:dyDescent="0.25">
      <c r="A4490" s="92"/>
      <c r="B4490" s="93"/>
      <c r="C4490" s="93"/>
      <c r="D4490" s="92"/>
      <c r="E4490" s="92"/>
      <c r="F4490" s="92"/>
      <c r="G4490" s="92"/>
      <c r="H4490" s="92"/>
      <c r="I4490" s="92"/>
      <c r="J4490" s="92"/>
      <c r="K4490" s="92"/>
      <c r="L4490" s="92"/>
      <c r="M4490" s="92"/>
      <c r="N4490" s="94"/>
      <c r="AG4490" s="107"/>
      <c r="AH4490" s="117"/>
      <c r="AI4490" s="117"/>
      <c r="AJ4490" s="107"/>
      <c r="AK4490" s="107"/>
      <c r="AL4490" s="107"/>
      <c r="AM4490" s="107"/>
      <c r="AN4490" s="107"/>
      <c r="AO4490" s="107"/>
      <c r="AP4490" s="107"/>
      <c r="AQ4490" s="107"/>
      <c r="AR4490" s="107"/>
      <c r="AS4490" s="107"/>
      <c r="AT4490" s="39"/>
      <c r="AZ4490" s="117"/>
      <c r="BK4490" s="39"/>
    </row>
    <row r="4491" spans="1:63" x14ac:dyDescent="0.25">
      <c r="A4491" s="92"/>
      <c r="B4491" s="92"/>
      <c r="C4491" s="92"/>
      <c r="D4491" s="92"/>
      <c r="E4491" s="92"/>
      <c r="F4491" s="92"/>
      <c r="G4491" s="92"/>
      <c r="H4491" s="92"/>
      <c r="I4491" s="92"/>
      <c r="J4491" s="92"/>
      <c r="K4491" s="92"/>
      <c r="L4491" s="92"/>
      <c r="M4491" s="92"/>
      <c r="N4491" s="92"/>
      <c r="AG4491" s="107"/>
      <c r="AH4491" s="107"/>
      <c r="AI4491" s="107"/>
      <c r="AJ4491" s="107"/>
      <c r="AK4491" s="107"/>
      <c r="AL4491" s="107"/>
      <c r="AM4491" s="107"/>
      <c r="AN4491" s="107"/>
      <c r="AO4491" s="107"/>
      <c r="AP4491" s="107"/>
      <c r="AQ4491" s="107"/>
      <c r="AR4491" s="107"/>
      <c r="AS4491" s="107"/>
      <c r="AT4491" s="107"/>
      <c r="AZ4491" s="117"/>
      <c r="BK4491" s="39"/>
    </row>
    <row r="4492" spans="1:63" x14ac:dyDescent="0.25">
      <c r="A4492" s="92"/>
      <c r="B4492" s="92"/>
      <c r="C4492" s="92"/>
      <c r="D4492" s="92"/>
      <c r="E4492" s="92"/>
      <c r="F4492" s="92"/>
      <c r="G4492" s="92"/>
      <c r="H4492" s="92"/>
      <c r="I4492" s="92"/>
      <c r="J4492" s="92"/>
      <c r="K4492" s="92"/>
      <c r="L4492" s="92"/>
      <c r="M4492" s="92"/>
      <c r="N4492" s="92"/>
      <c r="AG4492" s="107"/>
      <c r="AH4492" s="107"/>
      <c r="AI4492" s="107"/>
      <c r="AJ4492" s="107"/>
      <c r="AK4492" s="107"/>
      <c r="AL4492" s="107"/>
      <c r="AM4492" s="107"/>
      <c r="AN4492" s="107"/>
      <c r="AO4492" s="107"/>
      <c r="AP4492" s="107"/>
      <c r="AQ4492" s="107"/>
      <c r="AR4492" s="107"/>
      <c r="AS4492" s="107"/>
      <c r="AT4492" s="107"/>
    </row>
    <row r="4493" spans="1:63" x14ac:dyDescent="0.25">
      <c r="A4493" s="92"/>
      <c r="B4493" s="93"/>
      <c r="C4493" s="93"/>
      <c r="D4493" s="92"/>
      <c r="E4493" s="92"/>
      <c r="F4493" s="92"/>
      <c r="G4493" s="92"/>
      <c r="H4493" s="92"/>
      <c r="I4493" s="92"/>
      <c r="J4493" s="92"/>
      <c r="K4493" s="92"/>
      <c r="L4493" s="92"/>
      <c r="M4493" s="92"/>
      <c r="N4493" s="94"/>
      <c r="AG4493" s="107"/>
      <c r="AH4493" s="107"/>
      <c r="AI4493" s="107"/>
      <c r="AJ4493" s="107"/>
      <c r="AK4493" s="107"/>
      <c r="AL4493" s="107"/>
      <c r="AM4493" s="107"/>
      <c r="AN4493" s="107"/>
      <c r="AO4493" s="107"/>
      <c r="AP4493" s="107"/>
      <c r="AQ4493" s="107"/>
      <c r="AR4493" s="107"/>
      <c r="AS4493" s="107"/>
      <c r="AT4493" s="107"/>
      <c r="AZ4493" s="117"/>
      <c r="BK4493" s="39"/>
    </row>
    <row r="4494" spans="1:63" x14ac:dyDescent="0.25">
      <c r="A4494" s="92"/>
      <c r="B4494" s="93"/>
      <c r="C4494" s="93"/>
      <c r="D4494" s="92"/>
      <c r="E4494" s="92"/>
      <c r="F4494" s="92"/>
      <c r="G4494" s="92"/>
      <c r="H4494" s="92"/>
      <c r="I4494" s="92"/>
      <c r="J4494" s="92"/>
      <c r="K4494" s="92"/>
      <c r="L4494" s="92"/>
      <c r="M4494" s="92"/>
      <c r="N4494" s="94"/>
      <c r="AG4494" s="107"/>
      <c r="AH4494" s="107"/>
      <c r="AI4494" s="107"/>
      <c r="AJ4494" s="107"/>
      <c r="AK4494" s="107"/>
      <c r="AL4494" s="107"/>
      <c r="AM4494" s="107"/>
      <c r="AN4494" s="107"/>
      <c r="AO4494" s="107"/>
      <c r="AP4494" s="107"/>
      <c r="AQ4494" s="107"/>
      <c r="AR4494" s="107"/>
      <c r="AS4494" s="107"/>
      <c r="AT4494" s="107"/>
      <c r="AZ4494" s="117"/>
      <c r="BK4494" s="39"/>
    </row>
    <row r="4495" spans="1:63" x14ac:dyDescent="0.25">
      <c r="A4495" s="92"/>
      <c r="B4495" s="93"/>
      <c r="C4495" s="93"/>
      <c r="D4495" s="92"/>
      <c r="E4495" s="92"/>
      <c r="F4495" s="92"/>
      <c r="G4495" s="92"/>
      <c r="H4495" s="92"/>
      <c r="I4495" s="92"/>
      <c r="J4495" s="92"/>
      <c r="K4495" s="92"/>
      <c r="L4495" s="92"/>
      <c r="M4495" s="92"/>
      <c r="N4495" s="94"/>
      <c r="AG4495" s="107"/>
      <c r="AH4495" s="117"/>
      <c r="AI4495" s="117"/>
      <c r="AJ4495" s="107"/>
      <c r="AK4495" s="107"/>
      <c r="AL4495" s="107"/>
      <c r="AM4495" s="107"/>
      <c r="AN4495" s="107"/>
      <c r="AO4495" s="107"/>
      <c r="AP4495" s="107"/>
      <c r="AQ4495" s="107"/>
      <c r="AR4495" s="107"/>
      <c r="AS4495" s="107"/>
      <c r="AT4495" s="39"/>
      <c r="AZ4495" s="117"/>
      <c r="BK4495" s="39"/>
    </row>
    <row r="4496" spans="1:63" x14ac:dyDescent="0.25">
      <c r="A4496" s="92"/>
      <c r="B4496" s="93"/>
      <c r="C4496" s="93"/>
      <c r="D4496" s="92"/>
      <c r="E4496" s="92"/>
      <c r="F4496" s="92"/>
      <c r="G4496" s="92"/>
      <c r="H4496" s="92"/>
      <c r="I4496" s="92"/>
      <c r="J4496" s="92"/>
      <c r="K4496" s="92"/>
      <c r="L4496" s="92"/>
      <c r="M4496" s="92"/>
      <c r="N4496" s="94"/>
      <c r="AG4496" s="107"/>
      <c r="AH4496" s="117"/>
      <c r="AI4496" s="117"/>
      <c r="AJ4496" s="107"/>
      <c r="AK4496" s="107"/>
      <c r="AL4496" s="107"/>
      <c r="AM4496" s="107"/>
      <c r="AN4496" s="107"/>
      <c r="AO4496" s="107"/>
      <c r="AP4496" s="107"/>
      <c r="AQ4496" s="107"/>
      <c r="AR4496" s="107"/>
      <c r="AS4496" s="107"/>
      <c r="AT4496" s="39"/>
      <c r="AZ4496" s="117"/>
      <c r="BK4496" s="39"/>
    </row>
    <row r="4497" spans="1:63" x14ac:dyDescent="0.25">
      <c r="A4497" s="92"/>
      <c r="B4497" s="92"/>
      <c r="C4497" s="92"/>
      <c r="D4497" s="92"/>
      <c r="E4497" s="92"/>
      <c r="F4497" s="92"/>
      <c r="G4497" s="92"/>
      <c r="H4497" s="92"/>
      <c r="I4497" s="92"/>
      <c r="J4497" s="92"/>
      <c r="K4497" s="92"/>
      <c r="L4497" s="92"/>
      <c r="M4497" s="92"/>
      <c r="N4497" s="92"/>
      <c r="AG4497" s="107"/>
      <c r="AH4497" s="117"/>
      <c r="AI4497" s="117"/>
      <c r="AJ4497" s="117"/>
      <c r="AK4497" s="107"/>
      <c r="AL4497" s="107"/>
      <c r="AM4497" s="107"/>
      <c r="AN4497" s="107"/>
      <c r="AO4497" s="107"/>
      <c r="AP4497" s="107"/>
      <c r="AQ4497" s="107"/>
      <c r="AR4497" s="107"/>
      <c r="AS4497" s="107"/>
      <c r="AT4497" s="39"/>
      <c r="AZ4497" s="117"/>
      <c r="BK4497" s="39"/>
    </row>
    <row r="4498" spans="1:63" x14ac:dyDescent="0.25">
      <c r="A4498" s="92"/>
      <c r="B4498" s="93"/>
      <c r="C4498" s="93"/>
      <c r="D4498" s="92"/>
      <c r="E4498" s="92"/>
      <c r="F4498" s="92"/>
      <c r="G4498" s="92"/>
      <c r="H4498" s="92"/>
      <c r="I4498" s="92"/>
      <c r="J4498" s="92"/>
      <c r="K4498" s="92"/>
      <c r="L4498" s="92"/>
      <c r="M4498" s="92"/>
      <c r="N4498" s="94"/>
      <c r="AG4498" s="107"/>
      <c r="AH4498" s="117"/>
      <c r="AI4498" s="117"/>
      <c r="AJ4498" s="107"/>
      <c r="AK4498" s="107"/>
      <c r="AL4498" s="107"/>
      <c r="AM4498" s="107"/>
      <c r="AN4498" s="107"/>
      <c r="AO4498" s="107"/>
      <c r="AP4498" s="107"/>
      <c r="AQ4498" s="107"/>
      <c r="AR4498" s="107"/>
      <c r="AS4498" s="107"/>
      <c r="AT4498" s="39"/>
    </row>
    <row r="4499" spans="1:63" x14ac:dyDescent="0.25">
      <c r="A4499" s="92"/>
      <c r="B4499" s="92"/>
      <c r="C4499" s="92"/>
      <c r="D4499" s="92"/>
      <c r="E4499" s="92"/>
      <c r="F4499" s="92"/>
      <c r="G4499" s="92"/>
      <c r="H4499" s="92"/>
      <c r="I4499" s="92"/>
      <c r="J4499" s="92"/>
      <c r="K4499" s="92"/>
      <c r="L4499" s="92"/>
      <c r="M4499" s="92"/>
      <c r="N4499" s="92"/>
      <c r="AG4499" s="107"/>
      <c r="AH4499" s="117"/>
      <c r="AI4499" s="117"/>
      <c r="AJ4499" s="117"/>
      <c r="AK4499" s="107"/>
      <c r="AL4499" s="107"/>
      <c r="AM4499" s="107"/>
      <c r="AN4499" s="107"/>
      <c r="AO4499" s="107"/>
      <c r="AP4499" s="107"/>
      <c r="AQ4499" s="107"/>
      <c r="AR4499" s="107"/>
      <c r="AS4499" s="107"/>
      <c r="AT4499" s="39"/>
    </row>
    <row r="4500" spans="1:63" x14ac:dyDescent="0.25">
      <c r="A4500" s="92"/>
      <c r="B4500" s="93"/>
      <c r="C4500" s="93"/>
      <c r="D4500" s="93"/>
      <c r="E4500" s="92"/>
      <c r="F4500" s="92"/>
      <c r="G4500" s="92"/>
      <c r="H4500" s="92"/>
      <c r="I4500" s="92"/>
      <c r="J4500" s="92"/>
      <c r="K4500" s="92"/>
      <c r="L4500" s="92"/>
      <c r="M4500" s="92"/>
      <c r="N4500" s="94"/>
      <c r="AG4500" s="107"/>
      <c r="AH4500" s="107"/>
      <c r="AI4500" s="107"/>
      <c r="AJ4500" s="107"/>
      <c r="AK4500" s="107"/>
      <c r="AL4500" s="107"/>
      <c r="AM4500" s="107"/>
      <c r="AN4500" s="107"/>
      <c r="AO4500" s="107"/>
      <c r="AP4500" s="107"/>
      <c r="AQ4500" s="107"/>
      <c r="AR4500" s="107"/>
      <c r="AS4500" s="107"/>
      <c r="AT4500" s="107"/>
      <c r="AZ4500" s="117"/>
      <c r="BA4500" s="117"/>
      <c r="BK4500" s="39"/>
    </row>
    <row r="4501" spans="1:63" x14ac:dyDescent="0.25">
      <c r="A4501" s="92"/>
      <c r="B4501" s="92"/>
      <c r="C4501" s="92"/>
      <c r="D4501" s="92"/>
      <c r="E4501" s="92"/>
      <c r="F4501" s="92"/>
      <c r="G4501" s="92"/>
      <c r="H4501" s="92"/>
      <c r="I4501" s="92"/>
      <c r="J4501" s="92"/>
      <c r="K4501" s="92"/>
      <c r="L4501" s="92"/>
      <c r="M4501" s="92"/>
      <c r="N4501" s="92"/>
      <c r="AG4501" s="107"/>
      <c r="AH4501" s="117"/>
      <c r="AI4501" s="117"/>
      <c r="AJ4501" s="107"/>
      <c r="AK4501" s="107"/>
      <c r="AL4501" s="107"/>
      <c r="AM4501" s="107"/>
      <c r="AN4501" s="107"/>
      <c r="AO4501" s="107"/>
      <c r="AP4501" s="107"/>
      <c r="AQ4501" s="107"/>
      <c r="AR4501" s="107"/>
      <c r="AS4501" s="107"/>
      <c r="AT4501" s="39"/>
      <c r="AZ4501" s="117"/>
      <c r="BK4501" s="39"/>
    </row>
    <row r="4502" spans="1:63" x14ac:dyDescent="0.25">
      <c r="A4502" s="92"/>
      <c r="B4502" s="92"/>
      <c r="C4502" s="92"/>
      <c r="D4502" s="92"/>
      <c r="E4502" s="92"/>
      <c r="F4502" s="92"/>
      <c r="G4502" s="92"/>
      <c r="H4502" s="92"/>
      <c r="I4502" s="92"/>
      <c r="J4502" s="92"/>
      <c r="K4502" s="92"/>
      <c r="L4502" s="92"/>
      <c r="M4502" s="92"/>
      <c r="N4502" s="92"/>
      <c r="AG4502" s="107"/>
      <c r="AH4502" s="117"/>
      <c r="AI4502" s="117"/>
      <c r="AJ4502" s="117"/>
      <c r="AK4502" s="107"/>
      <c r="AL4502" s="107"/>
      <c r="AM4502" s="107"/>
      <c r="AN4502" s="107"/>
      <c r="AO4502" s="107"/>
      <c r="AP4502" s="107"/>
      <c r="AQ4502" s="107"/>
      <c r="AR4502" s="107"/>
      <c r="AS4502" s="107"/>
      <c r="AT4502" s="39"/>
      <c r="AZ4502" s="117"/>
      <c r="BK4502" s="39"/>
    </row>
    <row r="4503" spans="1:63" x14ac:dyDescent="0.25">
      <c r="A4503" s="92"/>
      <c r="B4503" s="92"/>
      <c r="C4503" s="92"/>
      <c r="D4503" s="92"/>
      <c r="E4503" s="92"/>
      <c r="F4503" s="92"/>
      <c r="G4503" s="92"/>
      <c r="H4503" s="92"/>
      <c r="I4503" s="92"/>
      <c r="J4503" s="92"/>
      <c r="K4503" s="92"/>
      <c r="L4503" s="92"/>
      <c r="M4503" s="92"/>
      <c r="N4503" s="92"/>
      <c r="AG4503" s="107"/>
      <c r="AH4503" s="117"/>
      <c r="AI4503" s="117"/>
      <c r="AJ4503" s="107"/>
      <c r="AK4503" s="107"/>
      <c r="AL4503" s="107"/>
      <c r="AM4503" s="107"/>
      <c r="AN4503" s="107"/>
      <c r="AO4503" s="107"/>
      <c r="AP4503" s="107"/>
      <c r="AQ4503" s="107"/>
      <c r="AR4503" s="107"/>
      <c r="AS4503" s="107"/>
      <c r="AT4503" s="39"/>
      <c r="AZ4503" s="117"/>
      <c r="BK4503" s="39"/>
    </row>
    <row r="4504" spans="1:63" x14ac:dyDescent="0.25">
      <c r="A4504" s="92"/>
      <c r="B4504" s="92"/>
      <c r="C4504" s="92"/>
      <c r="D4504" s="92"/>
      <c r="E4504" s="92"/>
      <c r="F4504" s="92"/>
      <c r="G4504" s="92"/>
      <c r="H4504" s="92"/>
      <c r="I4504" s="92"/>
      <c r="J4504" s="92"/>
      <c r="K4504" s="92"/>
      <c r="L4504" s="92"/>
      <c r="M4504" s="92"/>
      <c r="N4504" s="92"/>
      <c r="AG4504" s="107"/>
      <c r="AH4504" s="117"/>
      <c r="AI4504" s="117"/>
      <c r="AJ4504" s="117"/>
      <c r="AK4504" s="107"/>
      <c r="AL4504" s="107"/>
      <c r="AM4504" s="107"/>
      <c r="AN4504" s="107"/>
      <c r="AO4504" s="107"/>
      <c r="AP4504" s="107"/>
      <c r="AQ4504" s="107"/>
      <c r="AR4504" s="107"/>
      <c r="AS4504" s="107"/>
      <c r="AT4504" s="39"/>
      <c r="AZ4504" s="117"/>
      <c r="BK4504" s="39"/>
    </row>
    <row r="4505" spans="1:63" x14ac:dyDescent="0.25">
      <c r="A4505" s="92"/>
      <c r="B4505" s="92"/>
      <c r="C4505" s="92"/>
      <c r="D4505" s="92"/>
      <c r="E4505" s="92"/>
      <c r="F4505" s="92"/>
      <c r="G4505" s="92"/>
      <c r="H4505" s="92"/>
      <c r="I4505" s="92"/>
      <c r="J4505" s="92"/>
      <c r="K4505" s="92"/>
      <c r="L4505" s="92"/>
      <c r="M4505" s="92"/>
      <c r="N4505" s="92"/>
      <c r="AG4505" s="107"/>
      <c r="AH4505" s="107"/>
      <c r="AI4505" s="107"/>
      <c r="AJ4505" s="117"/>
      <c r="AK4505" s="107"/>
      <c r="AL4505" s="107"/>
      <c r="AM4505" s="107"/>
      <c r="AN4505" s="107"/>
      <c r="AO4505" s="107"/>
      <c r="AP4505" s="107"/>
      <c r="AQ4505" s="107"/>
      <c r="AR4505" s="107"/>
      <c r="AS4505" s="107"/>
      <c r="AT4505" s="107"/>
      <c r="AZ4505" s="117"/>
      <c r="BA4505" s="117"/>
      <c r="BK4505" s="39"/>
    </row>
    <row r="4506" spans="1:63" x14ac:dyDescent="0.25">
      <c r="A4506" s="92"/>
      <c r="B4506" s="92"/>
      <c r="C4506" s="92"/>
      <c r="D4506" s="92"/>
      <c r="E4506" s="92"/>
      <c r="F4506" s="92"/>
      <c r="G4506" s="92"/>
      <c r="H4506" s="92"/>
      <c r="I4506" s="92"/>
      <c r="J4506" s="92"/>
      <c r="K4506" s="92"/>
      <c r="L4506" s="92"/>
      <c r="M4506" s="92"/>
      <c r="N4506" s="92"/>
      <c r="AG4506" s="107"/>
      <c r="AH4506" s="117"/>
      <c r="AI4506" s="117"/>
      <c r="AJ4506" s="117"/>
      <c r="AK4506" s="107"/>
      <c r="AL4506" s="107"/>
      <c r="AM4506" s="107"/>
      <c r="AN4506" s="107"/>
      <c r="AO4506" s="107"/>
      <c r="AP4506" s="107"/>
      <c r="AQ4506" s="107"/>
      <c r="AR4506" s="107"/>
      <c r="AS4506" s="107"/>
      <c r="AT4506" s="39"/>
      <c r="BA4506" s="117"/>
    </row>
    <row r="4507" spans="1:63" x14ac:dyDescent="0.25">
      <c r="A4507" s="92"/>
      <c r="B4507" s="93"/>
      <c r="C4507" s="93"/>
      <c r="D4507" s="92"/>
      <c r="E4507" s="92"/>
      <c r="F4507" s="92"/>
      <c r="G4507" s="92"/>
      <c r="H4507" s="92"/>
      <c r="I4507" s="92"/>
      <c r="J4507" s="92"/>
      <c r="K4507" s="92"/>
      <c r="L4507" s="92"/>
      <c r="M4507" s="92"/>
      <c r="N4507" s="94"/>
      <c r="AG4507" s="107"/>
      <c r="AH4507" s="117"/>
      <c r="AI4507" s="117"/>
      <c r="AJ4507" s="107"/>
      <c r="AK4507" s="107"/>
      <c r="AL4507" s="107"/>
      <c r="AM4507" s="107"/>
      <c r="AN4507" s="107"/>
      <c r="AO4507" s="107"/>
      <c r="AP4507" s="107"/>
      <c r="AQ4507" s="107"/>
      <c r="AR4507" s="107"/>
      <c r="AS4507" s="107"/>
      <c r="AT4507" s="39"/>
      <c r="AZ4507" s="117"/>
      <c r="BA4507" s="117"/>
      <c r="BK4507" s="39"/>
    </row>
    <row r="4508" spans="1:63" x14ac:dyDescent="0.25">
      <c r="A4508" s="92"/>
      <c r="B4508" s="93"/>
      <c r="C4508" s="93"/>
      <c r="D4508" s="92"/>
      <c r="E4508" s="92"/>
      <c r="F4508" s="92"/>
      <c r="G4508" s="92"/>
      <c r="H4508" s="92"/>
      <c r="I4508" s="92"/>
      <c r="J4508" s="92"/>
      <c r="K4508" s="92"/>
      <c r="L4508" s="92"/>
      <c r="M4508" s="92"/>
      <c r="N4508" s="94"/>
      <c r="AG4508" s="107"/>
      <c r="AH4508" s="117"/>
      <c r="AI4508" s="117"/>
      <c r="AJ4508" s="117"/>
      <c r="AK4508" s="107"/>
      <c r="AL4508" s="107"/>
      <c r="AM4508" s="107"/>
      <c r="AN4508" s="107"/>
      <c r="AO4508" s="107"/>
      <c r="AP4508" s="107"/>
      <c r="AQ4508" s="107"/>
      <c r="AR4508" s="107"/>
      <c r="AS4508" s="107"/>
      <c r="AT4508" s="39"/>
      <c r="AZ4508" s="117"/>
      <c r="BK4508" s="39"/>
    </row>
    <row r="4509" spans="1:63" x14ac:dyDescent="0.25">
      <c r="A4509" s="92"/>
      <c r="B4509" s="92"/>
      <c r="C4509" s="92"/>
      <c r="D4509" s="92"/>
      <c r="E4509" s="92"/>
      <c r="F4509" s="92"/>
      <c r="G4509" s="92"/>
      <c r="H4509" s="92"/>
      <c r="I4509" s="92"/>
      <c r="J4509" s="92"/>
      <c r="K4509" s="92"/>
      <c r="L4509" s="92"/>
      <c r="M4509" s="92"/>
      <c r="N4509" s="92"/>
      <c r="AG4509" s="107"/>
      <c r="AH4509" s="107"/>
      <c r="AI4509" s="107"/>
      <c r="AJ4509" s="117"/>
      <c r="AK4509" s="107"/>
      <c r="AL4509" s="107"/>
      <c r="AM4509" s="107"/>
      <c r="AN4509" s="107"/>
      <c r="AO4509" s="107"/>
      <c r="AP4509" s="107"/>
      <c r="AQ4509" s="107"/>
      <c r="AR4509" s="107"/>
      <c r="AS4509" s="107"/>
      <c r="AT4509" s="107"/>
    </row>
    <row r="4510" spans="1:63" x14ac:dyDescent="0.25">
      <c r="A4510" s="92"/>
      <c r="B4510" s="93"/>
      <c r="C4510" s="93"/>
      <c r="D4510" s="92"/>
      <c r="E4510" s="92"/>
      <c r="F4510" s="92"/>
      <c r="G4510" s="92"/>
      <c r="H4510" s="92"/>
      <c r="I4510" s="92"/>
      <c r="J4510" s="92"/>
      <c r="K4510" s="92"/>
      <c r="L4510" s="92"/>
      <c r="M4510" s="92"/>
      <c r="N4510" s="94"/>
      <c r="AG4510" s="107"/>
      <c r="AH4510" s="117"/>
      <c r="AI4510" s="117"/>
      <c r="AJ4510" s="117"/>
      <c r="AK4510" s="107"/>
      <c r="AL4510" s="107"/>
      <c r="AM4510" s="107"/>
      <c r="AN4510" s="107"/>
      <c r="AO4510" s="107"/>
      <c r="AP4510" s="107"/>
      <c r="AQ4510" s="107"/>
      <c r="AR4510" s="107"/>
      <c r="AS4510" s="107"/>
      <c r="AT4510" s="39"/>
      <c r="AZ4510" s="117"/>
      <c r="BK4510" s="39"/>
    </row>
    <row r="4511" spans="1:63" x14ac:dyDescent="0.25">
      <c r="A4511" s="92"/>
      <c r="B4511" s="93"/>
      <c r="C4511" s="93"/>
      <c r="D4511" s="92"/>
      <c r="E4511" s="92"/>
      <c r="F4511" s="92"/>
      <c r="G4511" s="92"/>
      <c r="H4511" s="92"/>
      <c r="I4511" s="92"/>
      <c r="J4511" s="92"/>
      <c r="K4511" s="92"/>
      <c r="L4511" s="92"/>
      <c r="M4511" s="92"/>
      <c r="N4511" s="94"/>
      <c r="AG4511" s="107"/>
      <c r="AH4511" s="107"/>
      <c r="AI4511" s="107"/>
      <c r="AJ4511" s="107"/>
      <c r="AK4511" s="107"/>
      <c r="AL4511" s="107"/>
      <c r="AM4511" s="107"/>
      <c r="AN4511" s="107"/>
      <c r="AO4511" s="107"/>
      <c r="AP4511" s="107"/>
      <c r="AQ4511" s="107"/>
      <c r="AR4511" s="107"/>
      <c r="AS4511" s="107"/>
      <c r="AT4511" s="107"/>
      <c r="AZ4511" s="117"/>
      <c r="BK4511" s="39"/>
    </row>
    <row r="4512" spans="1:63" x14ac:dyDescent="0.25">
      <c r="A4512" s="92"/>
      <c r="B4512" s="93"/>
      <c r="C4512" s="93"/>
      <c r="D4512" s="92"/>
      <c r="E4512" s="92"/>
      <c r="F4512" s="92"/>
      <c r="G4512" s="92"/>
      <c r="H4512" s="92"/>
      <c r="I4512" s="92"/>
      <c r="J4512" s="92"/>
      <c r="K4512" s="92"/>
      <c r="L4512" s="92"/>
      <c r="M4512" s="92"/>
      <c r="N4512" s="94"/>
      <c r="AG4512" s="107"/>
      <c r="AH4512" s="107"/>
      <c r="AI4512" s="107"/>
      <c r="AJ4512" s="107"/>
      <c r="AK4512" s="107"/>
      <c r="AL4512" s="107"/>
      <c r="AM4512" s="107"/>
      <c r="AN4512" s="107"/>
      <c r="AO4512" s="107"/>
      <c r="AP4512" s="107"/>
      <c r="AQ4512" s="107"/>
      <c r="AR4512" s="107"/>
      <c r="AS4512" s="107"/>
      <c r="AT4512" s="107"/>
      <c r="AZ4512" s="117"/>
      <c r="BK4512" s="39"/>
    </row>
    <row r="4513" spans="1:63" x14ac:dyDescent="0.25">
      <c r="A4513" s="92"/>
      <c r="B4513" s="93"/>
      <c r="C4513" s="93"/>
      <c r="D4513" s="92"/>
      <c r="E4513" s="92"/>
      <c r="F4513" s="92"/>
      <c r="G4513" s="92"/>
      <c r="H4513" s="92"/>
      <c r="I4513" s="92"/>
      <c r="J4513" s="92"/>
      <c r="K4513" s="92"/>
      <c r="L4513" s="92"/>
      <c r="M4513" s="92"/>
      <c r="N4513" s="94"/>
      <c r="AG4513" s="107"/>
      <c r="AH4513" s="107"/>
      <c r="AI4513" s="107"/>
      <c r="AJ4513" s="107"/>
      <c r="AK4513" s="107"/>
      <c r="AL4513" s="107"/>
      <c r="AM4513" s="107"/>
      <c r="AN4513" s="107"/>
      <c r="AO4513" s="107"/>
      <c r="AP4513" s="107"/>
      <c r="AQ4513" s="107"/>
      <c r="AR4513" s="107"/>
      <c r="AS4513" s="107"/>
      <c r="AT4513" s="107"/>
      <c r="AZ4513" s="117"/>
      <c r="BK4513" s="39"/>
    </row>
    <row r="4514" spans="1:63" x14ac:dyDescent="0.25">
      <c r="A4514" s="92"/>
      <c r="B4514" s="93"/>
      <c r="C4514" s="93"/>
      <c r="D4514" s="92"/>
      <c r="E4514" s="92"/>
      <c r="F4514" s="92"/>
      <c r="G4514" s="92"/>
      <c r="H4514" s="92"/>
      <c r="I4514" s="92"/>
      <c r="J4514" s="92"/>
      <c r="K4514" s="92"/>
      <c r="L4514" s="92"/>
      <c r="M4514" s="92"/>
      <c r="N4514" s="94"/>
      <c r="AG4514" s="107"/>
      <c r="AH4514" s="117"/>
      <c r="AI4514" s="117"/>
      <c r="AJ4514" s="117"/>
      <c r="AK4514" s="107"/>
      <c r="AL4514" s="107"/>
      <c r="AM4514" s="107"/>
      <c r="AN4514" s="107"/>
      <c r="AO4514" s="107"/>
      <c r="AP4514" s="107"/>
      <c r="AQ4514" s="107"/>
      <c r="AR4514" s="107"/>
      <c r="AS4514" s="107"/>
      <c r="AT4514" s="39"/>
      <c r="AZ4514" s="117"/>
      <c r="BK4514" s="39"/>
    </row>
    <row r="4515" spans="1:63" x14ac:dyDescent="0.25">
      <c r="A4515" s="92"/>
      <c r="B4515" s="92"/>
      <c r="C4515" s="92"/>
      <c r="D4515" s="92"/>
      <c r="E4515" s="92"/>
      <c r="F4515" s="92"/>
      <c r="G4515" s="92"/>
      <c r="H4515" s="92"/>
      <c r="I4515" s="92"/>
      <c r="J4515" s="92"/>
      <c r="K4515" s="92"/>
      <c r="L4515" s="92"/>
      <c r="M4515" s="92"/>
      <c r="N4515" s="92"/>
      <c r="AG4515" s="107"/>
      <c r="AH4515" s="107"/>
      <c r="AI4515" s="107"/>
      <c r="AJ4515" s="107"/>
      <c r="AK4515" s="107"/>
      <c r="AL4515" s="107"/>
      <c r="AM4515" s="107"/>
      <c r="AN4515" s="107"/>
      <c r="AO4515" s="107"/>
      <c r="AP4515" s="107"/>
      <c r="AQ4515" s="107"/>
      <c r="AR4515" s="107"/>
      <c r="AS4515" s="107"/>
      <c r="AT4515" s="107"/>
    </row>
    <row r="4516" spans="1:63" x14ac:dyDescent="0.25">
      <c r="A4516" s="92"/>
      <c r="B4516" s="92"/>
      <c r="C4516" s="92"/>
      <c r="D4516" s="92"/>
      <c r="E4516" s="92"/>
      <c r="F4516" s="92"/>
      <c r="G4516" s="92"/>
      <c r="H4516" s="92"/>
      <c r="I4516" s="92"/>
      <c r="J4516" s="92"/>
      <c r="K4516" s="92"/>
      <c r="L4516" s="92"/>
      <c r="M4516" s="92"/>
      <c r="N4516" s="92"/>
      <c r="AG4516" s="107"/>
      <c r="AH4516" s="107"/>
      <c r="AI4516" s="107"/>
      <c r="AJ4516" s="107"/>
      <c r="AK4516" s="107"/>
      <c r="AL4516" s="107"/>
      <c r="AM4516" s="107"/>
      <c r="AN4516" s="107"/>
      <c r="AO4516" s="107"/>
      <c r="AP4516" s="107"/>
      <c r="AQ4516" s="107"/>
      <c r="AR4516" s="107"/>
      <c r="AS4516" s="107"/>
      <c r="AT4516" s="107"/>
      <c r="AZ4516" s="117"/>
      <c r="BK4516" s="39"/>
    </row>
    <row r="4517" spans="1:63" x14ac:dyDescent="0.25">
      <c r="A4517" s="92"/>
      <c r="B4517" s="93"/>
      <c r="C4517" s="93"/>
      <c r="D4517" s="93"/>
      <c r="E4517" s="92"/>
      <c r="F4517" s="92"/>
      <c r="G4517" s="92"/>
      <c r="H4517" s="92"/>
      <c r="I4517" s="92"/>
      <c r="J4517" s="92"/>
      <c r="K4517" s="92"/>
      <c r="L4517" s="92"/>
      <c r="M4517" s="92"/>
      <c r="N4517" s="94"/>
      <c r="AG4517" s="107"/>
      <c r="AH4517" s="107"/>
      <c r="AI4517" s="107"/>
      <c r="AJ4517" s="107"/>
      <c r="AK4517" s="107"/>
      <c r="AL4517" s="107"/>
      <c r="AM4517" s="107"/>
      <c r="AN4517" s="107"/>
      <c r="AO4517" s="107"/>
      <c r="AP4517" s="107"/>
      <c r="AQ4517" s="107"/>
      <c r="AR4517" s="107"/>
      <c r="AS4517" s="107"/>
      <c r="AT4517" s="107"/>
      <c r="AZ4517" s="117"/>
      <c r="BK4517" s="39"/>
    </row>
    <row r="4518" spans="1:63" x14ac:dyDescent="0.25">
      <c r="A4518" s="92"/>
      <c r="B4518" s="93"/>
      <c r="C4518" s="93"/>
      <c r="D4518" s="92"/>
      <c r="E4518" s="92"/>
      <c r="F4518" s="92"/>
      <c r="G4518" s="92"/>
      <c r="H4518" s="92"/>
      <c r="I4518" s="92"/>
      <c r="J4518" s="92"/>
      <c r="K4518" s="92"/>
      <c r="L4518" s="92"/>
      <c r="M4518" s="92"/>
      <c r="N4518" s="94"/>
      <c r="AG4518" s="107"/>
      <c r="AH4518" s="107"/>
      <c r="AI4518" s="107"/>
      <c r="AJ4518" s="107"/>
      <c r="AK4518" s="107"/>
      <c r="AL4518" s="107"/>
      <c r="AM4518" s="107"/>
      <c r="AN4518" s="107"/>
      <c r="AO4518" s="107"/>
      <c r="AP4518" s="107"/>
      <c r="AQ4518" s="107"/>
      <c r="AR4518" s="107"/>
      <c r="AS4518" s="107"/>
      <c r="AT4518" s="107"/>
      <c r="AZ4518" s="117"/>
      <c r="BK4518" s="39"/>
    </row>
    <row r="4519" spans="1:63" x14ac:dyDescent="0.25">
      <c r="A4519" s="92"/>
      <c r="B4519" s="93"/>
      <c r="C4519" s="93"/>
      <c r="D4519" s="92"/>
      <c r="E4519" s="92"/>
      <c r="F4519" s="92"/>
      <c r="G4519" s="92"/>
      <c r="H4519" s="92"/>
      <c r="I4519" s="92"/>
      <c r="J4519" s="92"/>
      <c r="K4519" s="92"/>
      <c r="L4519" s="92"/>
      <c r="M4519" s="92"/>
      <c r="N4519" s="94"/>
      <c r="AG4519" s="107"/>
      <c r="AH4519" s="107"/>
      <c r="AI4519" s="107"/>
      <c r="AJ4519" s="107"/>
      <c r="AK4519" s="107"/>
      <c r="AL4519" s="107"/>
      <c r="AM4519" s="107"/>
      <c r="AN4519" s="107"/>
      <c r="AO4519" s="107"/>
      <c r="AP4519" s="107"/>
      <c r="AQ4519" s="107"/>
      <c r="AR4519" s="107"/>
      <c r="AS4519" s="107"/>
      <c r="AT4519" s="107"/>
      <c r="AZ4519" s="117"/>
      <c r="BK4519" s="39"/>
    </row>
    <row r="4520" spans="1:63" x14ac:dyDescent="0.25">
      <c r="A4520" s="92"/>
      <c r="B4520" s="93"/>
      <c r="C4520" s="93"/>
      <c r="D4520" s="92"/>
      <c r="E4520" s="92"/>
      <c r="F4520" s="92"/>
      <c r="G4520" s="92"/>
      <c r="H4520" s="92"/>
      <c r="I4520" s="92"/>
      <c r="J4520" s="92"/>
      <c r="K4520" s="92"/>
      <c r="L4520" s="92"/>
      <c r="M4520" s="92"/>
      <c r="N4520" s="94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</row>
    <row r="4521" spans="1:63" x14ac:dyDescent="0.25">
      <c r="A4521" s="92"/>
      <c r="B4521" s="93"/>
      <c r="C4521" s="93"/>
      <c r="D4521" s="92"/>
      <c r="E4521" s="92"/>
      <c r="F4521" s="92"/>
      <c r="G4521" s="92"/>
      <c r="H4521" s="92"/>
      <c r="I4521" s="92"/>
      <c r="J4521" s="92"/>
      <c r="K4521" s="92"/>
      <c r="L4521" s="92"/>
      <c r="M4521" s="92"/>
      <c r="N4521" s="94"/>
      <c r="AG4521" s="107"/>
      <c r="AH4521" s="107"/>
      <c r="AI4521" s="107"/>
      <c r="AJ4521" s="107"/>
      <c r="AK4521" s="107"/>
      <c r="AL4521" s="107"/>
      <c r="AM4521" s="107"/>
      <c r="AN4521" s="107"/>
      <c r="AO4521" s="107"/>
      <c r="AP4521" s="107"/>
      <c r="AQ4521" s="107"/>
      <c r="AR4521" s="107"/>
      <c r="AS4521" s="107"/>
      <c r="AT4521" s="107"/>
      <c r="BA4521" s="117"/>
      <c r="BK4521" s="39"/>
    </row>
    <row r="4522" spans="1:63" x14ac:dyDescent="0.25">
      <c r="A4522" s="92"/>
      <c r="B4522" s="93"/>
      <c r="C4522" s="93"/>
      <c r="D4522" s="93"/>
      <c r="E4522" s="92"/>
      <c r="F4522" s="92"/>
      <c r="G4522" s="92"/>
      <c r="H4522" s="92"/>
      <c r="I4522" s="92"/>
      <c r="J4522" s="92"/>
      <c r="K4522" s="92"/>
      <c r="L4522" s="92"/>
      <c r="M4522" s="92"/>
      <c r="N4522" s="94"/>
      <c r="AG4522" s="107"/>
      <c r="AH4522" s="107"/>
      <c r="AI4522" s="107"/>
      <c r="AJ4522" s="107"/>
      <c r="AK4522" s="107"/>
      <c r="AL4522" s="107"/>
      <c r="AM4522" s="107"/>
      <c r="AN4522" s="107"/>
      <c r="AO4522" s="107"/>
      <c r="AP4522" s="107"/>
      <c r="AQ4522" s="107"/>
      <c r="AR4522" s="107"/>
      <c r="AS4522" s="107"/>
      <c r="AT4522" s="107"/>
    </row>
    <row r="4523" spans="1:63" x14ac:dyDescent="0.25">
      <c r="A4523" s="92"/>
      <c r="B4523" s="92"/>
      <c r="C4523" s="92"/>
      <c r="D4523" s="93"/>
      <c r="E4523" s="92"/>
      <c r="F4523" s="92"/>
      <c r="G4523" s="92"/>
      <c r="H4523" s="92"/>
      <c r="I4523" s="92"/>
      <c r="J4523" s="92"/>
      <c r="K4523" s="92"/>
      <c r="L4523" s="92"/>
      <c r="M4523" s="92"/>
      <c r="N4523" s="92"/>
      <c r="AG4523" s="107"/>
      <c r="AH4523" s="107"/>
      <c r="AI4523" s="107"/>
      <c r="AJ4523" s="107"/>
      <c r="AK4523" s="107"/>
      <c r="AL4523" s="107"/>
      <c r="AM4523" s="107"/>
      <c r="AN4523" s="107"/>
      <c r="AO4523" s="107"/>
      <c r="AP4523" s="107"/>
      <c r="AQ4523" s="107"/>
      <c r="AR4523" s="107"/>
      <c r="AS4523" s="107"/>
      <c r="AT4523" s="107"/>
    </row>
    <row r="4524" spans="1:63" x14ac:dyDescent="0.25">
      <c r="A4524" s="92"/>
      <c r="B4524" s="93"/>
      <c r="C4524" s="93"/>
      <c r="D4524" s="93"/>
      <c r="E4524" s="92"/>
      <c r="F4524" s="92"/>
      <c r="G4524" s="92"/>
      <c r="H4524" s="92"/>
      <c r="I4524" s="92"/>
      <c r="J4524" s="92"/>
      <c r="K4524" s="92"/>
      <c r="L4524" s="92"/>
      <c r="M4524" s="92"/>
      <c r="N4524" s="94"/>
      <c r="AG4524" s="107"/>
      <c r="AH4524" s="107"/>
      <c r="AI4524" s="107"/>
      <c r="AJ4524" s="107"/>
      <c r="AK4524" s="107"/>
      <c r="AL4524" s="107"/>
      <c r="AM4524" s="107"/>
      <c r="AN4524" s="107"/>
      <c r="AO4524" s="107"/>
      <c r="AP4524" s="107"/>
      <c r="AQ4524" s="107"/>
      <c r="AR4524" s="107"/>
      <c r="AS4524" s="107"/>
      <c r="AT4524" s="107"/>
    </row>
    <row r="4525" spans="1:63" x14ac:dyDescent="0.25">
      <c r="A4525" s="92"/>
      <c r="B4525" s="93"/>
      <c r="C4525" s="93"/>
      <c r="D4525" s="92"/>
      <c r="E4525" s="92"/>
      <c r="F4525" s="92"/>
      <c r="G4525" s="92"/>
      <c r="H4525" s="92"/>
      <c r="I4525" s="92"/>
      <c r="J4525" s="92"/>
      <c r="K4525" s="92"/>
      <c r="L4525" s="92"/>
      <c r="M4525" s="92"/>
      <c r="N4525" s="94"/>
      <c r="AG4525" s="107"/>
      <c r="AH4525" s="107"/>
      <c r="AI4525" s="107"/>
      <c r="AJ4525" s="107"/>
      <c r="AK4525" s="107"/>
      <c r="AL4525" s="107"/>
      <c r="AM4525" s="107"/>
      <c r="AN4525" s="107"/>
      <c r="AO4525" s="107"/>
      <c r="AP4525" s="107"/>
      <c r="AQ4525" s="107"/>
      <c r="AR4525" s="107"/>
      <c r="AS4525" s="107"/>
      <c r="AT4525" s="107"/>
    </row>
    <row r="4526" spans="1:63" x14ac:dyDescent="0.25">
      <c r="A4526" s="92"/>
      <c r="B4526" s="92"/>
      <c r="C4526" s="92"/>
      <c r="D4526" s="92"/>
      <c r="E4526" s="92"/>
      <c r="F4526" s="92"/>
      <c r="G4526" s="92"/>
      <c r="H4526" s="92"/>
      <c r="I4526" s="92"/>
      <c r="J4526" s="92"/>
      <c r="K4526" s="92"/>
      <c r="L4526" s="92"/>
      <c r="M4526" s="92"/>
      <c r="N4526" s="92"/>
      <c r="AG4526" s="107"/>
      <c r="AH4526" s="117"/>
      <c r="AI4526" s="117"/>
      <c r="AJ4526" s="107"/>
      <c r="AK4526" s="107"/>
      <c r="AL4526" s="107"/>
      <c r="AM4526" s="107"/>
      <c r="AN4526" s="107"/>
      <c r="AO4526" s="107"/>
      <c r="AP4526" s="107"/>
      <c r="AQ4526" s="107"/>
      <c r="AR4526" s="107"/>
      <c r="AS4526" s="107"/>
      <c r="AT4526" s="39"/>
    </row>
    <row r="4527" spans="1:63" x14ac:dyDescent="0.25">
      <c r="A4527" s="92"/>
      <c r="B4527" s="93"/>
      <c r="C4527" s="93"/>
      <c r="D4527" s="92"/>
      <c r="E4527" s="92"/>
      <c r="F4527" s="92"/>
      <c r="G4527" s="92"/>
      <c r="H4527" s="92"/>
      <c r="I4527" s="92"/>
      <c r="J4527" s="92"/>
      <c r="K4527" s="92"/>
      <c r="L4527" s="92"/>
      <c r="M4527" s="92"/>
      <c r="N4527" s="94"/>
      <c r="AG4527" s="107"/>
      <c r="AH4527" s="117"/>
      <c r="AI4527" s="117"/>
      <c r="AJ4527" s="107"/>
      <c r="AK4527" s="107"/>
      <c r="AL4527" s="107"/>
      <c r="AM4527" s="107"/>
      <c r="AN4527" s="107"/>
      <c r="AO4527" s="107"/>
      <c r="AP4527" s="107"/>
      <c r="AQ4527" s="107"/>
      <c r="AR4527" s="107"/>
      <c r="AS4527" s="107"/>
      <c r="AT4527" s="39"/>
    </row>
    <row r="4528" spans="1:63" x14ac:dyDescent="0.25">
      <c r="A4528" s="92"/>
      <c r="B4528" s="93"/>
      <c r="C4528" s="93"/>
      <c r="D4528" s="92"/>
      <c r="E4528" s="92"/>
      <c r="F4528" s="92"/>
      <c r="G4528" s="92"/>
      <c r="H4528" s="92"/>
      <c r="I4528" s="92"/>
      <c r="J4528" s="92"/>
      <c r="K4528" s="92"/>
      <c r="L4528" s="92"/>
      <c r="M4528" s="92"/>
      <c r="N4528" s="94"/>
      <c r="AG4528" s="107"/>
      <c r="AH4528" s="107"/>
      <c r="AI4528" s="107"/>
      <c r="AJ4528" s="107"/>
      <c r="AK4528" s="107"/>
      <c r="AL4528" s="107"/>
      <c r="AM4528" s="107"/>
      <c r="AN4528" s="107"/>
      <c r="AO4528" s="107"/>
      <c r="AP4528" s="107"/>
      <c r="AQ4528" s="107"/>
      <c r="AR4528" s="107"/>
      <c r="AS4528" s="107"/>
      <c r="AT4528" s="107"/>
      <c r="BA4528" s="117"/>
      <c r="BK4528" s="39"/>
    </row>
    <row r="4529" spans="1:63" x14ac:dyDescent="0.25">
      <c r="A4529" s="92"/>
      <c r="B4529" s="93"/>
      <c r="C4529" s="93"/>
      <c r="D4529" s="92"/>
      <c r="E4529" s="92"/>
      <c r="F4529" s="92"/>
      <c r="G4529" s="92"/>
      <c r="H4529" s="92"/>
      <c r="I4529" s="92"/>
      <c r="J4529" s="92"/>
      <c r="K4529" s="92"/>
      <c r="L4529" s="92"/>
      <c r="M4529" s="92"/>
      <c r="N4529" s="94"/>
      <c r="AG4529" s="107"/>
      <c r="AH4529" s="107"/>
      <c r="AI4529" s="107"/>
      <c r="AJ4529" s="107"/>
      <c r="AK4529" s="107"/>
      <c r="AL4529" s="107"/>
      <c r="AM4529" s="107"/>
      <c r="AN4529" s="107"/>
      <c r="AO4529" s="107"/>
      <c r="AP4529" s="107"/>
      <c r="AQ4529" s="107"/>
      <c r="AR4529" s="107"/>
      <c r="AS4529" s="107"/>
      <c r="AT4529" s="107"/>
      <c r="BA4529" s="117"/>
    </row>
    <row r="4530" spans="1:63" x14ac:dyDescent="0.25">
      <c r="A4530" s="92"/>
      <c r="B4530" s="93"/>
      <c r="C4530" s="93"/>
      <c r="D4530" s="92"/>
      <c r="E4530" s="92"/>
      <c r="F4530" s="92"/>
      <c r="G4530" s="92"/>
      <c r="H4530" s="92"/>
      <c r="I4530" s="92"/>
      <c r="J4530" s="92"/>
      <c r="K4530" s="92"/>
      <c r="L4530" s="92"/>
      <c r="M4530" s="92"/>
      <c r="N4530" s="94"/>
      <c r="AG4530" s="107"/>
      <c r="AH4530" s="107"/>
      <c r="AI4530" s="107"/>
      <c r="AJ4530" s="107"/>
      <c r="AK4530" s="107"/>
      <c r="AL4530" s="107"/>
      <c r="AM4530" s="107"/>
      <c r="AN4530" s="107"/>
      <c r="AO4530" s="107"/>
      <c r="AP4530" s="107"/>
      <c r="AQ4530" s="107"/>
      <c r="AR4530" s="107"/>
      <c r="AS4530" s="107"/>
      <c r="AT4530" s="107"/>
    </row>
    <row r="4531" spans="1:63" x14ac:dyDescent="0.25">
      <c r="A4531" s="92"/>
      <c r="B4531" s="93"/>
      <c r="C4531" s="93"/>
      <c r="D4531" s="92"/>
      <c r="E4531" s="92"/>
      <c r="F4531" s="92"/>
      <c r="G4531" s="92"/>
      <c r="H4531" s="92"/>
      <c r="I4531" s="92"/>
      <c r="J4531" s="92"/>
      <c r="K4531" s="92"/>
      <c r="L4531" s="92"/>
      <c r="M4531" s="92"/>
      <c r="N4531" s="94"/>
      <c r="AG4531" s="107"/>
      <c r="AH4531" s="107"/>
      <c r="AI4531" s="107"/>
      <c r="AJ4531" s="107"/>
      <c r="AK4531" s="107"/>
      <c r="AL4531" s="107"/>
      <c r="AM4531" s="107"/>
      <c r="AN4531" s="107"/>
      <c r="AO4531" s="107"/>
      <c r="AP4531" s="107"/>
      <c r="AQ4531" s="107"/>
      <c r="AR4531" s="107"/>
      <c r="AS4531" s="107"/>
      <c r="AT4531" s="107"/>
    </row>
    <row r="4532" spans="1:63" x14ac:dyDescent="0.25">
      <c r="A4532" s="92"/>
      <c r="B4532" s="92"/>
      <c r="C4532" s="92"/>
      <c r="D4532" s="92"/>
      <c r="E4532" s="92"/>
      <c r="F4532" s="92"/>
      <c r="G4532" s="92"/>
      <c r="H4532" s="92"/>
      <c r="I4532" s="92"/>
      <c r="J4532" s="92"/>
      <c r="K4532" s="92"/>
      <c r="L4532" s="92"/>
      <c r="M4532" s="92"/>
      <c r="N4532" s="92"/>
      <c r="AG4532" s="107"/>
      <c r="AH4532" s="107"/>
      <c r="AI4532" s="107"/>
      <c r="AJ4532" s="107"/>
      <c r="AK4532" s="107"/>
      <c r="AL4532" s="107"/>
      <c r="AM4532" s="107"/>
      <c r="AN4532" s="107"/>
      <c r="AO4532" s="107"/>
      <c r="AP4532" s="107"/>
      <c r="AQ4532" s="107"/>
      <c r="AR4532" s="107"/>
      <c r="AS4532" s="107"/>
      <c r="AT4532" s="107"/>
    </row>
    <row r="4533" spans="1:63" x14ac:dyDescent="0.25">
      <c r="A4533" s="92"/>
      <c r="B4533" s="93"/>
      <c r="C4533" s="93"/>
      <c r="D4533" s="92"/>
      <c r="E4533" s="92"/>
      <c r="F4533" s="92"/>
      <c r="G4533" s="92"/>
      <c r="H4533" s="92"/>
      <c r="I4533" s="92"/>
      <c r="J4533" s="92"/>
      <c r="K4533" s="92"/>
      <c r="L4533" s="92"/>
      <c r="M4533" s="92"/>
      <c r="N4533" s="94"/>
      <c r="AG4533" s="107"/>
      <c r="AH4533" s="107"/>
      <c r="AI4533" s="107"/>
      <c r="AJ4533" s="107"/>
      <c r="AK4533" s="107"/>
      <c r="AL4533" s="107"/>
      <c r="AM4533" s="107"/>
      <c r="AN4533" s="107"/>
      <c r="AO4533" s="107"/>
      <c r="AP4533" s="107"/>
      <c r="AQ4533" s="107"/>
      <c r="AR4533" s="107"/>
      <c r="AS4533" s="107"/>
      <c r="AT4533" s="107"/>
    </row>
    <row r="4534" spans="1:63" x14ac:dyDescent="0.25">
      <c r="A4534" s="92"/>
      <c r="B4534" s="93"/>
      <c r="C4534" s="93"/>
      <c r="D4534" s="92"/>
      <c r="E4534" s="92"/>
      <c r="F4534" s="92"/>
      <c r="G4534" s="92"/>
      <c r="H4534" s="92"/>
      <c r="I4534" s="92"/>
      <c r="J4534" s="92"/>
      <c r="K4534" s="92"/>
      <c r="L4534" s="92"/>
      <c r="M4534" s="92"/>
      <c r="N4534" s="94"/>
      <c r="AG4534" s="107"/>
      <c r="AH4534" s="107"/>
      <c r="AI4534" s="107"/>
      <c r="AJ4534" s="107"/>
      <c r="AK4534" s="107"/>
      <c r="AL4534" s="107"/>
      <c r="AM4534" s="107"/>
      <c r="AN4534" s="107"/>
      <c r="AO4534" s="107"/>
      <c r="AP4534" s="107"/>
      <c r="AQ4534" s="107"/>
      <c r="AR4534" s="107"/>
      <c r="AS4534" s="107"/>
      <c r="AT4534" s="107"/>
      <c r="BA4534" s="117"/>
      <c r="BK4534" s="39"/>
    </row>
    <row r="4535" spans="1:63" x14ac:dyDescent="0.25">
      <c r="A4535" s="92"/>
      <c r="B4535" s="93"/>
      <c r="C4535" s="93"/>
      <c r="D4535" s="92"/>
      <c r="E4535" s="92"/>
      <c r="F4535" s="92"/>
      <c r="G4535" s="92"/>
      <c r="H4535" s="92"/>
      <c r="I4535" s="92"/>
      <c r="J4535" s="92"/>
      <c r="K4535" s="92"/>
      <c r="L4535" s="92"/>
      <c r="M4535" s="92"/>
      <c r="N4535" s="94"/>
      <c r="AG4535" s="107"/>
      <c r="AH4535" s="107"/>
      <c r="AI4535" s="107"/>
      <c r="AJ4535" s="107"/>
      <c r="AK4535" s="107"/>
      <c r="AL4535" s="107"/>
      <c r="AM4535" s="107"/>
      <c r="AN4535" s="107"/>
      <c r="AO4535" s="107"/>
      <c r="AP4535" s="107"/>
      <c r="AQ4535" s="107"/>
      <c r="AR4535" s="107"/>
      <c r="AS4535" s="107"/>
      <c r="AT4535" s="107"/>
    </row>
    <row r="4536" spans="1:63" x14ac:dyDescent="0.25">
      <c r="A4536" s="92"/>
      <c r="B4536" s="93"/>
      <c r="C4536" s="93"/>
      <c r="D4536" s="92"/>
      <c r="E4536" s="92"/>
      <c r="F4536" s="92"/>
      <c r="G4536" s="92"/>
      <c r="H4536" s="92"/>
      <c r="I4536" s="92"/>
      <c r="J4536" s="92"/>
      <c r="K4536" s="92"/>
      <c r="L4536" s="92"/>
      <c r="M4536" s="92"/>
      <c r="N4536" s="94"/>
      <c r="AG4536" s="107"/>
      <c r="AH4536" s="107"/>
      <c r="AI4536" s="107"/>
      <c r="AJ4536" s="107"/>
      <c r="AK4536" s="107"/>
      <c r="AL4536" s="107"/>
      <c r="AM4536" s="107"/>
      <c r="AN4536" s="107"/>
      <c r="AO4536" s="107"/>
      <c r="AP4536" s="107"/>
      <c r="AQ4536" s="107"/>
      <c r="AR4536" s="107"/>
      <c r="AS4536" s="107"/>
      <c r="AT4536" s="107"/>
    </row>
    <row r="4537" spans="1:63" x14ac:dyDescent="0.25">
      <c r="A4537" s="92"/>
      <c r="B4537" s="92"/>
      <c r="C4537" s="92"/>
      <c r="D4537" s="92"/>
      <c r="E4537" s="92"/>
      <c r="F4537" s="92"/>
      <c r="G4537" s="92"/>
      <c r="H4537" s="92"/>
      <c r="I4537" s="92"/>
      <c r="J4537" s="92"/>
      <c r="K4537" s="92"/>
      <c r="L4537" s="92"/>
      <c r="M4537" s="92"/>
      <c r="N4537" s="92"/>
      <c r="AG4537" s="107"/>
      <c r="AH4537" s="107"/>
      <c r="AI4537" s="107"/>
      <c r="AJ4537" s="107"/>
      <c r="AK4537" s="107"/>
      <c r="AL4537" s="107"/>
      <c r="AM4537" s="107"/>
      <c r="AN4537" s="107"/>
      <c r="AO4537" s="107"/>
      <c r="AP4537" s="107"/>
      <c r="AQ4537" s="107"/>
      <c r="AR4537" s="107"/>
      <c r="AS4537" s="107"/>
      <c r="AT4537" s="107"/>
    </row>
    <row r="4538" spans="1:63" x14ac:dyDescent="0.25">
      <c r="A4538" s="92"/>
      <c r="B4538" s="93"/>
      <c r="C4538" s="92"/>
      <c r="D4538" s="93"/>
      <c r="E4538" s="92"/>
      <c r="F4538" s="92"/>
      <c r="G4538" s="92"/>
      <c r="H4538" s="92"/>
      <c r="I4538" s="92"/>
      <c r="J4538" s="92"/>
      <c r="K4538" s="92"/>
      <c r="L4538" s="92"/>
      <c r="M4538" s="92"/>
      <c r="N4538" s="94"/>
      <c r="AG4538" s="107"/>
      <c r="AH4538" s="107"/>
      <c r="AI4538" s="107"/>
      <c r="AJ4538" s="107"/>
      <c r="AK4538" s="107"/>
      <c r="AL4538" s="107"/>
      <c r="AM4538" s="107"/>
      <c r="AN4538" s="107"/>
      <c r="AO4538" s="107"/>
      <c r="AP4538" s="107"/>
      <c r="AQ4538" s="107"/>
      <c r="AR4538" s="107"/>
      <c r="AS4538" s="107"/>
      <c r="AT4538" s="107"/>
    </row>
    <row r="4539" spans="1:63" x14ac:dyDescent="0.25">
      <c r="A4539" s="92"/>
      <c r="B4539" s="92"/>
      <c r="C4539" s="92"/>
      <c r="D4539" s="92"/>
      <c r="E4539" s="92"/>
      <c r="F4539" s="92"/>
      <c r="G4539" s="92"/>
      <c r="H4539" s="92"/>
      <c r="I4539" s="92"/>
      <c r="J4539" s="92"/>
      <c r="K4539" s="92"/>
      <c r="L4539" s="92"/>
      <c r="M4539" s="92"/>
      <c r="N4539" s="92"/>
      <c r="AG4539" s="107"/>
      <c r="AH4539" s="107"/>
      <c r="AI4539" s="107"/>
      <c r="AJ4539" s="107"/>
      <c r="AK4539" s="107"/>
      <c r="AL4539" s="107"/>
      <c r="AM4539" s="107"/>
      <c r="AN4539" s="107"/>
      <c r="AO4539" s="107"/>
      <c r="AP4539" s="107"/>
      <c r="AQ4539" s="107"/>
      <c r="AR4539" s="107"/>
      <c r="AS4539" s="107"/>
      <c r="AT4539" s="107"/>
    </row>
    <row r="4540" spans="1:63" x14ac:dyDescent="0.25">
      <c r="A4540" s="92"/>
      <c r="B4540" s="92"/>
      <c r="C4540" s="92"/>
      <c r="D4540" s="92"/>
      <c r="E4540" s="92"/>
      <c r="F4540" s="92"/>
      <c r="G4540" s="92"/>
      <c r="H4540" s="92"/>
      <c r="I4540" s="92"/>
      <c r="J4540" s="92"/>
      <c r="K4540" s="92"/>
      <c r="L4540" s="92"/>
      <c r="M4540" s="92"/>
      <c r="N4540" s="92"/>
      <c r="AG4540" s="107"/>
      <c r="AH4540" s="107"/>
      <c r="AI4540" s="107"/>
      <c r="AJ4540" s="107"/>
      <c r="AK4540" s="107"/>
      <c r="AL4540" s="107"/>
      <c r="AM4540" s="107"/>
      <c r="AN4540" s="107"/>
      <c r="AO4540" s="107"/>
      <c r="AP4540" s="107"/>
      <c r="AQ4540" s="107"/>
      <c r="AR4540" s="107"/>
      <c r="AS4540" s="107"/>
      <c r="AT4540" s="107"/>
      <c r="AZ4540" s="117"/>
      <c r="BK4540" s="39"/>
    </row>
    <row r="4541" spans="1:63" x14ac:dyDescent="0.25">
      <c r="A4541" s="92"/>
      <c r="B4541" s="92"/>
      <c r="C4541" s="92"/>
      <c r="D4541" s="92"/>
      <c r="E4541" s="92"/>
      <c r="F4541" s="92"/>
      <c r="G4541" s="92"/>
      <c r="H4541" s="92"/>
      <c r="I4541" s="92"/>
      <c r="J4541" s="92"/>
      <c r="K4541" s="92"/>
      <c r="L4541" s="92"/>
      <c r="M4541" s="92"/>
      <c r="N4541" s="92"/>
      <c r="AG4541" s="107"/>
      <c r="AH4541" s="107"/>
      <c r="AI4541" s="107"/>
      <c r="AJ4541" s="107"/>
      <c r="AK4541" s="107"/>
      <c r="AL4541" s="107"/>
      <c r="AM4541" s="107"/>
      <c r="AN4541" s="107"/>
      <c r="AO4541" s="107"/>
      <c r="AP4541" s="107"/>
      <c r="AQ4541" s="107"/>
      <c r="AR4541" s="107"/>
      <c r="AS4541" s="107"/>
      <c r="AT4541" s="107"/>
    </row>
    <row r="4542" spans="1:63" x14ac:dyDescent="0.25">
      <c r="A4542" s="92"/>
      <c r="B4542" s="92"/>
      <c r="C4542" s="92"/>
      <c r="D4542" s="92"/>
      <c r="E4542" s="92"/>
      <c r="F4542" s="92"/>
      <c r="G4542" s="92"/>
      <c r="H4542" s="92"/>
      <c r="I4542" s="92"/>
      <c r="J4542" s="92"/>
      <c r="K4542" s="92"/>
      <c r="L4542" s="92"/>
      <c r="M4542" s="92"/>
      <c r="N4542" s="92"/>
      <c r="AG4542" s="107"/>
      <c r="AH4542" s="107"/>
      <c r="AI4542" s="107"/>
      <c r="AJ4542" s="107"/>
      <c r="AK4542" s="107"/>
      <c r="AL4542" s="107"/>
      <c r="AM4542" s="107"/>
      <c r="AN4542" s="107"/>
      <c r="AO4542" s="107"/>
      <c r="AP4542" s="107"/>
      <c r="AQ4542" s="107"/>
      <c r="AR4542" s="107"/>
      <c r="AS4542" s="107"/>
      <c r="AT4542" s="107"/>
    </row>
    <row r="4543" spans="1:63" x14ac:dyDescent="0.25">
      <c r="A4543" s="92"/>
      <c r="B4543" s="92"/>
      <c r="C4543" s="92"/>
      <c r="D4543" s="92"/>
      <c r="E4543" s="92"/>
      <c r="F4543" s="92"/>
      <c r="G4543" s="92"/>
      <c r="H4543" s="92"/>
      <c r="I4543" s="92"/>
      <c r="J4543" s="92"/>
      <c r="K4543" s="92"/>
      <c r="L4543" s="92"/>
      <c r="M4543" s="92"/>
      <c r="N4543" s="92"/>
      <c r="AG4543" s="107"/>
      <c r="AH4543" s="107"/>
      <c r="AI4543" s="107"/>
      <c r="AJ4543" s="107"/>
      <c r="AK4543" s="107"/>
      <c r="AL4543" s="107"/>
      <c r="AM4543" s="107"/>
      <c r="AN4543" s="107"/>
      <c r="AO4543" s="107"/>
      <c r="AP4543" s="107"/>
      <c r="AQ4543" s="107"/>
      <c r="AR4543" s="107"/>
      <c r="AS4543" s="107"/>
      <c r="AT4543" s="107"/>
    </row>
    <row r="4544" spans="1:63" x14ac:dyDescent="0.25">
      <c r="A4544" s="92"/>
      <c r="B4544" s="92"/>
      <c r="C4544" s="92"/>
      <c r="D4544" s="92"/>
      <c r="E4544" s="92"/>
      <c r="F4544" s="92"/>
      <c r="G4544" s="92"/>
      <c r="H4544" s="92"/>
      <c r="I4544" s="92"/>
      <c r="J4544" s="92"/>
      <c r="K4544" s="92"/>
      <c r="L4544" s="92"/>
      <c r="M4544" s="92"/>
      <c r="N4544" s="92"/>
      <c r="AG4544" s="107"/>
      <c r="AH4544" s="107"/>
      <c r="AI4544" s="107"/>
      <c r="AJ4544" s="107"/>
      <c r="AK4544" s="107"/>
      <c r="AL4544" s="107"/>
      <c r="AM4544" s="107"/>
      <c r="AN4544" s="107"/>
      <c r="AO4544" s="107"/>
      <c r="AP4544" s="107"/>
      <c r="AQ4544" s="107"/>
      <c r="AR4544" s="107"/>
      <c r="AS4544" s="107"/>
      <c r="AT4544" s="107"/>
    </row>
    <row r="4545" spans="1:63" x14ac:dyDescent="0.25">
      <c r="A4545" s="92"/>
      <c r="B4545" s="93"/>
      <c r="C4545" s="92"/>
      <c r="D4545" s="93"/>
      <c r="E4545" s="92"/>
      <c r="F4545" s="92"/>
      <c r="G4545" s="92"/>
      <c r="H4545" s="92"/>
      <c r="I4545" s="92"/>
      <c r="J4545" s="92"/>
      <c r="K4545" s="92"/>
      <c r="L4545" s="92"/>
      <c r="M4545" s="92"/>
      <c r="N4545" s="94"/>
      <c r="AG4545" s="107"/>
      <c r="AH4545" s="107"/>
      <c r="AI4545" s="107"/>
      <c r="AJ4545" s="107"/>
      <c r="AK4545" s="107"/>
      <c r="AL4545" s="107"/>
      <c r="AM4545" s="107"/>
      <c r="AN4545" s="107"/>
      <c r="AO4545" s="107"/>
      <c r="AP4545" s="107"/>
      <c r="AQ4545" s="107"/>
      <c r="AR4545" s="107"/>
      <c r="AS4545" s="107"/>
      <c r="AT4545" s="107"/>
    </row>
    <row r="4546" spans="1:63" x14ac:dyDescent="0.25">
      <c r="A4546" s="92"/>
      <c r="B4546" s="92"/>
      <c r="C4546" s="92"/>
      <c r="D4546" s="93"/>
      <c r="E4546" s="92"/>
      <c r="F4546" s="92"/>
      <c r="G4546" s="92"/>
      <c r="H4546" s="92"/>
      <c r="I4546" s="92"/>
      <c r="J4546" s="92"/>
      <c r="K4546" s="92"/>
      <c r="L4546" s="92"/>
      <c r="M4546" s="92"/>
      <c r="N4546" s="92"/>
      <c r="AG4546" s="107"/>
      <c r="AH4546" s="107"/>
      <c r="AI4546" s="107"/>
      <c r="AJ4546" s="107"/>
      <c r="AK4546" s="107"/>
      <c r="AL4546" s="107"/>
      <c r="AM4546" s="107"/>
      <c r="AN4546" s="107"/>
      <c r="AO4546" s="107"/>
      <c r="AP4546" s="107"/>
      <c r="AQ4546" s="107"/>
      <c r="AR4546" s="107"/>
      <c r="AS4546" s="107"/>
      <c r="AT4546" s="107"/>
    </row>
    <row r="4547" spans="1:63" x14ac:dyDescent="0.25">
      <c r="A4547" s="92"/>
      <c r="B4547" s="92"/>
      <c r="C4547" s="92"/>
      <c r="D4547" s="92"/>
      <c r="E4547" s="92"/>
      <c r="F4547" s="92"/>
      <c r="G4547" s="92"/>
      <c r="H4547" s="92"/>
      <c r="I4547" s="92"/>
      <c r="J4547" s="92"/>
      <c r="K4547" s="92"/>
      <c r="L4547" s="92"/>
      <c r="M4547" s="92"/>
      <c r="N4547" s="92"/>
      <c r="AG4547" s="107"/>
      <c r="AH4547" s="107"/>
      <c r="AI4547" s="107"/>
      <c r="AJ4547" s="107"/>
      <c r="AK4547" s="107"/>
      <c r="AL4547" s="107"/>
      <c r="AM4547" s="107"/>
      <c r="AN4547" s="107"/>
      <c r="AO4547" s="107"/>
      <c r="AP4547" s="107"/>
      <c r="AQ4547" s="107"/>
      <c r="AR4547" s="107"/>
      <c r="AS4547" s="107"/>
      <c r="AT4547" s="107"/>
    </row>
    <row r="4548" spans="1:63" x14ac:dyDescent="0.25">
      <c r="A4548" s="92"/>
      <c r="B4548" s="92"/>
      <c r="C4548" s="92"/>
      <c r="D4548" s="92"/>
      <c r="E4548" s="92"/>
      <c r="F4548" s="92"/>
      <c r="G4548" s="92"/>
      <c r="H4548" s="92"/>
      <c r="I4548" s="92"/>
      <c r="J4548" s="92"/>
      <c r="K4548" s="92"/>
      <c r="L4548" s="92"/>
      <c r="M4548" s="92"/>
      <c r="N4548" s="92"/>
      <c r="AG4548" s="107"/>
      <c r="AH4548" s="107"/>
      <c r="AI4548" s="107"/>
      <c r="AJ4548" s="107"/>
      <c r="AK4548" s="107"/>
      <c r="AL4548" s="107"/>
      <c r="AM4548" s="107"/>
      <c r="AN4548" s="107"/>
      <c r="AO4548" s="107"/>
      <c r="AP4548" s="107"/>
      <c r="AQ4548" s="107"/>
      <c r="AR4548" s="107"/>
      <c r="AS4548" s="107"/>
      <c r="AT4548" s="107"/>
      <c r="AZ4548" s="117"/>
      <c r="BK4548" s="39"/>
    </row>
    <row r="4549" spans="1:63" x14ac:dyDescent="0.25">
      <c r="A4549" s="92"/>
      <c r="B4549" s="92"/>
      <c r="C4549" s="92"/>
      <c r="D4549" s="92"/>
      <c r="E4549" s="92"/>
      <c r="F4549" s="92"/>
      <c r="G4549" s="92"/>
      <c r="H4549" s="92"/>
      <c r="I4549" s="92"/>
      <c r="J4549" s="92"/>
      <c r="K4549" s="92"/>
      <c r="L4549" s="92"/>
      <c r="M4549" s="92"/>
      <c r="N4549" s="92"/>
      <c r="AG4549" s="107"/>
      <c r="AH4549" s="107"/>
      <c r="AI4549" s="107"/>
      <c r="AJ4549" s="107"/>
      <c r="AK4549" s="107"/>
      <c r="AL4549" s="107"/>
      <c r="AM4549" s="107"/>
      <c r="AN4549" s="107"/>
      <c r="AO4549" s="107"/>
      <c r="AP4549" s="107"/>
      <c r="AQ4549" s="107"/>
      <c r="AR4549" s="107"/>
      <c r="AS4549" s="107"/>
      <c r="AT4549" s="107"/>
      <c r="AZ4549" s="117"/>
      <c r="BA4549" s="117"/>
      <c r="BK4549" s="39"/>
    </row>
    <row r="4550" spans="1:63" x14ac:dyDescent="0.25">
      <c r="A4550" s="92"/>
      <c r="B4550" s="92"/>
      <c r="C4550" s="92"/>
      <c r="D4550" s="92"/>
      <c r="E4550" s="92"/>
      <c r="F4550" s="92"/>
      <c r="G4550" s="92"/>
      <c r="H4550" s="92"/>
      <c r="I4550" s="92"/>
      <c r="J4550" s="92"/>
      <c r="K4550" s="92"/>
      <c r="L4550" s="92"/>
      <c r="M4550" s="92"/>
      <c r="N4550" s="92"/>
      <c r="AG4550" s="107"/>
      <c r="AH4550" s="107"/>
      <c r="AI4550" s="107"/>
      <c r="AJ4550" s="107"/>
      <c r="AK4550" s="107"/>
      <c r="AL4550" s="107"/>
      <c r="AM4550" s="107"/>
      <c r="AN4550" s="107"/>
      <c r="AO4550" s="107"/>
      <c r="AP4550" s="107"/>
      <c r="AQ4550" s="107"/>
      <c r="AR4550" s="107"/>
      <c r="AS4550" s="107"/>
      <c r="AT4550" s="107"/>
      <c r="AZ4550" s="117"/>
      <c r="BK4550" s="39"/>
    </row>
    <row r="4551" spans="1:63" x14ac:dyDescent="0.25">
      <c r="A4551" s="92"/>
      <c r="B4551" s="93"/>
      <c r="C4551" s="92"/>
      <c r="D4551" s="93"/>
      <c r="E4551" s="92"/>
      <c r="F4551" s="92"/>
      <c r="G4551" s="92"/>
      <c r="H4551" s="92"/>
      <c r="I4551" s="92"/>
      <c r="J4551" s="92"/>
      <c r="K4551" s="92"/>
      <c r="L4551" s="92"/>
      <c r="M4551" s="92"/>
      <c r="N4551" s="94"/>
      <c r="AG4551" s="107"/>
      <c r="AH4551" s="107"/>
      <c r="AI4551" s="107"/>
      <c r="AJ4551" s="107"/>
      <c r="AK4551" s="107"/>
      <c r="AL4551" s="107"/>
      <c r="AM4551" s="107"/>
      <c r="AN4551" s="107"/>
      <c r="AO4551" s="107"/>
      <c r="AP4551" s="107"/>
      <c r="AQ4551" s="107"/>
      <c r="AR4551" s="107"/>
      <c r="AS4551" s="107"/>
      <c r="AT4551" s="107"/>
      <c r="AZ4551" s="117"/>
      <c r="BK4551" s="39"/>
    </row>
    <row r="4552" spans="1:63" x14ac:dyDescent="0.25">
      <c r="A4552" s="92"/>
      <c r="B4552" s="92"/>
      <c r="C4552" s="92"/>
      <c r="D4552" s="92"/>
      <c r="E4552" s="92"/>
      <c r="F4552" s="92"/>
      <c r="G4552" s="92"/>
      <c r="H4552" s="92"/>
      <c r="I4552" s="92"/>
      <c r="J4552" s="92"/>
      <c r="K4552" s="92"/>
      <c r="L4552" s="92"/>
      <c r="M4552" s="92"/>
      <c r="N4552" s="92"/>
      <c r="AG4552" s="107"/>
      <c r="AH4552" s="107"/>
      <c r="AI4552" s="107"/>
      <c r="AJ4552" s="107"/>
      <c r="AK4552" s="107"/>
      <c r="AL4552" s="107"/>
      <c r="AM4552" s="107"/>
      <c r="AN4552" s="107"/>
      <c r="AO4552" s="107"/>
      <c r="AP4552" s="107"/>
      <c r="AQ4552" s="107"/>
      <c r="AR4552" s="107"/>
      <c r="AS4552" s="107"/>
      <c r="AT4552" s="107"/>
      <c r="AZ4552" s="117"/>
      <c r="BK4552" s="39"/>
    </row>
    <row r="4553" spans="1:63" x14ac:dyDescent="0.25">
      <c r="A4553" s="92"/>
      <c r="B4553" s="92"/>
      <c r="C4553" s="92"/>
      <c r="D4553" s="92"/>
      <c r="E4553" s="92"/>
      <c r="F4553" s="92"/>
      <c r="G4553" s="92"/>
      <c r="H4553" s="92"/>
      <c r="I4553" s="92"/>
      <c r="J4553" s="92"/>
      <c r="K4553" s="92"/>
      <c r="L4553" s="92"/>
      <c r="M4553" s="92"/>
      <c r="N4553" s="92"/>
      <c r="AG4553" s="107"/>
      <c r="AH4553" s="107"/>
      <c r="AI4553" s="107"/>
      <c r="AJ4553" s="107"/>
      <c r="AK4553" s="107"/>
      <c r="AL4553" s="107"/>
      <c r="AM4553" s="107"/>
      <c r="AN4553" s="107"/>
      <c r="AO4553" s="107"/>
      <c r="AP4553" s="107"/>
      <c r="AQ4553" s="107"/>
      <c r="AR4553" s="107"/>
      <c r="AS4553" s="107"/>
      <c r="AT4553" s="107"/>
      <c r="AZ4553" s="117"/>
      <c r="BK4553" s="39"/>
    </row>
    <row r="4554" spans="1:63" x14ac:dyDescent="0.25">
      <c r="A4554" s="92"/>
      <c r="B4554" s="92"/>
      <c r="C4554" s="92"/>
      <c r="D4554" s="92"/>
      <c r="E4554" s="92"/>
      <c r="F4554" s="92"/>
      <c r="G4554" s="92"/>
      <c r="H4554" s="92"/>
      <c r="I4554" s="92"/>
      <c r="J4554" s="92"/>
      <c r="K4554" s="92"/>
      <c r="L4554" s="92"/>
      <c r="M4554" s="92"/>
      <c r="N4554" s="92"/>
      <c r="AG4554" s="107"/>
      <c r="AH4554" s="107"/>
      <c r="AI4554" s="107"/>
      <c r="AJ4554" s="107"/>
      <c r="AK4554" s="107"/>
      <c r="AL4554" s="107"/>
      <c r="AM4554" s="107"/>
      <c r="AN4554" s="107"/>
      <c r="AO4554" s="107"/>
      <c r="AP4554" s="107"/>
      <c r="AQ4554" s="107"/>
      <c r="AR4554" s="107"/>
      <c r="AS4554" s="107"/>
      <c r="AT4554" s="107"/>
    </row>
    <row r="4555" spans="1:63" x14ac:dyDescent="0.25">
      <c r="A4555" s="92"/>
      <c r="B4555" s="92"/>
      <c r="C4555" s="92"/>
      <c r="D4555" s="92"/>
      <c r="E4555" s="92"/>
      <c r="F4555" s="92"/>
      <c r="G4555" s="92"/>
      <c r="H4555" s="92"/>
      <c r="I4555" s="92"/>
      <c r="J4555" s="92"/>
      <c r="K4555" s="92"/>
      <c r="L4555" s="92"/>
      <c r="M4555" s="92"/>
      <c r="N4555" s="92"/>
      <c r="AG4555" s="107"/>
      <c r="AH4555" s="117"/>
      <c r="AI4555" s="117"/>
      <c r="AJ4555" s="107"/>
      <c r="AK4555" s="107"/>
      <c r="AL4555" s="107"/>
      <c r="AM4555" s="107"/>
      <c r="AN4555" s="107"/>
      <c r="AO4555" s="107"/>
      <c r="AP4555" s="107"/>
      <c r="AQ4555" s="107"/>
      <c r="AR4555" s="107"/>
      <c r="AS4555" s="107"/>
      <c r="AT4555" s="39"/>
      <c r="AZ4555" s="117"/>
      <c r="BK4555" s="39"/>
    </row>
    <row r="4556" spans="1:63" x14ac:dyDescent="0.25">
      <c r="A4556" s="92"/>
      <c r="B4556" s="92"/>
      <c r="C4556" s="92"/>
      <c r="D4556" s="92"/>
      <c r="E4556" s="92"/>
      <c r="F4556" s="92"/>
      <c r="G4556" s="92"/>
      <c r="H4556" s="92"/>
      <c r="I4556" s="92"/>
      <c r="J4556" s="92"/>
      <c r="K4556" s="92"/>
      <c r="L4556" s="92"/>
      <c r="M4556" s="92"/>
      <c r="N4556" s="92"/>
      <c r="AG4556" s="107"/>
      <c r="AH4556" s="107"/>
      <c r="AI4556" s="107"/>
      <c r="AJ4556" s="107"/>
      <c r="AK4556" s="107"/>
      <c r="AL4556" s="107"/>
      <c r="AM4556" s="107"/>
      <c r="AN4556" s="107"/>
      <c r="AO4556" s="107"/>
      <c r="AP4556" s="107"/>
      <c r="AQ4556" s="107"/>
      <c r="AR4556" s="107"/>
      <c r="AS4556" s="107"/>
      <c r="AT4556" s="107"/>
      <c r="AZ4556" s="117"/>
      <c r="BK4556" s="39"/>
    </row>
    <row r="4557" spans="1:63" x14ac:dyDescent="0.25">
      <c r="A4557" s="92"/>
      <c r="B4557" s="93"/>
      <c r="C4557" s="93"/>
      <c r="D4557" s="92"/>
      <c r="E4557" s="92"/>
      <c r="F4557" s="92"/>
      <c r="G4557" s="92"/>
      <c r="H4557" s="92"/>
      <c r="I4557" s="92"/>
      <c r="J4557" s="92"/>
      <c r="K4557" s="92"/>
      <c r="L4557" s="92"/>
      <c r="M4557" s="92"/>
      <c r="N4557" s="94"/>
      <c r="AG4557" s="107"/>
      <c r="AH4557" s="117"/>
      <c r="AI4557" s="117"/>
      <c r="AJ4557" s="107"/>
      <c r="AK4557" s="107"/>
      <c r="AL4557" s="107"/>
      <c r="AM4557" s="107"/>
      <c r="AN4557" s="107"/>
      <c r="AO4557" s="107"/>
      <c r="AP4557" s="107"/>
      <c r="AQ4557" s="107"/>
      <c r="AR4557" s="107"/>
      <c r="AS4557" s="107"/>
      <c r="AT4557" s="39"/>
      <c r="AZ4557" s="117"/>
      <c r="BK4557" s="39"/>
    </row>
    <row r="4558" spans="1:63" x14ac:dyDescent="0.25">
      <c r="A4558" s="92"/>
      <c r="B4558" s="92"/>
      <c r="C4558" s="92"/>
      <c r="D4558" s="92"/>
      <c r="E4558" s="92"/>
      <c r="F4558" s="92"/>
      <c r="G4558" s="92"/>
      <c r="H4558" s="92"/>
      <c r="I4558" s="92"/>
      <c r="J4558" s="92"/>
      <c r="K4558" s="92"/>
      <c r="L4558" s="92"/>
      <c r="M4558" s="92"/>
      <c r="N4558" s="92"/>
      <c r="AG4558" s="107"/>
      <c r="AH4558" s="117"/>
      <c r="AI4558" s="117"/>
      <c r="AJ4558" s="117"/>
      <c r="AK4558" s="107"/>
      <c r="AL4558" s="107"/>
      <c r="AM4558" s="107"/>
      <c r="AN4558" s="107"/>
      <c r="AO4558" s="107"/>
      <c r="AP4558" s="107"/>
      <c r="AQ4558" s="107"/>
      <c r="AR4558" s="107"/>
      <c r="AS4558" s="107"/>
      <c r="AT4558" s="39"/>
    </row>
    <row r="4559" spans="1:63" x14ac:dyDescent="0.25">
      <c r="A4559" s="92"/>
      <c r="B4559" s="92"/>
      <c r="C4559" s="92"/>
      <c r="D4559" s="92"/>
      <c r="E4559" s="92"/>
      <c r="F4559" s="92"/>
      <c r="G4559" s="92"/>
      <c r="H4559" s="92"/>
      <c r="I4559" s="92"/>
      <c r="J4559" s="92"/>
      <c r="K4559" s="92"/>
      <c r="L4559" s="92"/>
      <c r="M4559" s="92"/>
      <c r="N4559" s="92"/>
      <c r="AG4559" s="107"/>
      <c r="AH4559" s="107"/>
      <c r="AI4559" s="107"/>
      <c r="AJ4559" s="107"/>
      <c r="AK4559" s="107"/>
      <c r="AL4559" s="107"/>
      <c r="AM4559" s="107"/>
      <c r="AN4559" s="107"/>
      <c r="AO4559" s="107"/>
      <c r="AP4559" s="107"/>
      <c r="AQ4559" s="107"/>
      <c r="AR4559" s="107"/>
      <c r="AS4559" s="107"/>
      <c r="AT4559" s="107"/>
      <c r="AZ4559" s="117"/>
      <c r="BK4559" s="39"/>
    </row>
    <row r="4560" spans="1:63" x14ac:dyDescent="0.25">
      <c r="A4560" s="92"/>
      <c r="B4560" s="92"/>
      <c r="C4560" s="92"/>
      <c r="D4560" s="92"/>
      <c r="E4560" s="92"/>
      <c r="F4560" s="92"/>
      <c r="G4560" s="92"/>
      <c r="H4560" s="92"/>
      <c r="I4560" s="92"/>
      <c r="J4560" s="92"/>
      <c r="K4560" s="92"/>
      <c r="L4560" s="92"/>
      <c r="M4560" s="92"/>
      <c r="N4560" s="92"/>
      <c r="AG4560" s="107"/>
      <c r="AH4560" s="117"/>
      <c r="AI4560" s="117"/>
      <c r="AJ4560" s="107"/>
      <c r="AK4560" s="107"/>
      <c r="AL4560" s="107"/>
      <c r="AM4560" s="107"/>
      <c r="AN4560" s="107"/>
      <c r="AO4560" s="107"/>
      <c r="AP4560" s="107"/>
      <c r="AQ4560" s="107"/>
      <c r="AR4560" s="107"/>
      <c r="AS4560" s="107"/>
      <c r="AT4560" s="39"/>
      <c r="AZ4560" s="117"/>
      <c r="BK4560" s="39"/>
    </row>
    <row r="4561" spans="1:63" x14ac:dyDescent="0.25">
      <c r="A4561" s="92"/>
      <c r="B4561" s="92"/>
      <c r="C4561" s="92"/>
      <c r="D4561" s="92"/>
      <c r="E4561" s="92"/>
      <c r="F4561" s="92"/>
      <c r="G4561" s="92"/>
      <c r="H4561" s="92"/>
      <c r="I4561" s="92"/>
      <c r="J4561" s="92"/>
      <c r="K4561" s="92"/>
      <c r="L4561" s="92"/>
      <c r="M4561" s="92"/>
      <c r="N4561" s="92"/>
      <c r="AG4561" s="107"/>
      <c r="AH4561" s="107"/>
      <c r="AI4561" s="107"/>
      <c r="AJ4561" s="107"/>
      <c r="AK4561" s="107"/>
      <c r="AL4561" s="107"/>
      <c r="AM4561" s="107"/>
      <c r="AN4561" s="107"/>
      <c r="AO4561" s="107"/>
      <c r="AP4561" s="107"/>
      <c r="AQ4561" s="107"/>
      <c r="AR4561" s="107"/>
      <c r="AS4561" s="107"/>
      <c r="AT4561" s="107"/>
      <c r="AZ4561" s="117"/>
      <c r="BK4561" s="39"/>
    </row>
    <row r="4562" spans="1:63" x14ac:dyDescent="0.25">
      <c r="A4562" s="92"/>
      <c r="B4562" s="92"/>
      <c r="C4562" s="92"/>
      <c r="D4562" s="92"/>
      <c r="E4562" s="92"/>
      <c r="F4562" s="92"/>
      <c r="G4562" s="92"/>
      <c r="H4562" s="92"/>
      <c r="I4562" s="92"/>
      <c r="J4562" s="92"/>
      <c r="K4562" s="92"/>
      <c r="L4562" s="92"/>
      <c r="M4562" s="92"/>
      <c r="N4562" s="92"/>
      <c r="AG4562" s="107"/>
      <c r="AH4562" s="117"/>
      <c r="AI4562" s="117"/>
      <c r="AJ4562" s="117"/>
      <c r="AK4562" s="107"/>
      <c r="AL4562" s="107"/>
      <c r="AM4562" s="107"/>
      <c r="AN4562" s="107"/>
      <c r="AO4562" s="107"/>
      <c r="AP4562" s="107"/>
      <c r="AQ4562" s="107"/>
      <c r="AR4562" s="107"/>
      <c r="AS4562" s="107"/>
      <c r="AT4562" s="39"/>
      <c r="AZ4562" s="117"/>
      <c r="BK4562" s="39"/>
    </row>
    <row r="4563" spans="1:63" x14ac:dyDescent="0.25">
      <c r="A4563" s="92"/>
      <c r="B4563" s="92"/>
      <c r="C4563" s="92"/>
      <c r="D4563" s="92"/>
      <c r="E4563" s="92"/>
      <c r="F4563" s="92"/>
      <c r="G4563" s="92"/>
      <c r="H4563" s="92"/>
      <c r="I4563" s="92"/>
      <c r="J4563" s="92"/>
      <c r="K4563" s="92"/>
      <c r="L4563" s="92"/>
      <c r="M4563" s="92"/>
      <c r="N4563" s="92"/>
      <c r="AG4563" s="107"/>
      <c r="AH4563" s="107"/>
      <c r="AI4563" s="107"/>
      <c r="AJ4563" s="117"/>
      <c r="AK4563" s="107"/>
      <c r="AL4563" s="107"/>
      <c r="AM4563" s="107"/>
      <c r="AN4563" s="107"/>
      <c r="AO4563" s="107"/>
      <c r="AP4563" s="107"/>
      <c r="AQ4563" s="107"/>
      <c r="AR4563" s="107"/>
      <c r="AS4563" s="107"/>
      <c r="AT4563" s="107"/>
      <c r="AZ4563" s="117"/>
      <c r="BK4563" s="39"/>
    </row>
    <row r="4564" spans="1:63" x14ac:dyDescent="0.25">
      <c r="A4564" s="92"/>
      <c r="B4564" s="92"/>
      <c r="C4564" s="92"/>
      <c r="D4564" s="92"/>
      <c r="E4564" s="92"/>
      <c r="F4564" s="92"/>
      <c r="G4564" s="92"/>
      <c r="H4564" s="92"/>
      <c r="I4564" s="92"/>
      <c r="J4564" s="92"/>
      <c r="K4564" s="92"/>
      <c r="L4564" s="92"/>
      <c r="M4564" s="92"/>
      <c r="N4564" s="92"/>
      <c r="AG4564" s="107"/>
      <c r="AH4564" s="107"/>
      <c r="AI4564" s="107"/>
      <c r="AJ4564" s="117"/>
      <c r="AK4564" s="107"/>
      <c r="AL4564" s="107"/>
      <c r="AM4564" s="107"/>
      <c r="AN4564" s="107"/>
      <c r="AO4564" s="107"/>
      <c r="AP4564" s="107"/>
      <c r="AQ4564" s="107"/>
      <c r="AR4564" s="107"/>
      <c r="AS4564" s="107"/>
      <c r="AT4564" s="107"/>
      <c r="AZ4564" s="117"/>
      <c r="BA4564" s="117"/>
      <c r="BK4564" s="39"/>
    </row>
    <row r="4565" spans="1:63" x14ac:dyDescent="0.25">
      <c r="A4565" s="92"/>
      <c r="B4565" s="93"/>
      <c r="C4565" s="93"/>
      <c r="D4565" s="92"/>
      <c r="E4565" s="92"/>
      <c r="F4565" s="92"/>
      <c r="G4565" s="92"/>
      <c r="H4565" s="92"/>
      <c r="I4565" s="92"/>
      <c r="J4565" s="92"/>
      <c r="K4565" s="92"/>
      <c r="L4565" s="92"/>
      <c r="M4565" s="92"/>
      <c r="N4565" s="94"/>
      <c r="AG4565" s="107"/>
      <c r="AH4565" s="107"/>
      <c r="AI4565" s="107"/>
      <c r="AJ4565" s="117"/>
      <c r="AK4565" s="107"/>
      <c r="AL4565" s="107"/>
      <c r="AM4565" s="107"/>
      <c r="AN4565" s="107"/>
      <c r="AO4565" s="107"/>
      <c r="AP4565" s="107"/>
      <c r="AQ4565" s="107"/>
      <c r="AR4565" s="107"/>
      <c r="AS4565" s="107"/>
      <c r="AT4565" s="107"/>
      <c r="BA4565" s="117"/>
    </row>
    <row r="4566" spans="1:63" x14ac:dyDescent="0.25">
      <c r="A4566" s="92"/>
      <c r="B4566" s="93"/>
      <c r="C4566" s="93"/>
      <c r="D4566" s="93"/>
      <c r="E4566" s="92"/>
      <c r="F4566" s="92"/>
      <c r="G4566" s="92"/>
      <c r="H4566" s="92"/>
      <c r="I4566" s="92"/>
      <c r="J4566" s="92"/>
      <c r="K4566" s="92"/>
      <c r="L4566" s="92"/>
      <c r="M4566" s="92"/>
      <c r="N4566" s="94"/>
      <c r="AG4566" s="107"/>
      <c r="AH4566" s="117"/>
      <c r="AI4566" s="117"/>
      <c r="AJ4566" s="117"/>
      <c r="AK4566" s="107"/>
      <c r="AL4566" s="107"/>
      <c r="AM4566" s="107"/>
      <c r="AN4566" s="107"/>
      <c r="AO4566" s="107"/>
      <c r="AP4566" s="107"/>
      <c r="AQ4566" s="107"/>
      <c r="AR4566" s="107"/>
      <c r="AS4566" s="107"/>
      <c r="AT4566" s="39"/>
      <c r="AZ4566" s="117"/>
      <c r="BK4566" s="39"/>
    </row>
    <row r="4567" spans="1:63" x14ac:dyDescent="0.25">
      <c r="A4567" s="92"/>
      <c r="B4567" s="93"/>
      <c r="C4567" s="93"/>
      <c r="D4567" s="92"/>
      <c r="E4567" s="92"/>
      <c r="F4567" s="92"/>
      <c r="G4567" s="92"/>
      <c r="H4567" s="92"/>
      <c r="I4567" s="92"/>
      <c r="J4567" s="92"/>
      <c r="K4567" s="92"/>
      <c r="L4567" s="92"/>
      <c r="M4567" s="92"/>
      <c r="N4567" s="94"/>
      <c r="AG4567" s="107"/>
      <c r="AH4567" s="107"/>
      <c r="AI4567" s="107"/>
      <c r="AJ4567" s="107"/>
      <c r="AK4567" s="107"/>
      <c r="AL4567" s="107"/>
      <c r="AM4567" s="107"/>
      <c r="AN4567" s="107"/>
      <c r="AO4567" s="107"/>
      <c r="AP4567" s="107"/>
      <c r="AQ4567" s="107"/>
      <c r="AR4567" s="107"/>
      <c r="AS4567" s="107"/>
      <c r="AT4567" s="107"/>
      <c r="AZ4567" s="117"/>
      <c r="BK4567" s="39"/>
    </row>
    <row r="4568" spans="1:63" x14ac:dyDescent="0.25">
      <c r="A4568" s="92"/>
      <c r="B4568" s="93"/>
      <c r="C4568" s="93"/>
      <c r="D4568" s="92"/>
      <c r="E4568" s="92"/>
      <c r="F4568" s="92"/>
      <c r="G4568" s="92"/>
      <c r="H4568" s="92"/>
      <c r="I4568" s="92"/>
      <c r="J4568" s="92"/>
      <c r="K4568" s="92"/>
      <c r="L4568" s="92"/>
      <c r="M4568" s="92"/>
      <c r="N4568" s="94"/>
      <c r="AG4568" s="107"/>
      <c r="AH4568" s="107"/>
      <c r="AI4568" s="107"/>
      <c r="AJ4568" s="107"/>
      <c r="AK4568" s="107"/>
      <c r="AL4568" s="107"/>
      <c r="AM4568" s="107"/>
      <c r="AN4568" s="107"/>
      <c r="AO4568" s="107"/>
      <c r="AP4568" s="107"/>
      <c r="AQ4568" s="107"/>
      <c r="AR4568" s="107"/>
      <c r="AS4568" s="107"/>
      <c r="AT4568" s="107"/>
      <c r="AZ4568" s="117"/>
      <c r="BK4568" s="39"/>
    </row>
    <row r="4569" spans="1:63" x14ac:dyDescent="0.25">
      <c r="A4569" s="92"/>
      <c r="B4569" s="93"/>
      <c r="C4569" s="93"/>
      <c r="D4569" s="92"/>
      <c r="E4569" s="92"/>
      <c r="F4569" s="92"/>
      <c r="G4569" s="92"/>
      <c r="H4569" s="92"/>
      <c r="I4569" s="92"/>
      <c r="J4569" s="92"/>
      <c r="K4569" s="92"/>
      <c r="L4569" s="92"/>
      <c r="M4569" s="92"/>
      <c r="N4569" s="94"/>
      <c r="AG4569" s="107"/>
      <c r="AH4569" s="107"/>
      <c r="AI4569" s="107"/>
      <c r="AJ4569" s="107"/>
      <c r="AK4569" s="107"/>
      <c r="AL4569" s="107"/>
      <c r="AM4569" s="107"/>
      <c r="AN4569" s="107"/>
      <c r="AO4569" s="107"/>
      <c r="AP4569" s="107"/>
      <c r="AQ4569" s="107"/>
      <c r="AR4569" s="107"/>
      <c r="AS4569" s="107"/>
      <c r="AT4569" s="107"/>
      <c r="AZ4569" s="117"/>
      <c r="BK4569" s="39"/>
    </row>
    <row r="4570" spans="1:63" x14ac:dyDescent="0.25">
      <c r="A4570" s="92"/>
      <c r="B4570" s="93"/>
      <c r="C4570" s="93"/>
      <c r="D4570" s="92"/>
      <c r="E4570" s="92"/>
      <c r="F4570" s="92"/>
      <c r="G4570" s="92"/>
      <c r="H4570" s="92"/>
      <c r="I4570" s="92"/>
      <c r="J4570" s="92"/>
      <c r="K4570" s="92"/>
      <c r="L4570" s="92"/>
      <c r="M4570" s="92"/>
      <c r="N4570" s="94"/>
      <c r="AG4570" s="107"/>
      <c r="AH4570" s="117"/>
      <c r="AI4570" s="117"/>
      <c r="AJ4570" s="107"/>
      <c r="AK4570" s="107"/>
      <c r="AL4570" s="107"/>
      <c r="AM4570" s="107"/>
      <c r="AN4570" s="107"/>
      <c r="AO4570" s="107"/>
      <c r="AP4570" s="107"/>
      <c r="AQ4570" s="107"/>
      <c r="AR4570" s="107"/>
      <c r="AS4570" s="107"/>
      <c r="AT4570" s="39"/>
      <c r="AZ4570" s="117"/>
      <c r="BK4570" s="39"/>
    </row>
    <row r="4571" spans="1:63" x14ac:dyDescent="0.25">
      <c r="A4571" s="92"/>
      <c r="B4571" s="92"/>
      <c r="C4571" s="92"/>
      <c r="D4571" s="92"/>
      <c r="E4571" s="92"/>
      <c r="F4571" s="92"/>
      <c r="G4571" s="92"/>
      <c r="H4571" s="92"/>
      <c r="I4571" s="92"/>
      <c r="J4571" s="92"/>
      <c r="K4571" s="92"/>
      <c r="L4571" s="92"/>
      <c r="M4571" s="92"/>
      <c r="N4571" s="92"/>
      <c r="AG4571" s="107"/>
      <c r="AH4571" s="107"/>
      <c r="AI4571" s="107"/>
      <c r="AJ4571" s="107"/>
      <c r="AK4571" s="107"/>
      <c r="AL4571" s="107"/>
      <c r="AM4571" s="107"/>
      <c r="AN4571" s="107"/>
      <c r="AO4571" s="107"/>
      <c r="AP4571" s="107"/>
      <c r="AQ4571" s="107"/>
      <c r="AR4571" s="107"/>
      <c r="AS4571" s="107"/>
      <c r="AT4571" s="107"/>
      <c r="AZ4571" s="117"/>
      <c r="BK4571" s="39"/>
    </row>
    <row r="4572" spans="1:63" x14ac:dyDescent="0.25">
      <c r="A4572" s="92"/>
      <c r="B4572" s="93"/>
      <c r="C4572" s="93"/>
      <c r="D4572" s="92"/>
      <c r="E4572" s="92"/>
      <c r="F4572" s="92"/>
      <c r="G4572" s="92"/>
      <c r="H4572" s="92"/>
      <c r="I4572" s="92"/>
      <c r="J4572" s="92"/>
      <c r="K4572" s="92"/>
      <c r="L4572" s="92"/>
      <c r="M4572" s="92"/>
      <c r="N4572" s="94"/>
      <c r="AG4572" s="107"/>
      <c r="AH4572" s="117"/>
      <c r="AI4572" s="117"/>
      <c r="AJ4572" s="107"/>
      <c r="AK4572" s="107"/>
      <c r="AL4572" s="107"/>
      <c r="AM4572" s="107"/>
      <c r="AN4572" s="107"/>
      <c r="AO4572" s="107"/>
      <c r="AP4572" s="107"/>
      <c r="AQ4572" s="107"/>
      <c r="AR4572" s="107"/>
      <c r="AS4572" s="107"/>
      <c r="AT4572" s="39"/>
    </row>
    <row r="4573" spans="1:63" x14ac:dyDescent="0.25">
      <c r="A4573" s="92"/>
      <c r="B4573" s="93"/>
      <c r="C4573" s="93"/>
      <c r="D4573" s="92"/>
      <c r="E4573" s="92"/>
      <c r="F4573" s="92"/>
      <c r="G4573" s="92"/>
      <c r="H4573" s="92"/>
      <c r="I4573" s="92"/>
      <c r="J4573" s="92"/>
      <c r="K4573" s="92"/>
      <c r="L4573" s="92"/>
      <c r="M4573" s="92"/>
      <c r="N4573" s="94"/>
      <c r="AG4573" s="107"/>
      <c r="AH4573" s="117"/>
      <c r="AI4573" s="117"/>
      <c r="AJ4573" s="117"/>
      <c r="AK4573" s="107"/>
      <c r="AL4573" s="107"/>
      <c r="AM4573" s="107"/>
      <c r="AN4573" s="107"/>
      <c r="AO4573" s="107"/>
      <c r="AP4573" s="107"/>
      <c r="AQ4573" s="107"/>
      <c r="AR4573" s="107"/>
      <c r="AS4573" s="107"/>
      <c r="AT4573" s="39"/>
      <c r="AZ4573" s="117"/>
      <c r="BA4573" s="117"/>
      <c r="BK4573" s="39"/>
    </row>
    <row r="4574" spans="1:63" x14ac:dyDescent="0.25">
      <c r="A4574" s="92"/>
      <c r="B4574" s="93"/>
      <c r="C4574" s="93"/>
      <c r="D4574" s="92"/>
      <c r="E4574" s="92"/>
      <c r="F4574" s="92"/>
      <c r="G4574" s="92"/>
      <c r="H4574" s="92"/>
      <c r="I4574" s="92"/>
      <c r="J4574" s="92"/>
      <c r="K4574" s="92"/>
      <c r="L4574" s="92"/>
      <c r="M4574" s="92"/>
      <c r="N4574" s="94"/>
      <c r="AG4574" s="107"/>
      <c r="AH4574" s="107"/>
      <c r="AI4574" s="107"/>
      <c r="AJ4574" s="117"/>
      <c r="AK4574" s="107"/>
      <c r="AL4574" s="107"/>
      <c r="AM4574" s="107"/>
      <c r="AN4574" s="107"/>
      <c r="AO4574" s="107"/>
      <c r="AP4574" s="107"/>
      <c r="AQ4574" s="107"/>
      <c r="AR4574" s="107"/>
      <c r="AS4574" s="107"/>
      <c r="AT4574" s="107"/>
      <c r="BA4574" s="117"/>
    </row>
    <row r="4575" spans="1:63" x14ac:dyDescent="0.25">
      <c r="A4575" s="92"/>
      <c r="B4575" s="92"/>
      <c r="C4575" s="92"/>
      <c r="D4575" s="92"/>
      <c r="E4575" s="92"/>
      <c r="F4575" s="92"/>
      <c r="G4575" s="92"/>
      <c r="H4575" s="92"/>
      <c r="I4575" s="92"/>
      <c r="J4575" s="92"/>
      <c r="K4575" s="92"/>
      <c r="L4575" s="92"/>
      <c r="M4575" s="92"/>
      <c r="N4575" s="92"/>
      <c r="AG4575" s="107"/>
      <c r="AH4575" s="107"/>
      <c r="AI4575" s="107"/>
      <c r="AJ4575" s="107"/>
      <c r="AK4575" s="107"/>
      <c r="AL4575" s="107"/>
      <c r="AM4575" s="107"/>
      <c r="AN4575" s="107"/>
      <c r="AO4575" s="107"/>
      <c r="AP4575" s="107"/>
      <c r="AQ4575" s="107"/>
      <c r="AR4575" s="107"/>
      <c r="AS4575" s="107"/>
      <c r="AT4575" s="107"/>
      <c r="BA4575" s="117"/>
    </row>
    <row r="4576" spans="1:63" x14ac:dyDescent="0.25">
      <c r="A4576" s="92"/>
      <c r="B4576" s="93"/>
      <c r="C4576" s="93"/>
      <c r="D4576" s="92"/>
      <c r="E4576" s="92"/>
      <c r="F4576" s="92"/>
      <c r="G4576" s="92"/>
      <c r="H4576" s="92"/>
      <c r="I4576" s="92"/>
      <c r="J4576" s="92"/>
      <c r="K4576" s="92"/>
      <c r="L4576" s="92"/>
      <c r="M4576" s="92"/>
      <c r="N4576" s="94"/>
      <c r="AG4576" s="107"/>
      <c r="AH4576" s="107"/>
      <c r="AI4576" s="107"/>
      <c r="AJ4576" s="107"/>
      <c r="AK4576" s="107"/>
      <c r="AL4576" s="107"/>
      <c r="AM4576" s="107"/>
      <c r="AN4576" s="107"/>
      <c r="AO4576" s="107"/>
      <c r="AP4576" s="107"/>
      <c r="AQ4576" s="107"/>
      <c r="AR4576" s="107"/>
      <c r="AS4576" s="107"/>
      <c r="AT4576" s="107"/>
      <c r="AZ4576" s="117"/>
      <c r="BK4576" s="39"/>
    </row>
    <row r="4577" spans="1:63" x14ac:dyDescent="0.25">
      <c r="A4577" s="92"/>
      <c r="B4577" s="93"/>
      <c r="C4577" s="93"/>
      <c r="D4577" s="92"/>
      <c r="E4577" s="92"/>
      <c r="F4577" s="92"/>
      <c r="G4577" s="92"/>
      <c r="H4577" s="92"/>
      <c r="I4577" s="92"/>
      <c r="J4577" s="92"/>
      <c r="K4577" s="92"/>
      <c r="L4577" s="92"/>
      <c r="M4577" s="92"/>
      <c r="N4577" s="94"/>
      <c r="AG4577" s="107"/>
      <c r="AH4577" s="117"/>
      <c r="AI4577" s="117"/>
      <c r="AJ4577" s="107"/>
      <c r="AK4577" s="107"/>
      <c r="AL4577" s="107"/>
      <c r="AM4577" s="107"/>
      <c r="AN4577" s="107"/>
      <c r="AO4577" s="107"/>
      <c r="AP4577" s="107"/>
      <c r="AQ4577" s="107"/>
      <c r="AR4577" s="107"/>
      <c r="AS4577" s="107"/>
      <c r="AT4577" s="39"/>
    </row>
    <row r="4578" spans="1:63" x14ac:dyDescent="0.25">
      <c r="A4578" s="92"/>
      <c r="B4578" s="93"/>
      <c r="C4578" s="93"/>
      <c r="D4578" s="92"/>
      <c r="E4578" s="92"/>
      <c r="F4578" s="92"/>
      <c r="G4578" s="92"/>
      <c r="H4578" s="92"/>
      <c r="I4578" s="92"/>
      <c r="J4578" s="92"/>
      <c r="K4578" s="92"/>
      <c r="L4578" s="92"/>
      <c r="M4578" s="92"/>
      <c r="N4578" s="94"/>
      <c r="AG4578" s="107"/>
      <c r="AH4578" s="107"/>
      <c r="AI4578" s="107"/>
      <c r="AJ4578" s="107"/>
      <c r="AK4578" s="107"/>
      <c r="AL4578" s="107"/>
      <c r="AM4578" s="107"/>
      <c r="AN4578" s="107"/>
      <c r="AO4578" s="107"/>
      <c r="AP4578" s="107"/>
      <c r="AQ4578" s="107"/>
      <c r="AR4578" s="107"/>
      <c r="AS4578" s="107"/>
      <c r="AT4578" s="107"/>
    </row>
    <row r="4579" spans="1:63" x14ac:dyDescent="0.25">
      <c r="A4579" s="92"/>
      <c r="B4579" s="93"/>
      <c r="C4579" s="93"/>
      <c r="D4579" s="92"/>
      <c r="E4579" s="92"/>
      <c r="F4579" s="92"/>
      <c r="G4579" s="92"/>
      <c r="H4579" s="92"/>
      <c r="I4579" s="92"/>
      <c r="J4579" s="92"/>
      <c r="K4579" s="92"/>
      <c r="L4579" s="92"/>
      <c r="M4579" s="92"/>
      <c r="N4579" s="94"/>
      <c r="AG4579" s="107"/>
      <c r="AH4579" s="117"/>
      <c r="AI4579" s="117"/>
      <c r="AJ4579" s="117"/>
      <c r="AK4579" s="107"/>
      <c r="AL4579" s="107"/>
      <c r="AM4579" s="107"/>
      <c r="AN4579" s="107"/>
      <c r="AO4579" s="107"/>
      <c r="AP4579" s="107"/>
      <c r="AQ4579" s="107"/>
      <c r="AR4579" s="107"/>
      <c r="AS4579" s="107"/>
      <c r="AT4579" s="39"/>
    </row>
    <row r="4580" spans="1:63" x14ac:dyDescent="0.25">
      <c r="A4580" s="92"/>
      <c r="B4580" s="93"/>
      <c r="C4580" s="93"/>
      <c r="D4580" s="92"/>
      <c r="E4580" s="92"/>
      <c r="F4580" s="92"/>
      <c r="G4580" s="92"/>
      <c r="H4580" s="92"/>
      <c r="I4580" s="92"/>
      <c r="J4580" s="92"/>
      <c r="K4580" s="92"/>
      <c r="L4580" s="92"/>
      <c r="M4580" s="92"/>
      <c r="N4580" s="94"/>
      <c r="AG4580" s="107"/>
      <c r="AH4580" s="117"/>
      <c r="AI4580" s="117"/>
      <c r="AJ4580" s="107"/>
      <c r="AK4580" s="107"/>
      <c r="AL4580" s="107"/>
      <c r="AM4580" s="107"/>
      <c r="AN4580" s="107"/>
      <c r="AO4580" s="107"/>
      <c r="AP4580" s="107"/>
      <c r="AQ4580" s="107"/>
      <c r="AR4580" s="107"/>
      <c r="AS4580" s="107"/>
      <c r="AT4580" s="39"/>
      <c r="AZ4580" s="117"/>
      <c r="BA4580" s="117"/>
      <c r="BK4580" s="39"/>
    </row>
    <row r="4581" spans="1:63" x14ac:dyDescent="0.25">
      <c r="A4581" s="92"/>
      <c r="B4581" s="93"/>
      <c r="C4581" s="93"/>
      <c r="D4581" s="93"/>
      <c r="E4581" s="92"/>
      <c r="F4581" s="92"/>
      <c r="G4581" s="92"/>
      <c r="H4581" s="92"/>
      <c r="I4581" s="92"/>
      <c r="J4581" s="92"/>
      <c r="K4581" s="92"/>
      <c r="L4581" s="92"/>
      <c r="M4581" s="92"/>
      <c r="N4581" s="94"/>
      <c r="AG4581" s="107"/>
      <c r="AH4581" s="107"/>
      <c r="AI4581" s="107"/>
      <c r="AJ4581" s="107"/>
      <c r="AK4581" s="107"/>
      <c r="AL4581" s="107"/>
      <c r="AM4581" s="107"/>
      <c r="AN4581" s="107"/>
      <c r="AO4581" s="107"/>
      <c r="AP4581" s="107"/>
      <c r="AQ4581" s="107"/>
      <c r="AR4581" s="107"/>
      <c r="AS4581" s="107"/>
      <c r="AT4581" s="107"/>
      <c r="AZ4581" s="117"/>
      <c r="BA4581" s="117"/>
      <c r="BK4581" s="39"/>
    </row>
    <row r="4582" spans="1:63" x14ac:dyDescent="0.25">
      <c r="A4582" s="92"/>
      <c r="B4582" s="92"/>
      <c r="C4582" s="92"/>
      <c r="D4582" s="93"/>
      <c r="E4582" s="92"/>
      <c r="F4582" s="92"/>
      <c r="G4582" s="92"/>
      <c r="H4582" s="92"/>
      <c r="I4582" s="92"/>
      <c r="J4582" s="92"/>
      <c r="K4582" s="92"/>
      <c r="L4582" s="92"/>
      <c r="M4582" s="92"/>
      <c r="N4582" s="92"/>
      <c r="AG4582" s="107"/>
      <c r="AH4582" s="107"/>
      <c r="AI4582" s="107"/>
      <c r="AJ4582" s="107"/>
      <c r="AK4582" s="107"/>
      <c r="AL4582" s="107"/>
      <c r="AM4582" s="107"/>
      <c r="AN4582" s="107"/>
      <c r="AO4582" s="107"/>
      <c r="AP4582" s="107"/>
      <c r="AQ4582" s="107"/>
      <c r="AR4582" s="107"/>
      <c r="AS4582" s="107"/>
      <c r="AT4582" s="107"/>
      <c r="AZ4582" s="117"/>
      <c r="BK4582" s="39"/>
    </row>
    <row r="4583" spans="1:63" x14ac:dyDescent="0.25">
      <c r="A4583" s="92"/>
      <c r="B4583" s="93"/>
      <c r="C4583" s="93"/>
      <c r="D4583" s="92"/>
      <c r="E4583" s="92"/>
      <c r="F4583" s="92"/>
      <c r="G4583" s="92"/>
      <c r="H4583" s="92"/>
      <c r="I4583" s="92"/>
      <c r="J4583" s="92"/>
      <c r="K4583" s="92"/>
      <c r="L4583" s="92"/>
      <c r="M4583" s="92"/>
      <c r="N4583" s="94"/>
      <c r="AG4583" s="107"/>
      <c r="AH4583" s="107"/>
      <c r="AI4583" s="107"/>
      <c r="AJ4583" s="107"/>
      <c r="AK4583" s="107"/>
      <c r="AL4583" s="107"/>
      <c r="AM4583" s="107"/>
      <c r="AN4583" s="107"/>
      <c r="AO4583" s="107"/>
      <c r="AP4583" s="107"/>
      <c r="AQ4583" s="107"/>
      <c r="AR4583" s="107"/>
      <c r="AS4583" s="107"/>
      <c r="AT4583" s="107"/>
      <c r="AZ4583" s="117"/>
      <c r="BK4583" s="39"/>
    </row>
    <row r="4584" spans="1:63" x14ac:dyDescent="0.25">
      <c r="A4584" s="92"/>
      <c r="B4584" s="93"/>
      <c r="C4584" s="93"/>
      <c r="D4584" s="92"/>
      <c r="E4584" s="92"/>
      <c r="F4584" s="92"/>
      <c r="G4584" s="92"/>
      <c r="H4584" s="92"/>
      <c r="I4584" s="92"/>
      <c r="J4584" s="92"/>
      <c r="K4584" s="92"/>
      <c r="L4584" s="92"/>
      <c r="M4584" s="92"/>
      <c r="N4584" s="94"/>
      <c r="AG4584" s="107"/>
      <c r="AH4584" s="117"/>
      <c r="AI4584" s="117"/>
      <c r="AJ4584" s="107"/>
      <c r="AK4584" s="107"/>
      <c r="AL4584" s="107"/>
      <c r="AM4584" s="107"/>
      <c r="AN4584" s="107"/>
      <c r="AO4584" s="107"/>
      <c r="AP4584" s="107"/>
      <c r="AQ4584" s="107"/>
      <c r="AR4584" s="107"/>
      <c r="AS4584" s="107"/>
      <c r="AT4584" s="39"/>
      <c r="AZ4584" s="117"/>
      <c r="BK4584" s="39"/>
    </row>
    <row r="4585" spans="1:63" x14ac:dyDescent="0.25">
      <c r="A4585" s="92"/>
      <c r="B4585" s="93"/>
      <c r="C4585" s="93"/>
      <c r="D4585" s="92"/>
      <c r="E4585" s="92"/>
      <c r="F4585" s="92"/>
      <c r="G4585" s="92"/>
      <c r="H4585" s="92"/>
      <c r="I4585" s="92"/>
      <c r="J4585" s="92"/>
      <c r="K4585" s="92"/>
      <c r="L4585" s="92"/>
      <c r="M4585" s="92"/>
      <c r="N4585" s="94"/>
      <c r="AG4585" s="107"/>
      <c r="AH4585" s="107"/>
      <c r="AI4585" s="107"/>
      <c r="AJ4585" s="107"/>
      <c r="AK4585" s="107"/>
      <c r="AL4585" s="107"/>
      <c r="AM4585" s="107"/>
      <c r="AN4585" s="107"/>
      <c r="AO4585" s="107"/>
      <c r="AP4585" s="107"/>
      <c r="AQ4585" s="107"/>
      <c r="AR4585" s="107"/>
      <c r="AS4585" s="107"/>
      <c r="AT4585" s="107"/>
    </row>
    <row r="4586" spans="1:63" x14ac:dyDescent="0.25">
      <c r="A4586" s="92"/>
      <c r="B4586" s="93"/>
      <c r="C4586" s="93"/>
      <c r="D4586" s="92"/>
      <c r="E4586" s="92"/>
      <c r="F4586" s="92"/>
      <c r="G4586" s="92"/>
      <c r="H4586" s="92"/>
      <c r="I4586" s="92"/>
      <c r="J4586" s="92"/>
      <c r="K4586" s="92"/>
      <c r="L4586" s="92"/>
      <c r="M4586" s="92"/>
      <c r="N4586" s="94"/>
      <c r="AG4586" s="107"/>
      <c r="AH4586" s="117"/>
      <c r="AI4586" s="117"/>
      <c r="AJ4586" s="117"/>
      <c r="AK4586" s="107"/>
      <c r="AL4586" s="107"/>
      <c r="AM4586" s="107"/>
      <c r="AN4586" s="107"/>
      <c r="AO4586" s="107"/>
      <c r="AP4586" s="107"/>
      <c r="AQ4586" s="107"/>
      <c r="AR4586" s="107"/>
      <c r="AS4586" s="107"/>
      <c r="AT4586" s="39"/>
      <c r="AZ4586" s="117"/>
      <c r="BK4586" s="39"/>
    </row>
    <row r="4587" spans="1:63" x14ac:dyDescent="0.25">
      <c r="A4587" s="92"/>
      <c r="B4587" s="93"/>
      <c r="C4587" s="93"/>
      <c r="D4587" s="92"/>
      <c r="E4587" s="92"/>
      <c r="F4587" s="92"/>
      <c r="G4587" s="92"/>
      <c r="H4587" s="92"/>
      <c r="I4587" s="92"/>
      <c r="J4587" s="92"/>
      <c r="K4587" s="92"/>
      <c r="L4587" s="92"/>
      <c r="M4587" s="92"/>
      <c r="N4587" s="94"/>
      <c r="AG4587" s="107"/>
      <c r="AH4587" s="107"/>
      <c r="AI4587" s="107"/>
      <c r="AJ4587" s="117"/>
      <c r="AK4587" s="107"/>
      <c r="AL4587" s="107"/>
      <c r="AM4587" s="107"/>
      <c r="AN4587" s="107"/>
      <c r="AO4587" s="107"/>
      <c r="AP4587" s="107"/>
      <c r="AQ4587" s="107"/>
      <c r="AR4587" s="107"/>
      <c r="AS4587" s="107"/>
      <c r="AT4587" s="107"/>
    </row>
    <row r="4588" spans="1:63" x14ac:dyDescent="0.25">
      <c r="A4588" s="92"/>
      <c r="B4588" s="93"/>
      <c r="C4588" s="93"/>
      <c r="D4588" s="92"/>
      <c r="E4588" s="92"/>
      <c r="F4588" s="92"/>
      <c r="G4588" s="92"/>
      <c r="H4588" s="92"/>
      <c r="I4588" s="92"/>
      <c r="J4588" s="92"/>
      <c r="K4588" s="92"/>
      <c r="L4588" s="92"/>
      <c r="M4588" s="92"/>
      <c r="N4588" s="94"/>
      <c r="AG4588" s="107"/>
      <c r="AH4588" s="117"/>
      <c r="AI4588" s="117"/>
      <c r="AJ4588" s="117"/>
      <c r="AK4588" s="107"/>
      <c r="AL4588" s="107"/>
      <c r="AM4588" s="107"/>
      <c r="AN4588" s="107"/>
      <c r="AO4588" s="107"/>
      <c r="AP4588" s="107"/>
      <c r="AQ4588" s="107"/>
      <c r="AR4588" s="107"/>
      <c r="AS4588" s="107"/>
      <c r="AT4588" s="39"/>
    </row>
    <row r="4589" spans="1:63" x14ac:dyDescent="0.25">
      <c r="A4589" s="92"/>
      <c r="B4589" s="92"/>
      <c r="C4589" s="92"/>
      <c r="D4589" s="92"/>
      <c r="E4589" s="92"/>
      <c r="F4589" s="92"/>
      <c r="G4589" s="92"/>
      <c r="H4589" s="92"/>
      <c r="I4589" s="92"/>
      <c r="J4589" s="92"/>
      <c r="K4589" s="92"/>
      <c r="L4589" s="92"/>
      <c r="M4589" s="92"/>
      <c r="N4589" s="92"/>
      <c r="AG4589" s="107"/>
      <c r="AH4589" s="117"/>
      <c r="AI4589" s="117"/>
      <c r="AJ4589" s="107"/>
      <c r="AK4589" s="107"/>
      <c r="AL4589" s="107"/>
      <c r="AM4589" s="107"/>
      <c r="AN4589" s="107"/>
      <c r="AO4589" s="107"/>
      <c r="AP4589" s="107"/>
      <c r="AQ4589" s="107"/>
      <c r="AR4589" s="107"/>
      <c r="AS4589" s="107"/>
      <c r="AT4589" s="39"/>
    </row>
    <row r="4590" spans="1:63" x14ac:dyDescent="0.25">
      <c r="A4590" s="92"/>
      <c r="B4590" s="93"/>
      <c r="C4590" s="93"/>
      <c r="D4590" s="93"/>
      <c r="E4590" s="92"/>
      <c r="F4590" s="92"/>
      <c r="G4590" s="92"/>
      <c r="H4590" s="92"/>
      <c r="I4590" s="92"/>
      <c r="J4590" s="92"/>
      <c r="K4590" s="92"/>
      <c r="L4590" s="92"/>
      <c r="M4590" s="92"/>
      <c r="N4590" s="94"/>
      <c r="AG4590" s="107"/>
      <c r="AH4590" s="107"/>
      <c r="AI4590" s="107"/>
      <c r="AJ4590" s="107"/>
      <c r="AK4590" s="107"/>
      <c r="AL4590" s="107"/>
      <c r="AM4590" s="107"/>
      <c r="AN4590" s="107"/>
      <c r="AO4590" s="107"/>
      <c r="AP4590" s="107"/>
      <c r="AQ4590" s="107"/>
      <c r="AR4590" s="107"/>
      <c r="AS4590" s="107"/>
      <c r="AT4590" s="107"/>
    </row>
    <row r="4591" spans="1:63" x14ac:dyDescent="0.25">
      <c r="A4591" s="92"/>
      <c r="B4591" s="92"/>
      <c r="C4591" s="92"/>
      <c r="D4591" s="93"/>
      <c r="E4591" s="92"/>
      <c r="F4591" s="92"/>
      <c r="G4591" s="92"/>
      <c r="H4591" s="92"/>
      <c r="I4591" s="92"/>
      <c r="J4591" s="92"/>
      <c r="K4591" s="92"/>
      <c r="L4591" s="92"/>
      <c r="M4591" s="92"/>
      <c r="N4591" s="92"/>
      <c r="AG4591" s="107"/>
      <c r="AH4591" s="117"/>
      <c r="AI4591" s="117"/>
      <c r="AJ4591" s="117"/>
      <c r="AK4591" s="107"/>
      <c r="AL4591" s="107"/>
      <c r="AM4591" s="107"/>
      <c r="AN4591" s="107"/>
      <c r="AO4591" s="107"/>
      <c r="AP4591" s="107"/>
      <c r="AQ4591" s="107"/>
      <c r="AR4591" s="107"/>
      <c r="AS4591" s="107"/>
      <c r="AT4591" s="39"/>
      <c r="AZ4591" s="117"/>
      <c r="BK4591" s="39"/>
    </row>
    <row r="4592" spans="1:63" x14ac:dyDescent="0.25">
      <c r="A4592" s="92"/>
      <c r="B4592" s="92"/>
      <c r="C4592" s="92"/>
      <c r="D4592" s="93"/>
      <c r="E4592" s="92"/>
      <c r="F4592" s="92"/>
      <c r="G4592" s="92"/>
      <c r="H4592" s="92"/>
      <c r="I4592" s="92"/>
      <c r="J4592" s="92"/>
      <c r="K4592" s="92"/>
      <c r="L4592" s="92"/>
      <c r="M4592" s="92"/>
      <c r="N4592" s="92"/>
      <c r="AG4592" s="107"/>
      <c r="AH4592" s="107"/>
      <c r="AI4592" s="107"/>
      <c r="AJ4592" s="117"/>
      <c r="AK4592" s="107"/>
      <c r="AL4592" s="107"/>
      <c r="AM4592" s="107"/>
      <c r="AN4592" s="107"/>
      <c r="AO4592" s="107"/>
      <c r="AP4592" s="107"/>
      <c r="AQ4592" s="107"/>
      <c r="AR4592" s="107"/>
      <c r="AS4592" s="107"/>
      <c r="AT4592" s="107"/>
      <c r="AZ4592" s="117"/>
      <c r="BA4592" s="117"/>
      <c r="BK4592" s="39"/>
    </row>
    <row r="4593" spans="1:63" x14ac:dyDescent="0.25">
      <c r="A4593" s="92"/>
      <c r="B4593" s="93"/>
      <c r="C4593" s="93"/>
      <c r="D4593" s="92"/>
      <c r="E4593" s="92"/>
      <c r="F4593" s="92"/>
      <c r="G4593" s="92"/>
      <c r="H4593" s="92"/>
      <c r="I4593" s="92"/>
      <c r="J4593" s="92"/>
      <c r="K4593" s="92"/>
      <c r="L4593" s="92"/>
      <c r="M4593" s="92"/>
      <c r="N4593" s="94"/>
      <c r="AG4593" s="107"/>
      <c r="AH4593" s="107"/>
      <c r="AI4593" s="107"/>
      <c r="AJ4593" s="117"/>
      <c r="AK4593" s="107"/>
      <c r="AL4593" s="107"/>
      <c r="AM4593" s="107"/>
      <c r="AN4593" s="107"/>
      <c r="AO4593" s="107"/>
      <c r="AP4593" s="107"/>
      <c r="AQ4593" s="107"/>
      <c r="AR4593" s="107"/>
      <c r="AS4593" s="107"/>
      <c r="AT4593" s="107"/>
    </row>
    <row r="4594" spans="1:63" x14ac:dyDescent="0.25">
      <c r="A4594" s="92"/>
      <c r="B4594" s="92"/>
      <c r="C4594" s="92"/>
      <c r="D4594" s="92"/>
      <c r="E4594" s="92"/>
      <c r="F4594" s="92"/>
      <c r="G4594" s="92"/>
      <c r="H4594" s="92"/>
      <c r="I4594" s="92"/>
      <c r="J4594" s="92"/>
      <c r="K4594" s="92"/>
      <c r="L4594" s="92"/>
      <c r="M4594" s="92"/>
      <c r="N4594" s="92"/>
      <c r="AG4594" s="107"/>
      <c r="AH4594" s="107"/>
      <c r="AI4594" s="107"/>
      <c r="AJ4594" s="117"/>
      <c r="AK4594" s="107"/>
      <c r="AL4594" s="107"/>
      <c r="AM4594" s="107"/>
      <c r="AN4594" s="107"/>
      <c r="AO4594" s="107"/>
      <c r="AP4594" s="107"/>
      <c r="AQ4594" s="107"/>
      <c r="AR4594" s="107"/>
      <c r="AS4594" s="107"/>
      <c r="AT4594" s="107"/>
      <c r="AZ4594" s="117"/>
      <c r="BA4594" s="117"/>
      <c r="BK4594" s="39"/>
    </row>
    <row r="4595" spans="1:63" x14ac:dyDescent="0.25">
      <c r="A4595" s="92"/>
      <c r="B4595" s="92"/>
      <c r="C4595" s="92"/>
      <c r="D4595" s="92"/>
      <c r="E4595" s="92"/>
      <c r="F4595" s="92"/>
      <c r="G4595" s="92"/>
      <c r="H4595" s="92"/>
      <c r="I4595" s="92"/>
      <c r="J4595" s="92"/>
      <c r="K4595" s="92"/>
      <c r="L4595" s="92"/>
      <c r="M4595" s="92"/>
      <c r="N4595" s="92"/>
      <c r="AG4595" s="107"/>
      <c r="AH4595" s="117"/>
      <c r="AI4595" s="117"/>
      <c r="AJ4595" s="107"/>
      <c r="AK4595" s="107"/>
      <c r="AL4595" s="107"/>
      <c r="AM4595" s="107"/>
      <c r="AN4595" s="107"/>
      <c r="AO4595" s="107"/>
      <c r="AP4595" s="107"/>
      <c r="AQ4595" s="107"/>
      <c r="AR4595" s="107"/>
      <c r="AS4595" s="107"/>
      <c r="AT4595" s="39"/>
    </row>
    <row r="4596" spans="1:63" x14ac:dyDescent="0.25">
      <c r="A4596" s="92"/>
      <c r="B4596" s="92"/>
      <c r="C4596" s="92"/>
      <c r="D4596" s="92"/>
      <c r="E4596" s="92"/>
      <c r="F4596" s="92"/>
      <c r="G4596" s="92"/>
      <c r="H4596" s="92"/>
      <c r="I4596" s="92"/>
      <c r="J4596" s="92"/>
      <c r="K4596" s="92"/>
      <c r="L4596" s="92"/>
      <c r="M4596" s="92"/>
      <c r="N4596" s="92"/>
      <c r="AG4596" s="107"/>
      <c r="AH4596" s="107"/>
      <c r="AI4596" s="107"/>
      <c r="AJ4596" s="107"/>
      <c r="AK4596" s="107"/>
      <c r="AL4596" s="107"/>
      <c r="AM4596" s="107"/>
      <c r="AN4596" s="107"/>
      <c r="AO4596" s="107"/>
      <c r="AP4596" s="107"/>
      <c r="AQ4596" s="107"/>
      <c r="AR4596" s="107"/>
      <c r="AS4596" s="107"/>
      <c r="AT4596" s="107"/>
    </row>
    <row r="4597" spans="1:63" x14ac:dyDescent="0.25">
      <c r="A4597" s="92"/>
      <c r="B4597" s="93"/>
      <c r="C4597" s="93"/>
      <c r="D4597" s="93"/>
      <c r="E4597" s="92"/>
      <c r="F4597" s="92"/>
      <c r="G4597" s="92"/>
      <c r="H4597" s="92"/>
      <c r="I4597" s="92"/>
      <c r="J4597" s="92"/>
      <c r="K4597" s="92"/>
      <c r="L4597" s="92"/>
      <c r="M4597" s="92"/>
      <c r="N4597" s="94"/>
      <c r="AG4597" s="107"/>
      <c r="AH4597" s="117"/>
      <c r="AI4597" s="117"/>
      <c r="AJ4597" s="107"/>
      <c r="AK4597" s="107"/>
      <c r="AL4597" s="107"/>
      <c r="AM4597" s="107"/>
      <c r="AN4597" s="107"/>
      <c r="AO4597" s="107"/>
      <c r="AP4597" s="107"/>
      <c r="AQ4597" s="107"/>
      <c r="AR4597" s="107"/>
      <c r="AS4597" s="107"/>
      <c r="AT4597" s="39"/>
    </row>
    <row r="4598" spans="1:63" x14ac:dyDescent="0.25">
      <c r="A4598" s="92"/>
      <c r="B4598" s="93"/>
      <c r="C4598" s="93"/>
      <c r="D4598" s="93"/>
      <c r="E4598" s="92"/>
      <c r="F4598" s="92"/>
      <c r="G4598" s="92"/>
      <c r="H4598" s="92"/>
      <c r="I4598" s="92"/>
      <c r="J4598" s="92"/>
      <c r="K4598" s="92"/>
      <c r="L4598" s="92"/>
      <c r="M4598" s="92"/>
      <c r="N4598" s="94"/>
      <c r="AG4598" s="107"/>
      <c r="AH4598" s="107"/>
      <c r="AI4598" s="107"/>
      <c r="AJ4598" s="107"/>
      <c r="AK4598" s="107"/>
      <c r="AL4598" s="107"/>
      <c r="AM4598" s="107"/>
      <c r="AN4598" s="107"/>
      <c r="AO4598" s="107"/>
      <c r="AP4598" s="107"/>
      <c r="AQ4598" s="107"/>
      <c r="AR4598" s="107"/>
      <c r="AS4598" s="107"/>
      <c r="AT4598" s="107"/>
    </row>
    <row r="4599" spans="1:63" x14ac:dyDescent="0.25">
      <c r="A4599" s="92"/>
      <c r="B4599" s="93"/>
      <c r="C4599" s="93"/>
      <c r="D4599" s="92"/>
      <c r="E4599" s="92"/>
      <c r="F4599" s="92"/>
      <c r="G4599" s="92"/>
      <c r="H4599" s="92"/>
      <c r="I4599" s="92"/>
      <c r="J4599" s="92"/>
      <c r="K4599" s="92"/>
      <c r="L4599" s="92"/>
      <c r="M4599" s="92"/>
      <c r="N4599" s="94"/>
      <c r="AG4599" s="107"/>
      <c r="AH4599" s="117"/>
      <c r="AI4599" s="117"/>
      <c r="AJ4599" s="107"/>
      <c r="AK4599" s="107"/>
      <c r="AL4599" s="107"/>
      <c r="AM4599" s="107"/>
      <c r="AN4599" s="107"/>
      <c r="AO4599" s="107"/>
      <c r="AP4599" s="107"/>
      <c r="AQ4599" s="107"/>
      <c r="AR4599" s="107"/>
      <c r="AS4599" s="107"/>
      <c r="AT4599" s="39"/>
    </row>
    <row r="4600" spans="1:63" x14ac:dyDescent="0.25">
      <c r="A4600" s="92"/>
      <c r="B4600" s="93"/>
      <c r="C4600" s="93"/>
      <c r="D4600" s="92"/>
      <c r="E4600" s="92"/>
      <c r="F4600" s="92"/>
      <c r="G4600" s="92"/>
      <c r="H4600" s="92"/>
      <c r="I4600" s="92"/>
      <c r="J4600" s="92"/>
      <c r="K4600" s="92"/>
      <c r="L4600" s="92"/>
      <c r="M4600" s="92"/>
      <c r="N4600" s="94"/>
      <c r="AG4600" s="107"/>
      <c r="AH4600" s="107"/>
      <c r="AI4600" s="107"/>
      <c r="AJ4600" s="107"/>
      <c r="AK4600" s="107"/>
      <c r="AL4600" s="107"/>
      <c r="AM4600" s="107"/>
      <c r="AN4600" s="107"/>
      <c r="AO4600" s="107"/>
      <c r="AP4600" s="107"/>
      <c r="AQ4600" s="107"/>
      <c r="AR4600" s="107"/>
      <c r="AS4600" s="107"/>
      <c r="AT4600" s="107"/>
    </row>
    <row r="4601" spans="1:63" x14ac:dyDescent="0.25">
      <c r="A4601" s="92"/>
      <c r="B4601" s="93"/>
      <c r="C4601" s="93"/>
      <c r="D4601" s="92"/>
      <c r="E4601" s="92"/>
      <c r="F4601" s="92"/>
      <c r="G4601" s="92"/>
      <c r="H4601" s="92"/>
      <c r="I4601" s="92"/>
      <c r="J4601" s="92"/>
      <c r="K4601" s="92"/>
      <c r="L4601" s="92"/>
      <c r="M4601" s="92"/>
      <c r="N4601" s="94"/>
      <c r="AG4601" s="107"/>
      <c r="AH4601" s="107"/>
      <c r="AI4601" s="107"/>
      <c r="AJ4601" s="107"/>
      <c r="AK4601" s="107"/>
      <c r="AL4601" s="107"/>
      <c r="AM4601" s="107"/>
      <c r="AN4601" s="107"/>
      <c r="AO4601" s="107"/>
      <c r="AP4601" s="107"/>
      <c r="AQ4601" s="107"/>
      <c r="AR4601" s="107"/>
      <c r="AS4601" s="107"/>
      <c r="AT4601" s="107"/>
    </row>
    <row r="4602" spans="1:63" x14ac:dyDescent="0.25">
      <c r="A4602" s="92"/>
      <c r="B4602" s="92"/>
      <c r="C4602" s="92"/>
      <c r="D4602" s="92"/>
      <c r="E4602" s="92"/>
      <c r="F4602" s="92"/>
      <c r="G4602" s="92"/>
      <c r="H4602" s="92"/>
      <c r="I4602" s="92"/>
      <c r="J4602" s="92"/>
      <c r="K4602" s="92"/>
      <c r="L4602" s="92"/>
      <c r="M4602" s="92"/>
      <c r="N4602" s="92"/>
      <c r="AG4602" s="107"/>
      <c r="AH4602" s="107"/>
      <c r="AI4602" s="107"/>
      <c r="AJ4602" s="107"/>
      <c r="AK4602" s="107"/>
      <c r="AL4602" s="107"/>
      <c r="AM4602" s="107"/>
      <c r="AN4602" s="107"/>
      <c r="AO4602" s="107"/>
      <c r="AP4602" s="107"/>
      <c r="AQ4602" s="107"/>
      <c r="AR4602" s="107"/>
      <c r="AS4602" s="107"/>
      <c r="AT4602" s="107"/>
      <c r="AZ4602" s="117"/>
      <c r="BK4602" s="39"/>
    </row>
    <row r="4603" spans="1:63" x14ac:dyDescent="0.25">
      <c r="A4603" s="92"/>
      <c r="B4603" s="93"/>
      <c r="C4603" s="93"/>
      <c r="D4603" s="92"/>
      <c r="E4603" s="92"/>
      <c r="F4603" s="92"/>
      <c r="G4603" s="92"/>
      <c r="H4603" s="92"/>
      <c r="I4603" s="92"/>
      <c r="J4603" s="92"/>
      <c r="K4603" s="92"/>
      <c r="L4603" s="92"/>
      <c r="M4603" s="92"/>
      <c r="N4603" s="94"/>
      <c r="AG4603" s="107"/>
      <c r="AH4603" s="107"/>
      <c r="AI4603" s="107"/>
      <c r="AJ4603" s="107"/>
      <c r="AK4603" s="107"/>
      <c r="AL4603" s="107"/>
      <c r="AM4603" s="107"/>
      <c r="AN4603" s="107"/>
      <c r="AO4603" s="107"/>
      <c r="AP4603" s="107"/>
      <c r="AQ4603" s="107"/>
      <c r="AR4603" s="107"/>
      <c r="AS4603" s="107"/>
      <c r="AT4603" s="107"/>
      <c r="AZ4603" s="117"/>
      <c r="BA4603" s="117"/>
      <c r="BK4603" s="39"/>
    </row>
    <row r="4604" spans="1:63" x14ac:dyDescent="0.25">
      <c r="A4604" s="92"/>
      <c r="B4604" s="92"/>
      <c r="C4604" s="92"/>
      <c r="D4604" s="92"/>
      <c r="E4604" s="92"/>
      <c r="F4604" s="92"/>
      <c r="G4604" s="92"/>
      <c r="H4604" s="92"/>
      <c r="I4604" s="92"/>
      <c r="J4604" s="92"/>
      <c r="K4604" s="92"/>
      <c r="L4604" s="92"/>
      <c r="M4604" s="92"/>
      <c r="N4604" s="92"/>
      <c r="AG4604" s="107"/>
      <c r="AH4604" s="107"/>
      <c r="AI4604" s="107"/>
      <c r="AJ4604" s="107"/>
      <c r="AK4604" s="107"/>
      <c r="AL4604" s="107"/>
      <c r="AM4604" s="107"/>
      <c r="AN4604" s="107"/>
      <c r="AO4604" s="107"/>
      <c r="AP4604" s="107"/>
      <c r="AQ4604" s="107"/>
      <c r="AR4604" s="107"/>
      <c r="AS4604" s="107"/>
      <c r="AT4604" s="107"/>
      <c r="BA4604" s="117"/>
    </row>
    <row r="4605" spans="1:63" x14ac:dyDescent="0.25">
      <c r="A4605" s="92"/>
      <c r="B4605" s="92"/>
      <c r="C4605" s="92"/>
      <c r="D4605" s="92"/>
      <c r="E4605" s="92"/>
      <c r="F4605" s="92"/>
      <c r="G4605" s="92"/>
      <c r="H4605" s="92"/>
      <c r="I4605" s="92"/>
      <c r="J4605" s="92"/>
      <c r="K4605" s="92"/>
      <c r="L4605" s="92"/>
      <c r="M4605" s="92"/>
      <c r="N4605" s="92"/>
      <c r="AG4605" s="107"/>
      <c r="AH4605" s="117"/>
      <c r="AI4605" s="117"/>
      <c r="AJ4605" s="107"/>
      <c r="AK4605" s="107"/>
      <c r="AL4605" s="107"/>
      <c r="AM4605" s="107"/>
      <c r="AN4605" s="107"/>
      <c r="AO4605" s="107"/>
      <c r="AP4605" s="107"/>
      <c r="AQ4605" s="107"/>
      <c r="AR4605" s="107"/>
      <c r="AS4605" s="107"/>
      <c r="AT4605" s="39"/>
      <c r="BA4605" s="117"/>
    </row>
    <row r="4606" spans="1:63" x14ac:dyDescent="0.25">
      <c r="A4606" s="92"/>
      <c r="B4606" s="92"/>
      <c r="C4606" s="92"/>
      <c r="D4606" s="92"/>
      <c r="E4606" s="92"/>
      <c r="F4606" s="92"/>
      <c r="G4606" s="92"/>
      <c r="H4606" s="92"/>
      <c r="I4606" s="92"/>
      <c r="J4606" s="92"/>
      <c r="K4606" s="92"/>
      <c r="L4606" s="92"/>
      <c r="M4606" s="92"/>
      <c r="N4606" s="92"/>
      <c r="AG4606" s="107"/>
      <c r="AH4606" s="107"/>
      <c r="AI4606" s="107"/>
      <c r="AJ4606" s="107"/>
      <c r="AK4606" s="107"/>
      <c r="AL4606" s="107"/>
      <c r="AM4606" s="107"/>
      <c r="AN4606" s="107"/>
      <c r="AO4606" s="107"/>
      <c r="AP4606" s="107"/>
      <c r="AQ4606" s="107"/>
      <c r="AR4606" s="107"/>
      <c r="AS4606" s="107"/>
      <c r="AT4606" s="107"/>
      <c r="BA4606" s="117"/>
    </row>
    <row r="4607" spans="1:63" x14ac:dyDescent="0.25">
      <c r="A4607" s="92"/>
      <c r="B4607" s="92"/>
      <c r="C4607" s="92"/>
      <c r="D4607" s="92"/>
      <c r="E4607" s="92"/>
      <c r="F4607" s="92"/>
      <c r="G4607" s="92"/>
      <c r="H4607" s="92"/>
      <c r="I4607" s="92"/>
      <c r="J4607" s="92"/>
      <c r="K4607" s="92"/>
      <c r="L4607" s="92"/>
      <c r="M4607" s="92"/>
      <c r="N4607" s="92"/>
      <c r="AG4607" s="107"/>
      <c r="AH4607" s="117"/>
      <c r="AI4607" s="117"/>
      <c r="AJ4607" s="107"/>
      <c r="AK4607" s="107"/>
      <c r="AL4607" s="107"/>
      <c r="AM4607" s="107"/>
      <c r="AN4607" s="107"/>
      <c r="AO4607" s="107"/>
      <c r="AP4607" s="107"/>
      <c r="AQ4607" s="107"/>
      <c r="AR4607" s="107"/>
      <c r="AS4607" s="107"/>
      <c r="AT4607" s="39"/>
      <c r="BA4607" s="117"/>
    </row>
    <row r="4608" spans="1:63" x14ac:dyDescent="0.25">
      <c r="A4608" s="92"/>
      <c r="B4608" s="93"/>
      <c r="C4608" s="93"/>
      <c r="D4608" s="92"/>
      <c r="E4608" s="92"/>
      <c r="F4608" s="92"/>
      <c r="G4608" s="92"/>
      <c r="H4608" s="92"/>
      <c r="I4608" s="92"/>
      <c r="J4608" s="92"/>
      <c r="K4608" s="92"/>
      <c r="L4608" s="92"/>
      <c r="M4608" s="92"/>
      <c r="N4608" s="94"/>
      <c r="AG4608" s="107"/>
      <c r="AH4608" s="107"/>
      <c r="AI4608" s="107"/>
      <c r="AJ4608" s="107"/>
      <c r="AK4608" s="107"/>
      <c r="AL4608" s="107"/>
      <c r="AM4608" s="107"/>
      <c r="AN4608" s="107"/>
      <c r="AO4608" s="107"/>
      <c r="AP4608" s="107"/>
      <c r="AQ4608" s="107"/>
      <c r="AR4608" s="107"/>
      <c r="AS4608" s="107"/>
      <c r="AT4608" s="107"/>
      <c r="BA4608" s="117"/>
    </row>
    <row r="4609" spans="1:63" x14ac:dyDescent="0.25">
      <c r="A4609" s="92"/>
      <c r="B4609" s="93"/>
      <c r="C4609" s="93"/>
      <c r="D4609" s="93"/>
      <c r="E4609" s="92"/>
      <c r="F4609" s="92"/>
      <c r="G4609" s="92"/>
      <c r="H4609" s="92"/>
      <c r="I4609" s="92"/>
      <c r="J4609" s="92"/>
      <c r="K4609" s="92"/>
      <c r="L4609" s="92"/>
      <c r="M4609" s="92"/>
      <c r="N4609" s="94"/>
      <c r="AG4609" s="107"/>
      <c r="AH4609" s="117"/>
      <c r="AI4609" s="117"/>
      <c r="AJ4609" s="107"/>
      <c r="AK4609" s="107"/>
      <c r="AL4609" s="107"/>
      <c r="AM4609" s="107"/>
      <c r="AN4609" s="107"/>
      <c r="AO4609" s="107"/>
      <c r="AP4609" s="107"/>
      <c r="AQ4609" s="107"/>
      <c r="AR4609" s="107"/>
      <c r="AS4609" s="107"/>
      <c r="AT4609" s="39"/>
      <c r="BA4609" s="117"/>
    </row>
    <row r="4610" spans="1:63" x14ac:dyDescent="0.25">
      <c r="A4610" s="92"/>
      <c r="B4610" s="92"/>
      <c r="C4610" s="92"/>
      <c r="D4610" s="92"/>
      <c r="E4610" s="92"/>
      <c r="F4610" s="92"/>
      <c r="G4610" s="92"/>
      <c r="H4610" s="92"/>
      <c r="I4610" s="92"/>
      <c r="J4610" s="92"/>
      <c r="K4610" s="92"/>
      <c r="L4610" s="92"/>
      <c r="M4610" s="92"/>
      <c r="N4610" s="92"/>
      <c r="AG4610" s="107"/>
      <c r="AH4610" s="107"/>
      <c r="AI4610" s="107"/>
      <c r="AJ4610" s="107"/>
      <c r="AK4610" s="107"/>
      <c r="AL4610" s="107"/>
      <c r="AM4610" s="107"/>
      <c r="AN4610" s="107"/>
      <c r="AO4610" s="107"/>
      <c r="AP4610" s="107"/>
      <c r="AQ4610" s="107"/>
      <c r="AR4610" s="107"/>
      <c r="AS4610" s="107"/>
      <c r="AT4610" s="107"/>
      <c r="BA4610" s="117"/>
    </row>
    <row r="4611" spans="1:63" x14ac:dyDescent="0.25">
      <c r="A4611" s="92"/>
      <c r="B4611" s="93"/>
      <c r="C4611" s="93"/>
      <c r="D4611" s="93"/>
      <c r="E4611" s="92"/>
      <c r="F4611" s="92"/>
      <c r="G4611" s="92"/>
      <c r="H4611" s="92"/>
      <c r="I4611" s="92"/>
      <c r="J4611" s="92"/>
      <c r="K4611" s="92"/>
      <c r="L4611" s="92"/>
      <c r="M4611" s="92"/>
      <c r="N4611" s="94"/>
      <c r="AG4611" s="107"/>
      <c r="AH4611" s="117"/>
      <c r="AI4611" s="117"/>
      <c r="AJ4611" s="117"/>
      <c r="AK4611" s="107"/>
      <c r="AL4611" s="107"/>
      <c r="AM4611" s="107"/>
      <c r="AN4611" s="107"/>
      <c r="AO4611" s="107"/>
      <c r="AP4611" s="107"/>
      <c r="AQ4611" s="107"/>
      <c r="AR4611" s="107"/>
      <c r="AS4611" s="107"/>
      <c r="AT4611" s="39"/>
      <c r="BA4611" s="117"/>
    </row>
    <row r="4612" spans="1:63" x14ac:dyDescent="0.25">
      <c r="A4612" s="92"/>
      <c r="B4612" s="92"/>
      <c r="C4612" s="92"/>
      <c r="D4612" s="92"/>
      <c r="E4612" s="92"/>
      <c r="F4612" s="92"/>
      <c r="G4612" s="92"/>
      <c r="H4612" s="92"/>
      <c r="I4612" s="92"/>
      <c r="J4612" s="92"/>
      <c r="K4612" s="92"/>
      <c r="L4612" s="92"/>
      <c r="M4612" s="92"/>
      <c r="N4612" s="92"/>
      <c r="AG4612" s="107"/>
      <c r="AH4612" s="107"/>
      <c r="AI4612" s="107"/>
      <c r="AJ4612" s="117"/>
      <c r="AK4612" s="107"/>
      <c r="AL4612" s="107"/>
      <c r="AM4612" s="107"/>
      <c r="AN4612" s="107"/>
      <c r="AO4612" s="107"/>
      <c r="AP4612" s="107"/>
      <c r="AQ4612" s="107"/>
      <c r="AR4612" s="107"/>
      <c r="AS4612" s="107"/>
      <c r="AT4612" s="107"/>
      <c r="BA4612" s="117"/>
    </row>
    <row r="4613" spans="1:63" x14ac:dyDescent="0.25">
      <c r="A4613" s="92"/>
      <c r="B4613" s="92"/>
      <c r="C4613" s="92"/>
      <c r="D4613" s="92"/>
      <c r="E4613" s="92"/>
      <c r="F4613" s="92"/>
      <c r="G4613" s="92"/>
      <c r="H4613" s="92"/>
      <c r="I4613" s="92"/>
      <c r="J4613" s="92"/>
      <c r="K4613" s="92"/>
      <c r="L4613" s="92"/>
      <c r="M4613" s="92"/>
      <c r="N4613" s="92"/>
      <c r="AG4613" s="107"/>
      <c r="AH4613" s="107"/>
      <c r="AI4613" s="107"/>
      <c r="AJ4613" s="117"/>
      <c r="AK4613" s="107"/>
      <c r="AL4613" s="107"/>
      <c r="AM4613" s="107"/>
      <c r="AN4613" s="107"/>
      <c r="AO4613" s="107"/>
      <c r="AP4613" s="107"/>
      <c r="AQ4613" s="107"/>
      <c r="AR4613" s="107"/>
      <c r="AS4613" s="107"/>
      <c r="AT4613" s="107"/>
      <c r="BA4613" s="117"/>
    </row>
    <row r="4614" spans="1:63" x14ac:dyDescent="0.25">
      <c r="A4614" s="92"/>
      <c r="B4614" s="92"/>
      <c r="C4614" s="92"/>
      <c r="D4614" s="92"/>
      <c r="E4614" s="92"/>
      <c r="F4614" s="92"/>
      <c r="G4614" s="92"/>
      <c r="H4614" s="92"/>
      <c r="I4614" s="92"/>
      <c r="J4614" s="92"/>
      <c r="K4614" s="92"/>
      <c r="L4614" s="92"/>
      <c r="M4614" s="92"/>
      <c r="N4614" s="92"/>
      <c r="AG4614" s="107"/>
      <c r="AH4614" s="107"/>
      <c r="AI4614" s="107"/>
      <c r="AJ4614" s="117"/>
      <c r="AK4614" s="107"/>
      <c r="AL4614" s="107"/>
      <c r="AM4614" s="107"/>
      <c r="AN4614" s="107"/>
      <c r="AO4614" s="107"/>
      <c r="AP4614" s="107"/>
      <c r="AQ4614" s="107"/>
      <c r="AR4614" s="107"/>
      <c r="AS4614" s="107"/>
      <c r="AT4614" s="107"/>
      <c r="BA4614" s="117"/>
    </row>
    <row r="4615" spans="1:63" x14ac:dyDescent="0.25">
      <c r="A4615" s="92"/>
      <c r="B4615" s="92"/>
      <c r="C4615" s="92"/>
      <c r="D4615" s="92"/>
      <c r="E4615" s="92"/>
      <c r="F4615" s="92"/>
      <c r="G4615" s="92"/>
      <c r="H4615" s="92"/>
      <c r="I4615" s="92"/>
      <c r="J4615" s="92"/>
      <c r="K4615" s="92"/>
      <c r="L4615" s="92"/>
      <c r="M4615" s="92"/>
      <c r="N4615" s="92"/>
      <c r="AG4615" s="107"/>
      <c r="AH4615" s="107"/>
      <c r="AI4615" s="107"/>
      <c r="AJ4615" s="117"/>
      <c r="AK4615" s="107"/>
      <c r="AL4615" s="107"/>
      <c r="AM4615" s="107"/>
      <c r="AN4615" s="107"/>
      <c r="AO4615" s="107"/>
      <c r="AP4615" s="107"/>
      <c r="AQ4615" s="107"/>
      <c r="AR4615" s="107"/>
      <c r="AS4615" s="107"/>
      <c r="AT4615" s="107"/>
      <c r="BA4615" s="117"/>
    </row>
    <row r="4616" spans="1:63" x14ac:dyDescent="0.25">
      <c r="A4616" s="92"/>
      <c r="B4616" s="92"/>
      <c r="C4616" s="92"/>
      <c r="D4616" s="92"/>
      <c r="E4616" s="92"/>
      <c r="F4616" s="92"/>
      <c r="G4616" s="92"/>
      <c r="H4616" s="92"/>
      <c r="I4616" s="92"/>
      <c r="J4616" s="92"/>
      <c r="K4616" s="92"/>
      <c r="L4616" s="92"/>
      <c r="M4616" s="92"/>
      <c r="N4616" s="92"/>
      <c r="AG4616" s="107"/>
      <c r="AH4616" s="117"/>
      <c r="AI4616" s="117"/>
      <c r="AJ4616" s="107"/>
      <c r="AK4616" s="107"/>
      <c r="AL4616" s="107"/>
      <c r="AM4616" s="107"/>
      <c r="AN4616" s="107"/>
      <c r="AO4616" s="107"/>
      <c r="AP4616" s="107"/>
      <c r="AQ4616" s="107"/>
      <c r="AR4616" s="107"/>
      <c r="AS4616" s="107"/>
      <c r="AT4616" s="39"/>
      <c r="BA4616" s="117"/>
    </row>
    <row r="4617" spans="1:63" x14ac:dyDescent="0.25">
      <c r="A4617" s="92"/>
      <c r="B4617" s="92"/>
      <c r="C4617" s="92"/>
      <c r="D4617" s="92"/>
      <c r="E4617" s="92"/>
      <c r="F4617" s="92"/>
      <c r="G4617" s="92"/>
      <c r="H4617" s="92"/>
      <c r="I4617" s="92"/>
      <c r="J4617" s="92"/>
      <c r="K4617" s="92"/>
      <c r="L4617" s="92"/>
      <c r="M4617" s="92"/>
      <c r="N4617" s="92"/>
      <c r="AG4617" s="107"/>
      <c r="AH4617" s="117"/>
      <c r="AI4617" s="117"/>
      <c r="AJ4617" s="107"/>
      <c r="AK4617" s="107"/>
      <c r="AL4617" s="107"/>
      <c r="AM4617" s="107"/>
      <c r="AN4617" s="107"/>
      <c r="AO4617" s="107"/>
      <c r="AP4617" s="107"/>
      <c r="AQ4617" s="107"/>
      <c r="AR4617" s="107"/>
      <c r="AS4617" s="107"/>
      <c r="AT4617" s="39"/>
      <c r="BA4617" s="117"/>
    </row>
    <row r="4618" spans="1:63" x14ac:dyDescent="0.25">
      <c r="A4618" s="92"/>
      <c r="B4618" s="93"/>
      <c r="C4618" s="93"/>
      <c r="D4618" s="92"/>
      <c r="E4618" s="92"/>
      <c r="F4618" s="92"/>
      <c r="G4618" s="92"/>
      <c r="H4618" s="92"/>
      <c r="I4618" s="92"/>
      <c r="J4618" s="92"/>
      <c r="K4618" s="92"/>
      <c r="L4618" s="92"/>
      <c r="M4618" s="92"/>
      <c r="N4618" s="94"/>
      <c r="AG4618" s="107"/>
      <c r="AH4618" s="107"/>
      <c r="AI4618" s="107"/>
      <c r="AJ4618" s="107"/>
      <c r="AK4618" s="107"/>
      <c r="AL4618" s="107"/>
      <c r="AM4618" s="107"/>
      <c r="AN4618" s="107"/>
      <c r="AO4618" s="107"/>
      <c r="AP4618" s="107"/>
      <c r="AQ4618" s="107"/>
      <c r="AR4618" s="107"/>
      <c r="AS4618" s="107"/>
      <c r="AT4618" s="107"/>
      <c r="AZ4618" s="117"/>
      <c r="BK4618" s="39"/>
    </row>
    <row r="4619" spans="1:63" x14ac:dyDescent="0.25">
      <c r="A4619" s="92"/>
      <c r="B4619" s="93"/>
      <c r="C4619" s="93"/>
      <c r="D4619" s="93"/>
      <c r="E4619" s="92"/>
      <c r="F4619" s="92"/>
      <c r="G4619" s="92"/>
      <c r="H4619" s="92"/>
      <c r="I4619" s="92"/>
      <c r="J4619" s="92"/>
      <c r="K4619" s="92"/>
      <c r="L4619" s="92"/>
      <c r="M4619" s="92"/>
      <c r="N4619" s="94"/>
      <c r="AG4619" s="107"/>
      <c r="AH4619" s="117"/>
      <c r="AI4619" s="117"/>
      <c r="AJ4619" s="117"/>
      <c r="AK4619" s="107"/>
      <c r="AL4619" s="107"/>
      <c r="AM4619" s="107"/>
      <c r="AN4619" s="107"/>
      <c r="AO4619" s="107"/>
      <c r="AP4619" s="107"/>
      <c r="AQ4619" s="107"/>
      <c r="AR4619" s="107"/>
      <c r="AS4619" s="107"/>
      <c r="AT4619" s="39"/>
      <c r="AZ4619" s="117"/>
      <c r="BA4619" s="117"/>
      <c r="BK4619" s="39"/>
    </row>
    <row r="4620" spans="1:63" x14ac:dyDescent="0.25">
      <c r="A4620" s="92"/>
      <c r="B4620" s="92"/>
      <c r="C4620" s="92"/>
      <c r="D4620" s="93"/>
      <c r="E4620" s="92"/>
      <c r="F4620" s="92"/>
      <c r="G4620" s="92"/>
      <c r="H4620" s="92"/>
      <c r="I4620" s="92"/>
      <c r="J4620" s="92"/>
      <c r="K4620" s="92"/>
      <c r="L4620" s="92"/>
      <c r="M4620" s="92"/>
      <c r="N4620" s="92"/>
      <c r="AG4620" s="107"/>
      <c r="AH4620" s="107"/>
      <c r="AI4620" s="107"/>
      <c r="AJ4620" s="117"/>
      <c r="AK4620" s="107"/>
      <c r="AL4620" s="107"/>
      <c r="AM4620" s="107"/>
      <c r="AN4620" s="107"/>
      <c r="AO4620" s="107"/>
      <c r="AP4620" s="107"/>
      <c r="AQ4620" s="107"/>
      <c r="AR4620" s="107"/>
      <c r="AS4620" s="107"/>
      <c r="AT4620" s="107"/>
      <c r="AZ4620" s="117"/>
      <c r="BA4620" s="117"/>
      <c r="BK4620" s="39"/>
    </row>
    <row r="4621" spans="1:63" x14ac:dyDescent="0.25">
      <c r="A4621" s="92"/>
      <c r="B4621" s="92"/>
      <c r="C4621" s="92"/>
      <c r="D4621" s="93"/>
      <c r="E4621" s="92"/>
      <c r="F4621" s="92"/>
      <c r="G4621" s="92"/>
      <c r="H4621" s="92"/>
      <c r="I4621" s="92"/>
      <c r="J4621" s="92"/>
      <c r="K4621" s="92"/>
      <c r="L4621" s="92"/>
      <c r="M4621" s="92"/>
      <c r="N4621" s="92"/>
      <c r="AG4621" s="107"/>
      <c r="AH4621" s="107"/>
      <c r="AI4621" s="107"/>
      <c r="AJ4621" s="117"/>
      <c r="AK4621" s="107"/>
      <c r="AL4621" s="107"/>
      <c r="AM4621" s="107"/>
      <c r="AN4621" s="107"/>
      <c r="AO4621" s="107"/>
      <c r="AP4621" s="107"/>
      <c r="AQ4621" s="107"/>
      <c r="AR4621" s="107"/>
      <c r="AS4621" s="107"/>
      <c r="AT4621" s="107"/>
      <c r="BA4621" s="117"/>
    </row>
    <row r="4622" spans="1:63" x14ac:dyDescent="0.25">
      <c r="A4622" s="92"/>
      <c r="B4622" s="92"/>
      <c r="C4622" s="92"/>
      <c r="D4622" s="93"/>
      <c r="E4622" s="92"/>
      <c r="F4622" s="92"/>
      <c r="G4622" s="92"/>
      <c r="H4622" s="92"/>
      <c r="I4622" s="92"/>
      <c r="J4622" s="92"/>
      <c r="K4622" s="92"/>
      <c r="L4622" s="92"/>
      <c r="M4622" s="92"/>
      <c r="N4622" s="92"/>
      <c r="AG4622" s="107"/>
      <c r="AH4622" s="117"/>
      <c r="AI4622" s="117"/>
      <c r="AJ4622" s="107"/>
      <c r="AK4622" s="107"/>
      <c r="AL4622" s="107"/>
      <c r="AM4622" s="107"/>
      <c r="AN4622" s="107"/>
      <c r="AO4622" s="107"/>
      <c r="AP4622" s="107"/>
      <c r="AQ4622" s="107"/>
      <c r="AR4622" s="107"/>
      <c r="AS4622" s="107"/>
      <c r="AT4622" s="39"/>
      <c r="BA4622" s="117"/>
    </row>
    <row r="4623" spans="1:63" x14ac:dyDescent="0.25">
      <c r="A4623" s="92"/>
      <c r="B4623" s="92"/>
      <c r="C4623" s="92"/>
      <c r="D4623" s="93"/>
      <c r="E4623" s="92"/>
      <c r="F4623" s="92"/>
      <c r="G4623" s="92"/>
      <c r="H4623" s="92"/>
      <c r="I4623" s="92"/>
      <c r="J4623" s="92"/>
      <c r="K4623" s="92"/>
      <c r="L4623" s="92"/>
      <c r="M4623" s="92"/>
      <c r="N4623" s="92"/>
      <c r="AG4623" s="107"/>
      <c r="AH4623" s="107"/>
      <c r="AI4623" s="107"/>
      <c r="AJ4623" s="107"/>
      <c r="AK4623" s="107"/>
      <c r="AL4623" s="107"/>
      <c r="AM4623" s="107"/>
      <c r="AN4623" s="107"/>
      <c r="AO4623" s="107"/>
      <c r="AP4623" s="107"/>
      <c r="AQ4623" s="107"/>
      <c r="AR4623" s="107"/>
      <c r="AS4623" s="107"/>
      <c r="AT4623" s="107"/>
      <c r="AZ4623" s="117"/>
      <c r="BK4623" s="39"/>
    </row>
    <row r="4624" spans="1:63" x14ac:dyDescent="0.25">
      <c r="A4624" s="92"/>
      <c r="B4624" s="92"/>
      <c r="C4624" s="92"/>
      <c r="D4624" s="93"/>
      <c r="E4624" s="92"/>
      <c r="F4624" s="92"/>
      <c r="G4624" s="92"/>
      <c r="H4624" s="92"/>
      <c r="I4624" s="92"/>
      <c r="J4624" s="92"/>
      <c r="K4624" s="92"/>
      <c r="L4624" s="92"/>
      <c r="M4624" s="92"/>
      <c r="N4624" s="92"/>
      <c r="AG4624" s="107"/>
      <c r="AH4624" s="107"/>
      <c r="AI4624" s="107"/>
      <c r="AJ4624" s="107"/>
      <c r="AK4624" s="107"/>
      <c r="AL4624" s="107"/>
      <c r="AM4624" s="107"/>
      <c r="AN4624" s="107"/>
      <c r="AO4624" s="107"/>
      <c r="AP4624" s="107"/>
      <c r="AQ4624" s="107"/>
      <c r="AR4624" s="107"/>
      <c r="AS4624" s="107"/>
      <c r="AT4624" s="107"/>
      <c r="AZ4624" s="117"/>
      <c r="BK4624" s="39"/>
    </row>
    <row r="4625" spans="1:63" x14ac:dyDescent="0.25">
      <c r="A4625" s="92"/>
      <c r="B4625" s="92"/>
      <c r="C4625" s="92"/>
      <c r="D4625" s="93"/>
      <c r="E4625" s="92"/>
      <c r="F4625" s="92"/>
      <c r="G4625" s="92"/>
      <c r="H4625" s="92"/>
      <c r="I4625" s="92"/>
      <c r="J4625" s="92"/>
      <c r="K4625" s="92"/>
      <c r="L4625" s="92"/>
      <c r="M4625" s="92"/>
      <c r="N4625" s="92"/>
      <c r="AG4625" s="107"/>
      <c r="AH4625" s="117"/>
      <c r="AI4625" s="117"/>
      <c r="AJ4625" s="107"/>
      <c r="AK4625" s="107"/>
      <c r="AL4625" s="107"/>
      <c r="AM4625" s="107"/>
      <c r="AN4625" s="107"/>
      <c r="AO4625" s="107"/>
      <c r="AP4625" s="107"/>
      <c r="AQ4625" s="107"/>
      <c r="AR4625" s="107"/>
      <c r="AS4625" s="107"/>
      <c r="AT4625" s="39"/>
      <c r="AZ4625" s="117"/>
      <c r="BA4625" s="117"/>
      <c r="BK4625" s="39"/>
    </row>
    <row r="4626" spans="1:63" x14ac:dyDescent="0.25">
      <c r="A4626" s="92"/>
      <c r="B4626" s="92"/>
      <c r="C4626" s="92"/>
      <c r="D4626" s="93"/>
      <c r="E4626" s="92"/>
      <c r="F4626" s="92"/>
      <c r="G4626" s="92"/>
      <c r="H4626" s="92"/>
      <c r="I4626" s="92"/>
      <c r="J4626" s="92"/>
      <c r="K4626" s="92"/>
      <c r="L4626" s="92"/>
      <c r="M4626" s="92"/>
      <c r="N4626" s="92"/>
      <c r="AG4626" s="107"/>
      <c r="AH4626" s="117"/>
      <c r="AI4626" s="117"/>
      <c r="AJ4626" s="117"/>
      <c r="AK4626" s="107"/>
      <c r="AL4626" s="107"/>
      <c r="AM4626" s="107"/>
      <c r="AN4626" s="107"/>
      <c r="AO4626" s="107"/>
      <c r="AP4626" s="107"/>
      <c r="AQ4626" s="107"/>
      <c r="AR4626" s="107"/>
      <c r="AS4626" s="107"/>
      <c r="AT4626" s="39"/>
      <c r="BA4626" s="117"/>
    </row>
    <row r="4627" spans="1:63" x14ac:dyDescent="0.25">
      <c r="A4627" s="92"/>
      <c r="B4627" s="92"/>
      <c r="C4627" s="92"/>
      <c r="D4627" s="93"/>
      <c r="E4627" s="92"/>
      <c r="F4627" s="92"/>
      <c r="G4627" s="92"/>
      <c r="H4627" s="92"/>
      <c r="I4627" s="92"/>
      <c r="J4627" s="92"/>
      <c r="K4627" s="92"/>
      <c r="L4627" s="92"/>
      <c r="M4627" s="92"/>
      <c r="N4627" s="92"/>
      <c r="AG4627" s="107"/>
      <c r="AH4627" s="107"/>
      <c r="AI4627" s="107"/>
      <c r="AJ4627" s="117"/>
      <c r="AK4627" s="107"/>
      <c r="AL4627" s="107"/>
      <c r="AM4627" s="107"/>
      <c r="AN4627" s="107"/>
      <c r="AO4627" s="107"/>
      <c r="AP4627" s="107"/>
      <c r="AQ4627" s="107"/>
      <c r="AR4627" s="107"/>
      <c r="AS4627" s="107"/>
      <c r="AT4627" s="107"/>
      <c r="BA4627" s="117"/>
    </row>
    <row r="4628" spans="1:63" x14ac:dyDescent="0.25">
      <c r="A4628" s="92"/>
      <c r="B4628" s="92"/>
      <c r="C4628" s="92"/>
      <c r="D4628" s="93"/>
      <c r="E4628" s="92"/>
      <c r="F4628" s="92"/>
      <c r="G4628" s="92"/>
      <c r="H4628" s="92"/>
      <c r="I4628" s="92"/>
      <c r="J4628" s="92"/>
      <c r="K4628" s="92"/>
      <c r="L4628" s="92"/>
      <c r="M4628" s="92"/>
      <c r="N4628" s="92"/>
      <c r="AG4628" s="107"/>
      <c r="AH4628" s="107"/>
      <c r="AI4628" s="107"/>
      <c r="AJ4628" s="117"/>
      <c r="AK4628" s="107"/>
      <c r="AL4628" s="107"/>
      <c r="AM4628" s="107"/>
      <c r="AN4628" s="107"/>
      <c r="AO4628" s="107"/>
      <c r="AP4628" s="107"/>
      <c r="AQ4628" s="107"/>
      <c r="AR4628" s="107"/>
      <c r="AS4628" s="107"/>
      <c r="AT4628" s="107"/>
      <c r="BA4628" s="117"/>
    </row>
    <row r="4629" spans="1:63" x14ac:dyDescent="0.25">
      <c r="A4629" s="92"/>
      <c r="B4629" s="92"/>
      <c r="C4629" s="92"/>
      <c r="D4629" s="93"/>
      <c r="E4629" s="92"/>
      <c r="F4629" s="92"/>
      <c r="G4629" s="92"/>
      <c r="H4629" s="92"/>
      <c r="I4629" s="92"/>
      <c r="J4629" s="92"/>
      <c r="K4629" s="92"/>
      <c r="L4629" s="92"/>
      <c r="M4629" s="92"/>
      <c r="N4629" s="92"/>
      <c r="AG4629" s="107"/>
      <c r="AH4629" s="117"/>
      <c r="AI4629" s="117"/>
      <c r="AJ4629" s="107"/>
      <c r="AK4629" s="107"/>
      <c r="AL4629" s="107"/>
      <c r="AM4629" s="107"/>
      <c r="AN4629" s="107"/>
      <c r="AO4629" s="107"/>
      <c r="AP4629" s="107"/>
      <c r="AQ4629" s="107"/>
      <c r="AR4629" s="107"/>
      <c r="AS4629" s="107"/>
      <c r="AT4629" s="39"/>
      <c r="AZ4629" s="117"/>
      <c r="BK4629" s="39"/>
    </row>
    <row r="4630" spans="1:63" x14ac:dyDescent="0.25">
      <c r="A4630" s="92"/>
      <c r="B4630" s="92"/>
      <c r="C4630" s="92"/>
      <c r="D4630" s="93"/>
      <c r="E4630" s="92"/>
      <c r="F4630" s="92"/>
      <c r="G4630" s="92"/>
      <c r="H4630" s="92"/>
      <c r="I4630" s="92"/>
      <c r="J4630" s="92"/>
      <c r="K4630" s="92"/>
      <c r="L4630" s="92"/>
      <c r="M4630" s="92"/>
      <c r="N4630" s="92"/>
      <c r="AG4630" s="107"/>
      <c r="AH4630" s="117"/>
      <c r="AI4630" s="117"/>
      <c r="AJ4630" s="107"/>
      <c r="AK4630" s="107"/>
      <c r="AL4630" s="107"/>
      <c r="AM4630" s="107"/>
      <c r="AN4630" s="107"/>
      <c r="AO4630" s="107"/>
      <c r="AP4630" s="107"/>
      <c r="AQ4630" s="107"/>
      <c r="AR4630" s="107"/>
      <c r="AS4630" s="107"/>
      <c r="AT4630" s="39"/>
    </row>
    <row r="4631" spans="1:63" x14ac:dyDescent="0.25">
      <c r="A4631" s="92"/>
      <c r="B4631" s="92"/>
      <c r="C4631" s="92"/>
      <c r="D4631" s="93"/>
      <c r="E4631" s="92"/>
      <c r="F4631" s="92"/>
      <c r="G4631" s="92"/>
      <c r="H4631" s="92"/>
      <c r="I4631" s="92"/>
      <c r="J4631" s="92"/>
      <c r="K4631" s="92"/>
      <c r="L4631" s="92"/>
      <c r="M4631" s="92"/>
      <c r="N4631" s="92"/>
      <c r="AG4631" s="107"/>
      <c r="AH4631" s="117"/>
      <c r="AI4631" s="117"/>
      <c r="AJ4631" s="117"/>
      <c r="AK4631" s="107"/>
      <c r="AL4631" s="107"/>
      <c r="AM4631" s="107"/>
      <c r="AN4631" s="107"/>
      <c r="AO4631" s="107"/>
      <c r="AP4631" s="107"/>
      <c r="AQ4631" s="107"/>
      <c r="AR4631" s="107"/>
      <c r="AS4631" s="107"/>
      <c r="AT4631" s="39"/>
    </row>
    <row r="4632" spans="1:63" x14ac:dyDescent="0.25">
      <c r="A4632" s="92"/>
      <c r="B4632" s="92"/>
      <c r="C4632" s="92"/>
      <c r="D4632" s="93"/>
      <c r="E4632" s="92"/>
      <c r="F4632" s="92"/>
      <c r="G4632" s="92"/>
      <c r="H4632" s="92"/>
      <c r="I4632" s="92"/>
      <c r="J4632" s="92"/>
      <c r="K4632" s="92"/>
      <c r="L4632" s="92"/>
      <c r="M4632" s="92"/>
      <c r="N4632" s="92"/>
      <c r="AG4632" s="107"/>
      <c r="AH4632" s="107"/>
      <c r="AI4632" s="107"/>
      <c r="AJ4632" s="117"/>
      <c r="AK4632" s="107"/>
      <c r="AL4632" s="107"/>
      <c r="AM4632" s="107"/>
      <c r="AN4632" s="107"/>
      <c r="AO4632" s="107"/>
      <c r="AP4632" s="107"/>
      <c r="AQ4632" s="107"/>
      <c r="AR4632" s="107"/>
      <c r="AS4632" s="107"/>
      <c r="AT4632" s="107"/>
      <c r="AZ4632" s="117"/>
      <c r="BK4632" s="39"/>
    </row>
    <row r="4633" spans="1:63" x14ac:dyDescent="0.25">
      <c r="A4633" s="92"/>
      <c r="B4633" s="92"/>
      <c r="C4633" s="92"/>
      <c r="D4633" s="93"/>
      <c r="E4633" s="92"/>
      <c r="F4633" s="92"/>
      <c r="G4633" s="92"/>
      <c r="H4633" s="92"/>
      <c r="I4633" s="92"/>
      <c r="J4633" s="92"/>
      <c r="K4633" s="92"/>
      <c r="L4633" s="92"/>
      <c r="M4633" s="92"/>
      <c r="N4633" s="92"/>
      <c r="AG4633" s="107"/>
      <c r="AH4633" s="117"/>
      <c r="AI4633" s="117"/>
      <c r="AJ4633" s="117"/>
      <c r="AK4633" s="107"/>
      <c r="AL4633" s="107"/>
      <c r="AM4633" s="107"/>
      <c r="AN4633" s="107"/>
      <c r="AO4633" s="107"/>
      <c r="AP4633" s="107"/>
      <c r="AQ4633" s="107"/>
      <c r="AR4633" s="107"/>
      <c r="AS4633" s="107"/>
      <c r="AT4633" s="39"/>
    </row>
    <row r="4634" spans="1:63" x14ac:dyDescent="0.25">
      <c r="A4634" s="92"/>
      <c r="B4634" s="92"/>
      <c r="C4634" s="92"/>
      <c r="D4634" s="93"/>
      <c r="E4634" s="92"/>
      <c r="F4634" s="92"/>
      <c r="G4634" s="92"/>
      <c r="H4634" s="92"/>
      <c r="I4634" s="92"/>
      <c r="J4634" s="92"/>
      <c r="K4634" s="92"/>
      <c r="L4634" s="92"/>
      <c r="M4634" s="92"/>
      <c r="N4634" s="92"/>
      <c r="AG4634" s="107"/>
      <c r="AH4634" s="107"/>
      <c r="AI4634" s="107"/>
      <c r="AJ4634" s="117"/>
      <c r="AK4634" s="107"/>
      <c r="AL4634" s="107"/>
      <c r="AM4634" s="107"/>
      <c r="AN4634" s="107"/>
      <c r="AO4634" s="107"/>
      <c r="AP4634" s="107"/>
      <c r="AQ4634" s="107"/>
      <c r="AR4634" s="107"/>
      <c r="AS4634" s="107"/>
      <c r="AT4634" s="107"/>
    </row>
    <row r="4635" spans="1:63" x14ac:dyDescent="0.25">
      <c r="A4635" s="92"/>
      <c r="B4635" s="93"/>
      <c r="C4635" s="93"/>
      <c r="D4635" s="92"/>
      <c r="E4635" s="92"/>
      <c r="F4635" s="92"/>
      <c r="G4635" s="92"/>
      <c r="H4635" s="92"/>
      <c r="I4635" s="92"/>
      <c r="J4635" s="92"/>
      <c r="K4635" s="92"/>
      <c r="L4635" s="92"/>
      <c r="M4635" s="92"/>
      <c r="N4635" s="94"/>
      <c r="AG4635" s="107"/>
      <c r="AH4635" s="107"/>
      <c r="AI4635" s="107"/>
      <c r="AJ4635" s="107"/>
      <c r="AK4635" s="107"/>
      <c r="AL4635" s="107"/>
      <c r="AM4635" s="107"/>
      <c r="AN4635" s="107"/>
      <c r="AO4635" s="107"/>
      <c r="AP4635" s="107"/>
      <c r="AQ4635" s="107"/>
      <c r="AR4635" s="107"/>
      <c r="AS4635" s="107"/>
      <c r="AT4635" s="107"/>
      <c r="AZ4635" s="117"/>
      <c r="BK4635" s="39"/>
    </row>
    <row r="4636" spans="1:63" x14ac:dyDescent="0.25">
      <c r="A4636" s="92"/>
      <c r="B4636" s="93"/>
      <c r="C4636" s="93"/>
      <c r="D4636" s="93"/>
      <c r="E4636" s="92"/>
      <c r="F4636" s="92"/>
      <c r="G4636" s="92"/>
      <c r="H4636" s="92"/>
      <c r="I4636" s="92"/>
      <c r="J4636" s="92"/>
      <c r="K4636" s="92"/>
      <c r="L4636" s="92"/>
      <c r="M4636" s="92"/>
      <c r="N4636" s="94"/>
      <c r="AG4636" s="107"/>
      <c r="AH4636" s="107"/>
      <c r="AI4636" s="107"/>
      <c r="AJ4636" s="107"/>
      <c r="AK4636" s="107"/>
      <c r="AL4636" s="107"/>
      <c r="AM4636" s="107"/>
      <c r="AN4636" s="107"/>
      <c r="AO4636" s="107"/>
      <c r="AP4636" s="107"/>
      <c r="AQ4636" s="107"/>
      <c r="AR4636" s="107"/>
      <c r="AS4636" s="107"/>
      <c r="AT4636" s="107"/>
    </row>
    <row r="4637" spans="1:63" x14ac:dyDescent="0.25">
      <c r="A4637" s="92"/>
      <c r="B4637" s="93"/>
      <c r="C4637" s="93"/>
      <c r="D4637" s="93"/>
      <c r="E4637" s="92"/>
      <c r="F4637" s="92"/>
      <c r="G4637" s="92"/>
      <c r="H4637" s="92"/>
      <c r="I4637" s="92"/>
      <c r="J4637" s="92"/>
      <c r="K4637" s="92"/>
      <c r="L4637" s="92"/>
      <c r="M4637" s="92"/>
      <c r="N4637" s="94"/>
      <c r="AG4637" s="107"/>
      <c r="AH4637" s="117"/>
      <c r="AI4637" s="117"/>
      <c r="AJ4637" s="107"/>
      <c r="AK4637" s="107"/>
      <c r="AL4637" s="107"/>
      <c r="AM4637" s="107"/>
      <c r="AN4637" s="107"/>
      <c r="AO4637" s="107"/>
      <c r="AP4637" s="107"/>
      <c r="AQ4637" s="107"/>
      <c r="AR4637" s="107"/>
      <c r="AS4637" s="107"/>
      <c r="AT4637" s="39"/>
      <c r="AZ4637" s="117"/>
      <c r="BA4637" s="117"/>
      <c r="BK4637" s="39"/>
    </row>
    <row r="4638" spans="1:63" x14ac:dyDescent="0.25">
      <c r="A4638" s="92"/>
      <c r="B4638" s="92"/>
      <c r="C4638" s="92"/>
      <c r="D4638" s="93"/>
      <c r="E4638" s="92"/>
      <c r="F4638" s="92"/>
      <c r="G4638" s="92"/>
      <c r="H4638" s="92"/>
      <c r="I4638" s="92"/>
      <c r="J4638" s="92"/>
      <c r="K4638" s="92"/>
      <c r="L4638" s="92"/>
      <c r="M4638" s="92"/>
      <c r="N4638" s="92"/>
      <c r="AG4638" s="107"/>
      <c r="AH4638" s="117"/>
      <c r="AI4638" s="117"/>
      <c r="AJ4638" s="117"/>
      <c r="AK4638" s="107"/>
      <c r="AL4638" s="107"/>
      <c r="AM4638" s="107"/>
      <c r="AN4638" s="107"/>
      <c r="AO4638" s="107"/>
      <c r="AP4638" s="107"/>
      <c r="AQ4638" s="107"/>
      <c r="AR4638" s="107"/>
      <c r="AS4638" s="107"/>
      <c r="AT4638" s="39"/>
      <c r="AZ4638" s="117"/>
      <c r="BK4638" s="39"/>
    </row>
    <row r="4639" spans="1:63" x14ac:dyDescent="0.25">
      <c r="A4639" s="92"/>
      <c r="B4639" s="92"/>
      <c r="C4639" s="92"/>
      <c r="D4639" s="93"/>
      <c r="E4639" s="92"/>
      <c r="F4639" s="92"/>
      <c r="G4639" s="92"/>
      <c r="H4639" s="92"/>
      <c r="I4639" s="92"/>
      <c r="J4639" s="92"/>
      <c r="K4639" s="92"/>
      <c r="L4639" s="92"/>
      <c r="M4639" s="92"/>
      <c r="N4639" s="92"/>
      <c r="AG4639" s="107"/>
      <c r="AH4639" s="107"/>
      <c r="AI4639" s="107"/>
      <c r="AJ4639" s="107"/>
      <c r="AK4639" s="107"/>
      <c r="AL4639" s="107"/>
      <c r="AM4639" s="107"/>
      <c r="AN4639" s="107"/>
      <c r="AO4639" s="107"/>
      <c r="AP4639" s="107"/>
      <c r="AQ4639" s="107"/>
      <c r="AR4639" s="107"/>
      <c r="AS4639" s="107"/>
      <c r="AT4639" s="107"/>
    </row>
    <row r="4640" spans="1:63" x14ac:dyDescent="0.25">
      <c r="A4640" s="92"/>
      <c r="B4640" s="93"/>
      <c r="C4640" s="93"/>
      <c r="D4640" s="92"/>
      <c r="E4640" s="92"/>
      <c r="F4640" s="92"/>
      <c r="G4640" s="92"/>
      <c r="H4640" s="92"/>
      <c r="I4640" s="92"/>
      <c r="J4640" s="92"/>
      <c r="K4640" s="92"/>
      <c r="L4640" s="92"/>
      <c r="M4640" s="92"/>
      <c r="N4640" s="94"/>
      <c r="AG4640" s="107"/>
      <c r="AH4640" s="117"/>
      <c r="AI4640" s="117"/>
      <c r="AJ4640" s="107"/>
      <c r="AK4640" s="107"/>
      <c r="AL4640" s="107"/>
      <c r="AM4640" s="107"/>
      <c r="AN4640" s="107"/>
      <c r="AO4640" s="107"/>
      <c r="AP4640" s="107"/>
      <c r="AQ4640" s="107"/>
      <c r="AR4640" s="107"/>
      <c r="AS4640" s="107"/>
      <c r="AT4640" s="39"/>
      <c r="AZ4640" s="117"/>
      <c r="BK4640" s="39"/>
    </row>
    <row r="4641" spans="1:63" x14ac:dyDescent="0.25">
      <c r="A4641" s="92"/>
      <c r="B4641" s="93"/>
      <c r="C4641" s="93"/>
      <c r="D4641" s="92"/>
      <c r="E4641" s="92"/>
      <c r="F4641" s="92"/>
      <c r="G4641" s="92"/>
      <c r="H4641" s="92"/>
      <c r="I4641" s="92"/>
      <c r="J4641" s="92"/>
      <c r="K4641" s="92"/>
      <c r="L4641" s="92"/>
      <c r="M4641" s="92"/>
      <c r="N4641" s="94"/>
      <c r="AG4641" s="107"/>
      <c r="AH4641" s="117"/>
      <c r="AI4641" s="117"/>
      <c r="AJ4641" s="107"/>
      <c r="AK4641" s="107"/>
      <c r="AL4641" s="107"/>
      <c r="AM4641" s="107"/>
      <c r="AN4641" s="107"/>
      <c r="AO4641" s="107"/>
      <c r="AP4641" s="107"/>
      <c r="AQ4641" s="107"/>
      <c r="AR4641" s="107"/>
      <c r="AS4641" s="107"/>
      <c r="AT4641" s="39"/>
    </row>
    <row r="4642" spans="1:63" x14ac:dyDescent="0.25">
      <c r="A4642" s="92"/>
      <c r="B4642" s="93"/>
      <c r="C4642" s="93"/>
      <c r="D4642" s="93"/>
      <c r="E4642" s="92"/>
      <c r="F4642" s="92"/>
      <c r="G4642" s="92"/>
      <c r="H4642" s="92"/>
      <c r="I4642" s="92"/>
      <c r="J4642" s="92"/>
      <c r="K4642" s="92"/>
      <c r="L4642" s="92"/>
      <c r="M4642" s="92"/>
      <c r="N4642" s="94"/>
      <c r="AG4642" s="107"/>
      <c r="AH4642" s="107"/>
      <c r="AI4642" s="107"/>
      <c r="AJ4642" s="107"/>
      <c r="AK4642" s="107"/>
      <c r="AL4642" s="107"/>
      <c r="AM4642" s="107"/>
      <c r="AN4642" s="107"/>
      <c r="AO4642" s="107"/>
      <c r="AP4642" s="107"/>
      <c r="AQ4642" s="107"/>
      <c r="AR4642" s="107"/>
      <c r="AS4642" s="107"/>
      <c r="AT4642" s="107"/>
    </row>
    <row r="4643" spans="1:63" x14ac:dyDescent="0.25">
      <c r="A4643" s="92"/>
      <c r="B4643" s="92"/>
      <c r="C4643" s="92"/>
      <c r="D4643" s="93"/>
      <c r="E4643" s="92"/>
      <c r="F4643" s="92"/>
      <c r="G4643" s="92"/>
      <c r="H4643" s="92"/>
      <c r="I4643" s="92"/>
      <c r="J4643" s="92"/>
      <c r="K4643" s="92"/>
      <c r="L4643" s="92"/>
      <c r="M4643" s="92"/>
      <c r="N4643" s="92"/>
      <c r="AG4643" s="107"/>
      <c r="AH4643" s="107"/>
      <c r="AI4643" s="107"/>
      <c r="AJ4643" s="107"/>
      <c r="AK4643" s="107"/>
      <c r="AL4643" s="107"/>
      <c r="AM4643" s="107"/>
      <c r="AN4643" s="107"/>
      <c r="AO4643" s="107"/>
      <c r="AP4643" s="107"/>
      <c r="AQ4643" s="107"/>
      <c r="AR4643" s="107"/>
      <c r="AS4643" s="107"/>
      <c r="AT4643" s="107"/>
    </row>
    <row r="4644" spans="1:63" x14ac:dyDescent="0.25">
      <c r="A4644" s="92"/>
      <c r="B4644" s="92"/>
      <c r="C4644" s="92"/>
      <c r="D4644" s="93"/>
      <c r="E4644" s="92"/>
      <c r="F4644" s="92"/>
      <c r="G4644" s="92"/>
      <c r="H4644" s="92"/>
      <c r="I4644" s="92"/>
      <c r="J4644" s="92"/>
      <c r="K4644" s="92"/>
      <c r="L4644" s="92"/>
      <c r="M4644" s="92"/>
      <c r="N4644" s="92"/>
      <c r="AG4644" s="107"/>
      <c r="AH4644" s="117"/>
      <c r="AI4644" s="117"/>
      <c r="AJ4644" s="107"/>
      <c r="AK4644" s="107"/>
      <c r="AL4644" s="107"/>
      <c r="AM4644" s="107"/>
      <c r="AN4644" s="107"/>
      <c r="AO4644" s="107"/>
      <c r="AP4644" s="107"/>
      <c r="AQ4644" s="107"/>
      <c r="AR4644" s="107"/>
      <c r="AS4644" s="107"/>
      <c r="AT4644" s="39"/>
    </row>
    <row r="4645" spans="1:63" x14ac:dyDescent="0.25">
      <c r="A4645" s="92"/>
      <c r="B4645" s="92"/>
      <c r="C4645" s="92"/>
      <c r="D4645" s="93"/>
      <c r="E4645" s="92"/>
      <c r="F4645" s="92"/>
      <c r="G4645" s="92"/>
      <c r="H4645" s="92"/>
      <c r="I4645" s="92"/>
      <c r="J4645" s="92"/>
      <c r="K4645" s="92"/>
      <c r="L4645" s="92"/>
      <c r="M4645" s="92"/>
      <c r="N4645" s="92"/>
      <c r="AG4645" s="107"/>
      <c r="AH4645" s="117"/>
      <c r="AI4645" s="117"/>
      <c r="AJ4645" s="107"/>
      <c r="AK4645" s="107"/>
      <c r="AL4645" s="107"/>
      <c r="AM4645" s="107"/>
      <c r="AN4645" s="107"/>
      <c r="AO4645" s="107"/>
      <c r="AP4645" s="107"/>
      <c r="AQ4645" s="107"/>
      <c r="AR4645" s="107"/>
      <c r="AS4645" s="107"/>
      <c r="AT4645" s="39"/>
      <c r="AZ4645" s="117"/>
      <c r="BA4645" s="117"/>
      <c r="BK4645" s="39"/>
    </row>
    <row r="4646" spans="1:63" x14ac:dyDescent="0.25">
      <c r="A4646" s="92"/>
      <c r="B4646" s="93"/>
      <c r="C4646" s="93"/>
      <c r="D4646" s="92"/>
      <c r="E4646" s="92"/>
      <c r="F4646" s="92"/>
      <c r="G4646" s="92"/>
      <c r="H4646" s="92"/>
      <c r="I4646" s="92"/>
      <c r="J4646" s="92"/>
      <c r="K4646" s="92"/>
      <c r="L4646" s="92"/>
      <c r="M4646" s="92"/>
      <c r="N4646" s="94"/>
      <c r="AG4646" s="107"/>
      <c r="AH4646" s="107"/>
      <c r="AI4646" s="107"/>
      <c r="AJ4646" s="107"/>
      <c r="AK4646" s="107"/>
      <c r="AL4646" s="107"/>
      <c r="AM4646" s="107"/>
      <c r="AN4646" s="107"/>
      <c r="AO4646" s="107"/>
      <c r="AP4646" s="107"/>
      <c r="AQ4646" s="107"/>
      <c r="AR4646" s="107"/>
      <c r="AS4646" s="107"/>
      <c r="AT4646" s="107"/>
      <c r="BA4646" s="117"/>
    </row>
    <row r="4647" spans="1:63" x14ac:dyDescent="0.25">
      <c r="A4647" s="92"/>
      <c r="B4647" s="92"/>
      <c r="C4647" s="92"/>
      <c r="D4647" s="92"/>
      <c r="E4647" s="92"/>
      <c r="F4647" s="92"/>
      <c r="G4647" s="92"/>
      <c r="H4647" s="92"/>
      <c r="I4647" s="92"/>
      <c r="J4647" s="92"/>
      <c r="K4647" s="92"/>
      <c r="L4647" s="92"/>
      <c r="M4647" s="92"/>
      <c r="N4647" s="92"/>
      <c r="AG4647" s="107"/>
      <c r="AH4647" s="117"/>
      <c r="AI4647" s="117"/>
      <c r="AJ4647" s="107"/>
      <c r="AK4647" s="107"/>
      <c r="AL4647" s="107"/>
      <c r="AM4647" s="107"/>
      <c r="AN4647" s="107"/>
      <c r="AO4647" s="107"/>
      <c r="AP4647" s="107"/>
      <c r="AQ4647" s="107"/>
      <c r="AR4647" s="107"/>
      <c r="AS4647" s="107"/>
      <c r="AT4647" s="39"/>
    </row>
    <row r="4648" spans="1:63" x14ac:dyDescent="0.25">
      <c r="A4648" s="92"/>
      <c r="B4648" s="92"/>
      <c r="C4648" s="92"/>
      <c r="D4648" s="92"/>
      <c r="E4648" s="92"/>
      <c r="F4648" s="92"/>
      <c r="G4648" s="92"/>
      <c r="H4648" s="92"/>
      <c r="I4648" s="92"/>
      <c r="J4648" s="92"/>
      <c r="K4648" s="92"/>
      <c r="L4648" s="92"/>
      <c r="M4648" s="92"/>
      <c r="N4648" s="92"/>
      <c r="AG4648" s="107"/>
      <c r="AH4648" s="107"/>
      <c r="AI4648" s="107"/>
      <c r="AJ4648" s="107"/>
      <c r="AK4648" s="107"/>
      <c r="AL4648" s="107"/>
      <c r="AM4648" s="107"/>
      <c r="AN4648" s="107"/>
      <c r="AO4648" s="107"/>
      <c r="AP4648" s="107"/>
      <c r="AQ4648" s="107"/>
      <c r="AR4648" s="107"/>
      <c r="AS4648" s="107"/>
      <c r="AT4648" s="107"/>
      <c r="AZ4648" s="117"/>
      <c r="BK4648" s="39"/>
    </row>
    <row r="4649" spans="1:63" x14ac:dyDescent="0.25">
      <c r="A4649" s="92"/>
      <c r="B4649" s="93"/>
      <c r="C4649" s="93"/>
      <c r="D4649" s="92"/>
      <c r="E4649" s="92"/>
      <c r="F4649" s="92"/>
      <c r="G4649" s="92"/>
      <c r="H4649" s="92"/>
      <c r="I4649" s="92"/>
      <c r="J4649" s="92"/>
      <c r="K4649" s="92"/>
      <c r="L4649" s="92"/>
      <c r="M4649" s="92"/>
      <c r="N4649" s="94"/>
      <c r="AG4649" s="107"/>
      <c r="AH4649" s="107"/>
      <c r="AI4649" s="107"/>
      <c r="AJ4649" s="107"/>
      <c r="AK4649" s="107"/>
      <c r="AL4649" s="107"/>
      <c r="AM4649" s="107"/>
      <c r="AN4649" s="107"/>
      <c r="AO4649" s="107"/>
      <c r="AP4649" s="107"/>
      <c r="AQ4649" s="107"/>
      <c r="AR4649" s="107"/>
      <c r="AS4649" s="107"/>
      <c r="AT4649" s="107"/>
    </row>
    <row r="4650" spans="1:63" x14ac:dyDescent="0.25">
      <c r="A4650" s="92"/>
      <c r="B4650" s="92"/>
      <c r="C4650" s="92"/>
      <c r="D4650" s="92"/>
      <c r="E4650" s="92"/>
      <c r="F4650" s="92"/>
      <c r="G4650" s="92"/>
      <c r="H4650" s="92"/>
      <c r="I4650" s="92"/>
      <c r="J4650" s="92"/>
      <c r="K4650" s="92"/>
      <c r="L4650" s="92"/>
      <c r="M4650" s="92"/>
      <c r="N4650" s="92"/>
      <c r="AG4650" s="107"/>
      <c r="AH4650" s="117"/>
      <c r="AI4650" s="117"/>
      <c r="AJ4650" s="107"/>
      <c r="AK4650" s="107"/>
      <c r="AL4650" s="107"/>
      <c r="AM4650" s="107"/>
      <c r="AN4650" s="107"/>
      <c r="AO4650" s="107"/>
      <c r="AP4650" s="107"/>
      <c r="AQ4650" s="107"/>
      <c r="AR4650" s="107"/>
      <c r="AS4650" s="107"/>
      <c r="AT4650" s="39"/>
    </row>
    <row r="4651" spans="1:63" x14ac:dyDescent="0.25">
      <c r="A4651" s="92"/>
      <c r="B4651" s="92"/>
      <c r="C4651" s="92"/>
      <c r="D4651" s="92"/>
      <c r="E4651" s="92"/>
      <c r="F4651" s="92"/>
      <c r="G4651" s="92"/>
      <c r="H4651" s="92"/>
      <c r="I4651" s="92"/>
      <c r="J4651" s="92"/>
      <c r="K4651" s="92"/>
      <c r="L4651" s="92"/>
      <c r="M4651" s="92"/>
      <c r="N4651" s="92"/>
      <c r="AG4651" s="107"/>
      <c r="AH4651" s="117"/>
      <c r="AI4651" s="117"/>
      <c r="AJ4651" s="107"/>
      <c r="AK4651" s="107"/>
      <c r="AL4651" s="107"/>
      <c r="AM4651" s="107"/>
      <c r="AN4651" s="107"/>
      <c r="AO4651" s="107"/>
      <c r="AP4651" s="107"/>
      <c r="AQ4651" s="107"/>
      <c r="AR4651" s="107"/>
      <c r="AS4651" s="107"/>
      <c r="AT4651" s="39"/>
    </row>
    <row r="4652" spans="1:63" x14ac:dyDescent="0.25">
      <c r="A4652" s="92"/>
      <c r="B4652" s="93"/>
      <c r="C4652" s="93"/>
      <c r="D4652" s="92"/>
      <c r="E4652" s="92"/>
      <c r="F4652" s="92"/>
      <c r="G4652" s="92"/>
      <c r="H4652" s="92"/>
      <c r="I4652" s="92"/>
      <c r="J4652" s="92"/>
      <c r="K4652" s="92"/>
      <c r="L4652" s="92"/>
      <c r="M4652" s="92"/>
      <c r="N4652" s="94"/>
      <c r="AG4652" s="107"/>
      <c r="AH4652" s="117"/>
      <c r="AI4652" s="117"/>
      <c r="AJ4652" s="107"/>
      <c r="AK4652" s="107"/>
      <c r="AL4652" s="107"/>
      <c r="AM4652" s="107"/>
      <c r="AN4652" s="107"/>
      <c r="AO4652" s="107"/>
      <c r="AP4652" s="107"/>
      <c r="AQ4652" s="107"/>
      <c r="AR4652" s="107"/>
      <c r="AS4652" s="107"/>
      <c r="AT4652" s="39"/>
      <c r="AZ4652" s="117"/>
      <c r="BK4652" s="39"/>
    </row>
    <row r="4653" spans="1:63" x14ac:dyDescent="0.25">
      <c r="A4653" s="92"/>
      <c r="B4653" s="92"/>
      <c r="C4653" s="92"/>
      <c r="D4653" s="92"/>
      <c r="E4653" s="92"/>
      <c r="F4653" s="92"/>
      <c r="G4653" s="92"/>
      <c r="H4653" s="92"/>
      <c r="I4653" s="92"/>
      <c r="J4653" s="92"/>
      <c r="K4653" s="92"/>
      <c r="L4653" s="92"/>
      <c r="M4653" s="92"/>
      <c r="N4653" s="92"/>
      <c r="AG4653" s="107"/>
      <c r="AH4653" s="107"/>
      <c r="AI4653" s="107"/>
      <c r="AJ4653" s="107"/>
      <c r="AK4653" s="107"/>
      <c r="AL4653" s="107"/>
      <c r="AM4653" s="107"/>
      <c r="AN4653" s="107"/>
      <c r="AO4653" s="107"/>
      <c r="AP4653" s="107"/>
      <c r="AQ4653" s="107"/>
      <c r="AR4653" s="107"/>
      <c r="AS4653" s="107"/>
      <c r="AT4653" s="107"/>
    </row>
    <row r="4654" spans="1:63" x14ac:dyDescent="0.25">
      <c r="A4654" s="92"/>
      <c r="B4654" s="93"/>
      <c r="C4654" s="93"/>
      <c r="D4654" s="93"/>
      <c r="E4654" s="92"/>
      <c r="F4654" s="92"/>
      <c r="G4654" s="92"/>
      <c r="H4654" s="92"/>
      <c r="I4654" s="92"/>
      <c r="J4654" s="92"/>
      <c r="K4654" s="92"/>
      <c r="L4654" s="92"/>
      <c r="M4654" s="92"/>
      <c r="N4654" s="94"/>
      <c r="AG4654" s="107"/>
      <c r="AH4654" s="117"/>
      <c r="AI4654" s="117"/>
      <c r="AJ4654" s="117"/>
      <c r="AK4654" s="107"/>
      <c r="AL4654" s="107"/>
      <c r="AM4654" s="107"/>
      <c r="AN4654" s="107"/>
      <c r="AO4654" s="107"/>
      <c r="AP4654" s="107"/>
      <c r="AQ4654" s="107"/>
      <c r="AR4654" s="107"/>
      <c r="AS4654" s="107"/>
      <c r="AT4654" s="39"/>
    </row>
    <row r="4655" spans="1:63" x14ac:dyDescent="0.25">
      <c r="A4655" s="92"/>
      <c r="B4655" s="93"/>
      <c r="C4655" s="93"/>
      <c r="D4655" s="92"/>
      <c r="E4655" s="92"/>
      <c r="F4655" s="92"/>
      <c r="G4655" s="92"/>
      <c r="H4655" s="92"/>
      <c r="I4655" s="92"/>
      <c r="J4655" s="92"/>
      <c r="K4655" s="92"/>
      <c r="L4655" s="92"/>
      <c r="M4655" s="92"/>
      <c r="N4655" s="94"/>
      <c r="AG4655" s="107"/>
      <c r="AH4655" s="107"/>
      <c r="AI4655" s="107"/>
      <c r="AJ4655" s="117"/>
      <c r="AK4655" s="107"/>
      <c r="AL4655" s="107"/>
      <c r="AM4655" s="107"/>
      <c r="AN4655" s="107"/>
      <c r="AO4655" s="107"/>
      <c r="AP4655" s="107"/>
      <c r="AQ4655" s="107"/>
      <c r="AR4655" s="107"/>
      <c r="AS4655" s="107"/>
      <c r="AT4655" s="107"/>
    </row>
    <row r="4656" spans="1:63" x14ac:dyDescent="0.25">
      <c r="A4656" s="92"/>
      <c r="B4656" s="92"/>
      <c r="C4656" s="92"/>
      <c r="D4656" s="92"/>
      <c r="E4656" s="92"/>
      <c r="F4656" s="92"/>
      <c r="G4656" s="92"/>
      <c r="H4656" s="92"/>
      <c r="I4656" s="92"/>
      <c r="J4656" s="92"/>
      <c r="K4656" s="92"/>
      <c r="L4656" s="92"/>
      <c r="M4656" s="92"/>
      <c r="N4656" s="92"/>
      <c r="AG4656" s="107"/>
      <c r="AH4656" s="107"/>
      <c r="AI4656" s="107"/>
      <c r="AJ4656" s="117"/>
      <c r="AK4656" s="107"/>
      <c r="AL4656" s="107"/>
      <c r="AM4656" s="107"/>
      <c r="AN4656" s="107"/>
      <c r="AO4656" s="107"/>
      <c r="AP4656" s="107"/>
      <c r="AQ4656" s="107"/>
      <c r="AR4656" s="107"/>
      <c r="AS4656" s="107"/>
      <c r="AT4656" s="107"/>
    </row>
    <row r="4657" spans="1:63" x14ac:dyDescent="0.25">
      <c r="A4657" s="92"/>
      <c r="B4657" s="93"/>
      <c r="C4657" s="93"/>
      <c r="D4657" s="92"/>
      <c r="E4657" s="92"/>
      <c r="F4657" s="92"/>
      <c r="G4657" s="92"/>
      <c r="H4657" s="92"/>
      <c r="I4657" s="92"/>
      <c r="J4657" s="92"/>
      <c r="K4657" s="92"/>
      <c r="L4657" s="92"/>
      <c r="M4657" s="92"/>
      <c r="N4657" s="94"/>
      <c r="AG4657" s="107"/>
      <c r="AH4657" s="107"/>
      <c r="AI4657" s="107"/>
      <c r="AJ4657" s="117"/>
      <c r="AK4657" s="107"/>
      <c r="AL4657" s="107"/>
      <c r="AM4657" s="107"/>
      <c r="AN4657" s="107"/>
      <c r="AO4657" s="107"/>
      <c r="AP4657" s="107"/>
      <c r="AQ4657" s="107"/>
      <c r="AR4657" s="107"/>
      <c r="AS4657" s="107"/>
      <c r="AT4657" s="107"/>
      <c r="AZ4657" s="117"/>
      <c r="BK4657" s="39"/>
    </row>
    <row r="4658" spans="1:63" x14ac:dyDescent="0.25">
      <c r="A4658" s="92"/>
      <c r="B4658" s="92"/>
      <c r="C4658" s="92"/>
      <c r="D4658" s="92"/>
      <c r="E4658" s="92"/>
      <c r="F4658" s="92"/>
      <c r="G4658" s="92"/>
      <c r="H4658" s="92"/>
      <c r="I4658" s="92"/>
      <c r="J4658" s="92"/>
      <c r="K4658" s="92"/>
      <c r="L4658" s="92"/>
      <c r="M4658" s="92"/>
      <c r="N4658" s="92"/>
      <c r="AG4658" s="107"/>
      <c r="AH4658" s="107"/>
      <c r="AI4658" s="107"/>
      <c r="AJ4658" s="117"/>
      <c r="AK4658" s="107"/>
      <c r="AL4658" s="107"/>
      <c r="AM4658" s="107"/>
      <c r="AN4658" s="107"/>
      <c r="AO4658" s="107"/>
      <c r="AP4658" s="107"/>
      <c r="AQ4658" s="107"/>
      <c r="AR4658" s="107"/>
      <c r="AS4658" s="107"/>
      <c r="AT4658" s="107"/>
      <c r="AZ4658" s="117"/>
      <c r="BK4658" s="39"/>
    </row>
    <row r="4659" spans="1:63" x14ac:dyDescent="0.25">
      <c r="A4659" s="92"/>
      <c r="B4659" s="92"/>
      <c r="C4659" s="92"/>
      <c r="D4659" s="92"/>
      <c r="E4659" s="92"/>
      <c r="F4659" s="92"/>
      <c r="G4659" s="92"/>
      <c r="H4659" s="92"/>
      <c r="I4659" s="92"/>
      <c r="J4659" s="92"/>
      <c r="K4659" s="92"/>
      <c r="L4659" s="92"/>
      <c r="M4659" s="92"/>
      <c r="N4659" s="92"/>
      <c r="AG4659" s="107"/>
      <c r="AH4659" s="107"/>
      <c r="AI4659" s="107"/>
      <c r="AJ4659" s="107"/>
      <c r="AK4659" s="107"/>
      <c r="AL4659" s="107"/>
      <c r="AM4659" s="107"/>
      <c r="AN4659" s="107"/>
      <c r="AO4659" s="107"/>
      <c r="AP4659" s="107"/>
      <c r="AQ4659" s="107"/>
      <c r="AR4659" s="107"/>
      <c r="AS4659" s="107"/>
      <c r="AT4659" s="107"/>
      <c r="AZ4659" s="117"/>
      <c r="BA4659" s="117"/>
      <c r="BK4659" s="39"/>
    </row>
    <row r="4660" spans="1:63" x14ac:dyDescent="0.25">
      <c r="A4660" s="92"/>
      <c r="B4660" s="92"/>
      <c r="C4660" s="92"/>
      <c r="D4660" s="92"/>
      <c r="E4660" s="92"/>
      <c r="F4660" s="92"/>
      <c r="G4660" s="92"/>
      <c r="H4660" s="92"/>
      <c r="I4660" s="92"/>
      <c r="J4660" s="92"/>
      <c r="K4660" s="92"/>
      <c r="L4660" s="92"/>
      <c r="M4660" s="92"/>
      <c r="N4660" s="92"/>
      <c r="AG4660" s="107"/>
      <c r="AH4660" s="117"/>
      <c r="AI4660" s="117"/>
      <c r="AJ4660" s="107"/>
      <c r="AK4660" s="107"/>
      <c r="AL4660" s="107"/>
      <c r="AM4660" s="107"/>
      <c r="AN4660" s="107"/>
      <c r="AO4660" s="107"/>
      <c r="AP4660" s="107"/>
      <c r="AQ4660" s="107"/>
      <c r="AR4660" s="107"/>
      <c r="AS4660" s="107"/>
      <c r="AT4660" s="39"/>
      <c r="AZ4660" s="117"/>
      <c r="BK4660" s="39"/>
    </row>
    <row r="4661" spans="1:63" x14ac:dyDescent="0.25">
      <c r="A4661" s="92"/>
      <c r="B4661" s="92"/>
      <c r="C4661" s="92"/>
      <c r="D4661" s="92"/>
      <c r="E4661" s="92"/>
      <c r="F4661" s="92"/>
      <c r="G4661" s="92"/>
      <c r="H4661" s="92"/>
      <c r="I4661" s="92"/>
      <c r="J4661" s="92"/>
      <c r="K4661" s="92"/>
      <c r="L4661" s="92"/>
      <c r="M4661" s="92"/>
      <c r="N4661" s="92"/>
      <c r="AG4661" s="107"/>
      <c r="AH4661" s="107"/>
      <c r="AI4661" s="107"/>
      <c r="AJ4661" s="107"/>
      <c r="AK4661" s="107"/>
      <c r="AL4661" s="107"/>
      <c r="AM4661" s="107"/>
      <c r="AN4661" s="107"/>
      <c r="AO4661" s="107"/>
      <c r="AP4661" s="107"/>
      <c r="AQ4661" s="107"/>
      <c r="AR4661" s="107"/>
      <c r="AS4661" s="107"/>
      <c r="AT4661" s="107"/>
      <c r="AZ4661" s="117"/>
      <c r="BA4661" s="117"/>
      <c r="BK4661" s="39"/>
    </row>
    <row r="4662" spans="1:63" x14ac:dyDescent="0.25">
      <c r="A4662" s="92"/>
      <c r="B4662" s="93"/>
      <c r="C4662" s="93"/>
      <c r="D4662" s="93"/>
      <c r="E4662" s="92"/>
      <c r="F4662" s="92"/>
      <c r="G4662" s="92"/>
      <c r="H4662" s="92"/>
      <c r="I4662" s="92"/>
      <c r="J4662" s="92"/>
      <c r="K4662" s="92"/>
      <c r="L4662" s="92"/>
      <c r="M4662" s="92"/>
      <c r="N4662" s="94"/>
      <c r="AG4662" s="107"/>
      <c r="AH4662" s="107"/>
      <c r="AI4662" s="107"/>
      <c r="AJ4662" s="107"/>
      <c r="AK4662" s="107"/>
      <c r="AL4662" s="107"/>
      <c r="AM4662" s="107"/>
      <c r="AN4662" s="107"/>
      <c r="AO4662" s="107"/>
      <c r="AP4662" s="107"/>
      <c r="AQ4662" s="107"/>
      <c r="AR4662" s="107"/>
      <c r="AS4662" s="107"/>
      <c r="AT4662" s="107"/>
    </row>
    <row r="4663" spans="1:63" x14ac:dyDescent="0.25">
      <c r="A4663" s="92"/>
      <c r="B4663" s="92"/>
      <c r="C4663" s="92"/>
      <c r="D4663" s="93"/>
      <c r="E4663" s="92"/>
      <c r="F4663" s="92"/>
      <c r="G4663" s="92"/>
      <c r="H4663" s="92"/>
      <c r="I4663" s="92"/>
      <c r="J4663" s="92"/>
      <c r="K4663" s="92"/>
      <c r="L4663" s="92"/>
      <c r="M4663" s="92"/>
      <c r="N4663" s="92"/>
      <c r="AG4663" s="107"/>
      <c r="AH4663" s="107"/>
      <c r="AI4663" s="107"/>
      <c r="AJ4663" s="107"/>
      <c r="AK4663" s="107"/>
      <c r="AL4663" s="107"/>
      <c r="AM4663" s="107"/>
      <c r="AN4663" s="107"/>
      <c r="AO4663" s="107"/>
      <c r="AP4663" s="107"/>
      <c r="AQ4663" s="107"/>
      <c r="AR4663" s="107"/>
      <c r="AS4663" s="107"/>
      <c r="AT4663" s="107"/>
      <c r="AZ4663" s="117"/>
      <c r="BK4663" s="39"/>
    </row>
    <row r="4664" spans="1:63" x14ac:dyDescent="0.25">
      <c r="A4664" s="92"/>
      <c r="B4664" s="93"/>
      <c r="C4664" s="93"/>
      <c r="D4664" s="92"/>
      <c r="E4664" s="92"/>
      <c r="F4664" s="92"/>
      <c r="G4664" s="92"/>
      <c r="H4664" s="92"/>
      <c r="I4664" s="92"/>
      <c r="J4664" s="92"/>
      <c r="K4664" s="92"/>
      <c r="L4664" s="92"/>
      <c r="M4664" s="92"/>
      <c r="N4664" s="94"/>
      <c r="AG4664" s="107"/>
      <c r="AH4664" s="107"/>
      <c r="AI4664" s="107"/>
      <c r="AJ4664" s="107"/>
      <c r="AK4664" s="107"/>
      <c r="AL4664" s="107"/>
      <c r="AM4664" s="107"/>
      <c r="AN4664" s="107"/>
      <c r="AO4664" s="107"/>
      <c r="AP4664" s="107"/>
      <c r="AQ4664" s="107"/>
      <c r="AR4664" s="107"/>
      <c r="AS4664" s="107"/>
      <c r="AT4664" s="107"/>
      <c r="AZ4664" s="117"/>
      <c r="BA4664" s="117"/>
      <c r="BK4664" s="39"/>
    </row>
    <row r="4665" spans="1:63" x14ac:dyDescent="0.25">
      <c r="A4665" s="92"/>
      <c r="B4665" s="92"/>
      <c r="C4665" s="92"/>
      <c r="D4665" s="92"/>
      <c r="E4665" s="92"/>
      <c r="F4665" s="92"/>
      <c r="G4665" s="92"/>
      <c r="H4665" s="92"/>
      <c r="I4665" s="92"/>
      <c r="J4665" s="92"/>
      <c r="K4665" s="92"/>
      <c r="L4665" s="92"/>
      <c r="M4665" s="92"/>
      <c r="N4665" s="92"/>
      <c r="AG4665" s="107"/>
      <c r="AH4665" s="107"/>
      <c r="AI4665" s="107"/>
      <c r="AJ4665" s="107"/>
      <c r="AK4665" s="107"/>
      <c r="AL4665" s="107"/>
      <c r="AM4665" s="107"/>
      <c r="AN4665" s="107"/>
      <c r="AO4665" s="107"/>
      <c r="AP4665" s="107"/>
      <c r="AQ4665" s="107"/>
      <c r="AR4665" s="107"/>
      <c r="AS4665" s="107"/>
      <c r="AT4665" s="107"/>
      <c r="AZ4665" s="117"/>
      <c r="BK4665" s="39"/>
    </row>
    <row r="4666" spans="1:63" x14ac:dyDescent="0.25">
      <c r="A4666" s="92"/>
      <c r="B4666" s="92"/>
      <c r="C4666" s="92"/>
      <c r="D4666" s="92"/>
      <c r="E4666" s="92"/>
      <c r="F4666" s="92"/>
      <c r="G4666" s="92"/>
      <c r="H4666" s="92"/>
      <c r="I4666" s="92"/>
      <c r="J4666" s="92"/>
      <c r="K4666" s="92"/>
      <c r="L4666" s="92"/>
      <c r="M4666" s="92"/>
      <c r="N4666" s="92"/>
      <c r="AG4666" s="107"/>
      <c r="AH4666" s="117"/>
      <c r="AI4666" s="117"/>
      <c r="AJ4666" s="107"/>
      <c r="AK4666" s="107"/>
      <c r="AL4666" s="107"/>
      <c r="AM4666" s="107"/>
      <c r="AN4666" s="107"/>
      <c r="AO4666" s="107"/>
      <c r="AP4666" s="107"/>
      <c r="AQ4666" s="107"/>
      <c r="AR4666" s="107"/>
      <c r="AS4666" s="107"/>
      <c r="AT4666" s="39"/>
      <c r="AZ4666" s="117"/>
      <c r="BA4666" s="117"/>
      <c r="BK4666" s="39"/>
    </row>
    <row r="4667" spans="1:63" x14ac:dyDescent="0.25">
      <c r="A4667" s="92"/>
      <c r="B4667" s="92"/>
      <c r="C4667" s="92"/>
      <c r="D4667" s="92"/>
      <c r="E4667" s="92"/>
      <c r="F4667" s="92"/>
      <c r="G4667" s="92"/>
      <c r="H4667" s="92"/>
      <c r="I4667" s="92"/>
      <c r="J4667" s="92"/>
      <c r="K4667" s="92"/>
      <c r="L4667" s="92"/>
      <c r="M4667" s="92"/>
      <c r="N4667" s="92"/>
      <c r="AG4667" s="107"/>
      <c r="AH4667" s="107"/>
      <c r="AI4667" s="107"/>
      <c r="AJ4667" s="107"/>
      <c r="AK4667" s="107"/>
      <c r="AL4667" s="107"/>
      <c r="AM4667" s="107"/>
      <c r="AN4667" s="107"/>
      <c r="AO4667" s="107"/>
      <c r="AP4667" s="107"/>
      <c r="AQ4667" s="107"/>
      <c r="AR4667" s="107"/>
      <c r="AS4667" s="107"/>
      <c r="AT4667" s="107"/>
      <c r="BA4667" s="117"/>
    </row>
    <row r="4668" spans="1:63" x14ac:dyDescent="0.25">
      <c r="A4668" s="92"/>
      <c r="B4668" s="93"/>
      <c r="C4668" s="93"/>
      <c r="D4668" s="92"/>
      <c r="E4668" s="92"/>
      <c r="F4668" s="92"/>
      <c r="G4668" s="92"/>
      <c r="H4668" s="92"/>
      <c r="I4668" s="92"/>
      <c r="J4668" s="92"/>
      <c r="K4668" s="92"/>
      <c r="L4668" s="92"/>
      <c r="M4668" s="92"/>
      <c r="N4668" s="94"/>
      <c r="AG4668" s="107"/>
      <c r="AH4668" s="117"/>
      <c r="AI4668" s="117"/>
      <c r="AJ4668" s="107"/>
      <c r="AK4668" s="107"/>
      <c r="AL4668" s="107"/>
      <c r="AM4668" s="107"/>
      <c r="AN4668" s="107"/>
      <c r="AO4668" s="107"/>
      <c r="AP4668" s="107"/>
      <c r="AQ4668" s="107"/>
      <c r="AR4668" s="107"/>
      <c r="AS4668" s="107"/>
      <c r="AT4668" s="39"/>
      <c r="AZ4668" s="117"/>
      <c r="BA4668" s="117"/>
      <c r="BK4668" s="39"/>
    </row>
    <row r="4669" spans="1:63" x14ac:dyDescent="0.25">
      <c r="A4669" s="92"/>
      <c r="B4669" s="92"/>
      <c r="C4669" s="92"/>
      <c r="D4669" s="92"/>
      <c r="E4669" s="92"/>
      <c r="F4669" s="92"/>
      <c r="G4669" s="92"/>
      <c r="H4669" s="92"/>
      <c r="I4669" s="92"/>
      <c r="J4669" s="92"/>
      <c r="K4669" s="92"/>
      <c r="L4669" s="92"/>
      <c r="M4669" s="92"/>
      <c r="N4669" s="92"/>
      <c r="AG4669" s="107"/>
      <c r="AH4669" s="107"/>
      <c r="AI4669" s="107"/>
      <c r="AJ4669" s="107"/>
      <c r="AK4669" s="107"/>
      <c r="AL4669" s="107"/>
      <c r="AM4669" s="107"/>
      <c r="AN4669" s="107"/>
      <c r="AO4669" s="107"/>
      <c r="AP4669" s="107"/>
      <c r="AQ4669" s="107"/>
      <c r="AR4669" s="107"/>
      <c r="AS4669" s="107"/>
      <c r="AT4669" s="107"/>
      <c r="AZ4669" s="117"/>
      <c r="BK4669" s="39"/>
    </row>
    <row r="4670" spans="1:63" x14ac:dyDescent="0.25">
      <c r="A4670" s="92"/>
      <c r="B4670" s="92"/>
      <c r="C4670" s="92"/>
      <c r="D4670" s="92"/>
      <c r="E4670" s="92"/>
      <c r="F4670" s="92"/>
      <c r="G4670" s="92"/>
      <c r="H4670" s="92"/>
      <c r="I4670" s="92"/>
      <c r="J4670" s="92"/>
      <c r="K4670" s="92"/>
      <c r="L4670" s="92"/>
      <c r="M4670" s="92"/>
      <c r="N4670" s="92"/>
      <c r="AG4670" s="107"/>
      <c r="AH4670" s="117"/>
      <c r="AI4670" s="117"/>
      <c r="AJ4670" s="107"/>
      <c r="AK4670" s="107"/>
      <c r="AL4670" s="107"/>
      <c r="AM4670" s="107"/>
      <c r="AN4670" s="107"/>
      <c r="AO4670" s="107"/>
      <c r="AP4670" s="107"/>
      <c r="AQ4670" s="107"/>
      <c r="AR4670" s="107"/>
      <c r="AS4670" s="107"/>
      <c r="AT4670" s="39"/>
      <c r="AZ4670" s="117"/>
      <c r="BA4670" s="117"/>
      <c r="BK4670" s="39"/>
    </row>
    <row r="4671" spans="1:63" x14ac:dyDescent="0.25">
      <c r="A4671" s="92"/>
      <c r="B4671" s="92"/>
      <c r="C4671" s="92"/>
      <c r="D4671" s="92"/>
      <c r="E4671" s="92"/>
      <c r="F4671" s="92"/>
      <c r="G4671" s="92"/>
      <c r="H4671" s="92"/>
      <c r="I4671" s="92"/>
      <c r="J4671" s="92"/>
      <c r="K4671" s="92"/>
      <c r="L4671" s="92"/>
      <c r="M4671" s="92"/>
      <c r="N4671" s="92"/>
      <c r="AG4671" s="107"/>
      <c r="AH4671" s="107"/>
      <c r="AI4671" s="107"/>
      <c r="AJ4671" s="107"/>
      <c r="AK4671" s="107"/>
      <c r="AL4671" s="107"/>
      <c r="AM4671" s="107"/>
      <c r="AN4671" s="107"/>
      <c r="AO4671" s="107"/>
      <c r="AP4671" s="107"/>
      <c r="AQ4671" s="107"/>
      <c r="AR4671" s="107"/>
      <c r="AS4671" s="107"/>
      <c r="AT4671" s="107"/>
      <c r="BA4671" s="117"/>
    </row>
    <row r="4672" spans="1:63" x14ac:dyDescent="0.25">
      <c r="A4672" s="92"/>
      <c r="B4672" s="92"/>
      <c r="C4672" s="92"/>
      <c r="D4672" s="92"/>
      <c r="E4672" s="92"/>
      <c r="F4672" s="92"/>
      <c r="G4672" s="92"/>
      <c r="H4672" s="92"/>
      <c r="I4672" s="92"/>
      <c r="J4672" s="92"/>
      <c r="K4672" s="92"/>
      <c r="L4672" s="92"/>
      <c r="M4672" s="92"/>
      <c r="N4672" s="92"/>
      <c r="AG4672" s="107"/>
      <c r="AH4672" s="117"/>
      <c r="AI4672" s="117"/>
      <c r="AJ4672" s="107"/>
      <c r="AK4672" s="107"/>
      <c r="AL4672" s="107"/>
      <c r="AM4672" s="107"/>
      <c r="AN4672" s="107"/>
      <c r="AO4672" s="107"/>
      <c r="AP4672" s="107"/>
      <c r="AQ4672" s="107"/>
      <c r="AR4672" s="107"/>
      <c r="AS4672" s="107"/>
      <c r="AT4672" s="39"/>
      <c r="AZ4672" s="117"/>
      <c r="BA4672" s="117"/>
      <c r="BK4672" s="39"/>
    </row>
    <row r="4673" spans="1:63" x14ac:dyDescent="0.25">
      <c r="A4673" s="92"/>
      <c r="B4673" s="93"/>
      <c r="C4673" s="93"/>
      <c r="D4673" s="92"/>
      <c r="E4673" s="92"/>
      <c r="F4673" s="92"/>
      <c r="G4673" s="92"/>
      <c r="H4673" s="92"/>
      <c r="I4673" s="92"/>
      <c r="J4673" s="92"/>
      <c r="K4673" s="92"/>
      <c r="L4673" s="92"/>
      <c r="M4673" s="92"/>
      <c r="N4673" s="94"/>
      <c r="AG4673" s="107"/>
      <c r="AH4673" s="117"/>
      <c r="AI4673" s="117"/>
      <c r="AJ4673" s="117"/>
      <c r="AK4673" s="107"/>
      <c r="AL4673" s="107"/>
      <c r="AM4673" s="107"/>
      <c r="AN4673" s="107"/>
      <c r="AO4673" s="107"/>
      <c r="AP4673" s="107"/>
      <c r="AQ4673" s="107"/>
      <c r="AR4673" s="107"/>
      <c r="AS4673" s="107"/>
      <c r="AT4673" s="39"/>
    </row>
    <row r="4674" spans="1:63" x14ac:dyDescent="0.25">
      <c r="A4674" s="92"/>
      <c r="B4674" s="93"/>
      <c r="C4674" s="93"/>
      <c r="D4674" s="92"/>
      <c r="E4674" s="92"/>
      <c r="F4674" s="92"/>
      <c r="G4674" s="92"/>
      <c r="H4674" s="92"/>
      <c r="I4674" s="92"/>
      <c r="J4674" s="92"/>
      <c r="K4674" s="92"/>
      <c r="L4674" s="92"/>
      <c r="M4674" s="92"/>
      <c r="N4674" s="94"/>
      <c r="AG4674" s="107"/>
      <c r="AH4674" s="117"/>
      <c r="AI4674" s="117"/>
      <c r="AJ4674" s="107"/>
      <c r="AK4674" s="107"/>
      <c r="AL4674" s="107"/>
      <c r="AM4674" s="107"/>
      <c r="AN4674" s="107"/>
      <c r="AO4674" s="107"/>
      <c r="AP4674" s="107"/>
      <c r="AQ4674" s="107"/>
      <c r="AR4674" s="107"/>
      <c r="AS4674" s="107"/>
      <c r="AT4674" s="39"/>
    </row>
    <row r="4675" spans="1:63" x14ac:dyDescent="0.25">
      <c r="A4675" s="92"/>
      <c r="B4675" s="93"/>
      <c r="C4675" s="93"/>
      <c r="D4675" s="93"/>
      <c r="E4675" s="92"/>
      <c r="F4675" s="92"/>
      <c r="G4675" s="92"/>
      <c r="H4675" s="92"/>
      <c r="I4675" s="92"/>
      <c r="J4675" s="92"/>
      <c r="K4675" s="92"/>
      <c r="L4675" s="92"/>
      <c r="M4675" s="92"/>
      <c r="N4675" s="94"/>
      <c r="AG4675" s="107"/>
      <c r="AH4675" s="117"/>
      <c r="AI4675" s="117"/>
      <c r="AJ4675" s="107"/>
      <c r="AK4675" s="107"/>
      <c r="AL4675" s="107"/>
      <c r="AM4675" s="107"/>
      <c r="AN4675" s="107"/>
      <c r="AO4675" s="107"/>
      <c r="AP4675" s="107"/>
      <c r="AQ4675" s="107"/>
      <c r="AR4675" s="107"/>
      <c r="AS4675" s="107"/>
      <c r="AT4675" s="39"/>
    </row>
    <row r="4676" spans="1:63" x14ac:dyDescent="0.25">
      <c r="A4676" s="92"/>
      <c r="B4676" s="93"/>
      <c r="C4676" s="93"/>
      <c r="D4676" s="92"/>
      <c r="E4676" s="92"/>
      <c r="F4676" s="92"/>
      <c r="G4676" s="92"/>
      <c r="H4676" s="92"/>
      <c r="I4676" s="92"/>
      <c r="J4676" s="92"/>
      <c r="K4676" s="92"/>
      <c r="L4676" s="92"/>
      <c r="M4676" s="92"/>
      <c r="N4676" s="94"/>
      <c r="AG4676" s="107"/>
      <c r="AH4676" s="117"/>
      <c r="AI4676" s="117"/>
      <c r="AJ4676" s="107"/>
      <c r="AK4676" s="107"/>
      <c r="AL4676" s="107"/>
      <c r="AM4676" s="107"/>
      <c r="AN4676" s="107"/>
      <c r="AO4676" s="107"/>
      <c r="AP4676" s="107"/>
      <c r="AQ4676" s="107"/>
      <c r="AR4676" s="107"/>
      <c r="AS4676" s="107"/>
      <c r="AT4676" s="39"/>
      <c r="AZ4676" s="117"/>
      <c r="BA4676" s="117"/>
      <c r="BK4676" s="39"/>
    </row>
    <row r="4677" spans="1:63" x14ac:dyDescent="0.25">
      <c r="A4677" s="92"/>
      <c r="B4677" s="93"/>
      <c r="C4677" s="93"/>
      <c r="D4677" s="93"/>
      <c r="E4677" s="92"/>
      <c r="F4677" s="92"/>
      <c r="G4677" s="92"/>
      <c r="H4677" s="92"/>
      <c r="I4677" s="92"/>
      <c r="J4677" s="92"/>
      <c r="K4677" s="92"/>
      <c r="L4677" s="92"/>
      <c r="M4677" s="92"/>
      <c r="N4677" s="94"/>
      <c r="AG4677" s="107"/>
      <c r="AH4677" s="117"/>
      <c r="AI4677" s="117"/>
      <c r="AJ4677" s="107"/>
      <c r="AK4677" s="107"/>
      <c r="AL4677" s="107"/>
      <c r="AM4677" s="107"/>
      <c r="AN4677" s="107"/>
      <c r="AO4677" s="107"/>
      <c r="AP4677" s="107"/>
      <c r="AQ4677" s="107"/>
      <c r="AR4677" s="107"/>
      <c r="AS4677" s="107"/>
      <c r="AT4677" s="39"/>
    </row>
    <row r="4678" spans="1:63" x14ac:dyDescent="0.25">
      <c r="A4678" s="92"/>
      <c r="B4678" s="92"/>
      <c r="C4678" s="92"/>
      <c r="D4678" s="92"/>
      <c r="E4678" s="92"/>
      <c r="F4678" s="92"/>
      <c r="G4678" s="92"/>
      <c r="H4678" s="92"/>
      <c r="I4678" s="92"/>
      <c r="J4678" s="92"/>
      <c r="K4678" s="92"/>
      <c r="L4678" s="92"/>
      <c r="M4678" s="92"/>
      <c r="N4678" s="92"/>
      <c r="AG4678" s="107"/>
      <c r="AH4678" s="107"/>
      <c r="AI4678" s="107"/>
      <c r="AJ4678" s="107"/>
      <c r="AK4678" s="107"/>
      <c r="AL4678" s="107"/>
      <c r="AM4678" s="107"/>
      <c r="AN4678" s="107"/>
      <c r="AO4678" s="107"/>
      <c r="AP4678" s="107"/>
      <c r="AQ4678" s="107"/>
      <c r="AR4678" s="107"/>
      <c r="AS4678" s="107"/>
      <c r="AT4678" s="107"/>
    </row>
    <row r="4679" spans="1:63" x14ac:dyDescent="0.25">
      <c r="A4679" s="92"/>
      <c r="B4679" s="93"/>
      <c r="C4679" s="93"/>
      <c r="D4679" s="92"/>
      <c r="E4679" s="92"/>
      <c r="F4679" s="92"/>
      <c r="G4679" s="92"/>
      <c r="H4679" s="92"/>
      <c r="I4679" s="92"/>
      <c r="J4679" s="92"/>
      <c r="K4679" s="92"/>
      <c r="L4679" s="92"/>
      <c r="M4679" s="92"/>
      <c r="N4679" s="94"/>
      <c r="AG4679" s="107"/>
      <c r="AH4679" s="107"/>
      <c r="AI4679" s="107"/>
      <c r="AJ4679" s="107"/>
      <c r="AK4679" s="107"/>
      <c r="AL4679" s="107"/>
      <c r="AM4679" s="107"/>
      <c r="AN4679" s="107"/>
      <c r="AO4679" s="107"/>
      <c r="AP4679" s="107"/>
      <c r="AQ4679" s="107"/>
      <c r="AR4679" s="107"/>
      <c r="AS4679" s="107"/>
      <c r="AT4679" s="107"/>
    </row>
    <row r="4680" spans="1:63" x14ac:dyDescent="0.25">
      <c r="A4680" s="92"/>
      <c r="B4680" s="93"/>
      <c r="C4680" s="93"/>
      <c r="D4680" s="93"/>
      <c r="E4680" s="92"/>
      <c r="F4680" s="92"/>
      <c r="G4680" s="92"/>
      <c r="H4680" s="92"/>
      <c r="I4680" s="92"/>
      <c r="J4680" s="92"/>
      <c r="K4680" s="92"/>
      <c r="L4680" s="92"/>
      <c r="M4680" s="92"/>
      <c r="N4680" s="94"/>
      <c r="AG4680" s="107"/>
      <c r="AH4680" s="107"/>
      <c r="AI4680" s="107"/>
      <c r="AJ4680" s="107"/>
      <c r="AK4680" s="107"/>
      <c r="AL4680" s="107"/>
      <c r="AM4680" s="107"/>
      <c r="AN4680" s="107"/>
      <c r="AO4680" s="107"/>
      <c r="AP4680" s="107"/>
      <c r="AQ4680" s="107"/>
      <c r="AR4680" s="107"/>
      <c r="AS4680" s="107"/>
      <c r="AT4680" s="107"/>
    </row>
    <row r="4681" spans="1:63" x14ac:dyDescent="0.25">
      <c r="A4681" s="92"/>
      <c r="B4681" s="93"/>
      <c r="C4681" s="93"/>
      <c r="D4681" s="92"/>
      <c r="E4681" s="92"/>
      <c r="F4681" s="92"/>
      <c r="G4681" s="92"/>
      <c r="H4681" s="92"/>
      <c r="I4681" s="92"/>
      <c r="J4681" s="92"/>
      <c r="K4681" s="92"/>
      <c r="L4681" s="92"/>
      <c r="M4681" s="92"/>
      <c r="N4681" s="94"/>
      <c r="AG4681" s="107"/>
      <c r="AH4681" s="107"/>
      <c r="AI4681" s="107"/>
      <c r="AJ4681" s="107"/>
      <c r="AK4681" s="107"/>
      <c r="AL4681" s="107"/>
      <c r="AM4681" s="107"/>
      <c r="AN4681" s="107"/>
      <c r="AO4681" s="107"/>
      <c r="AP4681" s="107"/>
      <c r="AQ4681" s="107"/>
      <c r="AR4681" s="107"/>
      <c r="AS4681" s="107"/>
      <c r="AT4681" s="107"/>
    </row>
    <row r="4682" spans="1:63" x14ac:dyDescent="0.25">
      <c r="A4682" s="92"/>
      <c r="B4682" s="93"/>
      <c r="C4682" s="93"/>
      <c r="D4682" s="93"/>
      <c r="E4682" s="92"/>
      <c r="F4682" s="92"/>
      <c r="G4682" s="92"/>
      <c r="H4682" s="92"/>
      <c r="I4682" s="92"/>
      <c r="J4682" s="92"/>
      <c r="K4682" s="92"/>
      <c r="L4682" s="92"/>
      <c r="M4682" s="92"/>
      <c r="N4682" s="94"/>
      <c r="AG4682" s="107"/>
      <c r="AH4682" s="117"/>
      <c r="AI4682" s="117"/>
      <c r="AJ4682" s="107"/>
      <c r="AK4682" s="107"/>
      <c r="AL4682" s="107"/>
      <c r="AM4682" s="107"/>
      <c r="AN4682" s="107"/>
      <c r="AO4682" s="107"/>
      <c r="AP4682" s="107"/>
      <c r="AQ4682" s="107"/>
      <c r="AR4682" s="107"/>
      <c r="AS4682" s="107"/>
      <c r="AT4682" s="39"/>
    </row>
    <row r="4683" spans="1:63" x14ac:dyDescent="0.25">
      <c r="A4683" s="92"/>
      <c r="B4683" s="92"/>
      <c r="C4683" s="92"/>
      <c r="D4683" s="93"/>
      <c r="E4683" s="92"/>
      <c r="F4683" s="92"/>
      <c r="G4683" s="92"/>
      <c r="H4683" s="92"/>
      <c r="I4683" s="92"/>
      <c r="J4683" s="92"/>
      <c r="K4683" s="92"/>
      <c r="L4683" s="92"/>
      <c r="M4683" s="92"/>
      <c r="N4683" s="92"/>
      <c r="AG4683" s="107"/>
      <c r="AH4683" s="117"/>
      <c r="AI4683" s="117"/>
      <c r="AJ4683" s="117"/>
      <c r="AK4683" s="107"/>
      <c r="AL4683" s="107"/>
      <c r="AM4683" s="107"/>
      <c r="AN4683" s="107"/>
      <c r="AO4683" s="107"/>
      <c r="AP4683" s="107"/>
      <c r="AQ4683" s="107"/>
      <c r="AR4683" s="107"/>
      <c r="AS4683" s="107"/>
      <c r="AT4683" s="39"/>
    </row>
    <row r="4684" spans="1:63" x14ac:dyDescent="0.25">
      <c r="A4684" s="92"/>
      <c r="B4684" s="93"/>
      <c r="C4684" s="93"/>
      <c r="D4684" s="93"/>
      <c r="E4684" s="92"/>
      <c r="F4684" s="92"/>
      <c r="G4684" s="92"/>
      <c r="H4684" s="92"/>
      <c r="I4684" s="92"/>
      <c r="J4684" s="92"/>
      <c r="K4684" s="92"/>
      <c r="L4684" s="92"/>
      <c r="M4684" s="92"/>
      <c r="N4684" s="94"/>
      <c r="AG4684" s="107"/>
      <c r="AH4684" s="117"/>
      <c r="AI4684" s="117"/>
      <c r="AJ4684" s="107"/>
      <c r="AK4684" s="107"/>
      <c r="AL4684" s="107"/>
      <c r="AM4684" s="107"/>
      <c r="AN4684" s="107"/>
      <c r="AO4684" s="107"/>
      <c r="AP4684" s="107"/>
      <c r="AQ4684" s="107"/>
      <c r="AR4684" s="107"/>
      <c r="AS4684" s="107"/>
      <c r="AT4684" s="39"/>
    </row>
    <row r="4685" spans="1:63" x14ac:dyDescent="0.25">
      <c r="A4685" s="92"/>
      <c r="B4685" s="93"/>
      <c r="C4685" s="93"/>
      <c r="D4685" s="92"/>
      <c r="E4685" s="92"/>
      <c r="F4685" s="92"/>
      <c r="G4685" s="92"/>
      <c r="H4685" s="92"/>
      <c r="I4685" s="92"/>
      <c r="J4685" s="92"/>
      <c r="K4685" s="92"/>
      <c r="L4685" s="92"/>
      <c r="M4685" s="92"/>
      <c r="N4685" s="94"/>
      <c r="AG4685" s="107"/>
      <c r="AH4685" s="107"/>
      <c r="AI4685" s="107"/>
      <c r="AJ4685" s="107"/>
      <c r="AK4685" s="107"/>
      <c r="AL4685" s="107"/>
      <c r="AM4685" s="107"/>
      <c r="AN4685" s="107"/>
      <c r="AO4685" s="107"/>
      <c r="AP4685" s="107"/>
      <c r="AQ4685" s="107"/>
      <c r="AR4685" s="107"/>
      <c r="AS4685" s="107"/>
      <c r="AT4685" s="107"/>
    </row>
    <row r="4686" spans="1:63" x14ac:dyDescent="0.25">
      <c r="A4686" s="92"/>
      <c r="B4686" s="93"/>
      <c r="C4686" s="93"/>
      <c r="D4686" s="93"/>
      <c r="E4686" s="92"/>
      <c r="F4686" s="92"/>
      <c r="G4686" s="92"/>
      <c r="H4686" s="92"/>
      <c r="I4686" s="92"/>
      <c r="J4686" s="92"/>
      <c r="K4686" s="92"/>
      <c r="L4686" s="92"/>
      <c r="M4686" s="92"/>
      <c r="N4686" s="94"/>
      <c r="AG4686" s="107"/>
      <c r="AH4686" s="107"/>
      <c r="AI4686" s="107"/>
      <c r="AJ4686" s="107"/>
      <c r="AK4686" s="107"/>
      <c r="AL4686" s="107"/>
      <c r="AM4686" s="107"/>
      <c r="AN4686" s="107"/>
      <c r="AO4686" s="107"/>
      <c r="AP4686" s="107"/>
      <c r="AQ4686" s="107"/>
      <c r="AR4686" s="107"/>
      <c r="AS4686" s="107"/>
      <c r="AT4686" s="107"/>
    </row>
    <row r="4687" spans="1:63" x14ac:dyDescent="0.25">
      <c r="A4687" s="92"/>
      <c r="B4687" s="92"/>
      <c r="C4687" s="92"/>
      <c r="D4687" s="93"/>
      <c r="E4687" s="92"/>
      <c r="F4687" s="92"/>
      <c r="G4687" s="92"/>
      <c r="H4687" s="92"/>
      <c r="I4687" s="92"/>
      <c r="J4687" s="92"/>
      <c r="K4687" s="92"/>
      <c r="L4687" s="92"/>
      <c r="M4687" s="92"/>
      <c r="N4687" s="92"/>
      <c r="AG4687" s="107"/>
      <c r="AH4687" s="107"/>
      <c r="AI4687" s="107"/>
      <c r="AJ4687" s="107"/>
      <c r="AK4687" s="107"/>
      <c r="AL4687" s="107"/>
      <c r="AM4687" s="107"/>
      <c r="AN4687" s="107"/>
      <c r="AO4687" s="107"/>
      <c r="AP4687" s="107"/>
      <c r="AQ4687" s="107"/>
      <c r="AR4687" s="107"/>
      <c r="AS4687" s="107"/>
      <c r="AT4687" s="107"/>
    </row>
    <row r="4688" spans="1:63" x14ac:dyDescent="0.25">
      <c r="A4688" s="92"/>
      <c r="B4688" s="93"/>
      <c r="C4688" s="93"/>
      <c r="D4688" s="93"/>
      <c r="E4688" s="92"/>
      <c r="F4688" s="92"/>
      <c r="G4688" s="92"/>
      <c r="H4688" s="92"/>
      <c r="I4688" s="92"/>
      <c r="J4688" s="92"/>
      <c r="K4688" s="92"/>
      <c r="L4688" s="92"/>
      <c r="M4688" s="92"/>
      <c r="N4688" s="94"/>
      <c r="AG4688" s="107"/>
      <c r="AH4688" s="107"/>
      <c r="AI4688" s="107"/>
      <c r="AJ4688" s="107"/>
      <c r="AK4688" s="107"/>
      <c r="AL4688" s="107"/>
      <c r="AM4688" s="107"/>
      <c r="AN4688" s="107"/>
      <c r="AO4688" s="107"/>
      <c r="AP4688" s="107"/>
      <c r="AQ4688" s="107"/>
      <c r="AR4688" s="107"/>
      <c r="AS4688" s="107"/>
      <c r="AT4688" s="107"/>
      <c r="AZ4688" s="117"/>
      <c r="BK4688" s="39"/>
    </row>
    <row r="4689" spans="1:63" x14ac:dyDescent="0.25">
      <c r="A4689" s="92"/>
      <c r="B4689" s="92"/>
      <c r="C4689" s="92"/>
      <c r="D4689" s="92"/>
      <c r="E4689" s="92"/>
      <c r="F4689" s="92"/>
      <c r="G4689" s="92"/>
      <c r="H4689" s="92"/>
      <c r="I4689" s="92"/>
      <c r="J4689" s="92"/>
      <c r="K4689" s="92"/>
      <c r="L4689" s="92"/>
      <c r="M4689" s="92"/>
      <c r="N4689" s="92"/>
      <c r="AG4689" s="107"/>
      <c r="AH4689" s="107"/>
      <c r="AI4689" s="107"/>
      <c r="AJ4689" s="107"/>
      <c r="AK4689" s="107"/>
      <c r="AL4689" s="107"/>
      <c r="AM4689" s="107"/>
      <c r="AN4689" s="107"/>
      <c r="AO4689" s="107"/>
      <c r="AP4689" s="107"/>
      <c r="AQ4689" s="107"/>
      <c r="AR4689" s="107"/>
      <c r="AS4689" s="107"/>
      <c r="AT4689" s="107"/>
      <c r="AZ4689" s="117"/>
      <c r="BK4689" s="39"/>
    </row>
    <row r="4690" spans="1:63" x14ac:dyDescent="0.25">
      <c r="A4690" s="92"/>
      <c r="B4690" s="92"/>
      <c r="C4690" s="92"/>
      <c r="D4690" s="92"/>
      <c r="E4690" s="92"/>
      <c r="F4690" s="92"/>
      <c r="G4690" s="92"/>
      <c r="H4690" s="92"/>
      <c r="I4690" s="92"/>
      <c r="J4690" s="92"/>
      <c r="K4690" s="92"/>
      <c r="L4690" s="92"/>
      <c r="M4690" s="92"/>
      <c r="N4690" s="92"/>
      <c r="AG4690" s="107"/>
      <c r="AH4690" s="117"/>
      <c r="AI4690" s="117"/>
      <c r="AJ4690" s="107"/>
      <c r="AK4690" s="107"/>
      <c r="AL4690" s="107"/>
      <c r="AM4690" s="107"/>
      <c r="AN4690" s="107"/>
      <c r="AO4690" s="107"/>
      <c r="AP4690" s="107"/>
      <c r="AQ4690" s="107"/>
      <c r="AR4690" s="107"/>
      <c r="AS4690" s="107"/>
      <c r="AT4690" s="39"/>
    </row>
    <row r="4691" spans="1:63" x14ac:dyDescent="0.25">
      <c r="A4691" s="92"/>
      <c r="B4691" s="92"/>
      <c r="C4691" s="92"/>
      <c r="D4691" s="92"/>
      <c r="E4691" s="92"/>
      <c r="F4691" s="92"/>
      <c r="G4691" s="92"/>
      <c r="H4691" s="92"/>
      <c r="I4691" s="92"/>
      <c r="J4691" s="92"/>
      <c r="K4691" s="92"/>
      <c r="L4691" s="92"/>
      <c r="M4691" s="92"/>
      <c r="N4691" s="92"/>
      <c r="AG4691" s="107"/>
      <c r="AH4691" s="107"/>
      <c r="AI4691" s="107"/>
      <c r="AJ4691" s="107"/>
      <c r="AK4691" s="107"/>
      <c r="AL4691" s="107"/>
      <c r="AM4691" s="107"/>
      <c r="AN4691" s="107"/>
      <c r="AO4691" s="107"/>
      <c r="AP4691" s="107"/>
      <c r="AQ4691" s="107"/>
      <c r="AR4691" s="107"/>
      <c r="AS4691" s="107"/>
      <c r="AT4691" s="107"/>
    </row>
    <row r="4692" spans="1:63" x14ac:dyDescent="0.25">
      <c r="A4692" s="92"/>
      <c r="B4692" s="93"/>
      <c r="C4692" s="93"/>
      <c r="D4692" s="93"/>
      <c r="E4692" s="92"/>
      <c r="F4692" s="92"/>
      <c r="G4692" s="92"/>
      <c r="H4692" s="92"/>
      <c r="I4692" s="92"/>
      <c r="J4692" s="92"/>
      <c r="K4692" s="92"/>
      <c r="L4692" s="92"/>
      <c r="M4692" s="92"/>
      <c r="N4692" s="94"/>
      <c r="AG4692" s="107"/>
      <c r="AH4692" s="117"/>
      <c r="AI4692" s="117"/>
      <c r="AJ4692" s="117"/>
      <c r="AK4692" s="107"/>
      <c r="AL4692" s="107"/>
      <c r="AM4692" s="107"/>
      <c r="AN4692" s="107"/>
      <c r="AO4692" s="107"/>
      <c r="AP4692" s="107"/>
      <c r="AQ4692" s="107"/>
      <c r="AR4692" s="107"/>
      <c r="AS4692" s="107"/>
      <c r="AT4692" s="39"/>
    </row>
    <row r="4693" spans="1:63" x14ac:dyDescent="0.25">
      <c r="A4693" s="92"/>
      <c r="B4693" s="92"/>
      <c r="C4693" s="92"/>
      <c r="D4693" s="92"/>
      <c r="E4693" s="92"/>
      <c r="F4693" s="92"/>
      <c r="G4693" s="92"/>
      <c r="H4693" s="92"/>
      <c r="I4693" s="92"/>
      <c r="J4693" s="92"/>
      <c r="K4693" s="92"/>
      <c r="L4693" s="92"/>
      <c r="M4693" s="92"/>
      <c r="N4693" s="92"/>
      <c r="AG4693" s="107"/>
      <c r="AH4693" s="117"/>
      <c r="AI4693" s="117"/>
      <c r="AJ4693" s="107"/>
      <c r="AK4693" s="107"/>
      <c r="AL4693" s="107"/>
      <c r="AM4693" s="107"/>
      <c r="AN4693" s="107"/>
      <c r="AO4693" s="107"/>
      <c r="AP4693" s="107"/>
      <c r="AQ4693" s="107"/>
      <c r="AR4693" s="107"/>
      <c r="AS4693" s="107"/>
      <c r="AT4693" s="39"/>
    </row>
    <row r="4694" spans="1:63" x14ac:dyDescent="0.25">
      <c r="A4694" s="92"/>
      <c r="B4694" s="92"/>
      <c r="C4694" s="92"/>
      <c r="D4694" s="92"/>
      <c r="E4694" s="92"/>
      <c r="F4694" s="92"/>
      <c r="G4694" s="92"/>
      <c r="H4694" s="92"/>
      <c r="I4694" s="92"/>
      <c r="J4694" s="92"/>
      <c r="K4694" s="92"/>
      <c r="L4694" s="92"/>
      <c r="M4694" s="92"/>
      <c r="N4694" s="92"/>
      <c r="AG4694" s="107"/>
      <c r="AH4694" s="107"/>
      <c r="AI4694" s="107"/>
      <c r="AJ4694" s="107"/>
      <c r="AK4694" s="107"/>
      <c r="AL4694" s="107"/>
      <c r="AM4694" s="107"/>
      <c r="AN4694" s="107"/>
      <c r="AO4694" s="107"/>
      <c r="AP4694" s="107"/>
      <c r="AQ4694" s="107"/>
      <c r="AR4694" s="107"/>
      <c r="AS4694" s="107"/>
      <c r="AT4694" s="107"/>
    </row>
    <row r="4695" spans="1:63" x14ac:dyDescent="0.25">
      <c r="A4695" s="92"/>
      <c r="B4695" s="92"/>
      <c r="C4695" s="92"/>
      <c r="D4695" s="92"/>
      <c r="E4695" s="92"/>
      <c r="F4695" s="92"/>
      <c r="G4695" s="92"/>
      <c r="H4695" s="92"/>
      <c r="I4695" s="92"/>
      <c r="J4695" s="92"/>
      <c r="K4695" s="92"/>
      <c r="L4695" s="92"/>
      <c r="M4695" s="92"/>
      <c r="N4695" s="92"/>
      <c r="AG4695" s="107"/>
      <c r="AH4695" s="107"/>
      <c r="AI4695" s="107"/>
      <c r="AJ4695" s="107"/>
      <c r="AK4695" s="107"/>
      <c r="AL4695" s="107"/>
      <c r="AM4695" s="107"/>
      <c r="AN4695" s="107"/>
      <c r="AO4695" s="107"/>
      <c r="AP4695" s="107"/>
      <c r="AQ4695" s="107"/>
      <c r="AR4695" s="107"/>
      <c r="AS4695" s="107"/>
      <c r="AT4695" s="107"/>
    </row>
    <row r="4696" spans="1:63" x14ac:dyDescent="0.25">
      <c r="A4696" s="92"/>
      <c r="B4696" s="92"/>
      <c r="C4696" s="92"/>
      <c r="D4696" s="92"/>
      <c r="E4696" s="92"/>
      <c r="F4696" s="92"/>
      <c r="G4696" s="92"/>
      <c r="H4696" s="92"/>
      <c r="I4696" s="92"/>
      <c r="J4696" s="92"/>
      <c r="K4696" s="92"/>
      <c r="L4696" s="92"/>
      <c r="M4696" s="92"/>
      <c r="N4696" s="92"/>
      <c r="AG4696" s="107"/>
      <c r="AH4696" s="107"/>
      <c r="AI4696" s="107"/>
      <c r="AJ4696" s="107"/>
      <c r="AK4696" s="107"/>
      <c r="AL4696" s="107"/>
      <c r="AM4696" s="107"/>
      <c r="AN4696" s="107"/>
      <c r="AO4696" s="107"/>
      <c r="AP4696" s="107"/>
      <c r="AQ4696" s="107"/>
      <c r="AR4696" s="107"/>
      <c r="AS4696" s="107"/>
      <c r="AT4696" s="107"/>
    </row>
    <row r="4697" spans="1:63" x14ac:dyDescent="0.25">
      <c r="A4697" s="92"/>
      <c r="B4697" s="92"/>
      <c r="C4697" s="92"/>
      <c r="D4697" s="92"/>
      <c r="E4697" s="92"/>
      <c r="F4697" s="92"/>
      <c r="G4697" s="92"/>
      <c r="H4697" s="92"/>
      <c r="I4697" s="92"/>
      <c r="J4697" s="92"/>
      <c r="K4697" s="92"/>
      <c r="L4697" s="92"/>
      <c r="M4697" s="92"/>
      <c r="N4697" s="92"/>
      <c r="AG4697" s="107"/>
      <c r="AH4697" s="107"/>
      <c r="AI4697" s="107"/>
      <c r="AJ4697" s="107"/>
      <c r="AK4697" s="107"/>
      <c r="AL4697" s="107"/>
      <c r="AM4697" s="107"/>
      <c r="AN4697" s="107"/>
      <c r="AO4697" s="107"/>
      <c r="AP4697" s="107"/>
      <c r="AQ4697" s="107"/>
      <c r="AR4697" s="107"/>
      <c r="AS4697" s="107"/>
      <c r="AT4697" s="107"/>
    </row>
    <row r="4698" spans="1:63" x14ac:dyDescent="0.25">
      <c r="A4698" s="92"/>
      <c r="B4698" s="92"/>
      <c r="C4698" s="92"/>
      <c r="D4698" s="92"/>
      <c r="E4698" s="92"/>
      <c r="F4698" s="92"/>
      <c r="G4698" s="92"/>
      <c r="H4698" s="92"/>
      <c r="I4698" s="92"/>
      <c r="J4698" s="92"/>
      <c r="K4698" s="92"/>
      <c r="L4698" s="92"/>
      <c r="M4698" s="92"/>
      <c r="N4698" s="92"/>
      <c r="AG4698" s="107"/>
      <c r="AH4698" s="107"/>
      <c r="AI4698" s="107"/>
      <c r="AJ4698" s="107"/>
      <c r="AK4698" s="107"/>
      <c r="AL4698" s="107"/>
      <c r="AM4698" s="107"/>
      <c r="AN4698" s="107"/>
      <c r="AO4698" s="107"/>
      <c r="AP4698" s="107"/>
      <c r="AQ4698" s="107"/>
      <c r="AR4698" s="107"/>
      <c r="AS4698" s="107"/>
      <c r="AT4698" s="107"/>
    </row>
    <row r="4699" spans="1:63" x14ac:dyDescent="0.25">
      <c r="A4699" s="92"/>
      <c r="B4699" s="92"/>
      <c r="C4699" s="92"/>
      <c r="D4699" s="92"/>
      <c r="E4699" s="92"/>
      <c r="F4699" s="92"/>
      <c r="G4699" s="92"/>
      <c r="H4699" s="92"/>
      <c r="I4699" s="92"/>
      <c r="J4699" s="92"/>
      <c r="K4699" s="92"/>
      <c r="L4699" s="92"/>
      <c r="M4699" s="92"/>
      <c r="N4699" s="92"/>
      <c r="AG4699" s="107"/>
      <c r="AH4699" s="117"/>
      <c r="AI4699" s="117"/>
      <c r="AJ4699" s="107"/>
      <c r="AK4699" s="107"/>
      <c r="AL4699" s="107"/>
      <c r="AM4699" s="107"/>
      <c r="AN4699" s="107"/>
      <c r="AO4699" s="107"/>
      <c r="AP4699" s="107"/>
      <c r="AQ4699" s="107"/>
      <c r="AR4699" s="107"/>
      <c r="AS4699" s="107"/>
      <c r="AT4699" s="39"/>
    </row>
    <row r="4700" spans="1:63" x14ac:dyDescent="0.25">
      <c r="A4700" s="92"/>
      <c r="B4700" s="92"/>
      <c r="C4700" s="92"/>
      <c r="D4700" s="92"/>
      <c r="E4700" s="92"/>
      <c r="F4700" s="92"/>
      <c r="G4700" s="92"/>
      <c r="H4700" s="92"/>
      <c r="I4700" s="92"/>
      <c r="J4700" s="92"/>
      <c r="K4700" s="92"/>
      <c r="L4700" s="92"/>
      <c r="M4700" s="92"/>
      <c r="N4700" s="92"/>
      <c r="AG4700" s="107"/>
      <c r="AH4700" s="117"/>
      <c r="AI4700" s="117"/>
      <c r="AJ4700" s="107"/>
      <c r="AK4700" s="107"/>
      <c r="AL4700" s="107"/>
      <c r="AM4700" s="107"/>
      <c r="AN4700" s="107"/>
      <c r="AO4700" s="107"/>
      <c r="AP4700" s="107"/>
      <c r="AQ4700" s="107"/>
      <c r="AR4700" s="107"/>
      <c r="AS4700" s="107"/>
      <c r="AT4700" s="39"/>
    </row>
    <row r="4701" spans="1:63" x14ac:dyDescent="0.25">
      <c r="A4701" s="92"/>
      <c r="B4701" s="92"/>
      <c r="C4701" s="92"/>
      <c r="D4701" s="92"/>
      <c r="E4701" s="92"/>
      <c r="F4701" s="92"/>
      <c r="G4701" s="92"/>
      <c r="H4701" s="92"/>
      <c r="I4701" s="92"/>
      <c r="J4701" s="92"/>
      <c r="K4701" s="92"/>
      <c r="L4701" s="92"/>
      <c r="M4701" s="92"/>
      <c r="N4701" s="92"/>
      <c r="AG4701" s="107"/>
      <c r="AH4701" s="107"/>
      <c r="AI4701" s="107"/>
      <c r="AJ4701" s="107"/>
      <c r="AK4701" s="107"/>
      <c r="AL4701" s="107"/>
      <c r="AM4701" s="107"/>
      <c r="AN4701" s="107"/>
      <c r="AO4701" s="107"/>
      <c r="AP4701" s="107"/>
      <c r="AQ4701" s="107"/>
      <c r="AR4701" s="107"/>
      <c r="AS4701" s="107"/>
      <c r="AT4701" s="107"/>
    </row>
    <row r="4702" spans="1:63" x14ac:dyDescent="0.25">
      <c r="A4702" s="92"/>
      <c r="B4702" s="92"/>
      <c r="C4702" s="92"/>
      <c r="D4702" s="92"/>
      <c r="E4702" s="92"/>
      <c r="F4702" s="92"/>
      <c r="G4702" s="92"/>
      <c r="H4702" s="92"/>
      <c r="I4702" s="92"/>
      <c r="J4702" s="92"/>
      <c r="K4702" s="92"/>
      <c r="L4702" s="92"/>
      <c r="M4702" s="92"/>
      <c r="N4702" s="92"/>
      <c r="AG4702" s="107"/>
      <c r="AH4702" s="117"/>
      <c r="AI4702" s="117"/>
      <c r="AJ4702" s="107"/>
      <c r="AK4702" s="107"/>
      <c r="AL4702" s="107"/>
      <c r="AM4702" s="107"/>
      <c r="AN4702" s="107"/>
      <c r="AO4702" s="107"/>
      <c r="AP4702" s="107"/>
      <c r="AQ4702" s="107"/>
      <c r="AR4702" s="107"/>
      <c r="AS4702" s="107"/>
      <c r="AT4702" s="39"/>
    </row>
    <row r="4703" spans="1:63" x14ac:dyDescent="0.25">
      <c r="A4703" s="92"/>
      <c r="B4703" s="92"/>
      <c r="C4703" s="92"/>
      <c r="D4703" s="92"/>
      <c r="E4703" s="92"/>
      <c r="F4703" s="92"/>
      <c r="G4703" s="92"/>
      <c r="H4703" s="92"/>
      <c r="I4703" s="92"/>
      <c r="J4703" s="92"/>
      <c r="K4703" s="92"/>
      <c r="L4703" s="92"/>
      <c r="M4703" s="92"/>
      <c r="N4703" s="92"/>
      <c r="AG4703" s="107"/>
      <c r="AH4703" s="117"/>
      <c r="AI4703" s="117"/>
      <c r="AJ4703" s="107"/>
      <c r="AK4703" s="107"/>
      <c r="AL4703" s="107"/>
      <c r="AM4703" s="107"/>
      <c r="AN4703" s="107"/>
      <c r="AO4703" s="107"/>
      <c r="AP4703" s="107"/>
      <c r="AQ4703" s="107"/>
      <c r="AR4703" s="107"/>
      <c r="AS4703" s="107"/>
      <c r="AT4703" s="39"/>
    </row>
    <row r="4704" spans="1:63" x14ac:dyDescent="0.25">
      <c r="A4704" s="92"/>
      <c r="B4704" s="93"/>
      <c r="C4704" s="93"/>
      <c r="D4704" s="92"/>
      <c r="E4704" s="92"/>
      <c r="F4704" s="92"/>
      <c r="G4704" s="92"/>
      <c r="H4704" s="92"/>
      <c r="I4704" s="92"/>
      <c r="J4704" s="92"/>
      <c r="K4704" s="92"/>
      <c r="L4704" s="92"/>
      <c r="M4704" s="92"/>
      <c r="N4704" s="94"/>
      <c r="AG4704" s="107"/>
      <c r="AH4704" s="117"/>
      <c r="AI4704" s="117"/>
      <c r="AJ4704" s="117"/>
      <c r="AK4704" s="107"/>
      <c r="AL4704" s="107"/>
      <c r="AM4704" s="107"/>
      <c r="AN4704" s="107"/>
      <c r="AO4704" s="107"/>
      <c r="AP4704" s="107"/>
      <c r="AQ4704" s="107"/>
      <c r="AR4704" s="107"/>
      <c r="AS4704" s="107"/>
      <c r="AT4704" s="39"/>
    </row>
    <row r="4705" spans="1:63" x14ac:dyDescent="0.25">
      <c r="A4705" s="92"/>
      <c r="B4705" s="93"/>
      <c r="C4705" s="93"/>
      <c r="D4705" s="92"/>
      <c r="E4705" s="92"/>
      <c r="F4705" s="92"/>
      <c r="G4705" s="92"/>
      <c r="H4705" s="92"/>
      <c r="I4705" s="92"/>
      <c r="J4705" s="92"/>
      <c r="K4705" s="92"/>
      <c r="L4705" s="92"/>
      <c r="M4705" s="92"/>
      <c r="N4705" s="94"/>
      <c r="AG4705" s="107"/>
      <c r="AH4705" s="107"/>
      <c r="AI4705" s="107"/>
      <c r="AJ4705" s="107"/>
      <c r="AK4705" s="107"/>
      <c r="AL4705" s="107"/>
      <c r="AM4705" s="107"/>
      <c r="AN4705" s="107"/>
      <c r="AO4705" s="107"/>
      <c r="AP4705" s="107"/>
      <c r="AQ4705" s="107"/>
      <c r="AR4705" s="107"/>
      <c r="AS4705" s="107"/>
      <c r="AT4705" s="107"/>
    </row>
    <row r="4706" spans="1:63" x14ac:dyDescent="0.25">
      <c r="A4706" s="92"/>
      <c r="B4706" s="92"/>
      <c r="C4706" s="92"/>
      <c r="D4706" s="92"/>
      <c r="E4706" s="92"/>
      <c r="F4706" s="92"/>
      <c r="G4706" s="92"/>
      <c r="H4706" s="92"/>
      <c r="I4706" s="92"/>
      <c r="J4706" s="92"/>
      <c r="K4706" s="92"/>
      <c r="L4706" s="92"/>
      <c r="M4706" s="92"/>
      <c r="N4706" s="92"/>
      <c r="AG4706" s="107"/>
      <c r="AH4706" s="107"/>
      <c r="AI4706" s="107"/>
      <c r="AJ4706" s="107"/>
      <c r="AK4706" s="107"/>
      <c r="AL4706" s="107"/>
      <c r="AM4706" s="107"/>
      <c r="AN4706" s="107"/>
      <c r="AO4706" s="107"/>
      <c r="AP4706" s="107"/>
      <c r="AQ4706" s="107"/>
      <c r="AR4706" s="107"/>
      <c r="AS4706" s="107"/>
      <c r="AT4706" s="107"/>
    </row>
    <row r="4707" spans="1:63" x14ac:dyDescent="0.25">
      <c r="A4707" s="92"/>
      <c r="B4707" s="92"/>
      <c r="C4707" s="92"/>
      <c r="D4707" s="92"/>
      <c r="E4707" s="92"/>
      <c r="F4707" s="92"/>
      <c r="G4707" s="92"/>
      <c r="H4707" s="92"/>
      <c r="I4707" s="92"/>
      <c r="J4707" s="92"/>
      <c r="K4707" s="92"/>
      <c r="L4707" s="92"/>
      <c r="M4707" s="92"/>
      <c r="N4707" s="92"/>
      <c r="AG4707" s="107"/>
      <c r="AH4707" s="107"/>
      <c r="AI4707" s="107"/>
      <c r="AJ4707" s="107"/>
      <c r="AK4707" s="107"/>
      <c r="AL4707" s="107"/>
      <c r="AM4707" s="107"/>
      <c r="AN4707" s="107"/>
      <c r="AO4707" s="107"/>
      <c r="AP4707" s="107"/>
      <c r="AQ4707" s="107"/>
      <c r="AR4707" s="107"/>
      <c r="AS4707" s="107"/>
      <c r="AT4707" s="107"/>
    </row>
    <row r="4708" spans="1:63" x14ac:dyDescent="0.25">
      <c r="A4708" s="92"/>
      <c r="B4708" s="92"/>
      <c r="C4708" s="92"/>
      <c r="D4708" s="92"/>
      <c r="E4708" s="92"/>
      <c r="F4708" s="92"/>
      <c r="G4708" s="92"/>
      <c r="H4708" s="92"/>
      <c r="I4708" s="92"/>
      <c r="J4708" s="92"/>
      <c r="K4708" s="92"/>
      <c r="L4708" s="92"/>
      <c r="M4708" s="92"/>
      <c r="N4708" s="92"/>
      <c r="AG4708" s="107"/>
      <c r="AH4708" s="117"/>
      <c r="AI4708" s="117"/>
      <c r="AJ4708" s="107"/>
      <c r="AK4708" s="107"/>
      <c r="AL4708" s="107"/>
      <c r="AM4708" s="107"/>
      <c r="AN4708" s="107"/>
      <c r="AO4708" s="107"/>
      <c r="AP4708" s="107"/>
      <c r="AQ4708" s="107"/>
      <c r="AR4708" s="107"/>
      <c r="AS4708" s="107"/>
      <c r="AT4708" s="39"/>
    </row>
    <row r="4709" spans="1:63" x14ac:dyDescent="0.25">
      <c r="A4709" s="92"/>
      <c r="B4709" s="92"/>
      <c r="C4709" s="92"/>
      <c r="D4709" s="92"/>
      <c r="E4709" s="92"/>
      <c r="F4709" s="92"/>
      <c r="G4709" s="92"/>
      <c r="H4709" s="92"/>
      <c r="I4709" s="92"/>
      <c r="J4709" s="92"/>
      <c r="K4709" s="92"/>
      <c r="L4709" s="92"/>
      <c r="M4709" s="92"/>
      <c r="N4709" s="92"/>
      <c r="AG4709" s="107"/>
      <c r="AH4709" s="117"/>
      <c r="AI4709" s="117"/>
      <c r="AJ4709" s="107"/>
      <c r="AK4709" s="107"/>
      <c r="AL4709" s="107"/>
      <c r="AM4709" s="107"/>
      <c r="AN4709" s="107"/>
      <c r="AO4709" s="107"/>
      <c r="AP4709" s="107"/>
      <c r="AQ4709" s="107"/>
      <c r="AR4709" s="107"/>
      <c r="AS4709" s="107"/>
      <c r="AT4709" s="39"/>
    </row>
    <row r="4710" spans="1:63" x14ac:dyDescent="0.25">
      <c r="A4710" s="92"/>
      <c r="B4710" s="92"/>
      <c r="C4710" s="92"/>
      <c r="D4710" s="92"/>
      <c r="E4710" s="92"/>
      <c r="F4710" s="92"/>
      <c r="G4710" s="92"/>
      <c r="H4710" s="92"/>
      <c r="I4710" s="92"/>
      <c r="J4710" s="92"/>
      <c r="K4710" s="92"/>
      <c r="L4710" s="92"/>
      <c r="M4710" s="92"/>
      <c r="N4710" s="92"/>
      <c r="AG4710" s="107"/>
      <c r="AH4710" s="117"/>
      <c r="AI4710" s="117"/>
      <c r="AJ4710" s="117"/>
      <c r="AK4710" s="107"/>
      <c r="AL4710" s="107"/>
      <c r="AM4710" s="107"/>
      <c r="AN4710" s="107"/>
      <c r="AO4710" s="107"/>
      <c r="AP4710" s="107"/>
      <c r="AQ4710" s="107"/>
      <c r="AR4710" s="107"/>
      <c r="AS4710" s="107"/>
      <c r="AT4710" s="39"/>
    </row>
    <row r="4711" spans="1:63" x14ac:dyDescent="0.25">
      <c r="A4711" s="92"/>
      <c r="B4711" s="92"/>
      <c r="C4711" s="92"/>
      <c r="D4711" s="92"/>
      <c r="E4711" s="92"/>
      <c r="F4711" s="92"/>
      <c r="G4711" s="92"/>
      <c r="H4711" s="92"/>
      <c r="I4711" s="92"/>
      <c r="J4711" s="92"/>
      <c r="K4711" s="92"/>
      <c r="L4711" s="92"/>
      <c r="M4711" s="92"/>
      <c r="N4711" s="92"/>
      <c r="AG4711" s="107"/>
      <c r="AH4711" s="117"/>
      <c r="AI4711" s="117"/>
      <c r="AJ4711" s="107"/>
      <c r="AK4711" s="107"/>
      <c r="AL4711" s="107"/>
      <c r="AM4711" s="107"/>
      <c r="AN4711" s="107"/>
      <c r="AO4711" s="107"/>
      <c r="AP4711" s="107"/>
      <c r="AQ4711" s="107"/>
      <c r="AR4711" s="107"/>
      <c r="AS4711" s="107"/>
      <c r="AT4711" s="39"/>
    </row>
    <row r="4712" spans="1:63" x14ac:dyDescent="0.25">
      <c r="A4712" s="92"/>
      <c r="B4712" s="92"/>
      <c r="C4712" s="92"/>
      <c r="D4712" s="92"/>
      <c r="E4712" s="92"/>
      <c r="F4712" s="92"/>
      <c r="G4712" s="92"/>
      <c r="H4712" s="92"/>
      <c r="I4712" s="92"/>
      <c r="J4712" s="92"/>
      <c r="K4712" s="92"/>
      <c r="L4712" s="92"/>
      <c r="M4712" s="92"/>
      <c r="N4712" s="92"/>
      <c r="AG4712" s="107"/>
      <c r="AH4712" s="117"/>
      <c r="AI4712" s="117"/>
      <c r="AJ4712" s="117"/>
      <c r="AK4712" s="107"/>
      <c r="AL4712" s="107"/>
      <c r="AM4712" s="107"/>
      <c r="AN4712" s="107"/>
      <c r="AO4712" s="107"/>
      <c r="AP4712" s="107"/>
      <c r="AQ4712" s="107"/>
      <c r="AR4712" s="107"/>
      <c r="AS4712" s="107"/>
      <c r="AT4712" s="39"/>
    </row>
    <row r="4713" spans="1:63" x14ac:dyDescent="0.25">
      <c r="A4713" s="92"/>
      <c r="B4713" s="92"/>
      <c r="C4713" s="92"/>
      <c r="D4713" s="92"/>
      <c r="E4713" s="92"/>
      <c r="F4713" s="92"/>
      <c r="G4713" s="92"/>
      <c r="H4713" s="92"/>
      <c r="I4713" s="92"/>
      <c r="J4713" s="92"/>
      <c r="K4713" s="92"/>
      <c r="L4713" s="92"/>
      <c r="M4713" s="92"/>
      <c r="N4713" s="92"/>
      <c r="AG4713" s="107"/>
      <c r="AH4713" s="117"/>
      <c r="AI4713" s="117"/>
      <c r="AJ4713" s="107"/>
      <c r="AK4713" s="107"/>
      <c r="AL4713" s="107"/>
      <c r="AM4713" s="107"/>
      <c r="AN4713" s="107"/>
      <c r="AO4713" s="107"/>
      <c r="AP4713" s="107"/>
      <c r="AQ4713" s="107"/>
      <c r="AR4713" s="107"/>
      <c r="AS4713" s="107"/>
      <c r="AT4713" s="39"/>
    </row>
    <row r="4714" spans="1:63" x14ac:dyDescent="0.25">
      <c r="A4714" s="92"/>
      <c r="B4714" s="92"/>
      <c r="C4714" s="92"/>
      <c r="D4714" s="92"/>
      <c r="E4714" s="92"/>
      <c r="F4714" s="92"/>
      <c r="G4714" s="92"/>
      <c r="H4714" s="92"/>
      <c r="I4714" s="92"/>
      <c r="J4714" s="92"/>
      <c r="K4714" s="92"/>
      <c r="L4714" s="92"/>
      <c r="M4714" s="92"/>
      <c r="N4714" s="92"/>
      <c r="AG4714" s="107"/>
      <c r="AH4714" s="117"/>
      <c r="AI4714" s="117"/>
      <c r="AJ4714" s="107"/>
      <c r="AK4714" s="107"/>
      <c r="AL4714" s="107"/>
      <c r="AM4714" s="107"/>
      <c r="AN4714" s="107"/>
      <c r="AO4714" s="107"/>
      <c r="AP4714" s="107"/>
      <c r="AQ4714" s="107"/>
      <c r="AR4714" s="107"/>
      <c r="AS4714" s="107"/>
      <c r="AT4714" s="39"/>
    </row>
    <row r="4715" spans="1:63" x14ac:dyDescent="0.25">
      <c r="A4715" s="92"/>
      <c r="B4715" s="92"/>
      <c r="C4715" s="92"/>
      <c r="D4715" s="92"/>
      <c r="E4715" s="92"/>
      <c r="F4715" s="92"/>
      <c r="G4715" s="92"/>
      <c r="H4715" s="92"/>
      <c r="I4715" s="92"/>
      <c r="J4715" s="92"/>
      <c r="K4715" s="92"/>
      <c r="L4715" s="92"/>
      <c r="M4715" s="92"/>
      <c r="N4715" s="92"/>
      <c r="AG4715" s="107"/>
      <c r="AH4715" s="117"/>
      <c r="AI4715" s="117"/>
      <c r="AJ4715" s="107"/>
      <c r="AK4715" s="107"/>
      <c r="AL4715" s="107"/>
      <c r="AM4715" s="107"/>
      <c r="AN4715" s="107"/>
      <c r="AO4715" s="107"/>
      <c r="AP4715" s="107"/>
      <c r="AQ4715" s="107"/>
      <c r="AR4715" s="107"/>
      <c r="AS4715" s="107"/>
      <c r="AT4715" s="39"/>
    </row>
    <row r="4716" spans="1:63" x14ac:dyDescent="0.25">
      <c r="A4716" s="92"/>
      <c r="B4716" s="92"/>
      <c r="C4716" s="92"/>
      <c r="D4716" s="92"/>
      <c r="E4716" s="92"/>
      <c r="F4716" s="92"/>
      <c r="G4716" s="92"/>
      <c r="H4716" s="92"/>
      <c r="I4716" s="92"/>
      <c r="J4716" s="92"/>
      <c r="K4716" s="92"/>
      <c r="L4716" s="92"/>
      <c r="M4716" s="92"/>
      <c r="N4716" s="92"/>
      <c r="AG4716" s="107"/>
      <c r="AH4716" s="117"/>
      <c r="AI4716" s="117"/>
      <c r="AJ4716" s="107"/>
      <c r="AK4716" s="107"/>
      <c r="AL4716" s="107"/>
      <c r="AM4716" s="107"/>
      <c r="AN4716" s="107"/>
      <c r="AO4716" s="107"/>
      <c r="AP4716" s="107"/>
      <c r="AQ4716" s="107"/>
      <c r="AR4716" s="107"/>
      <c r="AS4716" s="107"/>
      <c r="AT4716" s="39"/>
    </row>
    <row r="4717" spans="1:63" x14ac:dyDescent="0.25">
      <c r="A4717" s="92"/>
      <c r="B4717" s="92"/>
      <c r="C4717" s="92"/>
      <c r="D4717" s="92"/>
      <c r="E4717" s="92"/>
      <c r="F4717" s="92"/>
      <c r="G4717" s="92"/>
      <c r="H4717" s="92"/>
      <c r="I4717" s="92"/>
      <c r="J4717" s="92"/>
      <c r="K4717" s="92"/>
      <c r="L4717" s="92"/>
      <c r="M4717" s="92"/>
      <c r="N4717" s="92"/>
      <c r="AG4717" s="107"/>
      <c r="AH4717" s="107"/>
      <c r="AI4717" s="107"/>
      <c r="AJ4717" s="107"/>
      <c r="AK4717" s="107"/>
      <c r="AL4717" s="107"/>
      <c r="AM4717" s="107"/>
      <c r="AN4717" s="107"/>
      <c r="AO4717" s="107"/>
      <c r="AP4717" s="107"/>
      <c r="AQ4717" s="107"/>
      <c r="AR4717" s="107"/>
      <c r="AS4717" s="107"/>
      <c r="AT4717" s="107"/>
      <c r="AZ4717" s="117"/>
      <c r="BK4717" s="39"/>
    </row>
    <row r="4718" spans="1:63" x14ac:dyDescent="0.25">
      <c r="A4718" s="92"/>
      <c r="B4718" s="92"/>
      <c r="C4718" s="92"/>
      <c r="D4718" s="92"/>
      <c r="E4718" s="92"/>
      <c r="F4718" s="92"/>
      <c r="G4718" s="92"/>
      <c r="H4718" s="92"/>
      <c r="I4718" s="92"/>
      <c r="J4718" s="92"/>
      <c r="K4718" s="92"/>
      <c r="L4718" s="92"/>
      <c r="M4718" s="92"/>
      <c r="N4718" s="92"/>
      <c r="AG4718" s="107"/>
      <c r="AH4718" s="117"/>
      <c r="AI4718" s="117"/>
      <c r="AJ4718" s="107"/>
      <c r="AK4718" s="107"/>
      <c r="AL4718" s="107"/>
      <c r="AM4718" s="107"/>
      <c r="AN4718" s="107"/>
      <c r="AO4718" s="107"/>
      <c r="AP4718" s="107"/>
      <c r="AQ4718" s="107"/>
      <c r="AR4718" s="107"/>
      <c r="AS4718" s="107"/>
      <c r="AT4718" s="39"/>
    </row>
    <row r="4719" spans="1:63" x14ac:dyDescent="0.25">
      <c r="A4719" s="92"/>
      <c r="B4719" s="92"/>
      <c r="C4719" s="92"/>
      <c r="D4719" s="92"/>
      <c r="E4719" s="92"/>
      <c r="F4719" s="92"/>
      <c r="G4719" s="92"/>
      <c r="H4719" s="92"/>
      <c r="I4719" s="92"/>
      <c r="J4719" s="92"/>
      <c r="K4719" s="92"/>
      <c r="L4719" s="92"/>
      <c r="M4719" s="92"/>
      <c r="N4719" s="92"/>
      <c r="AG4719" s="107"/>
      <c r="AH4719" s="117"/>
      <c r="AI4719" s="117"/>
      <c r="AJ4719" s="117"/>
      <c r="AK4719" s="107"/>
      <c r="AL4719" s="107"/>
      <c r="AM4719" s="107"/>
      <c r="AN4719" s="107"/>
      <c r="AO4719" s="107"/>
      <c r="AP4719" s="107"/>
      <c r="AQ4719" s="107"/>
      <c r="AR4719" s="107"/>
      <c r="AS4719" s="107"/>
      <c r="AT4719" s="39"/>
      <c r="AZ4719" s="117"/>
      <c r="BK4719" s="39"/>
    </row>
    <row r="4720" spans="1:63" x14ac:dyDescent="0.25">
      <c r="A4720" s="92"/>
      <c r="B4720" s="92"/>
      <c r="C4720" s="92"/>
      <c r="D4720" s="92"/>
      <c r="E4720" s="92"/>
      <c r="F4720" s="92"/>
      <c r="G4720" s="92"/>
      <c r="H4720" s="92"/>
      <c r="I4720" s="92"/>
      <c r="J4720" s="92"/>
      <c r="K4720" s="92"/>
      <c r="L4720" s="92"/>
      <c r="M4720" s="92"/>
      <c r="N4720" s="92"/>
      <c r="AG4720" s="107"/>
      <c r="AH4720" s="107"/>
      <c r="AI4720" s="107"/>
      <c r="AJ4720" s="107"/>
      <c r="AK4720" s="107"/>
      <c r="AL4720" s="107"/>
      <c r="AM4720" s="107"/>
      <c r="AN4720" s="107"/>
      <c r="AO4720" s="107"/>
      <c r="AP4720" s="107"/>
      <c r="AQ4720" s="107"/>
      <c r="AR4720" s="107"/>
      <c r="AS4720" s="107"/>
      <c r="AT4720" s="107"/>
      <c r="AZ4720" s="117"/>
      <c r="BA4720" s="117"/>
      <c r="BK4720" s="39"/>
    </row>
    <row r="4721" spans="1:63" x14ac:dyDescent="0.25">
      <c r="A4721" s="92"/>
      <c r="B4721" s="92"/>
      <c r="C4721" s="92"/>
      <c r="D4721" s="92"/>
      <c r="E4721" s="92"/>
      <c r="F4721" s="92"/>
      <c r="G4721" s="92"/>
      <c r="H4721" s="92"/>
      <c r="I4721" s="92"/>
      <c r="J4721" s="92"/>
      <c r="K4721" s="92"/>
      <c r="L4721" s="92"/>
      <c r="M4721" s="92"/>
      <c r="N4721" s="92"/>
      <c r="AG4721" s="107"/>
      <c r="AH4721" s="107"/>
      <c r="AI4721" s="107"/>
      <c r="AJ4721" s="107"/>
      <c r="AK4721" s="107"/>
      <c r="AL4721" s="107"/>
      <c r="AM4721" s="107"/>
      <c r="AN4721" s="107"/>
      <c r="AO4721" s="107"/>
      <c r="AP4721" s="107"/>
      <c r="AQ4721" s="107"/>
      <c r="AR4721" s="107"/>
      <c r="AS4721" s="107"/>
      <c r="AT4721" s="107"/>
    </row>
    <row r="4722" spans="1:63" x14ac:dyDescent="0.25">
      <c r="A4722" s="92"/>
      <c r="B4722" s="92"/>
      <c r="C4722" s="92"/>
      <c r="D4722" s="92"/>
      <c r="E4722" s="92"/>
      <c r="F4722" s="92"/>
      <c r="G4722" s="92"/>
      <c r="H4722" s="92"/>
      <c r="I4722" s="92"/>
      <c r="J4722" s="92"/>
      <c r="K4722" s="92"/>
      <c r="L4722" s="92"/>
      <c r="M4722" s="92"/>
      <c r="N4722" s="92"/>
      <c r="AG4722" s="107"/>
      <c r="AH4722" s="117"/>
      <c r="AI4722" s="117"/>
      <c r="AJ4722" s="107"/>
      <c r="AK4722" s="107"/>
      <c r="AL4722" s="107"/>
      <c r="AM4722" s="107"/>
      <c r="AN4722" s="107"/>
      <c r="AO4722" s="107"/>
      <c r="AP4722" s="107"/>
      <c r="AQ4722" s="107"/>
      <c r="AR4722" s="107"/>
      <c r="AS4722" s="107"/>
      <c r="AT4722" s="39"/>
      <c r="AZ4722" s="117"/>
      <c r="BK4722" s="39"/>
    </row>
    <row r="4723" spans="1:63" x14ac:dyDescent="0.25">
      <c r="A4723" s="92"/>
      <c r="B4723" s="92"/>
      <c r="C4723" s="92"/>
      <c r="D4723" s="92"/>
      <c r="E4723" s="92"/>
      <c r="F4723" s="92"/>
      <c r="G4723" s="92"/>
      <c r="H4723" s="92"/>
      <c r="I4723" s="92"/>
      <c r="J4723" s="92"/>
      <c r="K4723" s="92"/>
      <c r="L4723" s="92"/>
      <c r="M4723" s="92"/>
      <c r="N4723" s="92"/>
      <c r="AG4723" s="107"/>
      <c r="AH4723" s="107"/>
      <c r="AI4723" s="107"/>
      <c r="AJ4723" s="107"/>
      <c r="AK4723" s="107"/>
      <c r="AL4723" s="107"/>
      <c r="AM4723" s="107"/>
      <c r="AN4723" s="107"/>
      <c r="AO4723" s="107"/>
      <c r="AP4723" s="107"/>
      <c r="AQ4723" s="107"/>
      <c r="AR4723" s="107"/>
      <c r="AS4723" s="107"/>
      <c r="AT4723" s="107"/>
    </row>
    <row r="4724" spans="1:63" x14ac:dyDescent="0.25">
      <c r="A4724" s="92"/>
      <c r="B4724" s="92"/>
      <c r="C4724" s="92"/>
      <c r="D4724" s="92"/>
      <c r="E4724" s="92"/>
      <c r="F4724" s="92"/>
      <c r="G4724" s="92"/>
      <c r="H4724" s="92"/>
      <c r="I4724" s="92"/>
      <c r="J4724" s="92"/>
      <c r="K4724" s="92"/>
      <c r="L4724" s="92"/>
      <c r="M4724" s="92"/>
      <c r="N4724" s="92"/>
      <c r="AG4724" s="107"/>
      <c r="AH4724" s="107"/>
      <c r="AI4724" s="107"/>
      <c r="AJ4724" s="107"/>
      <c r="AK4724" s="107"/>
      <c r="AL4724" s="107"/>
      <c r="AM4724" s="107"/>
      <c r="AN4724" s="107"/>
      <c r="AO4724" s="107"/>
      <c r="AP4724" s="107"/>
      <c r="AQ4724" s="107"/>
      <c r="AR4724" s="107"/>
      <c r="AS4724" s="107"/>
      <c r="AT4724" s="107"/>
      <c r="AZ4724" s="117"/>
      <c r="BA4724" s="117"/>
      <c r="BK4724" s="39"/>
    </row>
    <row r="4725" spans="1:63" x14ac:dyDescent="0.25">
      <c r="A4725" s="92"/>
      <c r="B4725" s="92"/>
      <c r="C4725" s="92"/>
      <c r="D4725" s="92"/>
      <c r="E4725" s="92"/>
      <c r="F4725" s="92"/>
      <c r="G4725" s="92"/>
      <c r="H4725" s="92"/>
      <c r="I4725" s="92"/>
      <c r="J4725" s="92"/>
      <c r="K4725" s="92"/>
      <c r="L4725" s="92"/>
      <c r="M4725" s="92"/>
      <c r="N4725" s="92"/>
      <c r="AG4725" s="107"/>
      <c r="AH4725" s="107"/>
      <c r="AI4725" s="107"/>
      <c r="AJ4725" s="107"/>
      <c r="AK4725" s="107"/>
      <c r="AL4725" s="107"/>
      <c r="AM4725" s="107"/>
      <c r="AN4725" s="107"/>
      <c r="AO4725" s="107"/>
      <c r="AP4725" s="107"/>
      <c r="AQ4725" s="107"/>
      <c r="AR4725" s="107"/>
      <c r="AS4725" s="107"/>
      <c r="AT4725" s="107"/>
      <c r="BA4725" s="117"/>
    </row>
    <row r="4726" spans="1:63" x14ac:dyDescent="0.25">
      <c r="A4726" s="92"/>
      <c r="B4726" s="92"/>
      <c r="C4726" s="92"/>
      <c r="D4726" s="92"/>
      <c r="E4726" s="92"/>
      <c r="F4726" s="92"/>
      <c r="G4726" s="92"/>
      <c r="H4726" s="92"/>
      <c r="I4726" s="92"/>
      <c r="J4726" s="92"/>
      <c r="K4726" s="92"/>
      <c r="L4726" s="92"/>
      <c r="M4726" s="92"/>
      <c r="N4726" s="92"/>
      <c r="AG4726" s="107"/>
      <c r="AH4726" s="117"/>
      <c r="AI4726" s="117"/>
      <c r="AJ4726" s="107"/>
      <c r="AK4726" s="107"/>
      <c r="AL4726" s="107"/>
      <c r="AM4726" s="107"/>
      <c r="AN4726" s="107"/>
      <c r="AO4726" s="107"/>
      <c r="AP4726" s="107"/>
      <c r="AQ4726" s="107"/>
      <c r="AR4726" s="107"/>
      <c r="AS4726" s="107"/>
      <c r="AT4726" s="39"/>
      <c r="BA4726" s="117"/>
    </row>
    <row r="4727" spans="1:63" x14ac:dyDescent="0.25">
      <c r="A4727" s="92"/>
      <c r="B4727" s="92"/>
      <c r="C4727" s="92"/>
      <c r="D4727" s="92"/>
      <c r="E4727" s="92"/>
      <c r="F4727" s="92"/>
      <c r="G4727" s="92"/>
      <c r="H4727" s="92"/>
      <c r="I4727" s="92"/>
      <c r="J4727" s="92"/>
      <c r="K4727" s="92"/>
      <c r="L4727" s="92"/>
      <c r="M4727" s="92"/>
      <c r="N4727" s="92"/>
      <c r="AG4727" s="107"/>
      <c r="AH4727" s="117"/>
      <c r="AI4727" s="117"/>
      <c r="AJ4727" s="117"/>
      <c r="AK4727" s="107"/>
      <c r="AL4727" s="107"/>
      <c r="AM4727" s="107"/>
      <c r="AN4727" s="107"/>
      <c r="AO4727" s="107"/>
      <c r="AP4727" s="107"/>
      <c r="AQ4727" s="107"/>
      <c r="AR4727" s="107"/>
      <c r="AS4727" s="107"/>
      <c r="AT4727" s="39"/>
      <c r="BA4727" s="117"/>
    </row>
    <row r="4728" spans="1:63" x14ac:dyDescent="0.25">
      <c r="A4728" s="92"/>
      <c r="B4728" s="92"/>
      <c r="C4728" s="92"/>
      <c r="D4728" s="92"/>
      <c r="E4728" s="92"/>
      <c r="F4728" s="92"/>
      <c r="G4728" s="92"/>
      <c r="H4728" s="92"/>
      <c r="I4728" s="92"/>
      <c r="J4728" s="92"/>
      <c r="K4728" s="92"/>
      <c r="L4728" s="92"/>
      <c r="M4728" s="92"/>
      <c r="N4728" s="92"/>
      <c r="AG4728" s="107"/>
      <c r="AH4728" s="117"/>
      <c r="AI4728" s="117"/>
      <c r="AJ4728" s="117"/>
      <c r="AK4728" s="107"/>
      <c r="AL4728" s="107"/>
      <c r="AM4728" s="107"/>
      <c r="AN4728" s="107"/>
      <c r="AO4728" s="107"/>
      <c r="AP4728" s="107"/>
      <c r="AQ4728" s="107"/>
      <c r="AR4728" s="107"/>
      <c r="AS4728" s="107"/>
      <c r="AT4728" s="39"/>
      <c r="AZ4728" s="117"/>
      <c r="BA4728" s="117"/>
      <c r="BK4728" s="39"/>
    </row>
    <row r="4729" spans="1:63" x14ac:dyDescent="0.25">
      <c r="A4729" s="92"/>
      <c r="B4729" s="92"/>
      <c r="C4729" s="92"/>
      <c r="D4729" s="92"/>
      <c r="E4729" s="92"/>
      <c r="F4729" s="92"/>
      <c r="G4729" s="92"/>
      <c r="H4729" s="92"/>
      <c r="I4729" s="92"/>
      <c r="J4729" s="92"/>
      <c r="K4729" s="92"/>
      <c r="L4729" s="92"/>
      <c r="M4729" s="92"/>
      <c r="N4729" s="92"/>
      <c r="AG4729" s="107"/>
      <c r="AH4729" s="117"/>
      <c r="AI4729" s="117"/>
      <c r="AJ4729" s="107"/>
      <c r="AK4729" s="107"/>
      <c r="AL4729" s="107"/>
      <c r="AM4729" s="107"/>
      <c r="AN4729" s="107"/>
      <c r="AO4729" s="107"/>
      <c r="AP4729" s="107"/>
      <c r="AQ4729" s="107"/>
      <c r="AR4729" s="107"/>
      <c r="AS4729" s="107"/>
      <c r="AT4729" s="39"/>
    </row>
    <row r="4730" spans="1:63" x14ac:dyDescent="0.25">
      <c r="A4730" s="92"/>
      <c r="B4730" s="92"/>
      <c r="C4730" s="92"/>
      <c r="D4730" s="92"/>
      <c r="E4730" s="92"/>
      <c r="F4730" s="92"/>
      <c r="G4730" s="92"/>
      <c r="H4730" s="92"/>
      <c r="I4730" s="92"/>
      <c r="J4730" s="92"/>
      <c r="K4730" s="92"/>
      <c r="L4730" s="92"/>
      <c r="M4730" s="92"/>
      <c r="N4730" s="92"/>
      <c r="AG4730" s="107"/>
      <c r="AH4730" s="107"/>
      <c r="AI4730" s="107"/>
      <c r="AJ4730" s="107"/>
      <c r="AK4730" s="107"/>
      <c r="AL4730" s="107"/>
      <c r="AM4730" s="107"/>
      <c r="AN4730" s="107"/>
      <c r="AO4730" s="107"/>
      <c r="AP4730" s="107"/>
      <c r="AQ4730" s="107"/>
      <c r="AR4730" s="107"/>
      <c r="AS4730" s="107"/>
      <c r="AT4730" s="107"/>
    </row>
    <row r="4731" spans="1:63" x14ac:dyDescent="0.25">
      <c r="A4731" s="92"/>
      <c r="B4731" s="92"/>
      <c r="C4731" s="92"/>
      <c r="D4731" s="92"/>
      <c r="E4731" s="92"/>
      <c r="F4731" s="92"/>
      <c r="G4731" s="92"/>
      <c r="H4731" s="92"/>
      <c r="I4731" s="92"/>
      <c r="J4731" s="92"/>
      <c r="K4731" s="92"/>
      <c r="L4731" s="92"/>
      <c r="M4731" s="92"/>
      <c r="N4731" s="92"/>
      <c r="AG4731" s="107"/>
      <c r="AH4731" s="107"/>
      <c r="AI4731" s="107"/>
      <c r="AJ4731" s="107"/>
      <c r="AK4731" s="107"/>
      <c r="AL4731" s="107"/>
      <c r="AM4731" s="107"/>
      <c r="AN4731" s="107"/>
      <c r="AO4731" s="107"/>
      <c r="AP4731" s="107"/>
      <c r="AQ4731" s="107"/>
      <c r="AR4731" s="107"/>
      <c r="AS4731" s="107"/>
      <c r="AT4731" s="107"/>
    </row>
    <row r="4732" spans="1:63" x14ac:dyDescent="0.25">
      <c r="A4732" s="92"/>
      <c r="B4732" s="92"/>
      <c r="C4732" s="92"/>
      <c r="D4732" s="92"/>
      <c r="E4732" s="92"/>
      <c r="F4732" s="92"/>
      <c r="G4732" s="92"/>
      <c r="H4732" s="92"/>
      <c r="I4732" s="92"/>
      <c r="J4732" s="92"/>
      <c r="K4732" s="92"/>
      <c r="L4732" s="92"/>
      <c r="M4732" s="92"/>
      <c r="N4732" s="92"/>
      <c r="AG4732" s="107"/>
      <c r="AH4732" s="107"/>
      <c r="AI4732" s="107"/>
      <c r="AJ4732" s="107"/>
      <c r="AK4732" s="107"/>
      <c r="AL4732" s="107"/>
      <c r="AM4732" s="107"/>
      <c r="AN4732" s="107"/>
      <c r="AO4732" s="107"/>
      <c r="AP4732" s="107"/>
      <c r="AQ4732" s="107"/>
      <c r="AR4732" s="107"/>
      <c r="AS4732" s="107"/>
      <c r="AT4732" s="107"/>
      <c r="AZ4732" s="117"/>
      <c r="BK4732" s="39"/>
    </row>
    <row r="4733" spans="1:63" x14ac:dyDescent="0.25">
      <c r="A4733" s="92"/>
      <c r="B4733" s="93"/>
      <c r="C4733" s="93"/>
      <c r="D4733" s="92"/>
      <c r="E4733" s="92"/>
      <c r="F4733" s="92"/>
      <c r="G4733" s="92"/>
      <c r="H4733" s="92"/>
      <c r="I4733" s="92"/>
      <c r="J4733" s="92"/>
      <c r="K4733" s="92"/>
      <c r="L4733" s="92"/>
      <c r="M4733" s="92"/>
      <c r="N4733" s="94"/>
      <c r="AG4733" s="107"/>
      <c r="AH4733" s="107"/>
      <c r="AI4733" s="107"/>
      <c r="AJ4733" s="107"/>
      <c r="AK4733" s="107"/>
      <c r="AL4733" s="107"/>
      <c r="AM4733" s="107"/>
      <c r="AN4733" s="107"/>
      <c r="AO4733" s="107"/>
      <c r="AP4733" s="107"/>
      <c r="AQ4733" s="107"/>
      <c r="AR4733" s="107"/>
      <c r="AS4733" s="107"/>
      <c r="AT4733" s="107"/>
    </row>
    <row r="4734" spans="1:63" x14ac:dyDescent="0.25">
      <c r="A4734" s="92"/>
      <c r="B4734" s="92"/>
      <c r="C4734" s="92"/>
      <c r="D4734" s="92"/>
      <c r="E4734" s="92"/>
      <c r="F4734" s="92"/>
      <c r="G4734" s="92"/>
      <c r="H4734" s="92"/>
      <c r="I4734" s="92"/>
      <c r="J4734" s="92"/>
      <c r="K4734" s="92"/>
      <c r="L4734" s="92"/>
      <c r="M4734" s="92"/>
      <c r="N4734" s="92"/>
      <c r="AG4734" s="107"/>
      <c r="AH4734" s="117"/>
      <c r="AI4734" s="117"/>
      <c r="AJ4734" s="117"/>
      <c r="AK4734" s="107"/>
      <c r="AL4734" s="107"/>
      <c r="AM4734" s="107"/>
      <c r="AN4734" s="107"/>
      <c r="AO4734" s="107"/>
      <c r="AP4734" s="107"/>
      <c r="AQ4734" s="107"/>
      <c r="AR4734" s="107"/>
      <c r="AS4734" s="107"/>
      <c r="AT4734" s="39"/>
      <c r="AZ4734" s="117"/>
      <c r="BK4734" s="39"/>
    </row>
    <row r="4735" spans="1:63" x14ac:dyDescent="0.25">
      <c r="A4735" s="92"/>
      <c r="B4735" s="93"/>
      <c r="C4735" s="93"/>
      <c r="D4735" s="92"/>
      <c r="E4735" s="92"/>
      <c r="F4735" s="92"/>
      <c r="G4735" s="92"/>
      <c r="H4735" s="92"/>
      <c r="I4735" s="92"/>
      <c r="J4735" s="92"/>
      <c r="K4735" s="92"/>
      <c r="L4735" s="92"/>
      <c r="M4735" s="92"/>
      <c r="N4735" s="94"/>
      <c r="AG4735" s="107"/>
      <c r="AH4735" s="107"/>
      <c r="AI4735" s="107"/>
      <c r="AJ4735" s="107"/>
      <c r="AK4735" s="107"/>
      <c r="AL4735" s="107"/>
      <c r="AM4735" s="107"/>
      <c r="AN4735" s="107"/>
      <c r="AO4735" s="107"/>
      <c r="AP4735" s="107"/>
      <c r="AQ4735" s="107"/>
      <c r="AR4735" s="107"/>
      <c r="AS4735" s="107"/>
      <c r="AT4735" s="107"/>
      <c r="AZ4735" s="117"/>
      <c r="BA4735" s="117"/>
      <c r="BK4735" s="39"/>
    </row>
    <row r="4736" spans="1:63" x14ac:dyDescent="0.25">
      <c r="A4736" s="92"/>
      <c r="B4736" s="93"/>
      <c r="C4736" s="93"/>
      <c r="D4736" s="93"/>
      <c r="E4736" s="92"/>
      <c r="F4736" s="92"/>
      <c r="G4736" s="92"/>
      <c r="H4736" s="92"/>
      <c r="I4736" s="92"/>
      <c r="J4736" s="92"/>
      <c r="K4736" s="92"/>
      <c r="L4736" s="92"/>
      <c r="M4736" s="92"/>
      <c r="N4736" s="94"/>
      <c r="AG4736" s="107"/>
      <c r="AH4736" s="117"/>
      <c r="AI4736" s="117"/>
      <c r="AJ4736" s="107"/>
      <c r="AK4736" s="107"/>
      <c r="AL4736" s="107"/>
      <c r="AM4736" s="107"/>
      <c r="AN4736" s="107"/>
      <c r="AO4736" s="107"/>
      <c r="AP4736" s="107"/>
      <c r="AQ4736" s="107"/>
      <c r="AR4736" s="107"/>
      <c r="AS4736" s="107"/>
      <c r="AT4736" s="39"/>
      <c r="BA4736" s="117"/>
    </row>
    <row r="4737" spans="1:63" x14ac:dyDescent="0.25">
      <c r="A4737" s="92"/>
      <c r="B4737" s="92"/>
      <c r="C4737" s="92"/>
      <c r="D4737" s="92"/>
      <c r="E4737" s="92"/>
      <c r="F4737" s="92"/>
      <c r="G4737" s="92"/>
      <c r="H4737" s="92"/>
      <c r="I4737" s="92"/>
      <c r="J4737" s="92"/>
      <c r="K4737" s="92"/>
      <c r="L4737" s="92"/>
      <c r="M4737" s="92"/>
      <c r="N4737" s="92"/>
      <c r="AG4737" s="107"/>
      <c r="AH4737" s="107"/>
      <c r="AI4737" s="107"/>
      <c r="AJ4737" s="107"/>
      <c r="AK4737" s="107"/>
      <c r="AL4737" s="107"/>
      <c r="AM4737" s="107"/>
      <c r="AN4737" s="107"/>
      <c r="AO4737" s="107"/>
      <c r="AP4737" s="107"/>
      <c r="AQ4737" s="107"/>
      <c r="AR4737" s="107"/>
      <c r="AS4737" s="107"/>
      <c r="AT4737" s="107"/>
    </row>
    <row r="4738" spans="1:63" x14ac:dyDescent="0.25">
      <c r="A4738" s="92"/>
      <c r="B4738" s="93"/>
      <c r="C4738" s="93"/>
      <c r="D4738" s="92"/>
      <c r="E4738" s="92"/>
      <c r="F4738" s="92"/>
      <c r="G4738" s="92"/>
      <c r="H4738" s="92"/>
      <c r="I4738" s="92"/>
      <c r="J4738" s="92"/>
      <c r="K4738" s="92"/>
      <c r="L4738" s="92"/>
      <c r="M4738" s="92"/>
      <c r="N4738" s="94"/>
      <c r="AG4738" s="107"/>
      <c r="AH4738" s="107"/>
      <c r="AI4738" s="107"/>
      <c r="AJ4738" s="107"/>
      <c r="AK4738" s="107"/>
      <c r="AL4738" s="107"/>
      <c r="AM4738" s="107"/>
      <c r="AN4738" s="107"/>
      <c r="AO4738" s="107"/>
      <c r="AP4738" s="107"/>
      <c r="AQ4738" s="107"/>
      <c r="AR4738" s="107"/>
      <c r="AS4738" s="107"/>
      <c r="AT4738" s="107"/>
    </row>
    <row r="4739" spans="1:63" x14ac:dyDescent="0.25">
      <c r="A4739" s="92"/>
      <c r="B4739" s="92"/>
      <c r="C4739" s="92"/>
      <c r="D4739" s="92"/>
      <c r="E4739" s="92"/>
      <c r="F4739" s="92"/>
      <c r="G4739" s="92"/>
      <c r="H4739" s="92"/>
      <c r="I4739" s="92"/>
      <c r="J4739" s="92"/>
      <c r="K4739" s="92"/>
      <c r="L4739" s="92"/>
      <c r="M4739" s="92"/>
      <c r="N4739" s="92"/>
      <c r="AG4739" s="107"/>
      <c r="AH4739" s="107"/>
      <c r="AI4739" s="107"/>
      <c r="AJ4739" s="107"/>
      <c r="AK4739" s="107"/>
      <c r="AL4739" s="107"/>
      <c r="AM4739" s="107"/>
      <c r="AN4739" s="107"/>
      <c r="AO4739" s="107"/>
      <c r="AP4739" s="107"/>
      <c r="AQ4739" s="107"/>
      <c r="AR4739" s="107"/>
      <c r="AS4739" s="107"/>
      <c r="AT4739" s="107"/>
      <c r="AZ4739" s="117"/>
      <c r="BK4739" s="39"/>
    </row>
    <row r="4740" spans="1:63" x14ac:dyDescent="0.25">
      <c r="A4740" s="92"/>
      <c r="B4740" s="93"/>
      <c r="C4740" s="93"/>
      <c r="D4740" s="93"/>
      <c r="E4740" s="92"/>
      <c r="F4740" s="92"/>
      <c r="G4740" s="92"/>
      <c r="H4740" s="92"/>
      <c r="I4740" s="92"/>
      <c r="J4740" s="92"/>
      <c r="K4740" s="92"/>
      <c r="L4740" s="92"/>
      <c r="M4740" s="92"/>
      <c r="N4740" s="94"/>
      <c r="AG4740" s="107"/>
      <c r="AH4740" s="117"/>
      <c r="AI4740" s="117"/>
      <c r="AJ4740" s="117"/>
      <c r="AK4740" s="107"/>
      <c r="AL4740" s="107"/>
      <c r="AM4740" s="107"/>
      <c r="AN4740" s="107"/>
      <c r="AO4740" s="107"/>
      <c r="AP4740" s="107"/>
      <c r="AQ4740" s="107"/>
      <c r="AR4740" s="107"/>
      <c r="AS4740" s="107"/>
      <c r="AT4740" s="39"/>
    </row>
    <row r="4741" spans="1:63" x14ac:dyDescent="0.25">
      <c r="A4741" s="92"/>
      <c r="B4741" s="92"/>
      <c r="C4741" s="92"/>
      <c r="D4741" s="93"/>
      <c r="E4741" s="92"/>
      <c r="F4741" s="92"/>
      <c r="G4741" s="92"/>
      <c r="H4741" s="92"/>
      <c r="I4741" s="92"/>
      <c r="J4741" s="92"/>
      <c r="K4741" s="92"/>
      <c r="L4741" s="92"/>
      <c r="M4741" s="92"/>
      <c r="N4741" s="92"/>
      <c r="AG4741" s="107"/>
      <c r="AH4741" s="107"/>
      <c r="AI4741" s="107"/>
      <c r="AJ4741" s="107"/>
      <c r="AK4741" s="107"/>
      <c r="AL4741" s="107"/>
      <c r="AM4741" s="107"/>
      <c r="AN4741" s="107"/>
      <c r="AO4741" s="107"/>
      <c r="AP4741" s="107"/>
      <c r="AQ4741" s="107"/>
      <c r="AR4741" s="107"/>
      <c r="AS4741" s="107"/>
      <c r="AT4741" s="107"/>
      <c r="AZ4741" s="117"/>
      <c r="BA4741" s="117"/>
      <c r="BK4741" s="39"/>
    </row>
    <row r="4742" spans="1:63" x14ac:dyDescent="0.25">
      <c r="A4742" s="92"/>
      <c r="B4742" s="92"/>
      <c r="C4742" s="92"/>
      <c r="D4742" s="93"/>
      <c r="E4742" s="92"/>
      <c r="F4742" s="92"/>
      <c r="G4742" s="92"/>
      <c r="H4742" s="92"/>
      <c r="I4742" s="92"/>
      <c r="J4742" s="92"/>
      <c r="K4742" s="92"/>
      <c r="L4742" s="92"/>
      <c r="M4742" s="92"/>
      <c r="N4742" s="92"/>
      <c r="AG4742" s="107"/>
      <c r="AH4742" s="107"/>
      <c r="AI4742" s="107"/>
      <c r="AJ4742" s="107"/>
      <c r="AK4742" s="107"/>
      <c r="AL4742" s="107"/>
      <c r="AM4742" s="107"/>
      <c r="AN4742" s="107"/>
      <c r="AO4742" s="107"/>
      <c r="AP4742" s="107"/>
      <c r="AQ4742" s="107"/>
      <c r="AR4742" s="107"/>
      <c r="AS4742" s="107"/>
      <c r="AT4742" s="107"/>
      <c r="AZ4742" s="117"/>
      <c r="BK4742" s="39"/>
    </row>
    <row r="4743" spans="1:63" x14ac:dyDescent="0.25">
      <c r="A4743" s="92"/>
      <c r="B4743" s="92"/>
      <c r="C4743" s="92"/>
      <c r="D4743" s="93"/>
      <c r="E4743" s="92"/>
      <c r="F4743" s="92"/>
      <c r="G4743" s="92"/>
      <c r="H4743" s="92"/>
      <c r="I4743" s="92"/>
      <c r="J4743" s="92"/>
      <c r="K4743" s="92"/>
      <c r="L4743" s="92"/>
      <c r="M4743" s="92"/>
      <c r="N4743" s="92"/>
      <c r="AG4743" s="107"/>
      <c r="AH4743" s="117"/>
      <c r="AI4743" s="117"/>
      <c r="AJ4743" s="107"/>
      <c r="AK4743" s="107"/>
      <c r="AL4743" s="107"/>
      <c r="AM4743" s="107"/>
      <c r="AN4743" s="107"/>
      <c r="AO4743" s="107"/>
      <c r="AP4743" s="107"/>
      <c r="AQ4743" s="107"/>
      <c r="AR4743" s="107"/>
      <c r="AS4743" s="107"/>
      <c r="AT4743" s="39"/>
    </row>
    <row r="4744" spans="1:63" x14ac:dyDescent="0.25">
      <c r="A4744" s="92"/>
      <c r="B4744" s="93"/>
      <c r="C4744" s="93"/>
      <c r="D4744" s="93"/>
      <c r="E4744" s="92"/>
      <c r="F4744" s="92"/>
      <c r="G4744" s="92"/>
      <c r="H4744" s="92"/>
      <c r="I4744" s="92"/>
      <c r="J4744" s="92"/>
      <c r="K4744" s="92"/>
      <c r="L4744" s="92"/>
      <c r="M4744" s="92"/>
      <c r="N4744" s="94"/>
      <c r="AG4744" s="107"/>
      <c r="AH4744" s="117"/>
      <c r="AI4744" s="117"/>
      <c r="AJ4744" s="107"/>
      <c r="AK4744" s="107"/>
      <c r="AL4744" s="107"/>
      <c r="AM4744" s="107"/>
      <c r="AN4744" s="107"/>
      <c r="AO4744" s="107"/>
      <c r="AP4744" s="107"/>
      <c r="AQ4744" s="107"/>
      <c r="AR4744" s="107"/>
      <c r="AS4744" s="107"/>
      <c r="AT4744" s="39"/>
    </row>
    <row r="4745" spans="1:63" x14ac:dyDescent="0.25">
      <c r="A4745" s="92"/>
      <c r="B4745" s="92"/>
      <c r="C4745" s="92"/>
      <c r="D4745" s="93"/>
      <c r="E4745" s="92"/>
      <c r="F4745" s="92"/>
      <c r="G4745" s="92"/>
      <c r="H4745" s="92"/>
      <c r="I4745" s="92"/>
      <c r="J4745" s="92"/>
      <c r="K4745" s="92"/>
      <c r="L4745" s="92"/>
      <c r="M4745" s="92"/>
      <c r="N4745" s="92"/>
      <c r="AG4745" s="107"/>
      <c r="AH4745" s="107"/>
      <c r="AI4745" s="107"/>
      <c r="AJ4745" s="107"/>
      <c r="AK4745" s="107"/>
      <c r="AL4745" s="107"/>
      <c r="AM4745" s="107"/>
      <c r="AN4745" s="107"/>
      <c r="AO4745" s="107"/>
      <c r="AP4745" s="107"/>
      <c r="AQ4745" s="107"/>
      <c r="AR4745" s="107"/>
      <c r="AS4745" s="107"/>
      <c r="AT4745" s="107"/>
    </row>
    <row r="4746" spans="1:63" x14ac:dyDescent="0.25">
      <c r="A4746" s="92"/>
      <c r="B4746" s="92"/>
      <c r="C4746" s="92"/>
      <c r="D4746" s="93"/>
      <c r="E4746" s="92"/>
      <c r="F4746" s="92"/>
      <c r="G4746" s="92"/>
      <c r="H4746" s="92"/>
      <c r="I4746" s="92"/>
      <c r="J4746" s="92"/>
      <c r="K4746" s="92"/>
      <c r="L4746" s="92"/>
      <c r="M4746" s="92"/>
      <c r="N4746" s="92"/>
      <c r="AG4746" s="107"/>
      <c r="AH4746" s="107"/>
      <c r="AI4746" s="107"/>
      <c r="AJ4746" s="107"/>
      <c r="AK4746" s="107"/>
      <c r="AL4746" s="107"/>
      <c r="AM4746" s="107"/>
      <c r="AN4746" s="107"/>
      <c r="AO4746" s="107"/>
      <c r="AP4746" s="107"/>
      <c r="AQ4746" s="107"/>
      <c r="AR4746" s="107"/>
      <c r="AS4746" s="107"/>
      <c r="AT4746" s="107"/>
      <c r="AZ4746" s="117"/>
      <c r="BK4746" s="39"/>
    </row>
    <row r="4747" spans="1:63" x14ac:dyDescent="0.25">
      <c r="A4747" s="92"/>
      <c r="B4747" s="92"/>
      <c r="C4747" s="92"/>
      <c r="D4747" s="92"/>
      <c r="E4747" s="92"/>
      <c r="F4747" s="92"/>
      <c r="G4747" s="92"/>
      <c r="H4747" s="92"/>
      <c r="I4747" s="92"/>
      <c r="J4747" s="92"/>
      <c r="K4747" s="92"/>
      <c r="L4747" s="92"/>
      <c r="M4747" s="92"/>
      <c r="N4747" s="92"/>
      <c r="AG4747" s="107"/>
      <c r="AH4747" s="107"/>
      <c r="AI4747" s="107"/>
      <c r="AJ4747" s="107"/>
      <c r="AK4747" s="107"/>
      <c r="AL4747" s="107"/>
      <c r="AM4747" s="107"/>
      <c r="AN4747" s="107"/>
      <c r="AO4747" s="107"/>
      <c r="AP4747" s="107"/>
      <c r="AQ4747" s="107"/>
      <c r="AR4747" s="107"/>
      <c r="AS4747" s="107"/>
      <c r="AT4747" s="107"/>
    </row>
    <row r="4748" spans="1:63" x14ac:dyDescent="0.25">
      <c r="A4748" s="92"/>
      <c r="B4748" s="93"/>
      <c r="C4748" s="93"/>
      <c r="D4748" s="92"/>
      <c r="E4748" s="92"/>
      <c r="F4748" s="92"/>
      <c r="G4748" s="92"/>
      <c r="H4748" s="92"/>
      <c r="I4748" s="92"/>
      <c r="J4748" s="92"/>
      <c r="K4748" s="92"/>
      <c r="L4748" s="92"/>
      <c r="M4748" s="92"/>
      <c r="N4748" s="94"/>
      <c r="AG4748" s="107"/>
      <c r="AH4748" s="107"/>
      <c r="AI4748" s="107"/>
      <c r="AJ4748" s="107"/>
      <c r="AK4748" s="107"/>
      <c r="AL4748" s="107"/>
      <c r="AM4748" s="107"/>
      <c r="AN4748" s="107"/>
      <c r="AO4748" s="107"/>
      <c r="AP4748" s="107"/>
      <c r="AQ4748" s="107"/>
      <c r="AR4748" s="107"/>
      <c r="AS4748" s="107"/>
      <c r="AT4748" s="107"/>
      <c r="AZ4748" s="117"/>
      <c r="BA4748" s="117"/>
      <c r="BK4748" s="39"/>
    </row>
    <row r="4749" spans="1:63" x14ac:dyDescent="0.25">
      <c r="A4749" s="92"/>
      <c r="B4749" s="92"/>
      <c r="C4749" s="92"/>
      <c r="D4749" s="92"/>
      <c r="E4749" s="92"/>
      <c r="F4749" s="92"/>
      <c r="G4749" s="92"/>
      <c r="H4749" s="92"/>
      <c r="I4749" s="92"/>
      <c r="J4749" s="92"/>
      <c r="K4749" s="92"/>
      <c r="L4749" s="92"/>
      <c r="M4749" s="92"/>
      <c r="N4749" s="92"/>
      <c r="AG4749" s="107"/>
      <c r="AH4749" s="117"/>
      <c r="AI4749" s="117"/>
      <c r="AJ4749" s="107"/>
      <c r="AK4749" s="107"/>
      <c r="AL4749" s="107"/>
      <c r="AM4749" s="107"/>
      <c r="AN4749" s="107"/>
      <c r="AO4749" s="107"/>
      <c r="AP4749" s="107"/>
      <c r="AQ4749" s="107"/>
      <c r="AR4749" s="107"/>
      <c r="AS4749" s="107"/>
      <c r="AT4749" s="39"/>
      <c r="BA4749" s="117"/>
    </row>
    <row r="4750" spans="1:63" x14ac:dyDescent="0.25">
      <c r="A4750" s="92"/>
      <c r="B4750" s="93"/>
      <c r="C4750" s="93"/>
      <c r="D4750" s="92"/>
      <c r="E4750" s="92"/>
      <c r="F4750" s="92"/>
      <c r="G4750" s="92"/>
      <c r="H4750" s="92"/>
      <c r="I4750" s="92"/>
      <c r="J4750" s="92"/>
      <c r="K4750" s="92"/>
      <c r="L4750" s="92"/>
      <c r="M4750" s="92"/>
      <c r="N4750" s="94"/>
      <c r="AG4750" s="107"/>
      <c r="AH4750" s="117"/>
      <c r="AI4750" s="117"/>
      <c r="AJ4750" s="107"/>
      <c r="AK4750" s="107"/>
      <c r="AL4750" s="107"/>
      <c r="AM4750" s="107"/>
      <c r="AN4750" s="107"/>
      <c r="AO4750" s="107"/>
      <c r="AP4750" s="107"/>
      <c r="AQ4750" s="107"/>
      <c r="AR4750" s="107"/>
      <c r="AS4750" s="107"/>
      <c r="AT4750" s="39"/>
      <c r="AZ4750" s="117"/>
      <c r="BA4750" s="117"/>
      <c r="BK4750" s="39"/>
    </row>
    <row r="4751" spans="1:63" x14ac:dyDescent="0.25">
      <c r="A4751" s="92"/>
      <c r="B4751" s="93"/>
      <c r="C4751" s="93"/>
      <c r="D4751" s="93"/>
      <c r="E4751" s="92"/>
      <c r="F4751" s="92"/>
      <c r="G4751" s="92"/>
      <c r="H4751" s="92"/>
      <c r="I4751" s="92"/>
      <c r="J4751" s="92"/>
      <c r="K4751" s="92"/>
      <c r="L4751" s="92"/>
      <c r="M4751" s="92"/>
      <c r="N4751" s="94"/>
      <c r="AG4751" s="107"/>
      <c r="AH4751" s="117"/>
      <c r="AI4751" s="117"/>
      <c r="AJ4751" s="107"/>
      <c r="AK4751" s="107"/>
      <c r="AL4751" s="107"/>
      <c r="AM4751" s="107"/>
      <c r="AN4751" s="107"/>
      <c r="AO4751" s="107"/>
      <c r="AP4751" s="107"/>
      <c r="AQ4751" s="107"/>
      <c r="AR4751" s="107"/>
      <c r="AS4751" s="107"/>
      <c r="AT4751" s="39"/>
      <c r="AZ4751" s="117"/>
      <c r="BK4751" s="39"/>
    </row>
    <row r="4752" spans="1:63" x14ac:dyDescent="0.25">
      <c r="A4752" s="92"/>
      <c r="B4752" s="92"/>
      <c r="C4752" s="92"/>
      <c r="D4752" s="93"/>
      <c r="E4752" s="92"/>
      <c r="F4752" s="92"/>
      <c r="G4752" s="92"/>
      <c r="H4752" s="92"/>
      <c r="I4752" s="92"/>
      <c r="J4752" s="92"/>
      <c r="K4752" s="92"/>
      <c r="L4752" s="92"/>
      <c r="M4752" s="92"/>
      <c r="N4752" s="92"/>
      <c r="AG4752" s="107"/>
      <c r="AH4752" s="117"/>
      <c r="AI4752" s="117"/>
      <c r="AJ4752" s="107"/>
      <c r="AK4752" s="107"/>
      <c r="AL4752" s="107"/>
      <c r="AM4752" s="107"/>
      <c r="AN4752" s="107"/>
      <c r="AO4752" s="107"/>
      <c r="AP4752" s="107"/>
      <c r="AQ4752" s="107"/>
      <c r="AR4752" s="107"/>
      <c r="AS4752" s="107"/>
      <c r="AT4752" s="39"/>
    </row>
    <row r="4753" spans="1:63" x14ac:dyDescent="0.25">
      <c r="A4753" s="92"/>
      <c r="B4753" s="92"/>
      <c r="C4753" s="92"/>
      <c r="D4753" s="93"/>
      <c r="E4753" s="92"/>
      <c r="F4753" s="92"/>
      <c r="G4753" s="92"/>
      <c r="H4753" s="92"/>
      <c r="I4753" s="92"/>
      <c r="J4753" s="92"/>
      <c r="K4753" s="92"/>
      <c r="L4753" s="92"/>
      <c r="M4753" s="92"/>
      <c r="N4753" s="92"/>
      <c r="AG4753" s="107"/>
      <c r="AH4753" s="117"/>
      <c r="AI4753" s="117"/>
      <c r="AJ4753" s="117"/>
      <c r="AK4753" s="107"/>
      <c r="AL4753" s="107"/>
      <c r="AM4753" s="107"/>
      <c r="AN4753" s="107"/>
      <c r="AO4753" s="107"/>
      <c r="AP4753" s="107"/>
      <c r="AQ4753" s="107"/>
      <c r="AR4753" s="107"/>
      <c r="AS4753" s="107"/>
      <c r="AT4753" s="39"/>
      <c r="AZ4753" s="117"/>
      <c r="BA4753" s="117"/>
      <c r="BK4753" s="39"/>
    </row>
    <row r="4754" spans="1:63" x14ac:dyDescent="0.25">
      <c r="A4754" s="92"/>
      <c r="B4754" s="92"/>
      <c r="C4754" s="92"/>
      <c r="D4754" s="92"/>
      <c r="E4754" s="92"/>
      <c r="F4754" s="92"/>
      <c r="G4754" s="92"/>
      <c r="H4754" s="92"/>
      <c r="I4754" s="92"/>
      <c r="J4754" s="92"/>
      <c r="K4754" s="92"/>
      <c r="L4754" s="92"/>
      <c r="M4754" s="92"/>
      <c r="N4754" s="92"/>
      <c r="AG4754" s="107"/>
      <c r="AH4754" s="107"/>
      <c r="AI4754" s="107"/>
      <c r="AJ4754" s="117"/>
      <c r="AK4754" s="107"/>
      <c r="AL4754" s="107"/>
      <c r="AM4754" s="107"/>
      <c r="AN4754" s="107"/>
      <c r="AO4754" s="107"/>
      <c r="AP4754" s="107"/>
      <c r="AQ4754" s="107"/>
      <c r="AR4754" s="107"/>
      <c r="AS4754" s="107"/>
      <c r="AT4754" s="107"/>
      <c r="BA4754" s="117"/>
    </row>
    <row r="4755" spans="1:63" x14ac:dyDescent="0.25">
      <c r="A4755" s="92"/>
      <c r="B4755" s="93"/>
      <c r="C4755" s="93"/>
      <c r="D4755" s="92"/>
      <c r="E4755" s="92"/>
      <c r="F4755" s="92"/>
      <c r="G4755" s="92"/>
      <c r="H4755" s="92"/>
      <c r="I4755" s="92"/>
      <c r="J4755" s="92"/>
      <c r="K4755" s="92"/>
      <c r="L4755" s="92"/>
      <c r="M4755" s="92"/>
      <c r="N4755" s="94"/>
      <c r="AG4755" s="107"/>
      <c r="AH4755" s="117"/>
      <c r="AI4755" s="117"/>
      <c r="AJ4755" s="107"/>
      <c r="AK4755" s="107"/>
      <c r="AL4755" s="107"/>
      <c r="AM4755" s="107"/>
      <c r="AN4755" s="107"/>
      <c r="AO4755" s="107"/>
      <c r="AP4755" s="107"/>
      <c r="AQ4755" s="107"/>
      <c r="AR4755" s="107"/>
      <c r="AS4755" s="107"/>
      <c r="AT4755" s="39"/>
      <c r="BA4755" s="117"/>
    </row>
    <row r="4756" spans="1:63" x14ac:dyDescent="0.25">
      <c r="A4756" s="92"/>
      <c r="B4756" s="92"/>
      <c r="C4756" s="92"/>
      <c r="D4756" s="92"/>
      <c r="E4756" s="92"/>
      <c r="F4756" s="92"/>
      <c r="G4756" s="92"/>
      <c r="H4756" s="92"/>
      <c r="I4756" s="92"/>
      <c r="J4756" s="92"/>
      <c r="K4756" s="92"/>
      <c r="L4756" s="92"/>
      <c r="M4756" s="92"/>
      <c r="N4756" s="92"/>
      <c r="AG4756" s="107"/>
      <c r="AH4756" s="117"/>
      <c r="AI4756" s="117"/>
      <c r="AJ4756" s="107"/>
      <c r="AK4756" s="107"/>
      <c r="AL4756" s="107"/>
      <c r="AM4756" s="107"/>
      <c r="AN4756" s="107"/>
      <c r="AO4756" s="107"/>
      <c r="AP4756" s="107"/>
      <c r="AQ4756" s="107"/>
      <c r="AR4756" s="107"/>
      <c r="AS4756" s="107"/>
      <c r="AT4756" s="39"/>
      <c r="BA4756" s="117"/>
    </row>
    <row r="4757" spans="1:63" x14ac:dyDescent="0.25">
      <c r="A4757" s="92"/>
      <c r="B4757" s="93"/>
      <c r="C4757" s="93"/>
      <c r="D4757" s="93"/>
      <c r="E4757" s="92"/>
      <c r="F4757" s="92"/>
      <c r="G4757" s="92"/>
      <c r="H4757" s="92"/>
      <c r="I4757" s="92"/>
      <c r="J4757" s="92"/>
      <c r="K4757" s="92"/>
      <c r="L4757" s="92"/>
      <c r="M4757" s="92"/>
      <c r="N4757" s="94"/>
      <c r="AG4757" s="107"/>
      <c r="AH4757" s="117"/>
      <c r="AI4757" s="117"/>
      <c r="AJ4757" s="107"/>
      <c r="AK4757" s="107"/>
      <c r="AL4757" s="107"/>
      <c r="AM4757" s="107"/>
      <c r="AN4757" s="107"/>
      <c r="AO4757" s="107"/>
      <c r="AP4757" s="107"/>
      <c r="AQ4757" s="107"/>
      <c r="AR4757" s="107"/>
      <c r="AS4757" s="107"/>
      <c r="AT4757" s="39"/>
      <c r="AZ4757" s="117"/>
      <c r="BK4757" s="39"/>
    </row>
    <row r="4758" spans="1:63" x14ac:dyDescent="0.25">
      <c r="A4758" s="92"/>
      <c r="B4758" s="93"/>
      <c r="C4758" s="93"/>
      <c r="D4758" s="92"/>
      <c r="E4758" s="92"/>
      <c r="F4758" s="92"/>
      <c r="G4758" s="92"/>
      <c r="H4758" s="92"/>
      <c r="I4758" s="92"/>
      <c r="J4758" s="92"/>
      <c r="K4758" s="92"/>
      <c r="L4758" s="92"/>
      <c r="M4758" s="92"/>
      <c r="N4758" s="94"/>
      <c r="AG4758" s="107"/>
      <c r="AH4758" s="117"/>
      <c r="AI4758" s="117"/>
      <c r="AJ4758" s="117"/>
      <c r="AK4758" s="107"/>
      <c r="AL4758" s="107"/>
      <c r="AM4758" s="107"/>
      <c r="AN4758" s="107"/>
      <c r="AO4758" s="107"/>
      <c r="AP4758" s="107"/>
      <c r="AQ4758" s="107"/>
      <c r="AR4758" s="107"/>
      <c r="AS4758" s="107"/>
      <c r="AT4758" s="39"/>
    </row>
    <row r="4759" spans="1:63" x14ac:dyDescent="0.25">
      <c r="A4759" s="92"/>
      <c r="B4759" s="92"/>
      <c r="C4759" s="92"/>
      <c r="D4759" s="92"/>
      <c r="E4759" s="92"/>
      <c r="F4759" s="92"/>
      <c r="G4759" s="92"/>
      <c r="H4759" s="92"/>
      <c r="I4759" s="92"/>
      <c r="J4759" s="92"/>
      <c r="K4759" s="92"/>
      <c r="L4759" s="92"/>
      <c r="M4759" s="92"/>
      <c r="N4759" s="92"/>
      <c r="AG4759" s="107"/>
      <c r="AH4759" s="107"/>
      <c r="AI4759" s="107"/>
      <c r="AJ4759" s="117"/>
      <c r="AK4759" s="107"/>
      <c r="AL4759" s="107"/>
      <c r="AM4759" s="107"/>
      <c r="AN4759" s="107"/>
      <c r="AO4759" s="107"/>
      <c r="AP4759" s="107"/>
      <c r="AQ4759" s="107"/>
      <c r="AR4759" s="107"/>
      <c r="AS4759" s="107"/>
      <c r="AT4759" s="107"/>
      <c r="AZ4759" s="117"/>
      <c r="BK4759" s="39"/>
    </row>
    <row r="4760" spans="1:63" x14ac:dyDescent="0.25">
      <c r="A4760" s="92"/>
      <c r="B4760" s="92"/>
      <c r="C4760" s="92"/>
      <c r="D4760" s="92"/>
      <c r="E4760" s="92"/>
      <c r="F4760" s="92"/>
      <c r="G4760" s="92"/>
      <c r="H4760" s="92"/>
      <c r="I4760" s="92"/>
      <c r="J4760" s="92"/>
      <c r="K4760" s="92"/>
      <c r="L4760" s="92"/>
      <c r="M4760" s="92"/>
      <c r="N4760" s="92"/>
      <c r="AG4760" s="107"/>
      <c r="AH4760" s="107"/>
      <c r="AI4760" s="107"/>
      <c r="AJ4760" s="117"/>
      <c r="AK4760" s="107"/>
      <c r="AL4760" s="107"/>
      <c r="AM4760" s="107"/>
      <c r="AN4760" s="107"/>
      <c r="AO4760" s="107"/>
      <c r="AP4760" s="107"/>
      <c r="AQ4760" s="107"/>
      <c r="AR4760" s="107"/>
      <c r="AS4760" s="107"/>
      <c r="AT4760" s="107"/>
    </row>
    <row r="4761" spans="1:63" x14ac:dyDescent="0.25">
      <c r="A4761" s="92"/>
      <c r="B4761" s="92"/>
      <c r="C4761" s="92"/>
      <c r="D4761" s="92"/>
      <c r="E4761" s="92"/>
      <c r="F4761" s="92"/>
      <c r="G4761" s="92"/>
      <c r="H4761" s="92"/>
      <c r="I4761" s="92"/>
      <c r="J4761" s="92"/>
      <c r="K4761" s="92"/>
      <c r="L4761" s="92"/>
      <c r="M4761" s="92"/>
      <c r="N4761" s="92"/>
      <c r="AG4761" s="107"/>
      <c r="AH4761" s="107"/>
      <c r="AI4761" s="107"/>
      <c r="AJ4761" s="117"/>
      <c r="AK4761" s="107"/>
      <c r="AL4761" s="107"/>
      <c r="AM4761" s="107"/>
      <c r="AN4761" s="107"/>
      <c r="AO4761" s="107"/>
      <c r="AP4761" s="107"/>
      <c r="AQ4761" s="107"/>
      <c r="AR4761" s="107"/>
      <c r="AS4761" s="107"/>
      <c r="AT4761" s="107"/>
      <c r="AZ4761" s="117"/>
      <c r="BK4761" s="39"/>
    </row>
    <row r="4762" spans="1:63" x14ac:dyDescent="0.25">
      <c r="A4762" s="92"/>
      <c r="B4762" s="93"/>
      <c r="C4762" s="93"/>
      <c r="D4762" s="92"/>
      <c r="E4762" s="92"/>
      <c r="F4762" s="92"/>
      <c r="G4762" s="92"/>
      <c r="H4762" s="92"/>
      <c r="I4762" s="92"/>
      <c r="J4762" s="92"/>
      <c r="K4762" s="92"/>
      <c r="L4762" s="92"/>
      <c r="M4762" s="92"/>
      <c r="N4762" s="94"/>
      <c r="AG4762" s="107"/>
      <c r="AH4762" s="107"/>
      <c r="AI4762" s="107"/>
      <c r="AJ4762" s="117"/>
      <c r="AK4762" s="107"/>
      <c r="AL4762" s="107"/>
      <c r="AM4762" s="107"/>
      <c r="AN4762" s="107"/>
      <c r="AO4762" s="107"/>
      <c r="AP4762" s="107"/>
      <c r="AQ4762" s="107"/>
      <c r="AR4762" s="107"/>
      <c r="AS4762" s="107"/>
      <c r="AT4762" s="107"/>
    </row>
    <row r="4763" spans="1:63" x14ac:dyDescent="0.25">
      <c r="A4763" s="92"/>
      <c r="B4763" s="92"/>
      <c r="C4763" s="92"/>
      <c r="D4763" s="92"/>
      <c r="E4763" s="92"/>
      <c r="F4763" s="92"/>
      <c r="G4763" s="92"/>
      <c r="H4763" s="92"/>
      <c r="I4763" s="92"/>
      <c r="J4763" s="92"/>
      <c r="K4763" s="92"/>
      <c r="L4763" s="92"/>
      <c r="M4763" s="92"/>
      <c r="N4763" s="92"/>
      <c r="AG4763" s="107"/>
      <c r="AH4763" s="107"/>
      <c r="AI4763" s="107"/>
      <c r="AJ4763" s="117"/>
      <c r="AK4763" s="107"/>
      <c r="AL4763" s="107"/>
      <c r="AM4763" s="107"/>
      <c r="AN4763" s="107"/>
      <c r="AO4763" s="107"/>
      <c r="AP4763" s="107"/>
      <c r="AQ4763" s="107"/>
      <c r="AR4763" s="107"/>
      <c r="AS4763" s="107"/>
      <c r="AT4763" s="107"/>
    </row>
    <row r="4764" spans="1:63" x14ac:dyDescent="0.25">
      <c r="A4764" s="92"/>
      <c r="B4764" s="93"/>
      <c r="C4764" s="93"/>
      <c r="D4764" s="93"/>
      <c r="E4764" s="92"/>
      <c r="F4764" s="92"/>
      <c r="G4764" s="92"/>
      <c r="H4764" s="92"/>
      <c r="I4764" s="92"/>
      <c r="J4764" s="92"/>
      <c r="K4764" s="92"/>
      <c r="L4764" s="92"/>
      <c r="M4764" s="92"/>
      <c r="N4764" s="94"/>
      <c r="AG4764" s="107"/>
      <c r="AH4764" s="117"/>
      <c r="AI4764" s="117"/>
      <c r="AJ4764" s="107"/>
      <c r="AK4764" s="107"/>
      <c r="AL4764" s="107"/>
      <c r="AM4764" s="107"/>
      <c r="AN4764" s="107"/>
      <c r="AO4764" s="107"/>
      <c r="AP4764" s="107"/>
      <c r="AQ4764" s="107"/>
      <c r="AR4764" s="107"/>
      <c r="AS4764" s="107"/>
      <c r="AT4764" s="39"/>
    </row>
    <row r="4765" spans="1:63" x14ac:dyDescent="0.25">
      <c r="A4765" s="92"/>
      <c r="B4765" s="92"/>
      <c r="C4765" s="92"/>
      <c r="D4765" s="93"/>
      <c r="E4765" s="92"/>
      <c r="F4765" s="92"/>
      <c r="G4765" s="92"/>
      <c r="H4765" s="92"/>
      <c r="I4765" s="92"/>
      <c r="J4765" s="92"/>
      <c r="K4765" s="92"/>
      <c r="L4765" s="92"/>
      <c r="M4765" s="92"/>
      <c r="N4765" s="92"/>
      <c r="AG4765" s="107"/>
      <c r="AH4765" s="107"/>
      <c r="AI4765" s="107"/>
      <c r="AJ4765" s="107"/>
      <c r="AK4765" s="107"/>
      <c r="AL4765" s="107"/>
      <c r="AM4765" s="107"/>
      <c r="AN4765" s="107"/>
      <c r="AO4765" s="107"/>
      <c r="AP4765" s="107"/>
      <c r="AQ4765" s="107"/>
      <c r="AR4765" s="107"/>
      <c r="AS4765" s="107"/>
      <c r="AT4765" s="107"/>
    </row>
    <row r="4766" spans="1:63" x14ac:dyDescent="0.25">
      <c r="A4766" s="92"/>
      <c r="B4766" s="93"/>
      <c r="C4766" s="93"/>
      <c r="D4766" s="93"/>
      <c r="E4766" s="92"/>
      <c r="F4766" s="92"/>
      <c r="G4766" s="92"/>
      <c r="H4766" s="92"/>
      <c r="I4766" s="92"/>
      <c r="J4766" s="92"/>
      <c r="K4766" s="92"/>
      <c r="L4766" s="92"/>
      <c r="M4766" s="92"/>
      <c r="N4766" s="94"/>
      <c r="AG4766" s="107"/>
      <c r="AH4766" s="117"/>
      <c r="AI4766" s="117"/>
      <c r="AJ4766" s="117"/>
      <c r="AK4766" s="107"/>
      <c r="AL4766" s="107"/>
      <c r="AM4766" s="107"/>
      <c r="AN4766" s="107"/>
      <c r="AO4766" s="107"/>
      <c r="AP4766" s="107"/>
      <c r="AQ4766" s="107"/>
      <c r="AR4766" s="107"/>
      <c r="AS4766" s="107"/>
      <c r="AT4766" s="39"/>
    </row>
    <row r="4767" spans="1:63" x14ac:dyDescent="0.25">
      <c r="A4767" s="92"/>
      <c r="B4767" s="93"/>
      <c r="C4767" s="93"/>
      <c r="D4767" s="92"/>
      <c r="E4767" s="92"/>
      <c r="F4767" s="92"/>
      <c r="G4767" s="92"/>
      <c r="H4767" s="92"/>
      <c r="I4767" s="92"/>
      <c r="J4767" s="92"/>
      <c r="K4767" s="92"/>
      <c r="L4767" s="92"/>
      <c r="M4767" s="92"/>
      <c r="N4767" s="94"/>
      <c r="AG4767" s="107"/>
      <c r="AH4767" s="107"/>
      <c r="AI4767" s="107"/>
      <c r="AJ4767" s="107"/>
      <c r="AK4767" s="107"/>
      <c r="AL4767" s="107"/>
      <c r="AM4767" s="107"/>
      <c r="AN4767" s="107"/>
      <c r="AO4767" s="107"/>
      <c r="AP4767" s="107"/>
      <c r="AQ4767" s="107"/>
      <c r="AR4767" s="107"/>
      <c r="AS4767" s="107"/>
      <c r="AT4767" s="107"/>
      <c r="AZ4767" s="117"/>
      <c r="BK4767" s="39"/>
    </row>
    <row r="4768" spans="1:63" x14ac:dyDescent="0.25">
      <c r="A4768" s="92"/>
      <c r="B4768" s="92"/>
      <c r="C4768" s="92"/>
      <c r="D4768" s="92"/>
      <c r="E4768" s="92"/>
      <c r="F4768" s="92"/>
      <c r="G4768" s="92"/>
      <c r="H4768" s="92"/>
      <c r="I4768" s="92"/>
      <c r="J4768" s="92"/>
      <c r="K4768" s="92"/>
      <c r="L4768" s="92"/>
      <c r="M4768" s="92"/>
      <c r="N4768" s="92"/>
      <c r="AG4768" s="107"/>
      <c r="AH4768" s="107"/>
      <c r="AI4768" s="107"/>
      <c r="AJ4768" s="107"/>
      <c r="AK4768" s="107"/>
      <c r="AL4768" s="107"/>
      <c r="AM4768" s="107"/>
      <c r="AN4768" s="107"/>
      <c r="AO4768" s="107"/>
      <c r="AP4768" s="107"/>
      <c r="AQ4768" s="107"/>
      <c r="AR4768" s="107"/>
      <c r="AS4768" s="107"/>
      <c r="AT4768" s="107"/>
    </row>
    <row r="4769" spans="1:63" x14ac:dyDescent="0.25">
      <c r="A4769" s="92"/>
      <c r="B4769" s="93"/>
      <c r="C4769" s="93"/>
      <c r="D4769" s="93"/>
      <c r="E4769" s="92"/>
      <c r="F4769" s="92"/>
      <c r="G4769" s="92"/>
      <c r="H4769" s="92"/>
      <c r="I4769" s="92"/>
      <c r="J4769" s="92"/>
      <c r="K4769" s="92"/>
      <c r="L4769" s="92"/>
      <c r="M4769" s="92"/>
      <c r="N4769" s="94"/>
      <c r="AG4769" s="107"/>
      <c r="AH4769" s="107"/>
      <c r="AI4769" s="107"/>
      <c r="AJ4769" s="107"/>
      <c r="AK4769" s="107"/>
      <c r="AL4769" s="107"/>
      <c r="AM4769" s="107"/>
      <c r="AN4769" s="107"/>
      <c r="AO4769" s="107"/>
      <c r="AP4769" s="107"/>
      <c r="AQ4769" s="107"/>
      <c r="AR4769" s="107"/>
      <c r="AS4769" s="107"/>
      <c r="AT4769" s="107"/>
      <c r="AZ4769" s="117"/>
      <c r="BK4769" s="39"/>
    </row>
    <row r="4770" spans="1:63" x14ac:dyDescent="0.25">
      <c r="A4770" s="92"/>
      <c r="B4770" s="92"/>
      <c r="C4770" s="92"/>
      <c r="D4770" s="93"/>
      <c r="E4770" s="92"/>
      <c r="F4770" s="92"/>
      <c r="G4770" s="92"/>
      <c r="H4770" s="92"/>
      <c r="I4770" s="92"/>
      <c r="J4770" s="92"/>
      <c r="K4770" s="92"/>
      <c r="L4770" s="92"/>
      <c r="M4770" s="92"/>
      <c r="N4770" s="92"/>
      <c r="AG4770" s="107"/>
      <c r="AH4770" s="117"/>
      <c r="AI4770" s="117"/>
      <c r="AJ4770" s="107"/>
      <c r="AK4770" s="107"/>
      <c r="AL4770" s="107"/>
      <c r="AM4770" s="107"/>
      <c r="AN4770" s="107"/>
      <c r="AO4770" s="107"/>
      <c r="AP4770" s="107"/>
      <c r="AQ4770" s="107"/>
      <c r="AR4770" s="107"/>
      <c r="AS4770" s="107"/>
      <c r="AT4770" s="39"/>
    </row>
    <row r="4771" spans="1:63" x14ac:dyDescent="0.25">
      <c r="A4771" s="92"/>
      <c r="B4771" s="92"/>
      <c r="C4771" s="92"/>
      <c r="D4771" s="93"/>
      <c r="E4771" s="92"/>
      <c r="F4771" s="92"/>
      <c r="G4771" s="92"/>
      <c r="H4771" s="92"/>
      <c r="I4771" s="92"/>
      <c r="J4771" s="92"/>
      <c r="K4771" s="92"/>
      <c r="L4771" s="92"/>
      <c r="M4771" s="92"/>
      <c r="N4771" s="92"/>
      <c r="AG4771" s="107"/>
      <c r="AH4771" s="107"/>
      <c r="AI4771" s="107"/>
      <c r="AJ4771" s="107"/>
      <c r="AK4771" s="107"/>
      <c r="AL4771" s="107"/>
      <c r="AM4771" s="107"/>
      <c r="AN4771" s="107"/>
      <c r="AO4771" s="107"/>
      <c r="AP4771" s="107"/>
      <c r="AQ4771" s="107"/>
      <c r="AR4771" s="107"/>
      <c r="AS4771" s="107"/>
      <c r="AT4771" s="107"/>
      <c r="AZ4771" s="117"/>
      <c r="BK4771" s="39"/>
    </row>
    <row r="4772" spans="1:63" x14ac:dyDescent="0.25">
      <c r="A4772" s="92"/>
      <c r="B4772" s="92"/>
      <c r="C4772" s="92"/>
      <c r="D4772" s="93"/>
      <c r="E4772" s="92"/>
      <c r="F4772" s="92"/>
      <c r="G4772" s="92"/>
      <c r="H4772" s="92"/>
      <c r="I4772" s="92"/>
      <c r="J4772" s="92"/>
      <c r="K4772" s="92"/>
      <c r="L4772" s="92"/>
      <c r="M4772" s="92"/>
      <c r="N4772" s="92"/>
      <c r="AG4772" s="107"/>
      <c r="AH4772" s="117"/>
      <c r="AI4772" s="117"/>
      <c r="AJ4772" s="107"/>
      <c r="AK4772" s="107"/>
      <c r="AL4772" s="107"/>
      <c r="AM4772" s="107"/>
      <c r="AN4772" s="107"/>
      <c r="AO4772" s="107"/>
      <c r="AP4772" s="107"/>
      <c r="AQ4772" s="107"/>
      <c r="AR4772" s="107"/>
      <c r="AS4772" s="107"/>
      <c r="AT4772" s="39"/>
    </row>
    <row r="4773" spans="1:63" x14ac:dyDescent="0.25">
      <c r="A4773" s="92"/>
      <c r="B4773" s="93"/>
      <c r="C4773" s="93"/>
      <c r="D4773" s="92"/>
      <c r="E4773" s="92"/>
      <c r="F4773" s="92"/>
      <c r="G4773" s="92"/>
      <c r="H4773" s="92"/>
      <c r="I4773" s="92"/>
      <c r="J4773" s="92"/>
      <c r="K4773" s="92"/>
      <c r="L4773" s="92"/>
      <c r="M4773" s="92"/>
      <c r="N4773" s="94"/>
      <c r="AG4773" s="107"/>
      <c r="AH4773" s="117"/>
      <c r="AI4773" s="117"/>
      <c r="AJ4773" s="107"/>
      <c r="AK4773" s="107"/>
      <c r="AL4773" s="107"/>
      <c r="AM4773" s="107"/>
      <c r="AN4773" s="107"/>
      <c r="AO4773" s="107"/>
      <c r="AP4773" s="107"/>
      <c r="AQ4773" s="107"/>
      <c r="AR4773" s="107"/>
      <c r="AS4773" s="107"/>
      <c r="AT4773" s="39"/>
      <c r="AZ4773" s="117"/>
      <c r="BA4773" s="117"/>
      <c r="BK4773" s="39"/>
    </row>
    <row r="4774" spans="1:63" x14ac:dyDescent="0.25">
      <c r="A4774" s="92"/>
      <c r="B4774" s="92"/>
      <c r="C4774" s="92"/>
      <c r="D4774" s="92"/>
      <c r="E4774" s="92"/>
      <c r="F4774" s="92"/>
      <c r="G4774" s="92"/>
      <c r="H4774" s="92"/>
      <c r="I4774" s="92"/>
      <c r="J4774" s="92"/>
      <c r="K4774" s="92"/>
      <c r="L4774" s="92"/>
      <c r="M4774" s="92"/>
      <c r="N4774" s="92"/>
      <c r="AG4774" s="107"/>
      <c r="AH4774" s="107"/>
      <c r="AI4774" s="107"/>
      <c r="AJ4774" s="107"/>
      <c r="AK4774" s="107"/>
      <c r="AL4774" s="107"/>
      <c r="AM4774" s="107"/>
      <c r="AN4774" s="107"/>
      <c r="AO4774" s="107"/>
      <c r="AP4774" s="107"/>
      <c r="AQ4774" s="107"/>
      <c r="AR4774" s="107"/>
      <c r="AS4774" s="107"/>
      <c r="AT4774" s="107"/>
      <c r="BA4774" s="117"/>
    </row>
    <row r="4775" spans="1:63" x14ac:dyDescent="0.25">
      <c r="A4775" s="92"/>
      <c r="B4775" s="93"/>
      <c r="C4775" s="93"/>
      <c r="D4775" s="92"/>
      <c r="E4775" s="92"/>
      <c r="F4775" s="92"/>
      <c r="G4775" s="92"/>
      <c r="H4775" s="92"/>
      <c r="I4775" s="92"/>
      <c r="J4775" s="92"/>
      <c r="K4775" s="92"/>
      <c r="L4775" s="92"/>
      <c r="M4775" s="92"/>
      <c r="N4775" s="94"/>
      <c r="AG4775" s="107"/>
      <c r="AH4775" s="107"/>
      <c r="AI4775" s="107"/>
      <c r="AJ4775" s="107"/>
      <c r="AK4775" s="107"/>
      <c r="AL4775" s="107"/>
      <c r="AM4775" s="107"/>
      <c r="AN4775" s="107"/>
      <c r="AO4775" s="107"/>
      <c r="AP4775" s="107"/>
      <c r="AQ4775" s="107"/>
      <c r="AR4775" s="107"/>
      <c r="AS4775" s="107"/>
      <c r="AT4775" s="107"/>
      <c r="BA4775" s="117"/>
    </row>
    <row r="4776" spans="1:63" x14ac:dyDescent="0.25">
      <c r="A4776" s="92"/>
      <c r="B4776" s="92"/>
      <c r="C4776" s="92"/>
      <c r="D4776" s="92"/>
      <c r="E4776" s="92"/>
      <c r="F4776" s="92"/>
      <c r="G4776" s="92"/>
      <c r="H4776" s="92"/>
      <c r="I4776" s="92"/>
      <c r="J4776" s="92"/>
      <c r="K4776" s="92"/>
      <c r="L4776" s="92"/>
      <c r="M4776" s="92"/>
      <c r="N4776" s="92"/>
      <c r="AG4776" s="107"/>
      <c r="AH4776" s="107"/>
      <c r="AI4776" s="107"/>
      <c r="AJ4776" s="107"/>
      <c r="AK4776" s="107"/>
      <c r="AL4776" s="107"/>
      <c r="AM4776" s="107"/>
      <c r="AN4776" s="107"/>
      <c r="AO4776" s="107"/>
      <c r="AP4776" s="107"/>
      <c r="AQ4776" s="107"/>
      <c r="AR4776" s="107"/>
      <c r="AS4776" s="107"/>
      <c r="AT4776" s="107"/>
      <c r="BA4776" s="117"/>
    </row>
    <row r="4777" spans="1:63" x14ac:dyDescent="0.25">
      <c r="A4777" s="92"/>
      <c r="B4777" s="93"/>
      <c r="C4777" s="93"/>
      <c r="D4777" s="92"/>
      <c r="E4777" s="92"/>
      <c r="F4777" s="92"/>
      <c r="G4777" s="92"/>
      <c r="H4777" s="92"/>
      <c r="I4777" s="92"/>
      <c r="J4777" s="92"/>
      <c r="K4777" s="92"/>
      <c r="L4777" s="92"/>
      <c r="M4777" s="92"/>
      <c r="N4777" s="94"/>
      <c r="AG4777" s="107"/>
      <c r="AH4777" s="117"/>
      <c r="AI4777" s="117"/>
      <c r="AJ4777" s="107"/>
      <c r="AK4777" s="107"/>
      <c r="AL4777" s="107"/>
      <c r="AM4777" s="107"/>
      <c r="AN4777" s="107"/>
      <c r="AO4777" s="107"/>
      <c r="AP4777" s="107"/>
      <c r="AQ4777" s="107"/>
      <c r="AR4777" s="107"/>
      <c r="AS4777" s="107"/>
      <c r="AT4777" s="39"/>
      <c r="BA4777" s="117"/>
    </row>
    <row r="4778" spans="1:63" x14ac:dyDescent="0.25">
      <c r="A4778" s="92"/>
      <c r="B4778" s="92"/>
      <c r="C4778" s="92"/>
      <c r="D4778" s="92"/>
      <c r="E4778" s="92"/>
      <c r="F4778" s="92"/>
      <c r="G4778" s="92"/>
      <c r="H4778" s="92"/>
      <c r="I4778" s="92"/>
      <c r="J4778" s="92"/>
      <c r="K4778" s="92"/>
      <c r="L4778" s="92"/>
      <c r="M4778" s="92"/>
      <c r="N4778" s="92"/>
      <c r="AG4778" s="107"/>
      <c r="AH4778" s="107"/>
      <c r="AI4778" s="107"/>
      <c r="AJ4778" s="107"/>
      <c r="AK4778" s="107"/>
      <c r="AL4778" s="107"/>
      <c r="AM4778" s="107"/>
      <c r="AN4778" s="107"/>
      <c r="AO4778" s="107"/>
      <c r="AP4778" s="107"/>
      <c r="AQ4778" s="107"/>
      <c r="AR4778" s="107"/>
      <c r="AS4778" s="107"/>
      <c r="AT4778" s="107"/>
      <c r="AZ4778" s="117"/>
      <c r="BK4778" s="39"/>
    </row>
    <row r="4779" spans="1:63" x14ac:dyDescent="0.25">
      <c r="A4779" s="92"/>
      <c r="B4779" s="92"/>
      <c r="C4779" s="92"/>
      <c r="D4779" s="92"/>
      <c r="E4779" s="92"/>
      <c r="F4779" s="92"/>
      <c r="G4779" s="92"/>
      <c r="H4779" s="92"/>
      <c r="I4779" s="92"/>
      <c r="J4779" s="92"/>
      <c r="K4779" s="92"/>
      <c r="L4779" s="92"/>
      <c r="M4779" s="92"/>
      <c r="N4779" s="92"/>
      <c r="AG4779" s="107"/>
      <c r="AH4779" s="107"/>
      <c r="AI4779" s="107"/>
      <c r="AJ4779" s="107"/>
      <c r="AK4779" s="107"/>
      <c r="AL4779" s="107"/>
      <c r="AM4779" s="107"/>
      <c r="AN4779" s="107"/>
      <c r="AO4779" s="107"/>
      <c r="AP4779" s="107"/>
      <c r="AQ4779" s="107"/>
      <c r="AR4779" s="107"/>
      <c r="AS4779" s="107"/>
      <c r="AT4779" s="107"/>
      <c r="AZ4779" s="117"/>
      <c r="BK4779" s="39"/>
    </row>
    <row r="4780" spans="1:63" x14ac:dyDescent="0.25">
      <c r="A4780" s="92"/>
      <c r="B4780" s="92"/>
      <c r="C4780" s="92"/>
      <c r="D4780" s="92"/>
      <c r="E4780" s="92"/>
      <c r="F4780" s="92"/>
      <c r="G4780" s="92"/>
      <c r="H4780" s="92"/>
      <c r="I4780" s="92"/>
      <c r="J4780" s="92"/>
      <c r="K4780" s="92"/>
      <c r="L4780" s="92"/>
      <c r="M4780" s="92"/>
      <c r="N4780" s="92"/>
      <c r="AG4780" s="107"/>
      <c r="AH4780" s="107"/>
      <c r="AI4780" s="107"/>
      <c r="AJ4780" s="107"/>
      <c r="AK4780" s="107"/>
      <c r="AL4780" s="107"/>
      <c r="AM4780" s="107"/>
      <c r="AN4780" s="107"/>
      <c r="AO4780" s="107"/>
      <c r="AP4780" s="107"/>
      <c r="AQ4780" s="107"/>
      <c r="AR4780" s="107"/>
      <c r="AS4780" s="107"/>
      <c r="AT4780" s="107"/>
    </row>
    <row r="4781" spans="1:63" x14ac:dyDescent="0.25">
      <c r="A4781" s="92"/>
      <c r="B4781" s="92"/>
      <c r="C4781" s="92"/>
      <c r="D4781" s="92"/>
      <c r="E4781" s="92"/>
      <c r="F4781" s="92"/>
      <c r="G4781" s="92"/>
      <c r="H4781" s="92"/>
      <c r="I4781" s="92"/>
      <c r="J4781" s="92"/>
      <c r="K4781" s="92"/>
      <c r="L4781" s="92"/>
      <c r="M4781" s="92"/>
      <c r="N4781" s="92"/>
      <c r="AG4781" s="107"/>
      <c r="AH4781" s="107"/>
      <c r="AI4781" s="107"/>
      <c r="AJ4781" s="107"/>
      <c r="AK4781" s="107"/>
      <c r="AL4781" s="107"/>
      <c r="AM4781" s="107"/>
      <c r="AN4781" s="107"/>
      <c r="AO4781" s="107"/>
      <c r="AP4781" s="107"/>
      <c r="AQ4781" s="107"/>
      <c r="AR4781" s="107"/>
      <c r="AS4781" s="107"/>
      <c r="AT4781" s="107"/>
      <c r="AZ4781" s="117"/>
      <c r="BA4781" s="117"/>
      <c r="BK4781" s="39"/>
    </row>
    <row r="4782" spans="1:63" x14ac:dyDescent="0.25">
      <c r="A4782" s="92"/>
      <c r="B4782" s="92"/>
      <c r="C4782" s="92"/>
      <c r="D4782" s="92"/>
      <c r="E4782" s="92"/>
      <c r="F4782" s="92"/>
      <c r="G4782" s="92"/>
      <c r="H4782" s="92"/>
      <c r="I4782" s="92"/>
      <c r="J4782" s="92"/>
      <c r="K4782" s="92"/>
      <c r="L4782" s="92"/>
      <c r="M4782" s="92"/>
      <c r="N4782" s="92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BA4782" s="117"/>
    </row>
    <row r="4783" spans="1:63" x14ac:dyDescent="0.25">
      <c r="A4783" s="92"/>
      <c r="B4783" s="93"/>
      <c r="C4783" s="93"/>
      <c r="D4783" s="92"/>
      <c r="E4783" s="92"/>
      <c r="F4783" s="92"/>
      <c r="G4783" s="92"/>
      <c r="H4783" s="92"/>
      <c r="I4783" s="92"/>
      <c r="J4783" s="92"/>
      <c r="K4783" s="92"/>
      <c r="L4783" s="92"/>
      <c r="M4783" s="92"/>
      <c r="N4783" s="94"/>
      <c r="AG4783" s="107"/>
      <c r="AH4783" s="117"/>
      <c r="AI4783" s="117"/>
      <c r="AJ4783" s="107"/>
      <c r="AK4783" s="107"/>
      <c r="AL4783" s="107"/>
      <c r="AM4783" s="107"/>
      <c r="AN4783" s="107"/>
      <c r="AO4783" s="107"/>
      <c r="AP4783" s="107"/>
      <c r="AQ4783" s="107"/>
      <c r="AR4783" s="107"/>
      <c r="AS4783" s="107"/>
      <c r="AT4783" s="39"/>
      <c r="BA4783" s="117"/>
    </row>
    <row r="4784" spans="1:63" x14ac:dyDescent="0.25">
      <c r="A4784" s="92"/>
      <c r="B4784" s="92"/>
      <c r="C4784" s="92"/>
      <c r="D4784" s="92"/>
      <c r="E4784" s="92"/>
      <c r="F4784" s="92"/>
      <c r="G4784" s="92"/>
      <c r="H4784" s="92"/>
      <c r="I4784" s="92"/>
      <c r="J4784" s="92"/>
      <c r="K4784" s="92"/>
      <c r="L4784" s="92"/>
      <c r="M4784" s="92"/>
      <c r="N4784" s="92"/>
      <c r="AG4784" s="107"/>
      <c r="AH4784" s="117"/>
      <c r="AI4784" s="117"/>
      <c r="AJ4784" s="107"/>
      <c r="AK4784" s="107"/>
      <c r="AL4784" s="107"/>
      <c r="AM4784" s="107"/>
      <c r="AN4784" s="107"/>
      <c r="AO4784" s="107"/>
      <c r="AP4784" s="107"/>
      <c r="AQ4784" s="107"/>
      <c r="AR4784" s="107"/>
      <c r="AS4784" s="107"/>
      <c r="AT4784" s="39"/>
      <c r="AZ4784" s="117"/>
      <c r="BK4784" s="39"/>
    </row>
    <row r="4785" spans="1:63" x14ac:dyDescent="0.25">
      <c r="A4785" s="92"/>
      <c r="B4785" s="93"/>
      <c r="C4785" s="93"/>
      <c r="D4785" s="92"/>
      <c r="E4785" s="92"/>
      <c r="F4785" s="92"/>
      <c r="G4785" s="92"/>
      <c r="H4785" s="92"/>
      <c r="I4785" s="92"/>
      <c r="J4785" s="92"/>
      <c r="K4785" s="92"/>
      <c r="L4785" s="92"/>
      <c r="M4785" s="92"/>
      <c r="N4785" s="94"/>
      <c r="AG4785" s="107"/>
      <c r="AH4785" s="107"/>
      <c r="AI4785" s="107"/>
      <c r="AJ4785" s="107"/>
      <c r="AK4785" s="107"/>
      <c r="AL4785" s="107"/>
      <c r="AM4785" s="107"/>
      <c r="AN4785" s="107"/>
      <c r="AO4785" s="107"/>
      <c r="AP4785" s="107"/>
      <c r="AQ4785" s="107"/>
      <c r="AR4785" s="107"/>
      <c r="AS4785" s="107"/>
      <c r="AT4785" s="107"/>
    </row>
    <row r="4786" spans="1:63" x14ac:dyDescent="0.25">
      <c r="A4786" s="92"/>
      <c r="B4786" s="92"/>
      <c r="C4786" s="92"/>
      <c r="D4786" s="92"/>
      <c r="E4786" s="92"/>
      <c r="F4786" s="92"/>
      <c r="G4786" s="92"/>
      <c r="H4786" s="92"/>
      <c r="I4786" s="92"/>
      <c r="J4786" s="92"/>
      <c r="K4786" s="92"/>
      <c r="L4786" s="92"/>
      <c r="M4786" s="92"/>
      <c r="N4786" s="92"/>
      <c r="AG4786" s="107"/>
      <c r="AH4786" s="107"/>
      <c r="AI4786" s="107"/>
      <c r="AJ4786" s="107"/>
      <c r="AK4786" s="107"/>
      <c r="AL4786" s="107"/>
      <c r="AM4786" s="107"/>
      <c r="AN4786" s="107"/>
      <c r="AO4786" s="107"/>
      <c r="AP4786" s="107"/>
      <c r="AQ4786" s="107"/>
      <c r="AR4786" s="107"/>
      <c r="AS4786" s="107"/>
      <c r="AT4786" s="107"/>
    </row>
    <row r="4787" spans="1:63" x14ac:dyDescent="0.25">
      <c r="A4787" s="92"/>
      <c r="B4787" s="93"/>
      <c r="C4787" s="93"/>
      <c r="D4787" s="92"/>
      <c r="E4787" s="92"/>
      <c r="F4787" s="92"/>
      <c r="G4787" s="92"/>
      <c r="H4787" s="92"/>
      <c r="I4787" s="92"/>
      <c r="J4787" s="92"/>
      <c r="K4787" s="92"/>
      <c r="L4787" s="92"/>
      <c r="M4787" s="92"/>
      <c r="N4787" s="94"/>
      <c r="AG4787" s="107"/>
      <c r="AH4787" s="107"/>
      <c r="AI4787" s="107"/>
      <c r="AJ4787" s="107"/>
      <c r="AK4787" s="107"/>
      <c r="AL4787" s="107"/>
      <c r="AM4787" s="107"/>
      <c r="AN4787" s="107"/>
      <c r="AO4787" s="107"/>
      <c r="AP4787" s="107"/>
      <c r="AQ4787" s="107"/>
      <c r="AR4787" s="107"/>
      <c r="AS4787" s="107"/>
      <c r="AT4787" s="107"/>
      <c r="AZ4787" s="117"/>
      <c r="BK4787" s="39"/>
    </row>
    <row r="4788" spans="1:63" x14ac:dyDescent="0.25">
      <c r="A4788" s="92"/>
      <c r="B4788" s="92"/>
      <c r="C4788" s="92"/>
      <c r="D4788" s="92"/>
      <c r="E4788" s="92"/>
      <c r="F4788" s="92"/>
      <c r="G4788" s="92"/>
      <c r="H4788" s="92"/>
      <c r="I4788" s="92"/>
      <c r="J4788" s="92"/>
      <c r="K4788" s="92"/>
      <c r="L4788" s="92"/>
      <c r="M4788" s="92"/>
      <c r="N4788" s="92"/>
      <c r="AG4788" s="107"/>
      <c r="AH4788" s="117"/>
      <c r="AI4788" s="117"/>
      <c r="AJ4788" s="117"/>
      <c r="AK4788" s="107"/>
      <c r="AL4788" s="107"/>
      <c r="AM4788" s="107"/>
      <c r="AN4788" s="107"/>
      <c r="AO4788" s="107"/>
      <c r="AP4788" s="107"/>
      <c r="AQ4788" s="107"/>
      <c r="AR4788" s="107"/>
      <c r="AS4788" s="107"/>
      <c r="AT4788" s="39"/>
      <c r="AZ4788" s="117"/>
      <c r="BA4788" s="117"/>
      <c r="BK4788" s="39"/>
    </row>
    <row r="4789" spans="1:63" x14ac:dyDescent="0.25">
      <c r="A4789" s="92"/>
      <c r="B4789" s="93"/>
      <c r="C4789" s="93"/>
      <c r="D4789" s="93"/>
      <c r="E4789" s="92"/>
      <c r="F4789" s="92"/>
      <c r="G4789" s="92"/>
      <c r="H4789" s="92"/>
      <c r="I4789" s="92"/>
      <c r="J4789" s="92"/>
      <c r="K4789" s="92"/>
      <c r="L4789" s="92"/>
      <c r="M4789" s="92"/>
      <c r="N4789" s="94"/>
      <c r="AG4789" s="107"/>
      <c r="AH4789" s="107"/>
      <c r="AI4789" s="107"/>
      <c r="AJ4789" s="117"/>
      <c r="AK4789" s="107"/>
      <c r="AL4789" s="107"/>
      <c r="AM4789" s="107"/>
      <c r="AN4789" s="107"/>
      <c r="AO4789" s="107"/>
      <c r="AP4789" s="107"/>
      <c r="AQ4789" s="107"/>
      <c r="AR4789" s="107"/>
      <c r="AS4789" s="107"/>
      <c r="AT4789" s="107"/>
      <c r="BA4789" s="117"/>
    </row>
    <row r="4790" spans="1:63" x14ac:dyDescent="0.25">
      <c r="A4790" s="92"/>
      <c r="B4790" s="92"/>
      <c r="C4790" s="92"/>
      <c r="D4790" s="93"/>
      <c r="E4790" s="92"/>
      <c r="F4790" s="92"/>
      <c r="G4790" s="92"/>
      <c r="H4790" s="92"/>
      <c r="I4790" s="92"/>
      <c r="J4790" s="92"/>
      <c r="K4790" s="92"/>
      <c r="L4790" s="92"/>
      <c r="M4790" s="92"/>
      <c r="N4790" s="92"/>
      <c r="AG4790" s="107"/>
      <c r="AH4790" s="107"/>
      <c r="AI4790" s="107"/>
      <c r="AJ4790" s="117"/>
      <c r="AK4790" s="107"/>
      <c r="AL4790" s="107"/>
      <c r="AM4790" s="107"/>
      <c r="AN4790" s="107"/>
      <c r="AO4790" s="107"/>
      <c r="AP4790" s="107"/>
      <c r="AQ4790" s="107"/>
      <c r="AR4790" s="107"/>
      <c r="AS4790" s="107"/>
      <c r="AT4790" s="107"/>
      <c r="BA4790" s="117"/>
    </row>
    <row r="4791" spans="1:63" x14ac:dyDescent="0.25">
      <c r="A4791" s="92"/>
      <c r="B4791" s="92"/>
      <c r="C4791" s="92"/>
      <c r="D4791" s="93"/>
      <c r="E4791" s="92"/>
      <c r="F4791" s="92"/>
      <c r="G4791" s="92"/>
      <c r="H4791" s="92"/>
      <c r="I4791" s="92"/>
      <c r="J4791" s="92"/>
      <c r="K4791" s="92"/>
      <c r="L4791" s="92"/>
      <c r="M4791" s="92"/>
      <c r="N4791" s="92"/>
      <c r="AG4791" s="107"/>
      <c r="AH4791" s="107"/>
      <c r="AI4791" s="107"/>
      <c r="AJ4791" s="117"/>
      <c r="AK4791" s="107"/>
      <c r="AL4791" s="107"/>
      <c r="AM4791" s="107"/>
      <c r="AN4791" s="107"/>
      <c r="AO4791" s="107"/>
      <c r="AP4791" s="107"/>
      <c r="AQ4791" s="107"/>
      <c r="AR4791" s="107"/>
      <c r="AS4791" s="107"/>
      <c r="AT4791" s="107"/>
      <c r="AZ4791" s="117"/>
      <c r="BK4791" s="39"/>
    </row>
    <row r="4792" spans="1:63" x14ac:dyDescent="0.25">
      <c r="A4792" s="92"/>
      <c r="B4792" s="92"/>
      <c r="C4792" s="92"/>
      <c r="D4792" s="93"/>
      <c r="E4792" s="92"/>
      <c r="F4792" s="92"/>
      <c r="G4792" s="92"/>
      <c r="H4792" s="92"/>
      <c r="I4792" s="92"/>
      <c r="J4792" s="92"/>
      <c r="K4792" s="92"/>
      <c r="L4792" s="92"/>
      <c r="M4792" s="92"/>
      <c r="N4792" s="92"/>
      <c r="AG4792" s="107"/>
      <c r="AH4792" s="117"/>
      <c r="AI4792" s="117"/>
      <c r="AJ4792" s="117"/>
      <c r="AK4792" s="107"/>
      <c r="AL4792" s="107"/>
      <c r="AM4792" s="107"/>
      <c r="AN4792" s="107"/>
      <c r="AO4792" s="107"/>
      <c r="AP4792" s="107"/>
      <c r="AQ4792" s="107"/>
      <c r="AR4792" s="107"/>
      <c r="AS4792" s="107"/>
      <c r="AT4792" s="39"/>
      <c r="AZ4792" s="117"/>
      <c r="BK4792" s="39"/>
    </row>
    <row r="4793" spans="1:63" x14ac:dyDescent="0.25">
      <c r="A4793" s="92"/>
      <c r="B4793" s="92"/>
      <c r="C4793" s="92"/>
      <c r="D4793" s="93"/>
      <c r="E4793" s="92"/>
      <c r="F4793" s="92"/>
      <c r="G4793" s="92"/>
      <c r="H4793" s="92"/>
      <c r="I4793" s="92"/>
      <c r="J4793" s="92"/>
      <c r="K4793" s="92"/>
      <c r="L4793" s="92"/>
      <c r="M4793" s="92"/>
      <c r="N4793" s="92"/>
      <c r="AG4793" s="107"/>
      <c r="AH4793" s="107"/>
      <c r="AI4793" s="107"/>
      <c r="AJ4793" s="107"/>
      <c r="AK4793" s="107"/>
      <c r="AL4793" s="107"/>
      <c r="AM4793" s="107"/>
      <c r="AN4793" s="107"/>
      <c r="AO4793" s="107"/>
      <c r="AP4793" s="107"/>
      <c r="AQ4793" s="107"/>
      <c r="AR4793" s="107"/>
      <c r="AS4793" s="107"/>
      <c r="AT4793" s="107"/>
      <c r="AZ4793" s="117"/>
      <c r="BA4793" s="117"/>
      <c r="BK4793" s="39"/>
    </row>
    <row r="4794" spans="1:63" x14ac:dyDescent="0.25">
      <c r="A4794" s="92"/>
      <c r="B4794" s="93"/>
      <c r="C4794" s="93"/>
      <c r="D4794" s="92"/>
      <c r="E4794" s="92"/>
      <c r="F4794" s="92"/>
      <c r="G4794" s="92"/>
      <c r="H4794" s="92"/>
      <c r="I4794" s="92"/>
      <c r="J4794" s="92"/>
      <c r="K4794" s="92"/>
      <c r="L4794" s="92"/>
      <c r="M4794" s="92"/>
      <c r="N4794" s="94"/>
      <c r="AG4794" s="107"/>
      <c r="AH4794" s="117"/>
      <c r="AI4794" s="117"/>
      <c r="AJ4794" s="107"/>
      <c r="AK4794" s="107"/>
      <c r="AL4794" s="107"/>
      <c r="AM4794" s="107"/>
      <c r="AN4794" s="107"/>
      <c r="AO4794" s="107"/>
      <c r="AP4794" s="107"/>
      <c r="AQ4794" s="107"/>
      <c r="AR4794" s="107"/>
      <c r="AS4794" s="107"/>
      <c r="AT4794" s="39"/>
      <c r="BA4794" s="117"/>
    </row>
    <row r="4795" spans="1:63" x14ac:dyDescent="0.25">
      <c r="A4795" s="92"/>
      <c r="B4795" s="93"/>
      <c r="C4795" s="93"/>
      <c r="D4795" s="92"/>
      <c r="E4795" s="92"/>
      <c r="F4795" s="92"/>
      <c r="G4795" s="92"/>
      <c r="H4795" s="92"/>
      <c r="I4795" s="92"/>
      <c r="J4795" s="92"/>
      <c r="K4795" s="92"/>
      <c r="L4795" s="92"/>
      <c r="M4795" s="92"/>
      <c r="N4795" s="94"/>
      <c r="AG4795" s="107"/>
      <c r="AH4795" s="117"/>
      <c r="AI4795" s="117"/>
      <c r="AJ4795" s="107"/>
      <c r="AK4795" s="107"/>
      <c r="AL4795" s="107"/>
      <c r="AM4795" s="107"/>
      <c r="AN4795" s="107"/>
      <c r="AO4795" s="107"/>
      <c r="AP4795" s="107"/>
      <c r="AQ4795" s="107"/>
      <c r="AR4795" s="107"/>
      <c r="AS4795" s="107"/>
      <c r="AT4795" s="39"/>
      <c r="AZ4795" s="117"/>
      <c r="BA4795" s="117"/>
      <c r="BK4795" s="39"/>
    </row>
    <row r="4796" spans="1:63" x14ac:dyDescent="0.25">
      <c r="A4796" s="92"/>
      <c r="B4796" s="92"/>
      <c r="C4796" s="92"/>
      <c r="D4796" s="92"/>
      <c r="E4796" s="92"/>
      <c r="F4796" s="92"/>
      <c r="G4796" s="92"/>
      <c r="H4796" s="92"/>
      <c r="I4796" s="92"/>
      <c r="J4796" s="92"/>
      <c r="K4796" s="92"/>
      <c r="L4796" s="92"/>
      <c r="M4796" s="92"/>
      <c r="N4796" s="92"/>
      <c r="AG4796" s="107"/>
      <c r="AH4796" s="117"/>
      <c r="AI4796" s="117"/>
      <c r="AJ4796" s="107"/>
      <c r="AK4796" s="107"/>
      <c r="AL4796" s="107"/>
      <c r="AM4796" s="107"/>
      <c r="AN4796" s="107"/>
      <c r="AO4796" s="107"/>
      <c r="AP4796" s="107"/>
      <c r="AQ4796" s="107"/>
      <c r="AR4796" s="107"/>
      <c r="AS4796" s="107"/>
      <c r="AT4796" s="39"/>
      <c r="BA4796" s="117"/>
    </row>
    <row r="4797" spans="1:63" x14ac:dyDescent="0.25">
      <c r="A4797" s="92"/>
      <c r="B4797" s="93"/>
      <c r="C4797" s="93"/>
      <c r="D4797" s="93"/>
      <c r="E4797" s="92"/>
      <c r="F4797" s="92"/>
      <c r="G4797" s="92"/>
      <c r="H4797" s="92"/>
      <c r="I4797" s="92"/>
      <c r="J4797" s="92"/>
      <c r="K4797" s="92"/>
      <c r="L4797" s="92"/>
      <c r="M4797" s="92"/>
      <c r="N4797" s="94"/>
      <c r="AG4797" s="107"/>
      <c r="AH4797" s="117"/>
      <c r="AI4797" s="117"/>
      <c r="AJ4797" s="107"/>
      <c r="AK4797" s="107"/>
      <c r="AL4797" s="107"/>
      <c r="AM4797" s="107"/>
      <c r="AN4797" s="107"/>
      <c r="AO4797" s="107"/>
      <c r="AP4797" s="107"/>
      <c r="AQ4797" s="107"/>
      <c r="AR4797" s="107"/>
      <c r="AS4797" s="107"/>
      <c r="AT4797" s="39"/>
    </row>
    <row r="4798" spans="1:63" x14ac:dyDescent="0.25">
      <c r="A4798" s="92"/>
      <c r="B4798" s="92"/>
      <c r="C4798" s="92"/>
      <c r="D4798" s="93"/>
      <c r="E4798" s="92"/>
      <c r="F4798" s="92"/>
      <c r="G4798" s="92"/>
      <c r="H4798" s="92"/>
      <c r="I4798" s="92"/>
      <c r="J4798" s="92"/>
      <c r="K4798" s="92"/>
      <c r="L4798" s="92"/>
      <c r="M4798" s="92"/>
      <c r="N4798" s="92"/>
      <c r="AG4798" s="107"/>
      <c r="AH4798" s="107"/>
      <c r="AI4798" s="107"/>
      <c r="AJ4798" s="107"/>
      <c r="AK4798" s="107"/>
      <c r="AL4798" s="107"/>
      <c r="AM4798" s="107"/>
      <c r="AN4798" s="107"/>
      <c r="AO4798" s="107"/>
      <c r="AP4798" s="107"/>
      <c r="AQ4798" s="107"/>
      <c r="AR4798" s="107"/>
      <c r="AS4798" s="107"/>
      <c r="AT4798" s="107"/>
    </row>
    <row r="4799" spans="1:63" x14ac:dyDescent="0.25">
      <c r="A4799" s="92"/>
      <c r="B4799" s="92"/>
      <c r="C4799" s="92"/>
      <c r="D4799" s="93"/>
      <c r="E4799" s="92"/>
      <c r="F4799" s="92"/>
      <c r="G4799" s="92"/>
      <c r="H4799" s="92"/>
      <c r="I4799" s="92"/>
      <c r="J4799" s="92"/>
      <c r="K4799" s="92"/>
      <c r="L4799" s="92"/>
      <c r="M4799" s="92"/>
      <c r="N4799" s="92"/>
      <c r="AG4799" s="107"/>
      <c r="AH4799" s="117"/>
      <c r="AI4799" s="117"/>
      <c r="AJ4799" s="107"/>
      <c r="AK4799" s="107"/>
      <c r="AL4799" s="107"/>
      <c r="AM4799" s="107"/>
      <c r="AN4799" s="107"/>
      <c r="AO4799" s="107"/>
      <c r="AP4799" s="107"/>
      <c r="AQ4799" s="107"/>
      <c r="AR4799" s="107"/>
      <c r="AS4799" s="107"/>
      <c r="AT4799" s="39"/>
      <c r="AZ4799" s="117"/>
      <c r="BK4799" s="39"/>
    </row>
    <row r="4800" spans="1:63" x14ac:dyDescent="0.25">
      <c r="A4800" s="92"/>
      <c r="B4800" s="93"/>
      <c r="C4800" s="93"/>
      <c r="D4800" s="92"/>
      <c r="E4800" s="92"/>
      <c r="F4800" s="92"/>
      <c r="G4800" s="92"/>
      <c r="H4800" s="92"/>
      <c r="I4800" s="92"/>
      <c r="J4800" s="92"/>
      <c r="K4800" s="92"/>
      <c r="L4800" s="92"/>
      <c r="M4800" s="92"/>
      <c r="N4800" s="94"/>
      <c r="AG4800" s="107"/>
      <c r="AH4800" s="117"/>
      <c r="AI4800" s="117"/>
      <c r="AJ4800" s="107"/>
      <c r="AK4800" s="107"/>
      <c r="AL4800" s="107"/>
      <c r="AM4800" s="107"/>
      <c r="AN4800" s="107"/>
      <c r="AO4800" s="107"/>
      <c r="AP4800" s="107"/>
      <c r="AQ4800" s="107"/>
      <c r="AR4800" s="107"/>
      <c r="AS4800" s="107"/>
      <c r="AT4800" s="39"/>
      <c r="AZ4800" s="117"/>
      <c r="BA4800" s="117"/>
      <c r="BK4800" s="39"/>
    </row>
    <row r="4801" spans="1:63" x14ac:dyDescent="0.25">
      <c r="A4801" s="92"/>
      <c r="B4801" s="92"/>
      <c r="C4801" s="92"/>
      <c r="D4801" s="92"/>
      <c r="E4801" s="92"/>
      <c r="F4801" s="92"/>
      <c r="G4801" s="92"/>
      <c r="H4801" s="92"/>
      <c r="I4801" s="92"/>
      <c r="J4801" s="92"/>
      <c r="K4801" s="92"/>
      <c r="L4801" s="92"/>
      <c r="M4801" s="92"/>
      <c r="N4801" s="92"/>
      <c r="AG4801" s="107"/>
      <c r="AH4801" s="107"/>
      <c r="AI4801" s="107"/>
      <c r="AJ4801" s="107"/>
      <c r="AK4801" s="107"/>
      <c r="AL4801" s="107"/>
      <c r="AM4801" s="107"/>
      <c r="AN4801" s="107"/>
      <c r="AO4801" s="107"/>
      <c r="AP4801" s="107"/>
      <c r="AQ4801" s="107"/>
      <c r="AR4801" s="107"/>
      <c r="AS4801" s="107"/>
      <c r="AT4801" s="107"/>
    </row>
    <row r="4802" spans="1:63" x14ac:dyDescent="0.25">
      <c r="A4802" s="92"/>
      <c r="B4802" s="92"/>
      <c r="C4802" s="92"/>
      <c r="D4802" s="92"/>
      <c r="E4802" s="92"/>
      <c r="F4802" s="92"/>
      <c r="G4802" s="92"/>
      <c r="H4802" s="92"/>
      <c r="I4802" s="92"/>
      <c r="J4802" s="92"/>
      <c r="K4802" s="92"/>
      <c r="L4802" s="92"/>
      <c r="M4802" s="92"/>
      <c r="N4802" s="92"/>
      <c r="AG4802" s="107"/>
      <c r="AH4802" s="117"/>
      <c r="AI4802" s="117"/>
      <c r="AJ4802" s="107"/>
      <c r="AK4802" s="107"/>
      <c r="AL4802" s="107"/>
      <c r="AM4802" s="107"/>
      <c r="AN4802" s="107"/>
      <c r="AO4802" s="107"/>
      <c r="AP4802" s="107"/>
      <c r="AQ4802" s="107"/>
      <c r="AR4802" s="107"/>
      <c r="AS4802" s="107"/>
      <c r="AT4802" s="39"/>
      <c r="AZ4802" s="117"/>
      <c r="BK4802" s="39"/>
    </row>
    <row r="4803" spans="1:63" x14ac:dyDescent="0.25">
      <c r="A4803" s="92"/>
      <c r="B4803" s="93"/>
      <c r="C4803" s="93"/>
      <c r="D4803" s="92"/>
      <c r="E4803" s="92"/>
      <c r="F4803" s="92"/>
      <c r="G4803" s="92"/>
      <c r="H4803" s="92"/>
      <c r="I4803" s="92"/>
      <c r="J4803" s="92"/>
      <c r="K4803" s="92"/>
      <c r="L4803" s="92"/>
      <c r="M4803" s="92"/>
      <c r="N4803" s="94"/>
      <c r="AG4803" s="107"/>
      <c r="AH4803" s="117"/>
      <c r="AI4803" s="117"/>
      <c r="AJ4803" s="107"/>
      <c r="AK4803" s="107"/>
      <c r="AL4803" s="107"/>
      <c r="AM4803" s="107"/>
      <c r="AN4803" s="107"/>
      <c r="AO4803" s="107"/>
      <c r="AP4803" s="107"/>
      <c r="AQ4803" s="107"/>
      <c r="AR4803" s="107"/>
      <c r="AS4803" s="107"/>
      <c r="AT4803" s="39"/>
      <c r="AZ4803" s="117"/>
      <c r="BK4803" s="39"/>
    </row>
    <row r="4804" spans="1:63" x14ac:dyDescent="0.25">
      <c r="A4804" s="92"/>
      <c r="B4804" s="93"/>
      <c r="C4804" s="93"/>
      <c r="D4804" s="93"/>
      <c r="E4804" s="92"/>
      <c r="F4804" s="92"/>
      <c r="G4804" s="92"/>
      <c r="H4804" s="92"/>
      <c r="I4804" s="92"/>
      <c r="J4804" s="92"/>
      <c r="K4804" s="92"/>
      <c r="L4804" s="92"/>
      <c r="M4804" s="92"/>
      <c r="N4804" s="94"/>
      <c r="AG4804" s="107"/>
      <c r="AH4804" s="117"/>
      <c r="AI4804" s="117"/>
      <c r="AJ4804" s="107"/>
      <c r="AK4804" s="107"/>
      <c r="AL4804" s="107"/>
      <c r="AM4804" s="107"/>
      <c r="AN4804" s="107"/>
      <c r="AO4804" s="107"/>
      <c r="AP4804" s="107"/>
      <c r="AQ4804" s="107"/>
      <c r="AR4804" s="107"/>
      <c r="AS4804" s="107"/>
      <c r="AT4804" s="39"/>
    </row>
    <row r="4805" spans="1:63" x14ac:dyDescent="0.25">
      <c r="A4805" s="92"/>
      <c r="B4805" s="92"/>
      <c r="C4805" s="92"/>
      <c r="D4805" s="93"/>
      <c r="E4805" s="92"/>
      <c r="F4805" s="92"/>
      <c r="G4805" s="92"/>
      <c r="H4805" s="92"/>
      <c r="I4805" s="92"/>
      <c r="J4805" s="92"/>
      <c r="K4805" s="92"/>
      <c r="L4805" s="92"/>
      <c r="M4805" s="92"/>
      <c r="N4805" s="92"/>
      <c r="AG4805" s="107"/>
      <c r="AH4805" s="117"/>
      <c r="AI4805" s="117"/>
      <c r="AJ4805" s="117"/>
      <c r="AK4805" s="107"/>
      <c r="AL4805" s="107"/>
      <c r="AM4805" s="107"/>
      <c r="AN4805" s="107"/>
      <c r="AO4805" s="107"/>
      <c r="AP4805" s="107"/>
      <c r="AQ4805" s="107"/>
      <c r="AR4805" s="107"/>
      <c r="AS4805" s="107"/>
      <c r="AT4805" s="39"/>
    </row>
    <row r="4806" spans="1:63" x14ac:dyDescent="0.25">
      <c r="A4806" s="92"/>
      <c r="B4806" s="92"/>
      <c r="C4806" s="92"/>
      <c r="D4806" s="93"/>
      <c r="E4806" s="92"/>
      <c r="F4806" s="92"/>
      <c r="G4806" s="92"/>
      <c r="H4806" s="92"/>
      <c r="I4806" s="92"/>
      <c r="J4806" s="92"/>
      <c r="K4806" s="92"/>
      <c r="L4806" s="92"/>
      <c r="M4806" s="92"/>
      <c r="N4806" s="92"/>
      <c r="AG4806" s="107"/>
      <c r="AH4806" s="107"/>
      <c r="AI4806" s="107"/>
      <c r="AJ4806" s="107"/>
      <c r="AK4806" s="107"/>
      <c r="AL4806" s="107"/>
      <c r="AM4806" s="107"/>
      <c r="AN4806" s="107"/>
      <c r="AO4806" s="107"/>
      <c r="AP4806" s="107"/>
      <c r="AQ4806" s="107"/>
      <c r="AR4806" s="107"/>
      <c r="AS4806" s="107"/>
      <c r="AT4806" s="107"/>
      <c r="AZ4806" s="117"/>
      <c r="BK4806" s="39"/>
    </row>
    <row r="4807" spans="1:63" x14ac:dyDescent="0.25">
      <c r="A4807" s="92"/>
      <c r="B4807" s="93"/>
      <c r="C4807" s="93"/>
      <c r="D4807" s="92"/>
      <c r="E4807" s="92"/>
      <c r="F4807" s="92"/>
      <c r="G4807" s="92"/>
      <c r="H4807" s="92"/>
      <c r="I4807" s="92"/>
      <c r="J4807" s="92"/>
      <c r="K4807" s="92"/>
      <c r="L4807" s="92"/>
      <c r="M4807" s="92"/>
      <c r="N4807" s="94"/>
      <c r="AG4807" s="107"/>
      <c r="AH4807" s="117"/>
      <c r="AI4807" s="117"/>
      <c r="AJ4807" s="107"/>
      <c r="AK4807" s="107"/>
      <c r="AL4807" s="107"/>
      <c r="AM4807" s="107"/>
      <c r="AN4807" s="107"/>
      <c r="AO4807" s="107"/>
      <c r="AP4807" s="107"/>
      <c r="AQ4807" s="107"/>
      <c r="AR4807" s="107"/>
      <c r="AS4807" s="107"/>
      <c r="AT4807" s="39"/>
      <c r="AZ4807" s="117"/>
      <c r="BK4807" s="39"/>
    </row>
    <row r="4808" spans="1:63" x14ac:dyDescent="0.25">
      <c r="A4808" s="92"/>
      <c r="B4808" s="93"/>
      <c r="C4808" s="93"/>
      <c r="D4808" s="92"/>
      <c r="E4808" s="92"/>
      <c r="F4808" s="92"/>
      <c r="G4808" s="92"/>
      <c r="H4808" s="92"/>
      <c r="I4808" s="92"/>
      <c r="J4808" s="92"/>
      <c r="K4808" s="92"/>
      <c r="L4808" s="92"/>
      <c r="M4808" s="92"/>
      <c r="N4808" s="94"/>
      <c r="AG4808" s="107"/>
      <c r="AH4808" s="107"/>
      <c r="AI4808" s="107"/>
      <c r="AJ4808" s="107"/>
      <c r="AK4808" s="107"/>
      <c r="AL4808" s="107"/>
      <c r="AM4808" s="107"/>
      <c r="AN4808" s="107"/>
      <c r="AO4808" s="107"/>
      <c r="AP4808" s="107"/>
      <c r="AQ4808" s="107"/>
      <c r="AR4808" s="107"/>
      <c r="AS4808" s="107"/>
      <c r="AT4808" s="107"/>
    </row>
    <row r="4809" spans="1:63" x14ac:dyDescent="0.25">
      <c r="A4809" s="92"/>
      <c r="B4809" s="93"/>
      <c r="C4809" s="93"/>
      <c r="D4809" s="93"/>
      <c r="E4809" s="92"/>
      <c r="F4809" s="92"/>
      <c r="G4809" s="92"/>
      <c r="H4809" s="92"/>
      <c r="I4809" s="92"/>
      <c r="J4809" s="92"/>
      <c r="K4809" s="92"/>
      <c r="L4809" s="92"/>
      <c r="M4809" s="92"/>
      <c r="N4809" s="94"/>
      <c r="AG4809" s="107"/>
      <c r="AH4809" s="107"/>
      <c r="AI4809" s="107"/>
      <c r="AJ4809" s="107"/>
      <c r="AK4809" s="107"/>
      <c r="AL4809" s="107"/>
      <c r="AM4809" s="107"/>
      <c r="AN4809" s="107"/>
      <c r="AO4809" s="107"/>
      <c r="AP4809" s="107"/>
      <c r="AQ4809" s="107"/>
      <c r="AR4809" s="107"/>
      <c r="AS4809" s="107"/>
      <c r="AT4809" s="107"/>
      <c r="AZ4809" s="117"/>
      <c r="BK4809" s="39"/>
    </row>
    <row r="4810" spans="1:63" x14ac:dyDescent="0.25">
      <c r="A4810" s="92"/>
      <c r="B4810" s="92"/>
      <c r="C4810" s="92"/>
      <c r="D4810" s="93"/>
      <c r="E4810" s="92"/>
      <c r="F4810" s="92"/>
      <c r="G4810" s="92"/>
      <c r="H4810" s="92"/>
      <c r="I4810" s="92"/>
      <c r="J4810" s="92"/>
      <c r="K4810" s="92"/>
      <c r="L4810" s="92"/>
      <c r="M4810" s="92"/>
      <c r="N4810" s="92"/>
      <c r="AG4810" s="107"/>
      <c r="AH4810" s="107"/>
      <c r="AI4810" s="107"/>
      <c r="AJ4810" s="107"/>
      <c r="AK4810" s="107"/>
      <c r="AL4810" s="107"/>
      <c r="AM4810" s="107"/>
      <c r="AN4810" s="107"/>
      <c r="AO4810" s="107"/>
      <c r="AP4810" s="107"/>
      <c r="AQ4810" s="107"/>
      <c r="AR4810" s="107"/>
      <c r="AS4810" s="107"/>
      <c r="AT4810" s="107"/>
    </row>
    <row r="4811" spans="1:63" x14ac:dyDescent="0.25">
      <c r="A4811" s="92"/>
      <c r="B4811" s="93"/>
      <c r="C4811" s="93"/>
      <c r="D4811" s="93"/>
      <c r="E4811" s="92"/>
      <c r="F4811" s="92"/>
      <c r="G4811" s="92"/>
      <c r="H4811" s="92"/>
      <c r="I4811" s="92"/>
      <c r="J4811" s="92"/>
      <c r="K4811" s="92"/>
      <c r="L4811" s="92"/>
      <c r="M4811" s="92"/>
      <c r="N4811" s="94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</row>
    <row r="4812" spans="1:63" x14ac:dyDescent="0.25">
      <c r="A4812" s="92"/>
      <c r="B4812" s="92"/>
      <c r="C4812" s="92"/>
      <c r="D4812" s="93"/>
      <c r="E4812" s="92"/>
      <c r="F4812" s="92"/>
      <c r="G4812" s="92"/>
      <c r="H4812" s="92"/>
      <c r="I4812" s="92"/>
      <c r="J4812" s="92"/>
      <c r="K4812" s="92"/>
      <c r="L4812" s="92"/>
      <c r="M4812" s="92"/>
      <c r="N4812" s="92"/>
      <c r="AG4812" s="107"/>
      <c r="AH4812" s="117"/>
      <c r="AI4812" s="117"/>
      <c r="AJ4812" s="107"/>
      <c r="AK4812" s="107"/>
      <c r="AL4812" s="107"/>
      <c r="AM4812" s="107"/>
      <c r="AN4812" s="107"/>
      <c r="AO4812" s="107"/>
      <c r="AP4812" s="107"/>
      <c r="AQ4812" s="107"/>
      <c r="AR4812" s="107"/>
      <c r="AS4812" s="107"/>
      <c r="AT4812" s="39"/>
      <c r="AZ4812" s="117"/>
      <c r="BK4812" s="39"/>
    </row>
    <row r="4813" spans="1:63" x14ac:dyDescent="0.25">
      <c r="A4813" s="92"/>
      <c r="B4813" s="92"/>
      <c r="C4813" s="92"/>
      <c r="D4813" s="92"/>
      <c r="E4813" s="92"/>
      <c r="F4813" s="92"/>
      <c r="G4813" s="92"/>
      <c r="H4813" s="92"/>
      <c r="I4813" s="92"/>
      <c r="J4813" s="92"/>
      <c r="K4813" s="92"/>
      <c r="L4813" s="92"/>
      <c r="M4813" s="92"/>
      <c r="N4813" s="92"/>
      <c r="AG4813" s="107"/>
      <c r="AH4813" s="117"/>
      <c r="AI4813" s="117"/>
      <c r="AJ4813" s="107"/>
      <c r="AK4813" s="107"/>
      <c r="AL4813" s="107"/>
      <c r="AM4813" s="107"/>
      <c r="AN4813" s="107"/>
      <c r="AO4813" s="107"/>
      <c r="AP4813" s="107"/>
      <c r="AQ4813" s="107"/>
      <c r="AR4813" s="107"/>
      <c r="AS4813" s="107"/>
      <c r="AT4813" s="39"/>
      <c r="AZ4813" s="117"/>
      <c r="BK4813" s="39"/>
    </row>
    <row r="4814" spans="1:63" x14ac:dyDescent="0.25">
      <c r="A4814" s="92"/>
      <c r="B4814" s="92"/>
      <c r="C4814" s="92"/>
      <c r="D4814" s="92"/>
      <c r="E4814" s="92"/>
      <c r="F4814" s="92"/>
      <c r="G4814" s="92"/>
      <c r="H4814" s="92"/>
      <c r="I4814" s="92"/>
      <c r="J4814" s="92"/>
      <c r="K4814" s="92"/>
      <c r="L4814" s="92"/>
      <c r="M4814" s="92"/>
      <c r="N4814" s="92"/>
      <c r="AG4814" s="107"/>
      <c r="AH4814" s="117"/>
      <c r="AI4814" s="117"/>
      <c r="AJ4814" s="107"/>
      <c r="AK4814" s="107"/>
      <c r="AL4814" s="107"/>
      <c r="AM4814" s="107"/>
      <c r="AN4814" s="107"/>
      <c r="AO4814" s="107"/>
      <c r="AP4814" s="107"/>
      <c r="AQ4814" s="107"/>
      <c r="AR4814" s="107"/>
      <c r="AS4814" s="107"/>
      <c r="AT4814" s="39"/>
      <c r="AZ4814" s="117"/>
      <c r="BK4814" s="39"/>
    </row>
    <row r="4815" spans="1:63" x14ac:dyDescent="0.25">
      <c r="A4815" s="92"/>
      <c r="B4815" s="93"/>
      <c r="C4815" s="93"/>
      <c r="D4815" s="92"/>
      <c r="E4815" s="92"/>
      <c r="F4815" s="92"/>
      <c r="G4815" s="92"/>
      <c r="H4815" s="92"/>
      <c r="I4815" s="92"/>
      <c r="J4815" s="92"/>
      <c r="K4815" s="92"/>
      <c r="L4815" s="92"/>
      <c r="M4815" s="92"/>
      <c r="N4815" s="94"/>
      <c r="AG4815" s="107"/>
      <c r="AH4815" s="117"/>
      <c r="AI4815" s="117"/>
      <c r="AJ4815" s="117"/>
      <c r="AK4815" s="107"/>
      <c r="AL4815" s="107"/>
      <c r="AM4815" s="107"/>
      <c r="AN4815" s="107"/>
      <c r="AO4815" s="107"/>
      <c r="AP4815" s="107"/>
      <c r="AQ4815" s="107"/>
      <c r="AR4815" s="107"/>
      <c r="AS4815" s="107"/>
      <c r="AT4815" s="39"/>
    </row>
    <row r="4816" spans="1:63" x14ac:dyDescent="0.25">
      <c r="A4816" s="92"/>
      <c r="B4816" s="93"/>
      <c r="C4816" s="93"/>
      <c r="D4816" s="93"/>
      <c r="E4816" s="92"/>
      <c r="F4816" s="92"/>
      <c r="G4816" s="92"/>
      <c r="H4816" s="92"/>
      <c r="I4816" s="92"/>
      <c r="J4816" s="92"/>
      <c r="K4816" s="92"/>
      <c r="L4816" s="92"/>
      <c r="M4816" s="92"/>
      <c r="N4816" s="94"/>
      <c r="AG4816" s="107"/>
      <c r="AH4816" s="117"/>
      <c r="AI4816" s="117"/>
      <c r="AJ4816" s="117"/>
      <c r="AK4816" s="107"/>
      <c r="AL4816" s="107"/>
      <c r="AM4816" s="107"/>
      <c r="AN4816" s="107"/>
      <c r="AO4816" s="107"/>
      <c r="AP4816" s="107"/>
      <c r="AQ4816" s="107"/>
      <c r="AR4816" s="107"/>
      <c r="AS4816" s="107"/>
      <c r="AT4816" s="39"/>
      <c r="AZ4816" s="117"/>
      <c r="BA4816" s="117"/>
      <c r="BK4816" s="39"/>
    </row>
    <row r="4817" spans="1:63" x14ac:dyDescent="0.25">
      <c r="A4817" s="92"/>
      <c r="B4817" s="92"/>
      <c r="C4817" s="92"/>
      <c r="D4817" s="92"/>
      <c r="E4817" s="92"/>
      <c r="F4817" s="92"/>
      <c r="G4817" s="92"/>
      <c r="H4817" s="92"/>
      <c r="I4817" s="92"/>
      <c r="J4817" s="92"/>
      <c r="K4817" s="92"/>
      <c r="L4817" s="92"/>
      <c r="M4817" s="92"/>
      <c r="N4817" s="92"/>
      <c r="AG4817" s="107"/>
      <c r="AH4817" s="107"/>
      <c r="AI4817" s="107"/>
      <c r="AJ4817" s="107"/>
      <c r="AK4817" s="107"/>
      <c r="AL4817" s="107"/>
      <c r="AM4817" s="107"/>
      <c r="AN4817" s="107"/>
      <c r="AO4817" s="107"/>
      <c r="AP4817" s="107"/>
      <c r="AQ4817" s="107"/>
      <c r="AR4817" s="107"/>
      <c r="AS4817" s="107"/>
      <c r="AT4817" s="107"/>
      <c r="BA4817" s="117"/>
    </row>
    <row r="4818" spans="1:63" x14ac:dyDescent="0.25">
      <c r="A4818" s="92"/>
      <c r="B4818" s="93"/>
      <c r="C4818" s="93"/>
      <c r="D4818" s="92"/>
      <c r="E4818" s="92"/>
      <c r="F4818" s="92"/>
      <c r="G4818" s="92"/>
      <c r="H4818" s="92"/>
      <c r="I4818" s="92"/>
      <c r="J4818" s="92"/>
      <c r="K4818" s="92"/>
      <c r="L4818" s="92"/>
      <c r="M4818" s="92"/>
      <c r="N4818" s="94"/>
      <c r="AG4818" s="107"/>
      <c r="AH4818" s="107"/>
      <c r="AI4818" s="107"/>
      <c r="AJ4818" s="107"/>
      <c r="AK4818" s="107"/>
      <c r="AL4818" s="107"/>
      <c r="AM4818" s="107"/>
      <c r="AN4818" s="107"/>
      <c r="AO4818" s="107"/>
      <c r="AP4818" s="107"/>
      <c r="AQ4818" s="107"/>
      <c r="AR4818" s="107"/>
      <c r="AS4818" s="107"/>
      <c r="AT4818" s="107"/>
      <c r="BA4818" s="117"/>
    </row>
    <row r="4819" spans="1:63" x14ac:dyDescent="0.25">
      <c r="A4819" s="92"/>
      <c r="B4819" s="93"/>
      <c r="C4819" s="93"/>
      <c r="D4819" s="92"/>
      <c r="E4819" s="92"/>
      <c r="F4819" s="92"/>
      <c r="G4819" s="92"/>
      <c r="H4819" s="92"/>
      <c r="I4819" s="92"/>
      <c r="J4819" s="92"/>
      <c r="K4819" s="92"/>
      <c r="L4819" s="92"/>
      <c r="M4819" s="92"/>
      <c r="N4819" s="94"/>
      <c r="AG4819" s="107"/>
      <c r="AH4819" s="107"/>
      <c r="AI4819" s="107"/>
      <c r="AJ4819" s="107"/>
      <c r="AK4819" s="107"/>
      <c r="AL4819" s="107"/>
      <c r="AM4819" s="107"/>
      <c r="AN4819" s="107"/>
      <c r="AO4819" s="107"/>
      <c r="AP4819" s="107"/>
      <c r="AQ4819" s="107"/>
      <c r="AR4819" s="107"/>
      <c r="AS4819" s="107"/>
      <c r="AT4819" s="107"/>
      <c r="BA4819" s="117"/>
    </row>
    <row r="4820" spans="1:63" x14ac:dyDescent="0.25">
      <c r="A4820" s="92"/>
      <c r="B4820" s="92"/>
      <c r="C4820" s="92"/>
      <c r="D4820" s="92"/>
      <c r="E4820" s="92"/>
      <c r="F4820" s="92"/>
      <c r="G4820" s="92"/>
      <c r="H4820" s="92"/>
      <c r="I4820" s="92"/>
      <c r="J4820" s="92"/>
      <c r="K4820" s="92"/>
      <c r="L4820" s="92"/>
      <c r="M4820" s="92"/>
      <c r="N4820" s="92"/>
      <c r="AG4820" s="107"/>
      <c r="AH4820" s="107"/>
      <c r="AI4820" s="107"/>
      <c r="AJ4820" s="107"/>
      <c r="AK4820" s="107"/>
      <c r="AL4820" s="107"/>
      <c r="AM4820" s="107"/>
      <c r="AN4820" s="107"/>
      <c r="AO4820" s="107"/>
      <c r="AP4820" s="107"/>
      <c r="AQ4820" s="107"/>
      <c r="AR4820" s="107"/>
      <c r="AS4820" s="107"/>
      <c r="AT4820" s="107"/>
      <c r="BA4820" s="117"/>
    </row>
    <row r="4821" spans="1:63" x14ac:dyDescent="0.25">
      <c r="A4821" s="92"/>
      <c r="B4821" s="92"/>
      <c r="C4821" s="92"/>
      <c r="D4821" s="92"/>
      <c r="E4821" s="92"/>
      <c r="F4821" s="92"/>
      <c r="G4821" s="92"/>
      <c r="H4821" s="92"/>
      <c r="I4821" s="92"/>
      <c r="J4821" s="92"/>
      <c r="K4821" s="92"/>
      <c r="L4821" s="92"/>
      <c r="M4821" s="92"/>
      <c r="N4821" s="92"/>
      <c r="AG4821" s="107"/>
      <c r="AH4821" s="107"/>
      <c r="AI4821" s="107"/>
      <c r="AJ4821" s="107"/>
      <c r="AK4821" s="107"/>
      <c r="AL4821" s="107"/>
      <c r="AM4821" s="107"/>
      <c r="AN4821" s="107"/>
      <c r="AO4821" s="107"/>
      <c r="AP4821" s="107"/>
      <c r="AQ4821" s="107"/>
      <c r="AR4821" s="107"/>
      <c r="AS4821" s="107"/>
      <c r="AT4821" s="107"/>
    </row>
    <row r="4822" spans="1:63" x14ac:dyDescent="0.25">
      <c r="A4822" s="92"/>
      <c r="B4822" s="93"/>
      <c r="C4822" s="93"/>
      <c r="D4822" s="92"/>
      <c r="E4822" s="92"/>
      <c r="F4822" s="92"/>
      <c r="G4822" s="92"/>
      <c r="H4822" s="92"/>
      <c r="I4822" s="92"/>
      <c r="J4822" s="92"/>
      <c r="K4822" s="92"/>
      <c r="L4822" s="92"/>
      <c r="M4822" s="92"/>
      <c r="N4822" s="94"/>
      <c r="AG4822" s="107"/>
      <c r="AH4822" s="107"/>
      <c r="AI4822" s="107"/>
      <c r="AJ4822" s="107"/>
      <c r="AK4822" s="107"/>
      <c r="AL4822" s="107"/>
      <c r="AM4822" s="107"/>
      <c r="AN4822" s="107"/>
      <c r="AO4822" s="107"/>
      <c r="AP4822" s="107"/>
      <c r="AQ4822" s="107"/>
      <c r="AR4822" s="107"/>
      <c r="AS4822" s="107"/>
      <c r="AT4822" s="107"/>
      <c r="AZ4822" s="117"/>
      <c r="BK4822" s="39"/>
    </row>
    <row r="4823" spans="1:63" x14ac:dyDescent="0.25">
      <c r="A4823" s="92"/>
      <c r="B4823" s="93"/>
      <c r="C4823" s="93"/>
      <c r="D4823" s="92"/>
      <c r="E4823" s="92"/>
      <c r="F4823" s="92"/>
      <c r="G4823" s="92"/>
      <c r="H4823" s="92"/>
      <c r="I4823" s="92"/>
      <c r="J4823" s="92"/>
      <c r="K4823" s="92"/>
      <c r="L4823" s="92"/>
      <c r="M4823" s="92"/>
      <c r="N4823" s="94"/>
      <c r="AG4823" s="107"/>
      <c r="AH4823" s="107"/>
      <c r="AI4823" s="107"/>
      <c r="AJ4823" s="107"/>
      <c r="AK4823" s="107"/>
      <c r="AL4823" s="107"/>
      <c r="AM4823" s="107"/>
      <c r="AN4823" s="107"/>
      <c r="AO4823" s="107"/>
      <c r="AP4823" s="107"/>
      <c r="AQ4823" s="107"/>
      <c r="AR4823" s="107"/>
      <c r="AS4823" s="107"/>
      <c r="AT4823" s="107"/>
    </row>
    <row r="4824" spans="1:63" x14ac:dyDescent="0.25">
      <c r="A4824" s="92"/>
      <c r="B4824" s="92"/>
      <c r="C4824" s="92"/>
      <c r="D4824" s="92"/>
      <c r="E4824" s="92"/>
      <c r="F4824" s="92"/>
      <c r="G4824" s="92"/>
      <c r="H4824" s="92"/>
      <c r="I4824" s="92"/>
      <c r="J4824" s="92"/>
      <c r="K4824" s="92"/>
      <c r="L4824" s="92"/>
      <c r="M4824" s="92"/>
      <c r="N4824" s="92"/>
      <c r="AG4824" s="107"/>
      <c r="AH4824" s="107"/>
      <c r="AI4824" s="107"/>
      <c r="AJ4824" s="107"/>
      <c r="AK4824" s="107"/>
      <c r="AL4824" s="107"/>
      <c r="AM4824" s="107"/>
      <c r="AN4824" s="107"/>
      <c r="AO4824" s="107"/>
      <c r="AP4824" s="107"/>
      <c r="AQ4824" s="107"/>
      <c r="AR4824" s="107"/>
      <c r="AS4824" s="107"/>
      <c r="AT4824" s="107"/>
    </row>
    <row r="4825" spans="1:63" x14ac:dyDescent="0.25">
      <c r="A4825" s="92"/>
      <c r="B4825" s="93"/>
      <c r="C4825" s="93"/>
      <c r="D4825" s="92"/>
      <c r="E4825" s="92"/>
      <c r="F4825" s="92"/>
      <c r="G4825" s="92"/>
      <c r="H4825" s="92"/>
      <c r="I4825" s="92"/>
      <c r="J4825" s="92"/>
      <c r="K4825" s="92"/>
      <c r="L4825" s="92"/>
      <c r="M4825" s="92"/>
      <c r="N4825" s="94"/>
      <c r="AG4825" s="107"/>
      <c r="AH4825" s="117"/>
      <c r="AI4825" s="117"/>
      <c r="AJ4825" s="117"/>
      <c r="AK4825" s="107"/>
      <c r="AL4825" s="107"/>
      <c r="AM4825" s="107"/>
      <c r="AN4825" s="107"/>
      <c r="AO4825" s="107"/>
      <c r="AP4825" s="107"/>
      <c r="AQ4825" s="107"/>
      <c r="AR4825" s="107"/>
      <c r="AS4825" s="107"/>
      <c r="AT4825" s="39"/>
    </row>
    <row r="4826" spans="1:63" x14ac:dyDescent="0.25">
      <c r="A4826" s="92"/>
      <c r="B4826" s="92"/>
      <c r="C4826" s="92"/>
      <c r="D4826" s="92"/>
      <c r="E4826" s="92"/>
      <c r="F4826" s="92"/>
      <c r="G4826" s="92"/>
      <c r="H4826" s="92"/>
      <c r="I4826" s="92"/>
      <c r="J4826" s="92"/>
      <c r="K4826" s="92"/>
      <c r="L4826" s="92"/>
      <c r="M4826" s="92"/>
      <c r="N4826" s="92"/>
      <c r="AG4826" s="107"/>
      <c r="AH4826" s="117"/>
      <c r="AI4826" s="117"/>
      <c r="AJ4826" s="107"/>
      <c r="AK4826" s="107"/>
      <c r="AL4826" s="107"/>
      <c r="AM4826" s="107"/>
      <c r="AN4826" s="107"/>
      <c r="AO4826" s="107"/>
      <c r="AP4826" s="107"/>
      <c r="AQ4826" s="107"/>
      <c r="AR4826" s="107"/>
      <c r="AS4826" s="107"/>
      <c r="AT4826" s="39"/>
    </row>
    <row r="4827" spans="1:63" x14ac:dyDescent="0.25">
      <c r="A4827" s="92"/>
      <c r="B4827" s="92"/>
      <c r="C4827" s="92"/>
      <c r="D4827" s="92"/>
      <c r="E4827" s="92"/>
      <c r="F4827" s="92"/>
      <c r="G4827" s="92"/>
      <c r="H4827" s="92"/>
      <c r="I4827" s="92"/>
      <c r="J4827" s="92"/>
      <c r="K4827" s="92"/>
      <c r="L4827" s="92"/>
      <c r="M4827" s="92"/>
      <c r="N4827" s="92"/>
      <c r="AG4827" s="107"/>
      <c r="AH4827" s="117"/>
      <c r="AI4827" s="117"/>
      <c r="AJ4827" s="107"/>
      <c r="AK4827" s="107"/>
      <c r="AL4827" s="107"/>
      <c r="AM4827" s="107"/>
      <c r="AN4827" s="107"/>
      <c r="AO4827" s="107"/>
      <c r="AP4827" s="107"/>
      <c r="AQ4827" s="107"/>
      <c r="AR4827" s="107"/>
      <c r="AS4827" s="107"/>
      <c r="AT4827" s="39"/>
    </row>
    <row r="4828" spans="1:63" x14ac:dyDescent="0.25">
      <c r="A4828" s="92"/>
      <c r="B4828" s="93"/>
      <c r="C4828" s="93"/>
      <c r="D4828" s="92"/>
      <c r="E4828" s="92"/>
      <c r="F4828" s="92"/>
      <c r="G4828" s="92"/>
      <c r="H4828" s="92"/>
      <c r="I4828" s="92"/>
      <c r="J4828" s="92"/>
      <c r="K4828" s="92"/>
      <c r="L4828" s="92"/>
      <c r="M4828" s="92"/>
      <c r="N4828" s="94"/>
      <c r="AG4828" s="107"/>
      <c r="AH4828" s="117"/>
      <c r="AI4828" s="117"/>
      <c r="AJ4828" s="107"/>
      <c r="AK4828" s="107"/>
      <c r="AL4828" s="107"/>
      <c r="AM4828" s="107"/>
      <c r="AN4828" s="107"/>
      <c r="AO4828" s="107"/>
      <c r="AP4828" s="107"/>
      <c r="AQ4828" s="107"/>
      <c r="AR4828" s="107"/>
      <c r="AS4828" s="107"/>
      <c r="AT4828" s="39"/>
      <c r="AZ4828" s="117"/>
      <c r="BK4828" s="39"/>
    </row>
    <row r="4829" spans="1:63" x14ac:dyDescent="0.25">
      <c r="A4829" s="92"/>
      <c r="B4829" s="93"/>
      <c r="C4829" s="93"/>
      <c r="D4829" s="92"/>
      <c r="E4829" s="92"/>
      <c r="F4829" s="92"/>
      <c r="G4829" s="92"/>
      <c r="H4829" s="92"/>
      <c r="I4829" s="92"/>
      <c r="J4829" s="92"/>
      <c r="K4829" s="92"/>
      <c r="L4829" s="92"/>
      <c r="M4829" s="92"/>
      <c r="N4829" s="94"/>
      <c r="AG4829" s="107"/>
      <c r="AH4829" s="117"/>
      <c r="AI4829" s="117"/>
      <c r="AJ4829" s="107"/>
      <c r="AK4829" s="107"/>
      <c r="AL4829" s="107"/>
      <c r="AM4829" s="107"/>
      <c r="AN4829" s="107"/>
      <c r="AO4829" s="107"/>
      <c r="AP4829" s="107"/>
      <c r="AQ4829" s="107"/>
      <c r="AR4829" s="107"/>
      <c r="AS4829" s="107"/>
      <c r="AT4829" s="39"/>
    </row>
    <row r="4830" spans="1:63" x14ac:dyDescent="0.25">
      <c r="A4830" s="92"/>
      <c r="B4830" s="93"/>
      <c r="C4830" s="93"/>
      <c r="D4830" s="92"/>
      <c r="E4830" s="92"/>
      <c r="F4830" s="92"/>
      <c r="G4830" s="92"/>
      <c r="H4830" s="92"/>
      <c r="I4830" s="92"/>
      <c r="J4830" s="92"/>
      <c r="K4830" s="92"/>
      <c r="L4830" s="92"/>
      <c r="M4830" s="92"/>
      <c r="N4830" s="94"/>
      <c r="AG4830" s="107"/>
      <c r="AH4830" s="117"/>
      <c r="AI4830" s="117"/>
      <c r="AJ4830" s="117"/>
      <c r="AK4830" s="107"/>
      <c r="AL4830" s="107"/>
      <c r="AM4830" s="107"/>
      <c r="AN4830" s="107"/>
      <c r="AO4830" s="107"/>
      <c r="AP4830" s="107"/>
      <c r="AQ4830" s="107"/>
      <c r="AR4830" s="107"/>
      <c r="AS4830" s="107"/>
      <c r="AT4830" s="39"/>
      <c r="AZ4830" s="117"/>
      <c r="BK4830" s="39"/>
    </row>
    <row r="4831" spans="1:63" x14ac:dyDescent="0.25">
      <c r="A4831" s="92"/>
      <c r="B4831" s="92"/>
      <c r="C4831" s="92"/>
      <c r="D4831" s="92"/>
      <c r="E4831" s="92"/>
      <c r="F4831" s="92"/>
      <c r="G4831" s="92"/>
      <c r="H4831" s="92"/>
      <c r="I4831" s="92"/>
      <c r="J4831" s="92"/>
      <c r="K4831" s="92"/>
      <c r="L4831" s="92"/>
      <c r="M4831" s="92"/>
      <c r="N4831" s="92"/>
      <c r="AG4831" s="107"/>
      <c r="AH4831" s="117"/>
      <c r="AI4831" s="117"/>
      <c r="AJ4831" s="107"/>
      <c r="AK4831" s="107"/>
      <c r="AL4831" s="107"/>
      <c r="AM4831" s="107"/>
      <c r="AN4831" s="107"/>
      <c r="AO4831" s="107"/>
      <c r="AP4831" s="107"/>
      <c r="AQ4831" s="107"/>
      <c r="AR4831" s="107"/>
      <c r="AS4831" s="107"/>
      <c r="AT4831" s="39"/>
    </row>
    <row r="4832" spans="1:63" x14ac:dyDescent="0.25">
      <c r="A4832" s="92"/>
      <c r="B4832" s="93"/>
      <c r="C4832" s="93"/>
      <c r="D4832" s="93"/>
      <c r="E4832" s="92"/>
      <c r="F4832" s="92"/>
      <c r="G4832" s="92"/>
      <c r="H4832" s="92"/>
      <c r="I4832" s="92"/>
      <c r="J4832" s="92"/>
      <c r="K4832" s="92"/>
      <c r="L4832" s="92"/>
      <c r="M4832" s="92"/>
      <c r="N4832" s="94"/>
      <c r="AG4832" s="107"/>
      <c r="AH4832" s="117"/>
      <c r="AI4832" s="117"/>
      <c r="AJ4832" s="107"/>
      <c r="AK4832" s="107"/>
      <c r="AL4832" s="107"/>
      <c r="AM4832" s="107"/>
      <c r="AN4832" s="107"/>
      <c r="AO4832" s="107"/>
      <c r="AP4832" s="107"/>
      <c r="AQ4832" s="107"/>
      <c r="AR4832" s="107"/>
      <c r="AS4832" s="107"/>
      <c r="AT4832" s="39"/>
      <c r="AZ4832" s="117"/>
      <c r="BK4832" s="39"/>
    </row>
    <row r="4833" spans="1:63" x14ac:dyDescent="0.25">
      <c r="A4833" s="92"/>
      <c r="B4833" s="92"/>
      <c r="C4833" s="92"/>
      <c r="D4833" s="93"/>
      <c r="E4833" s="92"/>
      <c r="F4833" s="92"/>
      <c r="G4833" s="92"/>
      <c r="H4833" s="92"/>
      <c r="I4833" s="92"/>
      <c r="J4833" s="92"/>
      <c r="K4833" s="92"/>
      <c r="L4833" s="92"/>
      <c r="M4833" s="92"/>
      <c r="N4833" s="92"/>
      <c r="AG4833" s="107"/>
      <c r="AH4833" s="117"/>
      <c r="AI4833" s="117"/>
      <c r="AJ4833" s="107"/>
      <c r="AK4833" s="107"/>
      <c r="AL4833" s="107"/>
      <c r="AM4833" s="107"/>
      <c r="AN4833" s="107"/>
      <c r="AO4833" s="107"/>
      <c r="AP4833" s="107"/>
      <c r="AQ4833" s="107"/>
      <c r="AR4833" s="107"/>
      <c r="AS4833" s="107"/>
      <c r="AT4833" s="39"/>
    </row>
    <row r="4834" spans="1:63" x14ac:dyDescent="0.25">
      <c r="A4834" s="92"/>
      <c r="B4834" s="92"/>
      <c r="C4834" s="92"/>
      <c r="D4834" s="93"/>
      <c r="E4834" s="92"/>
      <c r="F4834" s="92"/>
      <c r="G4834" s="92"/>
      <c r="H4834" s="92"/>
      <c r="I4834" s="92"/>
      <c r="J4834" s="92"/>
      <c r="K4834" s="92"/>
      <c r="L4834" s="92"/>
      <c r="M4834" s="92"/>
      <c r="N4834" s="92"/>
      <c r="AG4834" s="107"/>
      <c r="AH4834" s="117"/>
      <c r="AI4834" s="117"/>
      <c r="AJ4834" s="107"/>
      <c r="AK4834" s="107"/>
      <c r="AL4834" s="107"/>
      <c r="AM4834" s="107"/>
      <c r="AN4834" s="107"/>
      <c r="AO4834" s="107"/>
      <c r="AP4834" s="107"/>
      <c r="AQ4834" s="107"/>
      <c r="AR4834" s="107"/>
      <c r="AS4834" s="107"/>
      <c r="AT4834" s="39"/>
      <c r="AZ4834" s="117"/>
      <c r="BK4834" s="39"/>
    </row>
    <row r="4835" spans="1:63" x14ac:dyDescent="0.25">
      <c r="A4835" s="92"/>
      <c r="B4835" s="92"/>
      <c r="C4835" s="92"/>
      <c r="D4835" s="93"/>
      <c r="E4835" s="92"/>
      <c r="F4835" s="92"/>
      <c r="G4835" s="92"/>
      <c r="H4835" s="92"/>
      <c r="I4835" s="92"/>
      <c r="J4835" s="92"/>
      <c r="K4835" s="92"/>
      <c r="L4835" s="92"/>
      <c r="M4835" s="92"/>
      <c r="N4835" s="92"/>
      <c r="AG4835" s="107"/>
      <c r="AH4835" s="117"/>
      <c r="AI4835" s="117"/>
      <c r="AJ4835" s="107"/>
      <c r="AK4835" s="107"/>
      <c r="AL4835" s="107"/>
      <c r="AM4835" s="107"/>
      <c r="AN4835" s="107"/>
      <c r="AO4835" s="107"/>
      <c r="AP4835" s="107"/>
      <c r="AQ4835" s="107"/>
      <c r="AR4835" s="107"/>
      <c r="AS4835" s="107"/>
      <c r="AT4835" s="39"/>
      <c r="AZ4835" s="117"/>
      <c r="BA4835" s="117"/>
      <c r="BK4835" s="39"/>
    </row>
    <row r="4836" spans="1:63" x14ac:dyDescent="0.25">
      <c r="A4836" s="92"/>
      <c r="B4836" s="92"/>
      <c r="C4836" s="92"/>
      <c r="D4836" s="93"/>
      <c r="E4836" s="92"/>
      <c r="F4836" s="92"/>
      <c r="G4836" s="92"/>
      <c r="H4836" s="92"/>
      <c r="I4836" s="92"/>
      <c r="J4836" s="92"/>
      <c r="K4836" s="92"/>
      <c r="L4836" s="92"/>
      <c r="M4836" s="92"/>
      <c r="N4836" s="92"/>
      <c r="AG4836" s="107"/>
      <c r="AH4836" s="117"/>
      <c r="AI4836" s="117"/>
      <c r="AJ4836" s="107"/>
      <c r="AK4836" s="107"/>
      <c r="AL4836" s="107"/>
      <c r="AM4836" s="107"/>
      <c r="AN4836" s="107"/>
      <c r="AO4836" s="107"/>
      <c r="AP4836" s="107"/>
      <c r="AQ4836" s="107"/>
      <c r="AR4836" s="107"/>
      <c r="AS4836" s="107"/>
      <c r="AT4836" s="39"/>
      <c r="AZ4836" s="117"/>
      <c r="BK4836" s="39"/>
    </row>
    <row r="4837" spans="1:63" x14ac:dyDescent="0.25">
      <c r="A4837" s="92"/>
      <c r="B4837" s="92"/>
      <c r="C4837" s="92"/>
      <c r="D4837" s="92"/>
      <c r="E4837" s="92"/>
      <c r="F4837" s="92"/>
      <c r="G4837" s="92"/>
      <c r="H4837" s="92"/>
      <c r="I4837" s="92"/>
      <c r="J4837" s="92"/>
      <c r="K4837" s="92"/>
      <c r="L4837" s="92"/>
      <c r="M4837" s="92"/>
      <c r="N4837" s="92"/>
      <c r="AG4837" s="107"/>
      <c r="AH4837" s="117"/>
      <c r="AI4837" s="117"/>
      <c r="AJ4837" s="107"/>
      <c r="AK4837" s="107"/>
      <c r="AL4837" s="107"/>
      <c r="AM4837" s="107"/>
      <c r="AN4837" s="107"/>
      <c r="AO4837" s="107"/>
      <c r="AP4837" s="107"/>
      <c r="AQ4837" s="107"/>
      <c r="AR4837" s="107"/>
      <c r="AS4837" s="107"/>
      <c r="AT4837" s="39"/>
      <c r="AZ4837" s="117"/>
      <c r="BK4837" s="39"/>
    </row>
    <row r="4838" spans="1:63" x14ac:dyDescent="0.25">
      <c r="A4838" s="92"/>
      <c r="B4838" s="93"/>
      <c r="C4838" s="93"/>
      <c r="D4838" s="92"/>
      <c r="E4838" s="92"/>
      <c r="F4838" s="92"/>
      <c r="G4838" s="92"/>
      <c r="H4838" s="92"/>
      <c r="I4838" s="92"/>
      <c r="J4838" s="92"/>
      <c r="K4838" s="92"/>
      <c r="L4838" s="92"/>
      <c r="M4838" s="92"/>
      <c r="N4838" s="94"/>
      <c r="AG4838" s="107"/>
      <c r="AH4838" s="117"/>
      <c r="AI4838" s="117"/>
      <c r="AJ4838" s="107"/>
      <c r="AK4838" s="107"/>
      <c r="AL4838" s="107"/>
      <c r="AM4838" s="107"/>
      <c r="AN4838" s="107"/>
      <c r="AO4838" s="107"/>
      <c r="AP4838" s="107"/>
      <c r="AQ4838" s="107"/>
      <c r="AR4838" s="107"/>
      <c r="AS4838" s="107"/>
      <c r="AT4838" s="39"/>
      <c r="AZ4838" s="117"/>
      <c r="BK4838" s="39"/>
    </row>
    <row r="4839" spans="1:63" x14ac:dyDescent="0.25">
      <c r="A4839" s="92"/>
      <c r="B4839" s="92"/>
      <c r="C4839" s="92"/>
      <c r="D4839" s="92"/>
      <c r="E4839" s="92"/>
      <c r="F4839" s="92"/>
      <c r="G4839" s="92"/>
      <c r="H4839" s="92"/>
      <c r="I4839" s="92"/>
      <c r="J4839" s="92"/>
      <c r="K4839" s="92"/>
      <c r="L4839" s="92"/>
      <c r="M4839" s="92"/>
      <c r="N4839" s="92"/>
      <c r="AG4839" s="107"/>
      <c r="AH4839" s="117"/>
      <c r="AI4839" s="117"/>
      <c r="AJ4839" s="107"/>
      <c r="AK4839" s="107"/>
      <c r="AL4839" s="107"/>
      <c r="AM4839" s="107"/>
      <c r="AN4839" s="107"/>
      <c r="AO4839" s="107"/>
      <c r="AP4839" s="107"/>
      <c r="AQ4839" s="107"/>
      <c r="AR4839" s="107"/>
      <c r="AS4839" s="107"/>
      <c r="AT4839" s="39"/>
      <c r="AZ4839" s="117"/>
      <c r="BK4839" s="39"/>
    </row>
    <row r="4840" spans="1:63" x14ac:dyDescent="0.25">
      <c r="A4840" s="92"/>
      <c r="B4840" s="92"/>
      <c r="C4840" s="92"/>
      <c r="D4840" s="92"/>
      <c r="E4840" s="92"/>
      <c r="F4840" s="92"/>
      <c r="G4840" s="92"/>
      <c r="H4840" s="92"/>
      <c r="I4840" s="92"/>
      <c r="J4840" s="92"/>
      <c r="K4840" s="92"/>
      <c r="L4840" s="92"/>
      <c r="M4840" s="92"/>
      <c r="N4840" s="92"/>
      <c r="AG4840" s="107"/>
      <c r="AH4840" s="107"/>
      <c r="AI4840" s="107"/>
      <c r="AJ4840" s="107"/>
      <c r="AK4840" s="107"/>
      <c r="AL4840" s="107"/>
      <c r="AM4840" s="107"/>
      <c r="AN4840" s="107"/>
      <c r="AO4840" s="107"/>
      <c r="AP4840" s="107"/>
      <c r="AQ4840" s="107"/>
      <c r="AR4840" s="107"/>
      <c r="AS4840" s="107"/>
      <c r="AT4840" s="107"/>
    </row>
    <row r="4841" spans="1:63" x14ac:dyDescent="0.25">
      <c r="A4841" s="92"/>
      <c r="B4841" s="92"/>
      <c r="C4841" s="92"/>
      <c r="D4841" s="92"/>
      <c r="E4841" s="92"/>
      <c r="F4841" s="92"/>
      <c r="G4841" s="92"/>
      <c r="H4841" s="92"/>
      <c r="I4841" s="92"/>
      <c r="J4841" s="92"/>
      <c r="K4841" s="92"/>
      <c r="L4841" s="92"/>
      <c r="M4841" s="92"/>
      <c r="N4841" s="92"/>
      <c r="AG4841" s="107"/>
      <c r="AH4841" s="107"/>
      <c r="AI4841" s="107"/>
      <c r="AJ4841" s="107"/>
      <c r="AK4841" s="107"/>
      <c r="AL4841" s="107"/>
      <c r="AM4841" s="107"/>
      <c r="AN4841" s="107"/>
      <c r="AO4841" s="107"/>
      <c r="AP4841" s="107"/>
      <c r="AQ4841" s="107"/>
      <c r="AR4841" s="107"/>
      <c r="AS4841" s="107"/>
      <c r="AT4841" s="107"/>
    </row>
    <row r="4842" spans="1:63" x14ac:dyDescent="0.25">
      <c r="A4842" s="92"/>
      <c r="B4842" s="92"/>
      <c r="C4842" s="92"/>
      <c r="D4842" s="92"/>
      <c r="E4842" s="92"/>
      <c r="F4842" s="92"/>
      <c r="G4842" s="92"/>
      <c r="H4842" s="92"/>
      <c r="I4842" s="92"/>
      <c r="J4842" s="92"/>
      <c r="K4842" s="92"/>
      <c r="L4842" s="92"/>
      <c r="M4842" s="92"/>
      <c r="N4842" s="92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</row>
    <row r="4843" spans="1:63" x14ac:dyDescent="0.25">
      <c r="A4843" s="92"/>
      <c r="B4843" s="92"/>
      <c r="C4843" s="92"/>
      <c r="D4843" s="92"/>
      <c r="E4843" s="92"/>
      <c r="F4843" s="92"/>
      <c r="G4843" s="92"/>
      <c r="H4843" s="92"/>
      <c r="I4843" s="92"/>
      <c r="J4843" s="92"/>
      <c r="K4843" s="92"/>
      <c r="L4843" s="92"/>
      <c r="M4843" s="92"/>
      <c r="N4843" s="92"/>
      <c r="AG4843" s="107"/>
      <c r="AH4843" s="107"/>
      <c r="AI4843" s="107"/>
      <c r="AJ4843" s="107"/>
      <c r="AK4843" s="107"/>
      <c r="AL4843" s="107"/>
      <c r="AM4843" s="107"/>
      <c r="AN4843" s="107"/>
      <c r="AO4843" s="107"/>
      <c r="AP4843" s="107"/>
      <c r="AQ4843" s="107"/>
      <c r="AR4843" s="107"/>
      <c r="AS4843" s="107"/>
      <c r="AT4843" s="107"/>
    </row>
    <row r="4844" spans="1:63" x14ac:dyDescent="0.25">
      <c r="A4844" s="92"/>
      <c r="B4844" s="93"/>
      <c r="C4844" s="93"/>
      <c r="D4844" s="92"/>
      <c r="E4844" s="92"/>
      <c r="F4844" s="92"/>
      <c r="G4844" s="92"/>
      <c r="H4844" s="92"/>
      <c r="I4844" s="92"/>
      <c r="J4844" s="92"/>
      <c r="K4844" s="92"/>
      <c r="L4844" s="92"/>
      <c r="M4844" s="92"/>
      <c r="N4844" s="94"/>
      <c r="AG4844" s="107"/>
      <c r="AH4844" s="107"/>
      <c r="AI4844" s="107"/>
      <c r="AJ4844" s="107"/>
      <c r="AK4844" s="107"/>
      <c r="AL4844" s="107"/>
      <c r="AM4844" s="107"/>
      <c r="AN4844" s="107"/>
      <c r="AO4844" s="107"/>
      <c r="AP4844" s="107"/>
      <c r="AQ4844" s="107"/>
      <c r="AR4844" s="107"/>
      <c r="AS4844" s="107"/>
      <c r="AT4844" s="107"/>
      <c r="AZ4844" s="117"/>
      <c r="BK4844" s="39"/>
    </row>
    <row r="4845" spans="1:63" x14ac:dyDescent="0.25">
      <c r="A4845" s="92"/>
      <c r="B4845" s="92"/>
      <c r="C4845" s="92"/>
      <c r="D4845" s="92"/>
      <c r="E4845" s="92"/>
      <c r="F4845" s="92"/>
      <c r="G4845" s="92"/>
      <c r="H4845" s="92"/>
      <c r="I4845" s="92"/>
      <c r="J4845" s="92"/>
      <c r="K4845" s="92"/>
      <c r="L4845" s="92"/>
      <c r="M4845" s="92"/>
      <c r="N4845" s="92"/>
      <c r="AG4845" s="107"/>
      <c r="AH4845" s="117"/>
      <c r="AI4845" s="117"/>
      <c r="AJ4845" s="107"/>
      <c r="AK4845" s="107"/>
      <c r="AL4845" s="107"/>
      <c r="AM4845" s="107"/>
      <c r="AN4845" s="107"/>
      <c r="AO4845" s="107"/>
      <c r="AP4845" s="107"/>
      <c r="AQ4845" s="107"/>
      <c r="AR4845" s="107"/>
      <c r="AS4845" s="107"/>
      <c r="AT4845" s="39"/>
      <c r="AZ4845" s="117"/>
      <c r="BA4845" s="117"/>
      <c r="BK4845" s="39"/>
    </row>
    <row r="4846" spans="1:63" x14ac:dyDescent="0.25">
      <c r="A4846" s="92"/>
      <c r="B4846" s="93"/>
      <c r="C4846" s="93"/>
      <c r="D4846" s="92"/>
      <c r="E4846" s="92"/>
      <c r="F4846" s="92"/>
      <c r="G4846" s="92"/>
      <c r="H4846" s="92"/>
      <c r="I4846" s="92"/>
      <c r="J4846" s="92"/>
      <c r="K4846" s="92"/>
      <c r="L4846" s="92"/>
      <c r="M4846" s="92"/>
      <c r="N4846" s="94"/>
      <c r="AG4846" s="107"/>
      <c r="AH4846" s="117"/>
      <c r="AI4846" s="117"/>
      <c r="AJ4846" s="107"/>
      <c r="AK4846" s="107"/>
      <c r="AL4846" s="107"/>
      <c r="AM4846" s="107"/>
      <c r="AN4846" s="107"/>
      <c r="AO4846" s="107"/>
      <c r="AP4846" s="107"/>
      <c r="AQ4846" s="107"/>
      <c r="AR4846" s="107"/>
      <c r="AS4846" s="107"/>
      <c r="AT4846" s="39"/>
      <c r="AZ4846" s="117"/>
      <c r="BK4846" s="39"/>
    </row>
    <row r="4847" spans="1:63" x14ac:dyDescent="0.25">
      <c r="A4847" s="92"/>
      <c r="B4847" s="92"/>
      <c r="C4847" s="92"/>
      <c r="D4847" s="92"/>
      <c r="E4847" s="92"/>
      <c r="F4847" s="92"/>
      <c r="G4847" s="92"/>
      <c r="H4847" s="92"/>
      <c r="I4847" s="92"/>
      <c r="J4847" s="92"/>
      <c r="K4847" s="92"/>
      <c r="L4847" s="92"/>
      <c r="M4847" s="92"/>
      <c r="N4847" s="92"/>
      <c r="AG4847" s="107"/>
      <c r="AH4847" s="117"/>
      <c r="AI4847" s="117"/>
      <c r="AJ4847" s="107"/>
      <c r="AK4847" s="107"/>
      <c r="AL4847" s="107"/>
      <c r="AM4847" s="107"/>
      <c r="AN4847" s="107"/>
      <c r="AO4847" s="107"/>
      <c r="AP4847" s="107"/>
      <c r="AQ4847" s="107"/>
      <c r="AR4847" s="107"/>
      <c r="AS4847" s="107"/>
      <c r="AT4847" s="39"/>
    </row>
    <row r="4848" spans="1:63" x14ac:dyDescent="0.25">
      <c r="A4848" s="92"/>
      <c r="B4848" s="93"/>
      <c r="C4848" s="93"/>
      <c r="D4848" s="92"/>
      <c r="E4848" s="92"/>
      <c r="F4848" s="92"/>
      <c r="G4848" s="92"/>
      <c r="H4848" s="92"/>
      <c r="I4848" s="92"/>
      <c r="J4848" s="92"/>
      <c r="K4848" s="92"/>
      <c r="L4848" s="92"/>
      <c r="M4848" s="92"/>
      <c r="N4848" s="94"/>
      <c r="AG4848" s="107"/>
      <c r="AH4848" s="117"/>
      <c r="AI4848" s="117"/>
      <c r="AJ4848" s="107"/>
      <c r="AK4848" s="107"/>
      <c r="AL4848" s="107"/>
      <c r="AM4848" s="107"/>
      <c r="AN4848" s="107"/>
      <c r="AO4848" s="107"/>
      <c r="AP4848" s="107"/>
      <c r="AQ4848" s="107"/>
      <c r="AR4848" s="107"/>
      <c r="AS4848" s="107"/>
      <c r="AT4848" s="39"/>
    </row>
    <row r="4849" spans="1:63" x14ac:dyDescent="0.25">
      <c r="A4849" s="92"/>
      <c r="B4849" s="92"/>
      <c r="C4849" s="92"/>
      <c r="D4849" s="92"/>
      <c r="E4849" s="92"/>
      <c r="F4849" s="92"/>
      <c r="G4849" s="92"/>
      <c r="H4849" s="92"/>
      <c r="I4849" s="92"/>
      <c r="J4849" s="92"/>
      <c r="K4849" s="92"/>
      <c r="L4849" s="92"/>
      <c r="M4849" s="92"/>
      <c r="N4849" s="92"/>
      <c r="AG4849" s="107"/>
      <c r="AH4849" s="117"/>
      <c r="AI4849" s="117"/>
      <c r="AJ4849" s="117"/>
      <c r="AK4849" s="107"/>
      <c r="AL4849" s="107"/>
      <c r="AM4849" s="107"/>
      <c r="AN4849" s="107"/>
      <c r="AO4849" s="107"/>
      <c r="AP4849" s="107"/>
      <c r="AQ4849" s="107"/>
      <c r="AR4849" s="107"/>
      <c r="AS4849" s="107"/>
      <c r="AT4849" s="39"/>
    </row>
    <row r="4850" spans="1:63" x14ac:dyDescent="0.25">
      <c r="A4850" s="92"/>
      <c r="B4850" s="93"/>
      <c r="C4850" s="93"/>
      <c r="D4850" s="92"/>
      <c r="E4850" s="92"/>
      <c r="F4850" s="92"/>
      <c r="G4850" s="92"/>
      <c r="H4850" s="92"/>
      <c r="I4850" s="92"/>
      <c r="J4850" s="92"/>
      <c r="K4850" s="92"/>
      <c r="L4850" s="92"/>
      <c r="M4850" s="92"/>
      <c r="N4850" s="94"/>
      <c r="AG4850" s="107"/>
      <c r="AH4850" s="107"/>
      <c r="AI4850" s="107"/>
      <c r="AJ4850" s="117"/>
      <c r="AK4850" s="107"/>
      <c r="AL4850" s="107"/>
      <c r="AM4850" s="107"/>
      <c r="AN4850" s="107"/>
      <c r="AO4850" s="107"/>
      <c r="AP4850" s="107"/>
      <c r="AQ4850" s="107"/>
      <c r="AR4850" s="107"/>
      <c r="AS4850" s="107"/>
      <c r="AT4850" s="107"/>
    </row>
    <row r="4851" spans="1:63" x14ac:dyDescent="0.25">
      <c r="A4851" s="92"/>
      <c r="B4851" s="93"/>
      <c r="C4851" s="93"/>
      <c r="D4851" s="93"/>
      <c r="E4851" s="92"/>
      <c r="F4851" s="92"/>
      <c r="G4851" s="92"/>
      <c r="H4851" s="92"/>
      <c r="I4851" s="92"/>
      <c r="J4851" s="92"/>
      <c r="K4851" s="92"/>
      <c r="L4851" s="92"/>
      <c r="M4851" s="92"/>
      <c r="N4851" s="94"/>
      <c r="AG4851" s="107"/>
      <c r="AH4851" s="107"/>
      <c r="AI4851" s="107"/>
      <c r="AJ4851" s="117"/>
      <c r="AK4851" s="107"/>
      <c r="AL4851" s="107"/>
      <c r="AM4851" s="107"/>
      <c r="AN4851" s="107"/>
      <c r="AO4851" s="107"/>
      <c r="AP4851" s="107"/>
      <c r="AQ4851" s="107"/>
      <c r="AR4851" s="107"/>
      <c r="AS4851" s="107"/>
      <c r="AT4851" s="107"/>
    </row>
    <row r="4852" spans="1:63" x14ac:dyDescent="0.25">
      <c r="A4852" s="92"/>
      <c r="B4852" s="93"/>
      <c r="C4852" s="93"/>
      <c r="D4852" s="92"/>
      <c r="E4852" s="92"/>
      <c r="F4852" s="92"/>
      <c r="G4852" s="92"/>
      <c r="H4852" s="92"/>
      <c r="I4852" s="92"/>
      <c r="J4852" s="92"/>
      <c r="K4852" s="92"/>
      <c r="L4852" s="92"/>
      <c r="M4852" s="92"/>
      <c r="N4852" s="94"/>
      <c r="AG4852" s="107"/>
      <c r="AH4852" s="107"/>
      <c r="AI4852" s="107"/>
      <c r="AJ4852" s="117"/>
      <c r="AK4852" s="107"/>
      <c r="AL4852" s="107"/>
      <c r="AM4852" s="107"/>
      <c r="AN4852" s="107"/>
      <c r="AO4852" s="107"/>
      <c r="AP4852" s="107"/>
      <c r="AQ4852" s="107"/>
      <c r="AR4852" s="107"/>
      <c r="AS4852" s="107"/>
      <c r="AT4852" s="107"/>
      <c r="AZ4852" s="117"/>
      <c r="BK4852" s="39"/>
    </row>
    <row r="4853" spans="1:63" x14ac:dyDescent="0.25">
      <c r="A4853" s="92"/>
      <c r="B4853" s="93"/>
      <c r="C4853" s="93"/>
      <c r="D4853" s="92"/>
      <c r="E4853" s="92"/>
      <c r="F4853" s="92"/>
      <c r="G4853" s="92"/>
      <c r="H4853" s="92"/>
      <c r="I4853" s="92"/>
      <c r="J4853" s="92"/>
      <c r="K4853" s="92"/>
      <c r="L4853" s="92"/>
      <c r="M4853" s="92"/>
      <c r="N4853" s="94"/>
      <c r="AG4853" s="107"/>
      <c r="AH4853" s="107"/>
      <c r="AI4853" s="107"/>
      <c r="AJ4853" s="117"/>
      <c r="AK4853" s="107"/>
      <c r="AL4853" s="107"/>
      <c r="AM4853" s="107"/>
      <c r="AN4853" s="107"/>
      <c r="AO4853" s="107"/>
      <c r="AP4853" s="107"/>
      <c r="AQ4853" s="107"/>
      <c r="AR4853" s="107"/>
      <c r="AS4853" s="107"/>
      <c r="AT4853" s="107"/>
    </row>
    <row r="4854" spans="1:63" x14ac:dyDescent="0.25">
      <c r="A4854" s="92"/>
      <c r="B4854" s="93"/>
      <c r="C4854" s="93"/>
      <c r="D4854" s="92"/>
      <c r="E4854" s="92"/>
      <c r="F4854" s="92"/>
      <c r="G4854" s="92"/>
      <c r="H4854" s="92"/>
      <c r="I4854" s="92"/>
      <c r="J4854" s="92"/>
      <c r="K4854" s="92"/>
      <c r="L4854" s="92"/>
      <c r="M4854" s="92"/>
      <c r="N4854" s="94"/>
      <c r="AG4854" s="107"/>
      <c r="AH4854" s="107"/>
      <c r="AI4854" s="107"/>
      <c r="AJ4854" s="117"/>
      <c r="AK4854" s="107"/>
      <c r="AL4854" s="107"/>
      <c r="AM4854" s="107"/>
      <c r="AN4854" s="107"/>
      <c r="AO4854" s="107"/>
      <c r="AP4854" s="107"/>
      <c r="AQ4854" s="107"/>
      <c r="AR4854" s="107"/>
      <c r="AS4854" s="107"/>
      <c r="AT4854" s="107"/>
      <c r="AZ4854" s="117"/>
      <c r="BA4854" s="117"/>
      <c r="BK4854" s="39"/>
    </row>
    <row r="4855" spans="1:63" x14ac:dyDescent="0.25">
      <c r="A4855" s="92"/>
      <c r="B4855" s="93"/>
      <c r="C4855" s="93"/>
      <c r="D4855" s="92"/>
      <c r="E4855" s="92"/>
      <c r="F4855" s="92"/>
      <c r="G4855" s="92"/>
      <c r="H4855" s="92"/>
      <c r="I4855" s="92"/>
      <c r="J4855" s="92"/>
      <c r="K4855" s="92"/>
      <c r="L4855" s="92"/>
      <c r="M4855" s="92"/>
      <c r="N4855" s="94"/>
      <c r="AG4855" s="107"/>
      <c r="AH4855" s="107"/>
      <c r="AI4855" s="107"/>
      <c r="AJ4855" s="11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Z4855" s="117"/>
      <c r="BK4855" s="39"/>
    </row>
    <row r="4856" spans="1:63" x14ac:dyDescent="0.25">
      <c r="A4856" s="92"/>
      <c r="B4856" s="92"/>
      <c r="C4856" s="92"/>
      <c r="D4856" s="92"/>
      <c r="E4856" s="92"/>
      <c r="F4856" s="92"/>
      <c r="G4856" s="92"/>
      <c r="H4856" s="92"/>
      <c r="I4856" s="92"/>
      <c r="J4856" s="92"/>
      <c r="K4856" s="92"/>
      <c r="L4856" s="92"/>
      <c r="M4856" s="92"/>
      <c r="N4856" s="92"/>
      <c r="AG4856" s="107"/>
      <c r="AH4856" s="107"/>
      <c r="AI4856" s="107"/>
      <c r="AJ4856" s="117"/>
      <c r="AK4856" s="107"/>
      <c r="AL4856" s="107"/>
      <c r="AM4856" s="107"/>
      <c r="AN4856" s="107"/>
      <c r="AO4856" s="107"/>
      <c r="AP4856" s="107"/>
      <c r="AQ4856" s="107"/>
      <c r="AR4856" s="107"/>
      <c r="AS4856" s="107"/>
      <c r="AT4856" s="107"/>
    </row>
    <row r="4857" spans="1:63" x14ac:dyDescent="0.25">
      <c r="A4857" s="92"/>
      <c r="B4857" s="92"/>
      <c r="C4857" s="92"/>
      <c r="D4857" s="92"/>
      <c r="E4857" s="92"/>
      <c r="F4857" s="92"/>
      <c r="G4857" s="92"/>
      <c r="H4857" s="92"/>
      <c r="I4857" s="92"/>
      <c r="J4857" s="92"/>
      <c r="K4857" s="92"/>
      <c r="L4857" s="92"/>
      <c r="M4857" s="92"/>
      <c r="N4857" s="92"/>
      <c r="AG4857" s="107"/>
      <c r="AH4857" s="107"/>
      <c r="AI4857" s="107"/>
      <c r="AJ4857" s="117"/>
      <c r="AK4857" s="107"/>
      <c r="AL4857" s="107"/>
      <c r="AM4857" s="107"/>
      <c r="AN4857" s="107"/>
      <c r="AO4857" s="107"/>
      <c r="AP4857" s="107"/>
      <c r="AQ4857" s="107"/>
      <c r="AR4857" s="107"/>
      <c r="AS4857" s="107"/>
      <c r="AT4857" s="107"/>
    </row>
    <row r="4858" spans="1:63" x14ac:dyDescent="0.25">
      <c r="A4858" s="92"/>
      <c r="B4858" s="92"/>
      <c r="C4858" s="92"/>
      <c r="D4858" s="92"/>
      <c r="E4858" s="92"/>
      <c r="F4858" s="92"/>
      <c r="G4858" s="92"/>
      <c r="H4858" s="92"/>
      <c r="I4858" s="92"/>
      <c r="J4858" s="92"/>
      <c r="K4858" s="92"/>
      <c r="L4858" s="92"/>
      <c r="M4858" s="92"/>
      <c r="N4858" s="92"/>
      <c r="AG4858" s="107"/>
      <c r="AH4858" s="107"/>
      <c r="AI4858" s="107"/>
      <c r="AJ4858" s="117"/>
      <c r="AK4858" s="107"/>
      <c r="AL4858" s="107"/>
      <c r="AM4858" s="107"/>
      <c r="AN4858" s="107"/>
      <c r="AO4858" s="107"/>
      <c r="AP4858" s="107"/>
      <c r="AQ4858" s="107"/>
      <c r="AR4858" s="107"/>
      <c r="AS4858" s="107"/>
      <c r="AT4858" s="107"/>
    </row>
    <row r="4859" spans="1:63" x14ac:dyDescent="0.25">
      <c r="A4859" s="92"/>
      <c r="B4859" s="92"/>
      <c r="C4859" s="92"/>
      <c r="D4859" s="92"/>
      <c r="E4859" s="92"/>
      <c r="F4859" s="92"/>
      <c r="G4859" s="92"/>
      <c r="H4859" s="92"/>
      <c r="I4859" s="92"/>
      <c r="J4859" s="92"/>
      <c r="K4859" s="92"/>
      <c r="L4859" s="92"/>
      <c r="M4859" s="92"/>
      <c r="N4859" s="92"/>
      <c r="AG4859" s="107"/>
      <c r="AH4859" s="117"/>
      <c r="AI4859" s="117"/>
      <c r="AJ4859" s="107"/>
      <c r="AK4859" s="107"/>
      <c r="AL4859" s="107"/>
      <c r="AM4859" s="107"/>
      <c r="AN4859" s="107"/>
      <c r="AO4859" s="107"/>
      <c r="AP4859" s="107"/>
      <c r="AQ4859" s="107"/>
      <c r="AR4859" s="107"/>
      <c r="AS4859" s="107"/>
      <c r="AT4859" s="39"/>
    </row>
    <row r="4860" spans="1:63" x14ac:dyDescent="0.25">
      <c r="A4860" s="92"/>
      <c r="B4860" s="93"/>
      <c r="C4860" s="93"/>
      <c r="D4860" s="92"/>
      <c r="E4860" s="92"/>
      <c r="F4860" s="92"/>
      <c r="G4860" s="92"/>
      <c r="H4860" s="92"/>
      <c r="I4860" s="92"/>
      <c r="J4860" s="92"/>
      <c r="K4860" s="92"/>
      <c r="L4860" s="92"/>
      <c r="M4860" s="92"/>
      <c r="N4860" s="94"/>
      <c r="AG4860" s="107"/>
      <c r="AH4860" s="117"/>
      <c r="AI4860" s="117"/>
      <c r="AJ4860" s="107"/>
      <c r="AK4860" s="107"/>
      <c r="AL4860" s="107"/>
      <c r="AM4860" s="107"/>
      <c r="AN4860" s="107"/>
      <c r="AO4860" s="107"/>
      <c r="AP4860" s="107"/>
      <c r="AQ4860" s="107"/>
      <c r="AR4860" s="107"/>
      <c r="AS4860" s="107"/>
      <c r="AT4860" s="39"/>
    </row>
    <row r="4861" spans="1:63" x14ac:dyDescent="0.25">
      <c r="A4861" s="92"/>
      <c r="B4861" s="93"/>
      <c r="C4861" s="93"/>
      <c r="D4861" s="93"/>
      <c r="E4861" s="92"/>
      <c r="F4861" s="92"/>
      <c r="G4861" s="92"/>
      <c r="H4861" s="92"/>
      <c r="I4861" s="92"/>
      <c r="J4861" s="92"/>
      <c r="K4861" s="92"/>
      <c r="L4861" s="92"/>
      <c r="M4861" s="92"/>
      <c r="N4861" s="94"/>
      <c r="AG4861" s="107"/>
      <c r="AH4861" s="117"/>
      <c r="AI4861" s="117"/>
      <c r="AJ4861" s="107"/>
      <c r="AK4861" s="107"/>
      <c r="AL4861" s="107"/>
      <c r="AM4861" s="107"/>
      <c r="AN4861" s="107"/>
      <c r="AO4861" s="107"/>
      <c r="AP4861" s="107"/>
      <c r="AQ4861" s="107"/>
      <c r="AR4861" s="107"/>
      <c r="AS4861" s="107"/>
      <c r="AT4861" s="39"/>
      <c r="AZ4861" s="117"/>
      <c r="BK4861" s="39"/>
    </row>
    <row r="4862" spans="1:63" x14ac:dyDescent="0.25">
      <c r="A4862" s="92"/>
      <c r="B4862" s="93"/>
      <c r="C4862" s="93"/>
      <c r="D4862" s="93"/>
      <c r="E4862" s="92"/>
      <c r="F4862" s="92"/>
      <c r="G4862" s="92"/>
      <c r="H4862" s="92"/>
      <c r="I4862" s="92"/>
      <c r="J4862" s="92"/>
      <c r="K4862" s="92"/>
      <c r="L4862" s="92"/>
      <c r="M4862" s="92"/>
      <c r="N4862" s="94"/>
      <c r="AG4862" s="107"/>
      <c r="AH4862" s="107"/>
      <c r="AI4862" s="107"/>
      <c r="AJ4862" s="107"/>
      <c r="AK4862" s="107"/>
      <c r="AL4862" s="107"/>
      <c r="AM4862" s="107"/>
      <c r="AN4862" s="107"/>
      <c r="AO4862" s="107"/>
      <c r="AP4862" s="107"/>
      <c r="AQ4862" s="107"/>
      <c r="AR4862" s="107"/>
      <c r="AS4862" s="107"/>
      <c r="AT4862" s="107"/>
      <c r="AZ4862" s="117"/>
      <c r="BK4862" s="39"/>
    </row>
    <row r="4863" spans="1:63" x14ac:dyDescent="0.25">
      <c r="A4863" s="92"/>
      <c r="B4863" s="92"/>
      <c r="C4863" s="92"/>
      <c r="D4863" s="92"/>
      <c r="E4863" s="92"/>
      <c r="F4863" s="92"/>
      <c r="G4863" s="92"/>
      <c r="H4863" s="92"/>
      <c r="I4863" s="92"/>
      <c r="J4863" s="92"/>
      <c r="K4863" s="92"/>
      <c r="L4863" s="92"/>
      <c r="M4863" s="92"/>
      <c r="N4863" s="92"/>
      <c r="AG4863" s="107"/>
      <c r="AH4863" s="107"/>
      <c r="AI4863" s="107"/>
      <c r="AJ4863" s="107"/>
      <c r="AK4863" s="107"/>
      <c r="AL4863" s="107"/>
      <c r="AM4863" s="107"/>
      <c r="AN4863" s="107"/>
      <c r="AO4863" s="107"/>
      <c r="AP4863" s="107"/>
      <c r="AQ4863" s="107"/>
      <c r="AR4863" s="107"/>
      <c r="AS4863" s="107"/>
      <c r="AT4863" s="107"/>
    </row>
    <row r="4864" spans="1:63" x14ac:dyDescent="0.25">
      <c r="A4864" s="92"/>
      <c r="B4864" s="92"/>
      <c r="C4864" s="92"/>
      <c r="D4864" s="92"/>
      <c r="E4864" s="92"/>
      <c r="F4864" s="92"/>
      <c r="G4864" s="92"/>
      <c r="H4864" s="92"/>
      <c r="I4864" s="92"/>
      <c r="J4864" s="92"/>
      <c r="K4864" s="92"/>
      <c r="L4864" s="92"/>
      <c r="M4864" s="92"/>
      <c r="N4864" s="92"/>
      <c r="AG4864" s="107"/>
      <c r="AH4864" s="107"/>
      <c r="AI4864" s="107"/>
      <c r="AJ4864" s="107"/>
      <c r="AK4864" s="107"/>
      <c r="AL4864" s="107"/>
      <c r="AM4864" s="107"/>
      <c r="AN4864" s="107"/>
      <c r="AO4864" s="107"/>
      <c r="AP4864" s="107"/>
      <c r="AQ4864" s="107"/>
      <c r="AR4864" s="107"/>
      <c r="AS4864" s="107"/>
      <c r="AT4864" s="107"/>
      <c r="AZ4864" s="117"/>
      <c r="BK4864" s="39"/>
    </row>
    <row r="4865" spans="1:63" x14ac:dyDescent="0.25">
      <c r="A4865" s="92"/>
      <c r="B4865" s="92"/>
      <c r="C4865" s="92"/>
      <c r="D4865" s="92"/>
      <c r="E4865" s="92"/>
      <c r="F4865" s="92"/>
      <c r="G4865" s="92"/>
      <c r="H4865" s="92"/>
      <c r="I4865" s="92"/>
      <c r="J4865" s="92"/>
      <c r="K4865" s="92"/>
      <c r="L4865" s="92"/>
      <c r="M4865" s="92"/>
      <c r="N4865" s="92"/>
      <c r="AG4865" s="107"/>
      <c r="AH4865" s="107"/>
      <c r="AI4865" s="107"/>
      <c r="AJ4865" s="107"/>
      <c r="AK4865" s="107"/>
      <c r="AL4865" s="107"/>
      <c r="AM4865" s="107"/>
      <c r="AN4865" s="107"/>
      <c r="AO4865" s="107"/>
      <c r="AP4865" s="107"/>
      <c r="AQ4865" s="107"/>
      <c r="AR4865" s="107"/>
      <c r="AS4865" s="107"/>
      <c r="AT4865" s="107"/>
      <c r="AZ4865" s="117"/>
      <c r="BK4865" s="39"/>
    </row>
    <row r="4866" spans="1:63" x14ac:dyDescent="0.25">
      <c r="A4866" s="92"/>
      <c r="B4866" s="92"/>
      <c r="C4866" s="92"/>
      <c r="D4866" s="92"/>
      <c r="E4866" s="92"/>
      <c r="F4866" s="92"/>
      <c r="G4866" s="92"/>
      <c r="H4866" s="92"/>
      <c r="I4866" s="92"/>
      <c r="J4866" s="92"/>
      <c r="K4866" s="92"/>
      <c r="L4866" s="92"/>
      <c r="M4866" s="92"/>
      <c r="N4866" s="92"/>
      <c r="AG4866" s="107"/>
      <c r="AH4866" s="107"/>
      <c r="AI4866" s="107"/>
      <c r="AJ4866" s="107"/>
      <c r="AK4866" s="107"/>
      <c r="AL4866" s="107"/>
      <c r="AM4866" s="107"/>
      <c r="AN4866" s="107"/>
      <c r="AO4866" s="107"/>
      <c r="AP4866" s="107"/>
      <c r="AQ4866" s="107"/>
      <c r="AR4866" s="107"/>
      <c r="AS4866" s="107"/>
      <c r="AT4866" s="107"/>
      <c r="AZ4866" s="117"/>
      <c r="BA4866" s="117"/>
      <c r="BK4866" s="39"/>
    </row>
    <row r="4867" spans="1:63" x14ac:dyDescent="0.25">
      <c r="A4867" s="92"/>
      <c r="B4867" s="92"/>
      <c r="C4867" s="92"/>
      <c r="D4867" s="92"/>
      <c r="E4867" s="92"/>
      <c r="F4867" s="92"/>
      <c r="G4867" s="92"/>
      <c r="H4867" s="92"/>
      <c r="I4867" s="92"/>
      <c r="J4867" s="92"/>
      <c r="K4867" s="92"/>
      <c r="L4867" s="92"/>
      <c r="M4867" s="92"/>
      <c r="N4867" s="92"/>
      <c r="AG4867" s="107"/>
      <c r="AH4867" s="107"/>
      <c r="AI4867" s="107"/>
      <c r="AJ4867" s="107"/>
      <c r="AK4867" s="107"/>
      <c r="AL4867" s="107"/>
      <c r="AM4867" s="107"/>
      <c r="AN4867" s="107"/>
      <c r="AO4867" s="107"/>
      <c r="AP4867" s="107"/>
      <c r="AQ4867" s="107"/>
      <c r="AR4867" s="107"/>
      <c r="AS4867" s="107"/>
      <c r="AT4867" s="107"/>
    </row>
    <row r="4868" spans="1:63" x14ac:dyDescent="0.25">
      <c r="A4868" s="92"/>
      <c r="B4868" s="93"/>
      <c r="C4868" s="93"/>
      <c r="D4868" s="92"/>
      <c r="E4868" s="92"/>
      <c r="F4868" s="92"/>
      <c r="G4868" s="92"/>
      <c r="H4868" s="92"/>
      <c r="I4868" s="92"/>
      <c r="J4868" s="92"/>
      <c r="K4868" s="92"/>
      <c r="L4868" s="92"/>
      <c r="M4868" s="92"/>
      <c r="N4868" s="94"/>
      <c r="AG4868" s="107"/>
      <c r="AH4868" s="107"/>
      <c r="AI4868" s="107"/>
      <c r="AJ4868" s="107"/>
      <c r="AK4868" s="107"/>
      <c r="AL4868" s="107"/>
      <c r="AM4868" s="107"/>
      <c r="AN4868" s="107"/>
      <c r="AO4868" s="107"/>
      <c r="AP4868" s="107"/>
      <c r="AQ4868" s="107"/>
      <c r="AR4868" s="107"/>
      <c r="AS4868" s="107"/>
      <c r="AT4868" s="107"/>
    </row>
    <row r="4869" spans="1:63" x14ac:dyDescent="0.25">
      <c r="A4869" s="92"/>
      <c r="B4869" s="92"/>
      <c r="C4869" s="92"/>
      <c r="D4869" s="92"/>
      <c r="E4869" s="92"/>
      <c r="F4869" s="92"/>
      <c r="G4869" s="92"/>
      <c r="H4869" s="92"/>
      <c r="I4869" s="92"/>
      <c r="J4869" s="92"/>
      <c r="K4869" s="92"/>
      <c r="L4869" s="92"/>
      <c r="M4869" s="92"/>
      <c r="N4869" s="92"/>
      <c r="AG4869" s="107"/>
      <c r="AH4869" s="117"/>
      <c r="AI4869" s="117"/>
      <c r="AJ4869" s="117"/>
      <c r="AK4869" s="107"/>
      <c r="AL4869" s="107"/>
      <c r="AM4869" s="107"/>
      <c r="AN4869" s="107"/>
      <c r="AO4869" s="107"/>
      <c r="AP4869" s="107"/>
      <c r="AQ4869" s="107"/>
      <c r="AR4869" s="107"/>
      <c r="AS4869" s="107"/>
      <c r="AT4869" s="39"/>
    </row>
    <row r="4870" spans="1:63" x14ac:dyDescent="0.25">
      <c r="A4870" s="92"/>
      <c r="B4870" s="93"/>
      <c r="C4870" s="93"/>
      <c r="D4870" s="93"/>
      <c r="E4870" s="92"/>
      <c r="F4870" s="92"/>
      <c r="G4870" s="92"/>
      <c r="H4870" s="92"/>
      <c r="I4870" s="92"/>
      <c r="J4870" s="92"/>
      <c r="K4870" s="92"/>
      <c r="L4870" s="92"/>
      <c r="M4870" s="92"/>
      <c r="N4870" s="94"/>
      <c r="AG4870" s="107"/>
      <c r="AH4870" s="117"/>
      <c r="AI4870" s="117"/>
      <c r="AJ4870" s="117"/>
      <c r="AK4870" s="107"/>
      <c r="AL4870" s="107"/>
      <c r="AM4870" s="107"/>
      <c r="AN4870" s="107"/>
      <c r="AO4870" s="107"/>
      <c r="AP4870" s="107"/>
      <c r="AQ4870" s="107"/>
      <c r="AR4870" s="107"/>
      <c r="AS4870" s="107"/>
      <c r="AT4870" s="39"/>
      <c r="AZ4870" s="117"/>
      <c r="BK4870" s="39"/>
    </row>
    <row r="4871" spans="1:63" x14ac:dyDescent="0.25">
      <c r="A4871" s="92"/>
      <c r="B4871" s="93"/>
      <c r="C4871" s="93"/>
      <c r="D4871" s="92"/>
      <c r="E4871" s="92"/>
      <c r="F4871" s="92"/>
      <c r="G4871" s="92"/>
      <c r="H4871" s="92"/>
      <c r="I4871" s="92"/>
      <c r="J4871" s="92"/>
      <c r="K4871" s="92"/>
      <c r="L4871" s="92"/>
      <c r="M4871" s="92"/>
      <c r="N4871" s="94"/>
      <c r="AG4871" s="107"/>
      <c r="AH4871" s="117"/>
      <c r="AI4871" s="117"/>
      <c r="AJ4871" s="107"/>
      <c r="AK4871" s="107"/>
      <c r="AL4871" s="107"/>
      <c r="AM4871" s="107"/>
      <c r="AN4871" s="107"/>
      <c r="AO4871" s="107"/>
      <c r="AP4871" s="107"/>
      <c r="AQ4871" s="107"/>
      <c r="AR4871" s="107"/>
      <c r="AS4871" s="107"/>
      <c r="AT4871" s="39"/>
      <c r="AZ4871" s="117"/>
      <c r="BK4871" s="39"/>
    </row>
    <row r="4872" spans="1:63" x14ac:dyDescent="0.25">
      <c r="A4872" s="92"/>
      <c r="B4872" s="92"/>
      <c r="C4872" s="92"/>
      <c r="D4872" s="92"/>
      <c r="E4872" s="92"/>
      <c r="F4872" s="92"/>
      <c r="G4872" s="92"/>
      <c r="H4872" s="92"/>
      <c r="I4872" s="92"/>
      <c r="J4872" s="92"/>
      <c r="K4872" s="92"/>
      <c r="L4872" s="92"/>
      <c r="M4872" s="92"/>
      <c r="N4872" s="92"/>
      <c r="AG4872" s="107"/>
      <c r="AH4872" s="117"/>
      <c r="AI4872" s="117"/>
      <c r="AJ4872" s="117"/>
      <c r="AK4872" s="107"/>
      <c r="AL4872" s="107"/>
      <c r="AM4872" s="107"/>
      <c r="AN4872" s="107"/>
      <c r="AO4872" s="107"/>
      <c r="AP4872" s="107"/>
      <c r="AQ4872" s="107"/>
      <c r="AR4872" s="107"/>
      <c r="AS4872" s="107"/>
      <c r="AT4872" s="39"/>
      <c r="AZ4872" s="117"/>
      <c r="BA4872" s="117"/>
      <c r="BK4872" s="39"/>
    </row>
    <row r="4873" spans="1:63" x14ac:dyDescent="0.25">
      <c r="A4873" s="92"/>
      <c r="B4873" s="92"/>
      <c r="C4873" s="92"/>
      <c r="D4873" s="92"/>
      <c r="E4873" s="92"/>
      <c r="F4873" s="92"/>
      <c r="G4873" s="92"/>
      <c r="H4873" s="92"/>
      <c r="I4873" s="92"/>
      <c r="J4873" s="92"/>
      <c r="K4873" s="92"/>
      <c r="L4873" s="92"/>
      <c r="M4873" s="92"/>
      <c r="N4873" s="92"/>
      <c r="AG4873" s="107"/>
      <c r="AH4873" s="107"/>
      <c r="AI4873" s="107"/>
      <c r="AJ4873" s="107"/>
      <c r="AK4873" s="107"/>
      <c r="AL4873" s="107"/>
      <c r="AM4873" s="107"/>
      <c r="AN4873" s="107"/>
      <c r="AO4873" s="107"/>
      <c r="AP4873" s="107"/>
      <c r="AQ4873" s="107"/>
      <c r="AR4873" s="107"/>
      <c r="AS4873" s="107"/>
      <c r="AT4873" s="107"/>
      <c r="AZ4873" s="117"/>
      <c r="BK4873" s="39"/>
    </row>
    <row r="4874" spans="1:63" x14ac:dyDescent="0.25">
      <c r="A4874" s="92"/>
      <c r="B4874" s="92"/>
      <c r="C4874" s="92"/>
      <c r="D4874" s="92"/>
      <c r="E4874" s="92"/>
      <c r="F4874" s="92"/>
      <c r="G4874" s="92"/>
      <c r="H4874" s="92"/>
      <c r="I4874" s="92"/>
      <c r="J4874" s="92"/>
      <c r="K4874" s="92"/>
      <c r="L4874" s="92"/>
      <c r="M4874" s="92"/>
      <c r="N4874" s="92"/>
      <c r="AG4874" s="107"/>
      <c r="AH4874" s="107"/>
      <c r="AI4874" s="107"/>
      <c r="AJ4874" s="107"/>
      <c r="AK4874" s="107"/>
      <c r="AL4874" s="107"/>
      <c r="AM4874" s="107"/>
      <c r="AN4874" s="107"/>
      <c r="AO4874" s="107"/>
      <c r="AP4874" s="107"/>
      <c r="AQ4874" s="107"/>
      <c r="AR4874" s="107"/>
      <c r="AS4874" s="107"/>
      <c r="AT4874" s="107"/>
      <c r="AZ4874" s="117"/>
      <c r="BA4874" s="117"/>
      <c r="BK4874" s="39"/>
    </row>
    <row r="4875" spans="1:63" x14ac:dyDescent="0.25">
      <c r="A4875" s="92"/>
      <c r="B4875" s="92"/>
      <c r="C4875" s="92"/>
      <c r="D4875" s="92"/>
      <c r="E4875" s="92"/>
      <c r="F4875" s="92"/>
      <c r="G4875" s="92"/>
      <c r="H4875" s="92"/>
      <c r="I4875" s="92"/>
      <c r="J4875" s="92"/>
      <c r="K4875" s="92"/>
      <c r="L4875" s="92"/>
      <c r="M4875" s="92"/>
      <c r="N4875" s="92"/>
      <c r="AG4875" s="107"/>
      <c r="AH4875" s="117"/>
      <c r="AI4875" s="117"/>
      <c r="AJ4875" s="107"/>
      <c r="AK4875" s="107"/>
      <c r="AL4875" s="107"/>
      <c r="AM4875" s="107"/>
      <c r="AN4875" s="107"/>
      <c r="AO4875" s="107"/>
      <c r="AP4875" s="107"/>
      <c r="AQ4875" s="107"/>
      <c r="AR4875" s="107"/>
      <c r="AS4875" s="107"/>
      <c r="AT4875" s="39"/>
      <c r="AZ4875" s="117"/>
      <c r="BK4875" s="39"/>
    </row>
    <row r="4876" spans="1:63" x14ac:dyDescent="0.25">
      <c r="A4876" s="92"/>
      <c r="B4876" s="92"/>
      <c r="C4876" s="92"/>
      <c r="D4876" s="92"/>
      <c r="E4876" s="92"/>
      <c r="F4876" s="92"/>
      <c r="G4876" s="92"/>
      <c r="H4876" s="92"/>
      <c r="I4876" s="92"/>
      <c r="J4876" s="92"/>
      <c r="K4876" s="92"/>
      <c r="L4876" s="92"/>
      <c r="M4876" s="92"/>
      <c r="N4876" s="92"/>
      <c r="AG4876" s="107"/>
      <c r="AH4876" s="117"/>
      <c r="AI4876" s="117"/>
      <c r="AJ4876" s="107"/>
      <c r="AK4876" s="107"/>
      <c r="AL4876" s="107"/>
      <c r="AM4876" s="107"/>
      <c r="AN4876" s="107"/>
      <c r="AO4876" s="107"/>
      <c r="AP4876" s="107"/>
      <c r="AQ4876" s="107"/>
      <c r="AR4876" s="107"/>
      <c r="AS4876" s="107"/>
      <c r="AT4876" s="39"/>
      <c r="AZ4876" s="117"/>
      <c r="BK4876" s="39"/>
    </row>
    <row r="4877" spans="1:63" x14ac:dyDescent="0.25">
      <c r="A4877" s="92"/>
      <c r="B4877" s="93"/>
      <c r="C4877" s="93"/>
      <c r="D4877" s="92"/>
      <c r="E4877" s="92"/>
      <c r="F4877" s="92"/>
      <c r="G4877" s="92"/>
      <c r="H4877" s="92"/>
      <c r="I4877" s="92"/>
      <c r="J4877" s="92"/>
      <c r="K4877" s="92"/>
      <c r="L4877" s="92"/>
      <c r="M4877" s="92"/>
      <c r="N4877" s="94"/>
      <c r="AG4877" s="107"/>
      <c r="AH4877" s="117"/>
      <c r="AI4877" s="117"/>
      <c r="AJ4877" s="117"/>
      <c r="AK4877" s="107"/>
      <c r="AL4877" s="107"/>
      <c r="AM4877" s="107"/>
      <c r="AN4877" s="107"/>
      <c r="AO4877" s="107"/>
      <c r="AP4877" s="107"/>
      <c r="AQ4877" s="107"/>
      <c r="AR4877" s="107"/>
      <c r="AS4877" s="107"/>
      <c r="AT4877" s="39"/>
      <c r="AZ4877" s="117"/>
      <c r="BK4877" s="39"/>
    </row>
    <row r="4878" spans="1:63" x14ac:dyDescent="0.25">
      <c r="A4878" s="92"/>
      <c r="B4878" s="93"/>
      <c r="C4878" s="93"/>
      <c r="D4878" s="92"/>
      <c r="E4878" s="92"/>
      <c r="F4878" s="92"/>
      <c r="G4878" s="92"/>
      <c r="H4878" s="92"/>
      <c r="I4878" s="92"/>
      <c r="J4878" s="92"/>
      <c r="K4878" s="92"/>
      <c r="L4878" s="92"/>
      <c r="M4878" s="92"/>
      <c r="N4878" s="94"/>
      <c r="AG4878" s="107"/>
      <c r="AH4878" s="117"/>
      <c r="AI4878" s="117"/>
      <c r="AJ4878" s="107"/>
      <c r="AK4878" s="107"/>
      <c r="AL4878" s="107"/>
      <c r="AM4878" s="107"/>
      <c r="AN4878" s="107"/>
      <c r="AO4878" s="107"/>
      <c r="AP4878" s="107"/>
      <c r="AQ4878" s="107"/>
      <c r="AR4878" s="107"/>
      <c r="AS4878" s="107"/>
      <c r="AT4878" s="39"/>
      <c r="AZ4878" s="117"/>
      <c r="BK4878" s="39"/>
    </row>
    <row r="4879" spans="1:63" x14ac:dyDescent="0.25">
      <c r="A4879" s="92"/>
      <c r="B4879" s="92"/>
      <c r="C4879" s="92"/>
      <c r="D4879" s="92"/>
      <c r="E4879" s="92"/>
      <c r="F4879" s="92"/>
      <c r="G4879" s="92"/>
      <c r="H4879" s="92"/>
      <c r="I4879" s="92"/>
      <c r="J4879" s="92"/>
      <c r="K4879" s="92"/>
      <c r="L4879" s="92"/>
      <c r="M4879" s="92"/>
      <c r="N4879" s="92"/>
      <c r="AG4879" s="107"/>
      <c r="AH4879" s="117"/>
      <c r="AI4879" s="117"/>
      <c r="AJ4879" s="117"/>
      <c r="AK4879" s="107"/>
      <c r="AL4879" s="107"/>
      <c r="AM4879" s="107"/>
      <c r="AN4879" s="107"/>
      <c r="AO4879" s="107"/>
      <c r="AP4879" s="107"/>
      <c r="AQ4879" s="107"/>
      <c r="AR4879" s="107"/>
      <c r="AS4879" s="107"/>
      <c r="AT4879" s="39"/>
    </row>
    <row r="4880" spans="1:63" x14ac:dyDescent="0.25">
      <c r="A4880" s="92"/>
      <c r="B4880" s="93"/>
      <c r="C4880" s="93"/>
      <c r="D4880" s="92"/>
      <c r="E4880" s="92"/>
      <c r="F4880" s="92"/>
      <c r="G4880" s="92"/>
      <c r="H4880" s="92"/>
      <c r="I4880" s="92"/>
      <c r="J4880" s="92"/>
      <c r="K4880" s="92"/>
      <c r="L4880" s="92"/>
      <c r="M4880" s="92"/>
      <c r="N4880" s="94"/>
      <c r="AG4880" s="107"/>
      <c r="AH4880" s="117"/>
      <c r="AI4880" s="117"/>
      <c r="AJ4880" s="107"/>
      <c r="AK4880" s="107"/>
      <c r="AL4880" s="107"/>
      <c r="AM4880" s="107"/>
      <c r="AN4880" s="107"/>
      <c r="AO4880" s="107"/>
      <c r="AP4880" s="107"/>
      <c r="AQ4880" s="107"/>
      <c r="AR4880" s="107"/>
      <c r="AS4880" s="107"/>
      <c r="AT4880" s="39"/>
      <c r="AZ4880" s="117"/>
      <c r="BK4880" s="39"/>
    </row>
    <row r="4881" spans="1:63" x14ac:dyDescent="0.25">
      <c r="A4881" s="92"/>
      <c r="B4881" s="93"/>
      <c r="C4881" s="93"/>
      <c r="D4881" s="92"/>
      <c r="E4881" s="92"/>
      <c r="F4881" s="92"/>
      <c r="G4881" s="92"/>
      <c r="H4881" s="92"/>
      <c r="I4881" s="92"/>
      <c r="J4881" s="92"/>
      <c r="K4881" s="92"/>
      <c r="L4881" s="92"/>
      <c r="M4881" s="92"/>
      <c r="N4881" s="94"/>
      <c r="AG4881" s="107"/>
      <c r="AH4881" s="117"/>
      <c r="AI4881" s="117"/>
      <c r="AJ4881" s="107"/>
      <c r="AK4881" s="107"/>
      <c r="AL4881" s="107"/>
      <c r="AM4881" s="107"/>
      <c r="AN4881" s="107"/>
      <c r="AO4881" s="107"/>
      <c r="AP4881" s="107"/>
      <c r="AQ4881" s="107"/>
      <c r="AR4881" s="107"/>
      <c r="AS4881" s="107"/>
      <c r="AT4881" s="39"/>
      <c r="AZ4881" s="117"/>
      <c r="BA4881" s="117"/>
      <c r="BK4881" s="39"/>
    </row>
    <row r="4882" spans="1:63" x14ac:dyDescent="0.25">
      <c r="A4882" s="92"/>
      <c r="B4882" s="93"/>
      <c r="C4882" s="93"/>
      <c r="D4882" s="93"/>
      <c r="E4882" s="92"/>
      <c r="F4882" s="92"/>
      <c r="G4882" s="92"/>
      <c r="H4882" s="92"/>
      <c r="I4882" s="92"/>
      <c r="J4882" s="92"/>
      <c r="K4882" s="92"/>
      <c r="L4882" s="92"/>
      <c r="M4882" s="92"/>
      <c r="N4882" s="94"/>
      <c r="AG4882" s="107"/>
      <c r="AH4882" s="117"/>
      <c r="AI4882" s="117"/>
      <c r="AJ4882" s="107"/>
      <c r="AK4882" s="107"/>
      <c r="AL4882" s="107"/>
      <c r="AM4882" s="107"/>
      <c r="AN4882" s="107"/>
      <c r="AO4882" s="107"/>
      <c r="AP4882" s="107"/>
      <c r="AQ4882" s="107"/>
      <c r="AR4882" s="107"/>
      <c r="AS4882" s="107"/>
      <c r="AT4882" s="39"/>
    </row>
    <row r="4883" spans="1:63" x14ac:dyDescent="0.25">
      <c r="A4883" s="92"/>
      <c r="B4883" s="92"/>
      <c r="C4883" s="92"/>
      <c r="D4883" s="92"/>
      <c r="E4883" s="92"/>
      <c r="F4883" s="92"/>
      <c r="G4883" s="92"/>
      <c r="H4883" s="92"/>
      <c r="I4883" s="92"/>
      <c r="J4883" s="92"/>
      <c r="K4883" s="92"/>
      <c r="L4883" s="92"/>
      <c r="M4883" s="92"/>
      <c r="N4883" s="92"/>
      <c r="AG4883" s="107"/>
      <c r="AH4883" s="117"/>
      <c r="AI4883" s="117"/>
      <c r="AJ4883" s="107"/>
      <c r="AK4883" s="107"/>
      <c r="AL4883" s="107"/>
      <c r="AM4883" s="107"/>
      <c r="AN4883" s="107"/>
      <c r="AO4883" s="107"/>
      <c r="AP4883" s="107"/>
      <c r="AQ4883" s="107"/>
      <c r="AR4883" s="107"/>
      <c r="AS4883" s="107"/>
      <c r="AT4883" s="39"/>
    </row>
    <row r="4884" spans="1:63" x14ac:dyDescent="0.25">
      <c r="A4884" s="92"/>
      <c r="B4884" s="92"/>
      <c r="C4884" s="92"/>
      <c r="D4884" s="92"/>
      <c r="E4884" s="92"/>
      <c r="F4884" s="92"/>
      <c r="G4884" s="92"/>
      <c r="H4884" s="92"/>
      <c r="I4884" s="92"/>
      <c r="J4884" s="92"/>
      <c r="K4884" s="92"/>
      <c r="L4884" s="92"/>
      <c r="M4884" s="92"/>
      <c r="N4884" s="92"/>
      <c r="AG4884" s="107"/>
      <c r="AH4884" s="117"/>
      <c r="AI4884" s="117"/>
      <c r="AJ4884" s="117"/>
      <c r="AK4884" s="107"/>
      <c r="AL4884" s="107"/>
      <c r="AM4884" s="107"/>
      <c r="AN4884" s="107"/>
      <c r="AO4884" s="107"/>
      <c r="AP4884" s="107"/>
      <c r="AQ4884" s="107"/>
      <c r="AR4884" s="107"/>
      <c r="AS4884" s="107"/>
      <c r="AT4884" s="39"/>
      <c r="AZ4884" s="117"/>
      <c r="BK4884" s="39"/>
    </row>
    <row r="4885" spans="1:63" x14ac:dyDescent="0.25">
      <c r="A4885" s="92"/>
      <c r="B4885" s="92"/>
      <c r="C4885" s="92"/>
      <c r="D4885" s="92"/>
      <c r="E4885" s="92"/>
      <c r="F4885" s="92"/>
      <c r="G4885" s="92"/>
      <c r="H4885" s="92"/>
      <c r="I4885" s="92"/>
      <c r="J4885" s="92"/>
      <c r="K4885" s="92"/>
      <c r="L4885" s="92"/>
      <c r="M4885" s="92"/>
      <c r="N4885" s="92"/>
      <c r="AG4885" s="107"/>
      <c r="AH4885" s="117"/>
      <c r="AI4885" s="117"/>
      <c r="AJ4885" s="117"/>
      <c r="AK4885" s="107"/>
      <c r="AL4885" s="107"/>
      <c r="AM4885" s="107"/>
      <c r="AN4885" s="107"/>
      <c r="AO4885" s="107"/>
      <c r="AP4885" s="107"/>
      <c r="AQ4885" s="107"/>
      <c r="AR4885" s="107"/>
      <c r="AS4885" s="107"/>
      <c r="AT4885" s="39"/>
    </row>
    <row r="4886" spans="1:63" x14ac:dyDescent="0.25">
      <c r="A4886" s="92"/>
      <c r="B4886" s="93"/>
      <c r="C4886" s="93"/>
      <c r="D4886" s="92"/>
      <c r="E4886" s="92"/>
      <c r="F4886" s="92"/>
      <c r="G4886" s="92"/>
      <c r="H4886" s="92"/>
      <c r="I4886" s="92"/>
      <c r="J4886" s="92"/>
      <c r="K4886" s="92"/>
      <c r="L4886" s="92"/>
      <c r="M4886" s="92"/>
      <c r="N4886" s="94"/>
      <c r="AG4886" s="107"/>
      <c r="AH4886" s="107"/>
      <c r="AI4886" s="107"/>
      <c r="AJ4886" s="117"/>
      <c r="AK4886" s="107"/>
      <c r="AL4886" s="107"/>
      <c r="AM4886" s="107"/>
      <c r="AN4886" s="107"/>
      <c r="AO4886" s="107"/>
      <c r="AP4886" s="107"/>
      <c r="AQ4886" s="107"/>
      <c r="AR4886" s="107"/>
      <c r="AS4886" s="107"/>
      <c r="AT4886" s="107"/>
    </row>
    <row r="4887" spans="1:63" x14ac:dyDescent="0.25">
      <c r="A4887" s="92"/>
      <c r="B4887" s="93"/>
      <c r="C4887" s="93"/>
      <c r="D4887" s="92"/>
      <c r="E4887" s="92"/>
      <c r="F4887" s="92"/>
      <c r="G4887" s="92"/>
      <c r="H4887" s="92"/>
      <c r="I4887" s="92"/>
      <c r="J4887" s="92"/>
      <c r="K4887" s="92"/>
      <c r="L4887" s="92"/>
      <c r="M4887" s="92"/>
      <c r="N4887" s="94"/>
      <c r="AG4887" s="107"/>
      <c r="AH4887" s="107"/>
      <c r="AI4887" s="107"/>
      <c r="AJ4887" s="117"/>
      <c r="AK4887" s="107"/>
      <c r="AL4887" s="107"/>
      <c r="AM4887" s="107"/>
      <c r="AN4887" s="107"/>
      <c r="AO4887" s="107"/>
      <c r="AP4887" s="107"/>
      <c r="AQ4887" s="107"/>
      <c r="AR4887" s="107"/>
      <c r="AS4887" s="107"/>
      <c r="AT4887" s="107"/>
    </row>
    <row r="4888" spans="1:63" x14ac:dyDescent="0.25">
      <c r="A4888" s="92"/>
      <c r="B4888" s="93"/>
      <c r="C4888" s="93"/>
      <c r="D4888" s="93"/>
      <c r="E4888" s="92"/>
      <c r="F4888" s="92"/>
      <c r="G4888" s="92"/>
      <c r="H4888" s="92"/>
      <c r="I4888" s="92"/>
      <c r="J4888" s="92"/>
      <c r="K4888" s="92"/>
      <c r="L4888" s="92"/>
      <c r="M4888" s="92"/>
      <c r="N4888" s="94"/>
      <c r="AG4888" s="107"/>
      <c r="AH4888" s="107"/>
      <c r="AI4888" s="107"/>
      <c r="AJ4888" s="117"/>
      <c r="AK4888" s="107"/>
      <c r="AL4888" s="107"/>
      <c r="AM4888" s="107"/>
      <c r="AN4888" s="107"/>
      <c r="AO4888" s="107"/>
      <c r="AP4888" s="107"/>
      <c r="AQ4888" s="107"/>
      <c r="AR4888" s="107"/>
      <c r="AS4888" s="107"/>
      <c r="AT4888" s="107"/>
      <c r="AZ4888" s="117"/>
      <c r="BK4888" s="39"/>
    </row>
    <row r="4889" spans="1:63" x14ac:dyDescent="0.25">
      <c r="A4889" s="92"/>
      <c r="B4889" s="93"/>
      <c r="C4889" s="93"/>
      <c r="D4889" s="92"/>
      <c r="E4889" s="92"/>
      <c r="F4889" s="92"/>
      <c r="G4889" s="92"/>
      <c r="H4889" s="92"/>
      <c r="I4889" s="92"/>
      <c r="J4889" s="92"/>
      <c r="K4889" s="92"/>
      <c r="L4889" s="92"/>
      <c r="M4889" s="92"/>
      <c r="N4889" s="94"/>
      <c r="AG4889" s="107"/>
      <c r="AH4889" s="107"/>
      <c r="AI4889" s="107"/>
      <c r="AJ4889" s="117"/>
      <c r="AK4889" s="107"/>
      <c r="AL4889" s="107"/>
      <c r="AM4889" s="107"/>
      <c r="AN4889" s="107"/>
      <c r="AO4889" s="107"/>
      <c r="AP4889" s="107"/>
      <c r="AQ4889" s="107"/>
      <c r="AR4889" s="107"/>
      <c r="AS4889" s="107"/>
      <c r="AT4889" s="107"/>
      <c r="AZ4889" s="117"/>
      <c r="BA4889" s="117"/>
      <c r="BK4889" s="39"/>
    </row>
    <row r="4890" spans="1:63" x14ac:dyDescent="0.25">
      <c r="A4890" s="92"/>
      <c r="B4890" s="93"/>
      <c r="C4890" s="93"/>
      <c r="D4890" s="93"/>
      <c r="E4890" s="92"/>
      <c r="F4890" s="92"/>
      <c r="G4890" s="92"/>
      <c r="H4890" s="92"/>
      <c r="I4890" s="92"/>
      <c r="J4890" s="92"/>
      <c r="K4890" s="92"/>
      <c r="L4890" s="92"/>
      <c r="M4890" s="92"/>
      <c r="N4890" s="94"/>
      <c r="AG4890" s="107"/>
      <c r="AH4890" s="107"/>
      <c r="AI4890" s="107"/>
      <c r="AJ4890" s="107"/>
      <c r="AK4890" s="107"/>
      <c r="AL4890" s="107"/>
      <c r="AM4890" s="107"/>
      <c r="AN4890" s="107"/>
      <c r="AO4890" s="107"/>
      <c r="AP4890" s="107"/>
      <c r="AQ4890" s="107"/>
      <c r="AR4890" s="107"/>
      <c r="AS4890" s="107"/>
      <c r="AT4890" s="107"/>
      <c r="AZ4890" s="117"/>
      <c r="BA4890" s="117"/>
      <c r="BK4890" s="39"/>
    </row>
    <row r="4891" spans="1:63" x14ac:dyDescent="0.25">
      <c r="A4891" s="92"/>
      <c r="B4891" s="93"/>
      <c r="C4891" s="93"/>
      <c r="D4891" s="92"/>
      <c r="E4891" s="92"/>
      <c r="F4891" s="92"/>
      <c r="G4891" s="92"/>
      <c r="H4891" s="92"/>
      <c r="I4891" s="92"/>
      <c r="J4891" s="92"/>
      <c r="K4891" s="92"/>
      <c r="L4891" s="92"/>
      <c r="M4891" s="92"/>
      <c r="N4891" s="94"/>
      <c r="AG4891" s="107"/>
      <c r="AH4891" s="107"/>
      <c r="AI4891" s="107"/>
      <c r="AJ4891" s="107"/>
      <c r="AK4891" s="107"/>
      <c r="AL4891" s="107"/>
      <c r="AM4891" s="107"/>
      <c r="AN4891" s="107"/>
      <c r="AO4891" s="107"/>
      <c r="AP4891" s="107"/>
      <c r="AQ4891" s="107"/>
      <c r="AR4891" s="107"/>
      <c r="AS4891" s="107"/>
      <c r="AT4891" s="107"/>
      <c r="AZ4891" s="117"/>
      <c r="BK4891" s="39"/>
    </row>
    <row r="4892" spans="1:63" x14ac:dyDescent="0.25">
      <c r="A4892" s="92"/>
      <c r="B4892" s="93"/>
      <c r="C4892" s="93"/>
      <c r="D4892" s="92"/>
      <c r="E4892" s="92"/>
      <c r="F4892" s="92"/>
      <c r="G4892" s="92"/>
      <c r="H4892" s="92"/>
      <c r="I4892" s="92"/>
      <c r="J4892" s="92"/>
      <c r="K4892" s="92"/>
      <c r="L4892" s="92"/>
      <c r="M4892" s="92"/>
      <c r="N4892" s="94"/>
      <c r="AG4892" s="107"/>
      <c r="AH4892" s="107"/>
      <c r="AI4892" s="107"/>
      <c r="AJ4892" s="107"/>
      <c r="AK4892" s="107"/>
      <c r="AL4892" s="107"/>
      <c r="AM4892" s="107"/>
      <c r="AN4892" s="107"/>
      <c r="AO4892" s="107"/>
      <c r="AP4892" s="107"/>
      <c r="AQ4892" s="107"/>
      <c r="AR4892" s="107"/>
      <c r="AS4892" s="107"/>
      <c r="AT4892" s="107"/>
    </row>
    <row r="4893" spans="1:63" x14ac:dyDescent="0.25">
      <c r="A4893" s="92"/>
      <c r="B4893" s="93"/>
      <c r="C4893" s="93"/>
      <c r="D4893" s="92"/>
      <c r="E4893" s="92"/>
      <c r="F4893" s="92"/>
      <c r="G4893" s="92"/>
      <c r="H4893" s="92"/>
      <c r="I4893" s="92"/>
      <c r="J4893" s="92"/>
      <c r="K4893" s="92"/>
      <c r="L4893" s="92"/>
      <c r="M4893" s="92"/>
      <c r="N4893" s="94"/>
      <c r="AG4893" s="107"/>
      <c r="AH4893" s="107"/>
      <c r="AI4893" s="107"/>
      <c r="AJ4893" s="107"/>
      <c r="AK4893" s="107"/>
      <c r="AL4893" s="107"/>
      <c r="AM4893" s="107"/>
      <c r="AN4893" s="107"/>
      <c r="AO4893" s="107"/>
      <c r="AP4893" s="107"/>
      <c r="AQ4893" s="107"/>
      <c r="AR4893" s="107"/>
      <c r="AS4893" s="107"/>
      <c r="AT4893" s="107"/>
    </row>
    <row r="4894" spans="1:63" x14ac:dyDescent="0.25">
      <c r="A4894" s="92"/>
      <c r="B4894" s="93"/>
      <c r="C4894" s="93"/>
      <c r="D4894" s="92"/>
      <c r="E4894" s="92"/>
      <c r="F4894" s="92"/>
      <c r="G4894" s="92"/>
      <c r="H4894" s="92"/>
      <c r="I4894" s="92"/>
      <c r="J4894" s="92"/>
      <c r="K4894" s="92"/>
      <c r="L4894" s="92"/>
      <c r="M4894" s="92"/>
      <c r="N4894" s="94"/>
      <c r="AG4894" s="107"/>
      <c r="AH4894" s="107"/>
      <c r="AI4894" s="107"/>
      <c r="AJ4894" s="107"/>
      <c r="AK4894" s="107"/>
      <c r="AL4894" s="107"/>
      <c r="AM4894" s="107"/>
      <c r="AN4894" s="107"/>
      <c r="AO4894" s="107"/>
      <c r="AP4894" s="107"/>
      <c r="AQ4894" s="107"/>
      <c r="AR4894" s="107"/>
      <c r="AS4894" s="107"/>
      <c r="AT4894" s="107"/>
    </row>
    <row r="4895" spans="1:63" x14ac:dyDescent="0.25">
      <c r="A4895" s="92"/>
      <c r="B4895" s="92"/>
      <c r="C4895" s="92"/>
      <c r="D4895" s="92"/>
      <c r="E4895" s="92"/>
      <c r="F4895" s="92"/>
      <c r="G4895" s="92"/>
      <c r="H4895" s="92"/>
      <c r="I4895" s="92"/>
      <c r="J4895" s="92"/>
      <c r="K4895" s="92"/>
      <c r="L4895" s="92"/>
      <c r="M4895" s="92"/>
      <c r="N4895" s="92"/>
      <c r="AG4895" s="107"/>
      <c r="AH4895" s="107"/>
      <c r="AI4895" s="107"/>
      <c r="AJ4895" s="107"/>
      <c r="AK4895" s="107"/>
      <c r="AL4895" s="107"/>
      <c r="AM4895" s="107"/>
      <c r="AN4895" s="107"/>
      <c r="AO4895" s="107"/>
      <c r="AP4895" s="107"/>
      <c r="AQ4895" s="107"/>
      <c r="AR4895" s="107"/>
      <c r="AS4895" s="107"/>
      <c r="AT4895" s="107"/>
    </row>
    <row r="4896" spans="1:63" x14ac:dyDescent="0.25">
      <c r="A4896" s="92"/>
      <c r="B4896" s="93"/>
      <c r="C4896" s="93"/>
      <c r="D4896" s="92"/>
      <c r="E4896" s="92"/>
      <c r="F4896" s="92"/>
      <c r="G4896" s="92"/>
      <c r="H4896" s="92"/>
      <c r="I4896" s="92"/>
      <c r="J4896" s="92"/>
      <c r="K4896" s="92"/>
      <c r="L4896" s="92"/>
      <c r="M4896" s="92"/>
      <c r="N4896" s="94"/>
      <c r="AG4896" s="107"/>
      <c r="AH4896" s="117"/>
      <c r="AI4896" s="117"/>
      <c r="AJ4896" s="107"/>
      <c r="AK4896" s="107"/>
      <c r="AL4896" s="107"/>
      <c r="AM4896" s="107"/>
      <c r="AN4896" s="107"/>
      <c r="AO4896" s="107"/>
      <c r="AP4896" s="107"/>
      <c r="AQ4896" s="107"/>
      <c r="AR4896" s="107"/>
      <c r="AS4896" s="107"/>
      <c r="AT4896" s="39"/>
      <c r="AZ4896" s="117"/>
      <c r="BA4896" s="117"/>
      <c r="BK4896" s="39"/>
    </row>
    <row r="4897" spans="1:63" x14ac:dyDescent="0.25">
      <c r="A4897" s="92"/>
      <c r="B4897" s="93"/>
      <c r="C4897" s="93"/>
      <c r="D4897" s="93"/>
      <c r="E4897" s="92"/>
      <c r="F4897" s="92"/>
      <c r="G4897" s="92"/>
      <c r="H4897" s="92"/>
      <c r="I4897" s="92"/>
      <c r="J4897" s="92"/>
      <c r="K4897" s="92"/>
      <c r="L4897" s="92"/>
      <c r="M4897" s="92"/>
      <c r="N4897" s="94"/>
      <c r="AG4897" s="107"/>
      <c r="AH4897" s="117"/>
      <c r="AI4897" s="117"/>
      <c r="AJ4897" s="107"/>
      <c r="AK4897" s="107"/>
      <c r="AL4897" s="107"/>
      <c r="AM4897" s="107"/>
      <c r="AN4897" s="107"/>
      <c r="AO4897" s="107"/>
      <c r="AP4897" s="107"/>
      <c r="AQ4897" s="107"/>
      <c r="AR4897" s="107"/>
      <c r="AS4897" s="107"/>
      <c r="AT4897" s="39"/>
    </row>
    <row r="4898" spans="1:63" x14ac:dyDescent="0.25">
      <c r="A4898" s="92"/>
      <c r="B4898" s="92"/>
      <c r="C4898" s="92"/>
      <c r="D4898" s="92"/>
      <c r="E4898" s="92"/>
      <c r="F4898" s="92"/>
      <c r="G4898" s="92"/>
      <c r="H4898" s="92"/>
      <c r="I4898" s="92"/>
      <c r="J4898" s="92"/>
      <c r="K4898" s="92"/>
      <c r="L4898" s="92"/>
      <c r="M4898" s="92"/>
      <c r="N4898" s="92"/>
      <c r="AG4898" s="107"/>
      <c r="AH4898" s="107"/>
      <c r="AI4898" s="107"/>
      <c r="AJ4898" s="107"/>
      <c r="AK4898" s="107"/>
      <c r="AL4898" s="107"/>
      <c r="AM4898" s="107"/>
      <c r="AN4898" s="107"/>
      <c r="AO4898" s="107"/>
      <c r="AP4898" s="107"/>
      <c r="AQ4898" s="107"/>
      <c r="AR4898" s="107"/>
      <c r="AS4898" s="107"/>
      <c r="AT4898" s="107"/>
      <c r="AZ4898" s="117"/>
      <c r="BK4898" s="39"/>
    </row>
    <row r="4899" spans="1:63" x14ac:dyDescent="0.25">
      <c r="A4899" s="92"/>
      <c r="B4899" s="92"/>
      <c r="C4899" s="92"/>
      <c r="D4899" s="92"/>
      <c r="E4899" s="92"/>
      <c r="F4899" s="92"/>
      <c r="G4899" s="92"/>
      <c r="H4899" s="92"/>
      <c r="I4899" s="92"/>
      <c r="J4899" s="92"/>
      <c r="K4899" s="92"/>
      <c r="L4899" s="92"/>
      <c r="M4899" s="92"/>
      <c r="N4899" s="92"/>
      <c r="AG4899" s="107"/>
      <c r="AH4899" s="107"/>
      <c r="AI4899" s="107"/>
      <c r="AJ4899" s="107"/>
      <c r="AK4899" s="107"/>
      <c r="AL4899" s="107"/>
      <c r="AM4899" s="107"/>
      <c r="AN4899" s="107"/>
      <c r="AO4899" s="107"/>
      <c r="AP4899" s="107"/>
      <c r="AQ4899" s="107"/>
      <c r="AR4899" s="107"/>
      <c r="AS4899" s="107"/>
      <c r="AT4899" s="107"/>
    </row>
    <row r="4900" spans="1:63" x14ac:dyDescent="0.25">
      <c r="A4900" s="92"/>
      <c r="B4900" s="93"/>
      <c r="C4900" s="93"/>
      <c r="D4900" s="92"/>
      <c r="E4900" s="92"/>
      <c r="F4900" s="92"/>
      <c r="G4900" s="92"/>
      <c r="H4900" s="92"/>
      <c r="I4900" s="92"/>
      <c r="J4900" s="92"/>
      <c r="K4900" s="92"/>
      <c r="L4900" s="92"/>
      <c r="M4900" s="92"/>
      <c r="N4900" s="94"/>
      <c r="AG4900" s="107"/>
      <c r="AH4900" s="107"/>
      <c r="AI4900" s="107"/>
      <c r="AJ4900" s="107"/>
      <c r="AK4900" s="107"/>
      <c r="AL4900" s="107"/>
      <c r="AM4900" s="107"/>
      <c r="AN4900" s="107"/>
      <c r="AO4900" s="107"/>
      <c r="AP4900" s="107"/>
      <c r="AQ4900" s="107"/>
      <c r="AR4900" s="107"/>
      <c r="AS4900" s="107"/>
      <c r="AT4900" s="107"/>
    </row>
    <row r="4901" spans="1:63" x14ac:dyDescent="0.25">
      <c r="A4901" s="92"/>
      <c r="B4901" s="92"/>
      <c r="C4901" s="92"/>
      <c r="D4901" s="92"/>
      <c r="E4901" s="92"/>
      <c r="F4901" s="92"/>
      <c r="G4901" s="92"/>
      <c r="H4901" s="92"/>
      <c r="I4901" s="92"/>
      <c r="J4901" s="92"/>
      <c r="K4901" s="92"/>
      <c r="L4901" s="92"/>
      <c r="M4901" s="92"/>
      <c r="N4901" s="92"/>
      <c r="AG4901" s="107"/>
      <c r="AH4901" s="107"/>
      <c r="AI4901" s="107"/>
      <c r="AJ4901" s="107"/>
      <c r="AK4901" s="107"/>
      <c r="AL4901" s="107"/>
      <c r="AM4901" s="107"/>
      <c r="AN4901" s="107"/>
      <c r="AO4901" s="107"/>
      <c r="AP4901" s="107"/>
      <c r="AQ4901" s="107"/>
      <c r="AR4901" s="107"/>
      <c r="AS4901" s="107"/>
      <c r="AT4901" s="107"/>
    </row>
    <row r="4902" spans="1:63" x14ac:dyDescent="0.25">
      <c r="A4902" s="92"/>
      <c r="B4902" s="92"/>
      <c r="C4902" s="92"/>
      <c r="D4902" s="92"/>
      <c r="E4902" s="92"/>
      <c r="F4902" s="92"/>
      <c r="G4902" s="92"/>
      <c r="H4902" s="92"/>
      <c r="I4902" s="92"/>
      <c r="J4902" s="92"/>
      <c r="K4902" s="92"/>
      <c r="L4902" s="92"/>
      <c r="M4902" s="92"/>
      <c r="N4902" s="92"/>
      <c r="AG4902" s="107"/>
      <c r="AH4902" s="107"/>
      <c r="AI4902" s="107"/>
      <c r="AJ4902" s="107"/>
      <c r="AK4902" s="107"/>
      <c r="AL4902" s="107"/>
      <c r="AM4902" s="107"/>
      <c r="AN4902" s="107"/>
      <c r="AO4902" s="107"/>
      <c r="AP4902" s="107"/>
      <c r="AQ4902" s="107"/>
      <c r="AR4902" s="107"/>
      <c r="AS4902" s="107"/>
      <c r="AT4902" s="107"/>
      <c r="AZ4902" s="117"/>
      <c r="BA4902" s="117"/>
      <c r="BK4902" s="39"/>
    </row>
    <row r="4903" spans="1:63" x14ac:dyDescent="0.25">
      <c r="A4903" s="92"/>
      <c r="B4903" s="92"/>
      <c r="C4903" s="92"/>
      <c r="D4903" s="92"/>
      <c r="E4903" s="92"/>
      <c r="F4903" s="92"/>
      <c r="G4903" s="92"/>
      <c r="H4903" s="92"/>
      <c r="I4903" s="92"/>
      <c r="J4903" s="92"/>
      <c r="K4903" s="92"/>
      <c r="L4903" s="92"/>
      <c r="M4903" s="92"/>
      <c r="N4903" s="92"/>
      <c r="AG4903" s="107"/>
      <c r="AH4903" s="107"/>
      <c r="AI4903" s="107"/>
      <c r="AJ4903" s="107"/>
      <c r="AK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63" x14ac:dyDescent="0.25">
      <c r="A4904" s="92"/>
      <c r="B4904" s="93"/>
      <c r="C4904" s="93"/>
      <c r="D4904" s="92"/>
      <c r="E4904" s="92"/>
      <c r="F4904" s="92"/>
      <c r="G4904" s="92"/>
      <c r="H4904" s="92"/>
      <c r="I4904" s="92"/>
      <c r="J4904" s="92"/>
      <c r="K4904" s="92"/>
      <c r="L4904" s="92"/>
      <c r="M4904" s="92"/>
      <c r="N4904" s="94"/>
      <c r="AG4904" s="107"/>
      <c r="AH4904" s="107"/>
      <c r="AI4904" s="107"/>
      <c r="AJ4904" s="107"/>
      <c r="AK4904" s="107"/>
      <c r="AL4904" s="107"/>
      <c r="AM4904" s="107"/>
      <c r="AN4904" s="107"/>
      <c r="AO4904" s="107"/>
      <c r="AP4904" s="107"/>
      <c r="AQ4904" s="107"/>
      <c r="AR4904" s="107"/>
      <c r="AS4904" s="107"/>
      <c r="AT4904" s="107"/>
    </row>
    <row r="4905" spans="1:63" x14ac:dyDescent="0.25">
      <c r="A4905" s="92"/>
      <c r="B4905" s="93"/>
      <c r="C4905" s="93"/>
      <c r="D4905" s="93"/>
      <c r="E4905" s="92"/>
      <c r="F4905" s="92"/>
      <c r="G4905" s="92"/>
      <c r="H4905" s="92"/>
      <c r="I4905" s="92"/>
      <c r="J4905" s="92"/>
      <c r="K4905" s="92"/>
      <c r="L4905" s="92"/>
      <c r="M4905" s="92"/>
      <c r="N4905" s="94"/>
      <c r="AG4905" s="107"/>
      <c r="AH4905" s="107"/>
      <c r="AI4905" s="107"/>
      <c r="AJ4905" s="107"/>
      <c r="AK4905" s="107"/>
      <c r="AL4905" s="107"/>
      <c r="AM4905" s="107"/>
      <c r="AN4905" s="107"/>
      <c r="AO4905" s="107"/>
      <c r="AP4905" s="107"/>
      <c r="AQ4905" s="107"/>
      <c r="AR4905" s="107"/>
      <c r="AS4905" s="107"/>
      <c r="AT4905" s="107"/>
      <c r="AZ4905" s="117"/>
      <c r="BK4905" s="39"/>
    </row>
    <row r="4906" spans="1:63" x14ac:dyDescent="0.25">
      <c r="A4906" s="92"/>
      <c r="B4906" s="93"/>
      <c r="C4906" s="93"/>
      <c r="D4906" s="93"/>
      <c r="E4906" s="92"/>
      <c r="F4906" s="92"/>
      <c r="G4906" s="92"/>
      <c r="H4906" s="92"/>
      <c r="I4906" s="92"/>
      <c r="J4906" s="92"/>
      <c r="K4906" s="92"/>
      <c r="L4906" s="92"/>
      <c r="M4906" s="92"/>
      <c r="N4906" s="94"/>
      <c r="AG4906" s="107"/>
      <c r="AH4906" s="117"/>
      <c r="AI4906" s="117"/>
      <c r="AJ4906" s="107"/>
      <c r="AK4906" s="107"/>
      <c r="AL4906" s="107"/>
      <c r="AM4906" s="107"/>
      <c r="AN4906" s="107"/>
      <c r="AO4906" s="107"/>
      <c r="AP4906" s="107"/>
      <c r="AQ4906" s="107"/>
      <c r="AR4906" s="107"/>
      <c r="AS4906" s="107"/>
      <c r="AT4906" s="39"/>
      <c r="AZ4906" s="117"/>
      <c r="BK4906" s="39"/>
    </row>
    <row r="4907" spans="1:63" x14ac:dyDescent="0.25">
      <c r="A4907" s="92"/>
      <c r="B4907" s="93"/>
      <c r="C4907" s="93"/>
      <c r="D4907" s="92"/>
      <c r="E4907" s="92"/>
      <c r="F4907" s="92"/>
      <c r="G4907" s="92"/>
      <c r="H4907" s="92"/>
      <c r="I4907" s="92"/>
      <c r="J4907" s="92"/>
      <c r="K4907" s="92"/>
      <c r="L4907" s="92"/>
      <c r="M4907" s="92"/>
      <c r="N4907" s="94"/>
      <c r="AG4907" s="107"/>
      <c r="AH4907" s="117"/>
      <c r="AI4907" s="117"/>
      <c r="AJ4907" s="107"/>
      <c r="AK4907" s="107"/>
      <c r="AL4907" s="107"/>
      <c r="AM4907" s="107"/>
      <c r="AN4907" s="107"/>
      <c r="AO4907" s="107"/>
      <c r="AP4907" s="107"/>
      <c r="AQ4907" s="107"/>
      <c r="AR4907" s="107"/>
      <c r="AS4907" s="107"/>
      <c r="AT4907" s="39"/>
    </row>
    <row r="4908" spans="1:63" x14ac:dyDescent="0.25">
      <c r="A4908" s="92"/>
      <c r="B4908" s="92"/>
      <c r="C4908" s="92"/>
      <c r="D4908" s="92"/>
      <c r="E4908" s="92"/>
      <c r="F4908" s="92"/>
      <c r="G4908" s="92"/>
      <c r="H4908" s="92"/>
      <c r="I4908" s="92"/>
      <c r="J4908" s="92"/>
      <c r="K4908" s="92"/>
      <c r="L4908" s="92"/>
      <c r="M4908" s="92"/>
      <c r="N4908" s="92"/>
      <c r="AG4908" s="107"/>
      <c r="AH4908" s="117"/>
      <c r="AI4908" s="117"/>
      <c r="AJ4908" s="107"/>
      <c r="AK4908" s="107"/>
      <c r="AL4908" s="107"/>
      <c r="AM4908" s="107"/>
      <c r="AN4908" s="107"/>
      <c r="AO4908" s="107"/>
      <c r="AP4908" s="107"/>
      <c r="AQ4908" s="107"/>
      <c r="AR4908" s="107"/>
      <c r="AS4908" s="107"/>
      <c r="AT4908" s="39"/>
    </row>
    <row r="4909" spans="1:63" x14ac:dyDescent="0.25">
      <c r="A4909" s="92"/>
      <c r="B4909" s="92"/>
      <c r="C4909" s="92"/>
      <c r="D4909" s="92"/>
      <c r="E4909" s="92"/>
      <c r="F4909" s="92"/>
      <c r="G4909" s="92"/>
      <c r="H4909" s="92"/>
      <c r="I4909" s="92"/>
      <c r="J4909" s="92"/>
      <c r="K4909" s="92"/>
      <c r="L4909" s="92"/>
      <c r="M4909" s="92"/>
      <c r="N4909" s="92"/>
      <c r="AG4909" s="107"/>
      <c r="AH4909" s="117"/>
      <c r="AI4909" s="107"/>
      <c r="AJ4909" s="117"/>
      <c r="AK4909" s="107"/>
      <c r="AL4909" s="107"/>
      <c r="AM4909" s="107"/>
      <c r="AN4909" s="107"/>
      <c r="AO4909" s="107"/>
      <c r="AP4909" s="107"/>
      <c r="AQ4909" s="107"/>
      <c r="AR4909" s="107"/>
      <c r="AS4909" s="107"/>
      <c r="AT4909" s="39"/>
    </row>
    <row r="4910" spans="1:63" x14ac:dyDescent="0.25">
      <c r="A4910" s="92"/>
      <c r="B4910" s="92"/>
      <c r="C4910" s="92"/>
      <c r="D4910" s="92"/>
      <c r="E4910" s="92"/>
      <c r="F4910" s="92"/>
      <c r="G4910" s="92"/>
      <c r="H4910" s="92"/>
      <c r="I4910" s="92"/>
      <c r="J4910" s="92"/>
      <c r="K4910" s="92"/>
      <c r="L4910" s="92"/>
      <c r="M4910" s="92"/>
      <c r="N4910" s="92"/>
      <c r="AG4910" s="107"/>
      <c r="AH4910" s="107"/>
      <c r="AI4910" s="107"/>
      <c r="AJ4910" s="107"/>
      <c r="AK4910" s="107"/>
      <c r="AL4910" s="107"/>
      <c r="AM4910" s="107"/>
      <c r="AN4910" s="107"/>
      <c r="AO4910" s="107"/>
      <c r="AP4910" s="107"/>
      <c r="AQ4910" s="107"/>
      <c r="AR4910" s="107"/>
      <c r="AS4910" s="107"/>
      <c r="AT4910" s="107"/>
    </row>
    <row r="4911" spans="1:63" x14ac:dyDescent="0.25">
      <c r="A4911" s="92"/>
      <c r="B4911" s="92"/>
      <c r="C4911" s="92"/>
      <c r="D4911" s="92"/>
      <c r="E4911" s="92"/>
      <c r="F4911" s="92"/>
      <c r="G4911" s="92"/>
      <c r="H4911" s="92"/>
      <c r="I4911" s="92"/>
      <c r="J4911" s="92"/>
      <c r="K4911" s="92"/>
      <c r="L4911" s="92"/>
      <c r="M4911" s="92"/>
      <c r="N4911" s="92"/>
      <c r="AG4911" s="107"/>
      <c r="AH4911" s="107"/>
      <c r="AI4911" s="107"/>
      <c r="AJ4911" s="107"/>
      <c r="AK4911" s="107"/>
      <c r="AL4911" s="107"/>
      <c r="AM4911" s="107"/>
      <c r="AN4911" s="107"/>
      <c r="AO4911" s="107"/>
      <c r="AP4911" s="107"/>
      <c r="AQ4911" s="107"/>
      <c r="AR4911" s="107"/>
      <c r="AS4911" s="107"/>
      <c r="AT4911" s="107"/>
      <c r="AZ4911" s="117"/>
      <c r="BK4911" s="39"/>
    </row>
    <row r="4912" spans="1:63" x14ac:dyDescent="0.25">
      <c r="A4912" s="92"/>
      <c r="B4912" s="93"/>
      <c r="C4912" s="93"/>
      <c r="D4912" s="93"/>
      <c r="E4912" s="92"/>
      <c r="F4912" s="92"/>
      <c r="G4912" s="92"/>
      <c r="H4912" s="92"/>
      <c r="I4912" s="92"/>
      <c r="J4912" s="92"/>
      <c r="K4912" s="92"/>
      <c r="L4912" s="92"/>
      <c r="M4912" s="92"/>
      <c r="N4912" s="94"/>
      <c r="AG4912" s="107"/>
      <c r="AH4912" s="107"/>
      <c r="AI4912" s="107"/>
      <c r="AJ4912" s="107"/>
      <c r="AK4912" s="107"/>
      <c r="AL4912" s="107"/>
      <c r="AM4912" s="107"/>
      <c r="AN4912" s="107"/>
      <c r="AO4912" s="107"/>
      <c r="AP4912" s="107"/>
      <c r="AQ4912" s="107"/>
      <c r="AR4912" s="107"/>
      <c r="AS4912" s="107"/>
      <c r="AT4912" s="107"/>
      <c r="AZ4912" s="117"/>
      <c r="BK4912" s="39"/>
    </row>
    <row r="4913" spans="1:63" x14ac:dyDescent="0.25">
      <c r="A4913" s="92"/>
      <c r="B4913" s="92"/>
      <c r="C4913" s="92"/>
      <c r="D4913" s="92"/>
      <c r="E4913" s="92"/>
      <c r="F4913" s="92"/>
      <c r="G4913" s="92"/>
      <c r="H4913" s="92"/>
      <c r="I4913" s="92"/>
      <c r="J4913" s="92"/>
      <c r="K4913" s="92"/>
      <c r="L4913" s="92"/>
      <c r="M4913" s="92"/>
      <c r="N4913" s="92"/>
      <c r="AG4913" s="107"/>
      <c r="AH4913" s="107"/>
      <c r="AI4913" s="107"/>
      <c r="AJ4913" s="107"/>
      <c r="AK4913" s="107"/>
      <c r="AL4913" s="107"/>
      <c r="AM4913" s="107"/>
      <c r="AN4913" s="107"/>
      <c r="AO4913" s="107"/>
      <c r="AP4913" s="107"/>
      <c r="AQ4913" s="107"/>
      <c r="AR4913" s="107"/>
      <c r="AS4913" s="107"/>
      <c r="AT4913" s="107"/>
      <c r="AZ4913" s="117"/>
      <c r="BK4913" s="39"/>
    </row>
    <row r="4914" spans="1:63" x14ac:dyDescent="0.25">
      <c r="A4914" s="92"/>
      <c r="B4914" s="93"/>
      <c r="C4914" s="93"/>
      <c r="D4914" s="92"/>
      <c r="E4914" s="92"/>
      <c r="F4914" s="92"/>
      <c r="G4914" s="92"/>
      <c r="H4914" s="92"/>
      <c r="I4914" s="92"/>
      <c r="J4914" s="92"/>
      <c r="K4914" s="92"/>
      <c r="L4914" s="92"/>
      <c r="M4914" s="92"/>
      <c r="N4914" s="94"/>
      <c r="AG4914" s="107"/>
      <c r="AH4914" s="107"/>
      <c r="AI4914" s="107"/>
      <c r="AJ4914" s="107"/>
      <c r="AK4914" s="107"/>
      <c r="AL4914" s="107"/>
      <c r="AM4914" s="107"/>
      <c r="AN4914" s="107"/>
      <c r="AO4914" s="107"/>
      <c r="AP4914" s="107"/>
      <c r="AQ4914" s="107"/>
      <c r="AR4914" s="107"/>
      <c r="AS4914" s="107"/>
      <c r="AT4914" s="107"/>
      <c r="AZ4914" s="117"/>
      <c r="BK4914" s="39"/>
    </row>
    <row r="4915" spans="1:63" x14ac:dyDescent="0.25">
      <c r="A4915" s="92"/>
      <c r="B4915" s="92"/>
      <c r="C4915" s="92"/>
      <c r="D4915" s="92"/>
      <c r="E4915" s="92"/>
      <c r="F4915" s="92"/>
      <c r="G4915" s="92"/>
      <c r="H4915" s="92"/>
      <c r="I4915" s="92"/>
      <c r="J4915" s="92"/>
      <c r="K4915" s="92"/>
      <c r="L4915" s="92"/>
      <c r="M4915" s="92"/>
      <c r="N4915" s="92"/>
      <c r="AG4915" s="107"/>
      <c r="AH4915" s="107"/>
      <c r="AI4915" s="107"/>
      <c r="AJ4915" s="107"/>
      <c r="AK4915" s="107"/>
      <c r="AL4915" s="107"/>
      <c r="AM4915" s="107"/>
      <c r="AN4915" s="107"/>
      <c r="AO4915" s="107"/>
      <c r="AP4915" s="107"/>
      <c r="AQ4915" s="107"/>
      <c r="AR4915" s="107"/>
      <c r="AS4915" s="107"/>
      <c r="AT4915" s="107"/>
      <c r="AZ4915" s="117"/>
      <c r="BA4915" s="117"/>
      <c r="BK4915" s="39"/>
    </row>
    <row r="4916" spans="1:63" x14ac:dyDescent="0.25">
      <c r="A4916" s="92"/>
      <c r="B4916" s="92"/>
      <c r="C4916" s="92"/>
      <c r="D4916" s="92"/>
      <c r="E4916" s="92"/>
      <c r="F4916" s="92"/>
      <c r="G4916" s="92"/>
      <c r="H4916" s="92"/>
      <c r="I4916" s="92"/>
      <c r="J4916" s="92"/>
      <c r="K4916" s="92"/>
      <c r="L4916" s="92"/>
      <c r="M4916" s="92"/>
      <c r="N4916" s="92"/>
      <c r="AG4916" s="107"/>
      <c r="AH4916" s="107"/>
      <c r="AI4916" s="107"/>
      <c r="AJ4916" s="107"/>
      <c r="AK4916" s="107"/>
      <c r="AL4916" s="107"/>
      <c r="AM4916" s="107"/>
      <c r="AN4916" s="107"/>
      <c r="AO4916" s="107"/>
      <c r="AP4916" s="107"/>
      <c r="AQ4916" s="107"/>
      <c r="AR4916" s="107"/>
      <c r="AS4916" s="107"/>
      <c r="AT4916" s="107"/>
      <c r="BA4916" s="117"/>
    </row>
    <row r="4917" spans="1:63" x14ac:dyDescent="0.25">
      <c r="A4917" s="92"/>
      <c r="B4917" s="92"/>
      <c r="C4917" s="92"/>
      <c r="D4917" s="92"/>
      <c r="E4917" s="92"/>
      <c r="F4917" s="92"/>
      <c r="G4917" s="92"/>
      <c r="H4917" s="92"/>
      <c r="I4917" s="92"/>
      <c r="J4917" s="92"/>
      <c r="K4917" s="92"/>
      <c r="L4917" s="92"/>
      <c r="M4917" s="92"/>
      <c r="N4917" s="92"/>
      <c r="AG4917" s="107"/>
      <c r="AH4917" s="107"/>
      <c r="AI4917" s="107"/>
      <c r="AJ4917" s="107"/>
      <c r="AK4917" s="107"/>
      <c r="AL4917" s="107"/>
      <c r="AM4917" s="107"/>
      <c r="AN4917" s="107"/>
      <c r="AO4917" s="107"/>
      <c r="AP4917" s="107"/>
      <c r="AQ4917" s="107"/>
      <c r="AR4917" s="107"/>
      <c r="AS4917" s="107"/>
      <c r="AT4917" s="107"/>
      <c r="AZ4917" s="117"/>
      <c r="BK4917" s="39"/>
    </row>
    <row r="4918" spans="1:63" x14ac:dyDescent="0.25">
      <c r="A4918" s="92"/>
      <c r="B4918" s="93"/>
      <c r="C4918" s="93"/>
      <c r="D4918" s="93"/>
      <c r="E4918" s="92"/>
      <c r="F4918" s="92"/>
      <c r="G4918" s="92"/>
      <c r="H4918" s="92"/>
      <c r="I4918" s="92"/>
      <c r="J4918" s="92"/>
      <c r="K4918" s="92"/>
      <c r="L4918" s="92"/>
      <c r="M4918" s="92"/>
      <c r="N4918" s="94"/>
      <c r="AG4918" s="107"/>
      <c r="AH4918" s="107"/>
      <c r="AI4918" s="107"/>
      <c r="AJ4918" s="107"/>
      <c r="AK4918" s="107"/>
      <c r="AL4918" s="107"/>
      <c r="AM4918" s="107"/>
      <c r="AN4918" s="107"/>
      <c r="AO4918" s="107"/>
      <c r="AP4918" s="107"/>
      <c r="AQ4918" s="107"/>
      <c r="AR4918" s="107"/>
      <c r="AS4918" s="107"/>
      <c r="AT4918" s="107"/>
      <c r="AZ4918" s="117"/>
      <c r="BK4918" s="39"/>
    </row>
    <row r="4919" spans="1:63" x14ac:dyDescent="0.25">
      <c r="A4919" s="92"/>
      <c r="B4919" s="92"/>
      <c r="C4919" s="92"/>
      <c r="D4919" s="92"/>
      <c r="E4919" s="92"/>
      <c r="F4919" s="92"/>
      <c r="G4919" s="92"/>
      <c r="H4919" s="92"/>
      <c r="I4919" s="92"/>
      <c r="J4919" s="92"/>
      <c r="K4919" s="92"/>
      <c r="L4919" s="92"/>
      <c r="M4919" s="92"/>
      <c r="N4919" s="92"/>
      <c r="AG4919" s="107"/>
      <c r="AH4919" s="107"/>
      <c r="AI4919" s="107"/>
      <c r="AJ4919" s="107"/>
      <c r="AK4919" s="107"/>
      <c r="AL4919" s="107"/>
      <c r="AM4919" s="107"/>
      <c r="AN4919" s="107"/>
      <c r="AO4919" s="107"/>
      <c r="AP4919" s="107"/>
      <c r="AQ4919" s="107"/>
      <c r="AR4919" s="107"/>
      <c r="AS4919" s="107"/>
      <c r="AT4919" s="107"/>
      <c r="AZ4919" s="117"/>
      <c r="BK4919" s="39"/>
    </row>
    <row r="4920" spans="1:63" x14ac:dyDescent="0.25">
      <c r="A4920" s="92"/>
      <c r="B4920" s="92"/>
      <c r="C4920" s="92"/>
      <c r="D4920" s="92"/>
      <c r="E4920" s="92"/>
      <c r="F4920" s="92"/>
      <c r="G4920" s="92"/>
      <c r="H4920" s="92"/>
      <c r="I4920" s="92"/>
      <c r="J4920" s="92"/>
      <c r="K4920" s="92"/>
      <c r="L4920" s="92"/>
      <c r="M4920" s="92"/>
      <c r="N4920" s="92"/>
      <c r="AG4920" s="107"/>
      <c r="AH4920" s="117"/>
      <c r="AI4920" s="117"/>
      <c r="AJ4920" s="107"/>
      <c r="AK4920" s="107"/>
      <c r="AL4920" s="107"/>
      <c r="AM4920" s="107"/>
      <c r="AN4920" s="107"/>
      <c r="AO4920" s="107"/>
      <c r="AP4920" s="107"/>
      <c r="AQ4920" s="107"/>
      <c r="AR4920" s="107"/>
      <c r="AS4920" s="107"/>
      <c r="AT4920" s="39"/>
      <c r="AZ4920" s="117"/>
      <c r="BA4920" s="117"/>
      <c r="BK4920" s="39"/>
    </row>
    <row r="4921" spans="1:63" x14ac:dyDescent="0.25">
      <c r="A4921" s="92"/>
      <c r="B4921" s="93"/>
      <c r="C4921" s="93"/>
      <c r="D4921" s="92"/>
      <c r="E4921" s="92"/>
      <c r="F4921" s="92"/>
      <c r="G4921" s="92"/>
      <c r="H4921" s="92"/>
      <c r="I4921" s="92"/>
      <c r="J4921" s="92"/>
      <c r="K4921" s="92"/>
      <c r="L4921" s="92"/>
      <c r="M4921" s="92"/>
      <c r="N4921" s="94"/>
      <c r="AG4921" s="107"/>
      <c r="AH4921" s="117"/>
      <c r="AI4921" s="117"/>
      <c r="AJ4921" s="107"/>
      <c r="AK4921" s="107"/>
      <c r="AL4921" s="107"/>
      <c r="AM4921" s="107"/>
      <c r="AN4921" s="107"/>
      <c r="AO4921" s="107"/>
      <c r="AP4921" s="107"/>
      <c r="AQ4921" s="107"/>
      <c r="AR4921" s="107"/>
      <c r="AS4921" s="107"/>
      <c r="AT4921" s="39"/>
      <c r="BA4921" s="117"/>
    </row>
    <row r="4922" spans="1:63" x14ac:dyDescent="0.25">
      <c r="A4922" s="92"/>
      <c r="B4922" s="93"/>
      <c r="C4922" s="93"/>
      <c r="D4922" s="92"/>
      <c r="E4922" s="92"/>
      <c r="F4922" s="92"/>
      <c r="G4922" s="92"/>
      <c r="H4922" s="92"/>
      <c r="I4922" s="92"/>
      <c r="J4922" s="92"/>
      <c r="K4922" s="92"/>
      <c r="L4922" s="92"/>
      <c r="M4922" s="92"/>
      <c r="N4922" s="94"/>
      <c r="AG4922" s="107"/>
      <c r="AH4922" s="117"/>
      <c r="AI4922" s="117"/>
      <c r="AJ4922" s="107"/>
      <c r="AK4922" s="107"/>
      <c r="AL4922" s="107"/>
      <c r="AM4922" s="107"/>
      <c r="AN4922" s="107"/>
      <c r="AO4922" s="107"/>
      <c r="AP4922" s="107"/>
      <c r="AQ4922" s="107"/>
      <c r="AR4922" s="107"/>
      <c r="AS4922" s="107"/>
      <c r="AT4922" s="39"/>
      <c r="BA4922" s="117"/>
    </row>
    <row r="4923" spans="1:63" x14ac:dyDescent="0.25">
      <c r="A4923" s="92"/>
      <c r="B4923" s="93"/>
      <c r="C4923" s="93"/>
      <c r="D4923" s="92"/>
      <c r="E4923" s="92"/>
      <c r="F4923" s="92"/>
      <c r="G4923" s="92"/>
      <c r="H4923" s="92"/>
      <c r="I4923" s="92"/>
      <c r="J4923" s="92"/>
      <c r="K4923" s="92"/>
      <c r="L4923" s="92"/>
      <c r="M4923" s="92"/>
      <c r="N4923" s="94"/>
      <c r="AG4923" s="107"/>
      <c r="AH4923" s="107"/>
      <c r="AI4923" s="107"/>
      <c r="AJ4923" s="107"/>
      <c r="AK4923" s="107"/>
      <c r="AL4923" s="107"/>
      <c r="AM4923" s="107"/>
      <c r="AN4923" s="107"/>
      <c r="AO4923" s="107"/>
      <c r="AP4923" s="107"/>
      <c r="AQ4923" s="107"/>
      <c r="AR4923" s="107"/>
      <c r="AS4923" s="107"/>
      <c r="AT4923" s="107"/>
      <c r="BA4923" s="117"/>
    </row>
    <row r="4924" spans="1:63" x14ac:dyDescent="0.25">
      <c r="A4924" s="92"/>
      <c r="B4924" s="93"/>
      <c r="C4924" s="93"/>
      <c r="D4924" s="92"/>
      <c r="E4924" s="92"/>
      <c r="F4924" s="92"/>
      <c r="G4924" s="92"/>
      <c r="H4924" s="92"/>
      <c r="I4924" s="92"/>
      <c r="J4924" s="92"/>
      <c r="K4924" s="92"/>
      <c r="L4924" s="92"/>
      <c r="M4924" s="92"/>
      <c r="N4924" s="94"/>
      <c r="AG4924" s="107"/>
      <c r="AH4924" s="107"/>
      <c r="AI4924" s="107"/>
      <c r="AJ4924" s="107"/>
      <c r="AK4924" s="107"/>
      <c r="AL4924" s="107"/>
      <c r="AM4924" s="107"/>
      <c r="AN4924" s="107"/>
      <c r="AO4924" s="107"/>
      <c r="AP4924" s="107"/>
      <c r="AQ4924" s="107"/>
      <c r="AR4924" s="107"/>
      <c r="AS4924" s="107"/>
      <c r="AT4924" s="107"/>
      <c r="BA4924" s="117"/>
    </row>
    <row r="4925" spans="1:63" x14ac:dyDescent="0.25">
      <c r="A4925" s="92"/>
      <c r="B4925" s="93"/>
      <c r="C4925" s="93"/>
      <c r="D4925" s="92"/>
      <c r="E4925" s="92"/>
      <c r="F4925" s="92"/>
      <c r="G4925" s="92"/>
      <c r="H4925" s="92"/>
      <c r="I4925" s="92"/>
      <c r="J4925" s="92"/>
      <c r="K4925" s="92"/>
      <c r="L4925" s="92"/>
      <c r="M4925" s="92"/>
      <c r="N4925" s="94"/>
      <c r="AG4925" s="107"/>
      <c r="AH4925" s="107"/>
      <c r="AI4925" s="107"/>
      <c r="AJ4925" s="107"/>
      <c r="AK4925" s="107"/>
      <c r="AL4925" s="107"/>
      <c r="AM4925" s="107"/>
      <c r="AN4925" s="107"/>
      <c r="AO4925" s="107"/>
      <c r="AP4925" s="107"/>
      <c r="AQ4925" s="107"/>
      <c r="AR4925" s="107"/>
      <c r="AS4925" s="107"/>
      <c r="AT4925" s="107"/>
      <c r="BA4925" s="117"/>
    </row>
    <row r="4926" spans="1:63" x14ac:dyDescent="0.25">
      <c r="A4926" s="92"/>
      <c r="B4926" s="93"/>
      <c r="C4926" s="93"/>
      <c r="D4926" s="93"/>
      <c r="E4926" s="92"/>
      <c r="F4926" s="92"/>
      <c r="G4926" s="92"/>
      <c r="H4926" s="92"/>
      <c r="I4926" s="92"/>
      <c r="J4926" s="92"/>
      <c r="K4926" s="92"/>
      <c r="L4926" s="92"/>
      <c r="M4926" s="92"/>
      <c r="N4926" s="94"/>
      <c r="AG4926" s="107"/>
      <c r="AH4926" s="107"/>
      <c r="AI4926" s="107"/>
      <c r="AJ4926" s="107"/>
      <c r="AK4926" s="107"/>
      <c r="AL4926" s="107"/>
      <c r="AM4926" s="107"/>
      <c r="AN4926" s="107"/>
      <c r="AO4926" s="107"/>
      <c r="AP4926" s="107"/>
      <c r="AQ4926" s="107"/>
      <c r="AR4926" s="107"/>
      <c r="AS4926" s="107"/>
      <c r="AT4926" s="107"/>
      <c r="AZ4926" s="117"/>
      <c r="BK4926" s="39"/>
    </row>
    <row r="4927" spans="1:63" x14ac:dyDescent="0.25">
      <c r="A4927" s="92"/>
      <c r="B4927" s="92"/>
      <c r="C4927" s="92"/>
      <c r="D4927" s="93"/>
      <c r="E4927" s="92"/>
      <c r="F4927" s="92"/>
      <c r="G4927" s="92"/>
      <c r="H4927" s="92"/>
      <c r="I4927" s="92"/>
      <c r="J4927" s="92"/>
      <c r="K4927" s="92"/>
      <c r="L4927" s="92"/>
      <c r="M4927" s="92"/>
      <c r="N4927" s="92"/>
      <c r="AG4927" s="107"/>
      <c r="AH4927" s="117"/>
      <c r="AI4927" s="117"/>
      <c r="AJ4927" s="107"/>
      <c r="AK4927" s="107"/>
      <c r="AL4927" s="107"/>
      <c r="AM4927" s="107"/>
      <c r="AN4927" s="107"/>
      <c r="AO4927" s="107"/>
      <c r="AP4927" s="107"/>
      <c r="AQ4927" s="107"/>
      <c r="AR4927" s="107"/>
      <c r="AS4927" s="107"/>
      <c r="AT4927" s="39"/>
    </row>
    <row r="4928" spans="1:63" x14ac:dyDescent="0.25">
      <c r="A4928" s="92"/>
      <c r="B4928" s="93"/>
      <c r="C4928" s="93"/>
      <c r="D4928" s="92"/>
      <c r="E4928" s="92"/>
      <c r="F4928" s="92"/>
      <c r="G4928" s="92"/>
      <c r="H4928" s="92"/>
      <c r="I4928" s="92"/>
      <c r="J4928" s="92"/>
      <c r="K4928" s="92"/>
      <c r="L4928" s="92"/>
      <c r="M4928" s="92"/>
      <c r="N4928" s="94"/>
      <c r="AG4928" s="107"/>
      <c r="AH4928" s="107"/>
      <c r="AI4928" s="107"/>
      <c r="AJ4928" s="107"/>
      <c r="AK4928" s="107"/>
      <c r="AL4928" s="107"/>
      <c r="AM4928" s="107"/>
      <c r="AN4928" s="107"/>
      <c r="AO4928" s="107"/>
      <c r="AP4928" s="107"/>
      <c r="AQ4928" s="107"/>
      <c r="AR4928" s="107"/>
      <c r="AS4928" s="107"/>
      <c r="AT4928" s="107"/>
      <c r="AZ4928" s="117"/>
      <c r="BA4928" s="117"/>
      <c r="BK4928" s="39"/>
    </row>
    <row r="4929" spans="1:63" x14ac:dyDescent="0.25">
      <c r="A4929" s="92"/>
      <c r="B4929" s="93"/>
      <c r="C4929" s="93"/>
      <c r="D4929" s="92"/>
      <c r="E4929" s="92"/>
      <c r="F4929" s="92"/>
      <c r="G4929" s="92"/>
      <c r="H4929" s="92"/>
      <c r="I4929" s="92"/>
      <c r="J4929" s="92"/>
      <c r="K4929" s="92"/>
      <c r="L4929" s="92"/>
      <c r="M4929" s="92"/>
      <c r="N4929" s="94"/>
      <c r="AG4929" s="107"/>
      <c r="AH4929" s="107"/>
      <c r="AI4929" s="107"/>
      <c r="AJ4929" s="107"/>
      <c r="AK4929" s="107"/>
      <c r="AL4929" s="107"/>
      <c r="AM4929" s="107"/>
      <c r="AN4929" s="107"/>
      <c r="AO4929" s="107"/>
      <c r="AP4929" s="107"/>
      <c r="AQ4929" s="107"/>
      <c r="AR4929" s="107"/>
      <c r="AS4929" s="107"/>
      <c r="AT4929" s="107"/>
    </row>
    <row r="4930" spans="1:63" x14ac:dyDescent="0.25">
      <c r="A4930" s="92"/>
      <c r="B4930" s="93"/>
      <c r="C4930" s="93"/>
      <c r="D4930" s="92"/>
      <c r="E4930" s="92"/>
      <c r="F4930" s="92"/>
      <c r="G4930" s="92"/>
      <c r="H4930" s="92"/>
      <c r="I4930" s="92"/>
      <c r="J4930" s="92"/>
      <c r="K4930" s="92"/>
      <c r="L4930" s="92"/>
      <c r="M4930" s="92"/>
      <c r="N4930" s="94"/>
      <c r="AG4930" s="107"/>
      <c r="AH4930" s="107"/>
      <c r="AI4930" s="107"/>
      <c r="AJ4930" s="107"/>
      <c r="AK4930" s="107"/>
      <c r="AL4930" s="107"/>
      <c r="AM4930" s="107"/>
      <c r="AN4930" s="107"/>
      <c r="AO4930" s="107"/>
      <c r="AP4930" s="107"/>
      <c r="AQ4930" s="107"/>
      <c r="AR4930" s="107"/>
      <c r="AS4930" s="107"/>
      <c r="AT4930" s="107"/>
    </row>
    <row r="4931" spans="1:63" x14ac:dyDescent="0.25">
      <c r="A4931" s="92"/>
      <c r="B4931" s="93"/>
      <c r="C4931" s="93"/>
      <c r="D4931" s="93"/>
      <c r="E4931" s="92"/>
      <c r="F4931" s="92"/>
      <c r="G4931" s="92"/>
      <c r="H4931" s="92"/>
      <c r="I4931" s="92"/>
      <c r="J4931" s="92"/>
      <c r="K4931" s="92"/>
      <c r="L4931" s="92"/>
      <c r="M4931" s="92"/>
      <c r="N4931" s="94"/>
      <c r="AG4931" s="107"/>
      <c r="AH4931" s="117"/>
      <c r="AI4931" s="117"/>
      <c r="AJ4931" s="107"/>
      <c r="AK4931" s="107"/>
      <c r="AL4931" s="107"/>
      <c r="AM4931" s="107"/>
      <c r="AN4931" s="107"/>
      <c r="AO4931" s="107"/>
      <c r="AP4931" s="107"/>
      <c r="AQ4931" s="107"/>
      <c r="AR4931" s="107"/>
      <c r="AS4931" s="107"/>
      <c r="AT4931" s="39"/>
    </row>
    <row r="4932" spans="1:63" x14ac:dyDescent="0.25">
      <c r="A4932" s="92"/>
      <c r="B4932" s="92"/>
      <c r="C4932" s="92"/>
      <c r="D4932" s="93"/>
      <c r="E4932" s="92"/>
      <c r="F4932" s="92"/>
      <c r="G4932" s="92"/>
      <c r="H4932" s="92"/>
      <c r="I4932" s="92"/>
      <c r="J4932" s="92"/>
      <c r="K4932" s="92"/>
      <c r="L4932" s="92"/>
      <c r="M4932" s="92"/>
      <c r="N4932" s="92"/>
      <c r="AG4932" s="107"/>
      <c r="AH4932" s="117"/>
      <c r="AI4932" s="117"/>
      <c r="AJ4932" s="107"/>
      <c r="AK4932" s="107"/>
      <c r="AL4932" s="107"/>
      <c r="AM4932" s="107"/>
      <c r="AN4932" s="107"/>
      <c r="AO4932" s="107"/>
      <c r="AP4932" s="107"/>
      <c r="AQ4932" s="107"/>
      <c r="AR4932" s="107"/>
      <c r="AS4932" s="107"/>
      <c r="AT4932" s="39"/>
      <c r="AZ4932" s="117"/>
      <c r="BK4932" s="39"/>
    </row>
    <row r="4933" spans="1:63" x14ac:dyDescent="0.25">
      <c r="A4933" s="92"/>
      <c r="B4933" s="92"/>
      <c r="C4933" s="92"/>
      <c r="D4933" s="93"/>
      <c r="E4933" s="92"/>
      <c r="F4933" s="92"/>
      <c r="G4933" s="92"/>
      <c r="H4933" s="92"/>
      <c r="I4933" s="92"/>
      <c r="J4933" s="92"/>
      <c r="K4933" s="92"/>
      <c r="L4933" s="92"/>
      <c r="M4933" s="92"/>
      <c r="N4933" s="92"/>
      <c r="AG4933" s="107"/>
      <c r="AH4933" s="117"/>
      <c r="AI4933" s="117"/>
      <c r="AJ4933" s="107"/>
      <c r="AK4933" s="107"/>
      <c r="AL4933" s="107"/>
      <c r="AM4933" s="107"/>
      <c r="AN4933" s="107"/>
      <c r="AO4933" s="107"/>
      <c r="AP4933" s="107"/>
      <c r="AQ4933" s="107"/>
      <c r="AR4933" s="107"/>
      <c r="AS4933" s="107"/>
      <c r="AT4933" s="39"/>
    </row>
    <row r="4934" spans="1:63" x14ac:dyDescent="0.25">
      <c r="A4934" s="92"/>
      <c r="B4934" s="92"/>
      <c r="C4934" s="92"/>
      <c r="D4934" s="93"/>
      <c r="E4934" s="92"/>
      <c r="F4934" s="92"/>
      <c r="G4934" s="92"/>
      <c r="H4934" s="92"/>
      <c r="I4934" s="92"/>
      <c r="J4934" s="92"/>
      <c r="K4934" s="92"/>
      <c r="L4934" s="92"/>
      <c r="M4934" s="92"/>
      <c r="N4934" s="92"/>
      <c r="AG4934" s="107"/>
      <c r="AH4934" s="117"/>
      <c r="AI4934" s="117"/>
      <c r="AJ4934" s="107"/>
      <c r="AK4934" s="107"/>
      <c r="AL4934" s="107"/>
      <c r="AM4934" s="107"/>
      <c r="AN4934" s="107"/>
      <c r="AO4934" s="107"/>
      <c r="AP4934" s="107"/>
      <c r="AQ4934" s="107"/>
      <c r="AR4934" s="107"/>
      <c r="AS4934" s="107"/>
      <c r="AT4934" s="39"/>
      <c r="AZ4934" s="117"/>
      <c r="BK4934" s="39"/>
    </row>
    <row r="4935" spans="1:63" x14ac:dyDescent="0.25">
      <c r="A4935" s="92"/>
      <c r="B4935" s="92"/>
      <c r="C4935" s="92"/>
      <c r="D4935" s="93"/>
      <c r="E4935" s="92"/>
      <c r="F4935" s="92"/>
      <c r="G4935" s="92"/>
      <c r="H4935" s="92"/>
      <c r="I4935" s="92"/>
      <c r="J4935" s="92"/>
      <c r="K4935" s="92"/>
      <c r="L4935" s="92"/>
      <c r="M4935" s="92"/>
      <c r="N4935" s="92"/>
      <c r="AG4935" s="107"/>
      <c r="AH4935" s="117"/>
      <c r="AI4935" s="117"/>
      <c r="AJ4935" s="107"/>
      <c r="AK4935" s="107"/>
      <c r="AL4935" s="107"/>
      <c r="AM4935" s="107"/>
      <c r="AN4935" s="107"/>
      <c r="AO4935" s="107"/>
      <c r="AP4935" s="107"/>
      <c r="AQ4935" s="107"/>
      <c r="AR4935" s="107"/>
      <c r="AS4935" s="107"/>
      <c r="AT4935" s="39"/>
      <c r="AZ4935" s="117"/>
      <c r="BK4935" s="39"/>
    </row>
    <row r="4936" spans="1:63" x14ac:dyDescent="0.25">
      <c r="A4936" s="92"/>
      <c r="B4936" s="92"/>
      <c r="C4936" s="92"/>
      <c r="D4936" s="93"/>
      <c r="E4936" s="92"/>
      <c r="F4936" s="92"/>
      <c r="G4936" s="92"/>
      <c r="H4936" s="92"/>
      <c r="I4936" s="92"/>
      <c r="J4936" s="92"/>
      <c r="K4936" s="92"/>
      <c r="L4936" s="92"/>
      <c r="M4936" s="92"/>
      <c r="N4936" s="92"/>
      <c r="AG4936" s="107"/>
      <c r="AH4936" s="117"/>
      <c r="AI4936" s="117"/>
      <c r="AJ4936" s="107"/>
      <c r="AK4936" s="107"/>
      <c r="AL4936" s="107"/>
      <c r="AM4936" s="107"/>
      <c r="AN4936" s="107"/>
      <c r="AO4936" s="107"/>
      <c r="AP4936" s="107"/>
      <c r="AQ4936" s="107"/>
      <c r="AR4936" s="107"/>
      <c r="AS4936" s="107"/>
      <c r="AT4936" s="39"/>
    </row>
    <row r="4937" spans="1:63" x14ac:dyDescent="0.25">
      <c r="A4937" s="92"/>
      <c r="B4937" s="93"/>
      <c r="C4937" s="93"/>
      <c r="D4937" s="92"/>
      <c r="E4937" s="92"/>
      <c r="F4937" s="92"/>
      <c r="G4937" s="92"/>
      <c r="H4937" s="92"/>
      <c r="I4937" s="92"/>
      <c r="J4937" s="92"/>
      <c r="K4937" s="92"/>
      <c r="L4937" s="92"/>
      <c r="M4937" s="92"/>
      <c r="N4937" s="94"/>
      <c r="AG4937" s="107"/>
      <c r="AH4937" s="117"/>
      <c r="AI4937" s="117"/>
      <c r="AJ4937" s="107"/>
      <c r="AK4937" s="107"/>
      <c r="AL4937" s="107"/>
      <c r="AM4937" s="107"/>
      <c r="AN4937" s="107"/>
      <c r="AO4937" s="107"/>
      <c r="AP4937" s="107"/>
      <c r="AQ4937" s="107"/>
      <c r="AR4937" s="107"/>
      <c r="AS4937" s="107"/>
      <c r="AT4937" s="39"/>
    </row>
    <row r="4938" spans="1:63" x14ac:dyDescent="0.25">
      <c r="A4938" s="92"/>
      <c r="B4938" s="92"/>
      <c r="C4938" s="92"/>
      <c r="D4938" s="92"/>
      <c r="E4938" s="92"/>
      <c r="F4938" s="92"/>
      <c r="G4938" s="92"/>
      <c r="H4938" s="92"/>
      <c r="I4938" s="92"/>
      <c r="J4938" s="92"/>
      <c r="K4938" s="92"/>
      <c r="L4938" s="92"/>
      <c r="M4938" s="92"/>
      <c r="N4938" s="92"/>
      <c r="AG4938" s="107"/>
      <c r="AH4938" s="117"/>
      <c r="AI4938" s="117"/>
      <c r="AJ4938" s="107"/>
      <c r="AK4938" s="107"/>
      <c r="AL4938" s="107"/>
      <c r="AM4938" s="107"/>
      <c r="AN4938" s="107"/>
      <c r="AO4938" s="107"/>
      <c r="AP4938" s="107"/>
      <c r="AQ4938" s="107"/>
      <c r="AR4938" s="107"/>
      <c r="AS4938" s="107"/>
      <c r="AT4938" s="39"/>
    </row>
    <row r="4939" spans="1:63" x14ac:dyDescent="0.25">
      <c r="A4939" s="92"/>
      <c r="B4939" s="93"/>
      <c r="C4939" s="93"/>
      <c r="D4939" s="93"/>
      <c r="E4939" s="92"/>
      <c r="F4939" s="92"/>
      <c r="G4939" s="92"/>
      <c r="H4939" s="92"/>
      <c r="I4939" s="92"/>
      <c r="J4939" s="92"/>
      <c r="K4939" s="92"/>
      <c r="L4939" s="92"/>
      <c r="M4939" s="92"/>
      <c r="N4939" s="94"/>
      <c r="AG4939" s="107"/>
      <c r="AH4939" s="117"/>
      <c r="AI4939" s="117"/>
      <c r="AJ4939" s="117"/>
      <c r="AK4939" s="107"/>
      <c r="AL4939" s="107"/>
      <c r="AM4939" s="107"/>
      <c r="AN4939" s="107"/>
      <c r="AO4939" s="107"/>
      <c r="AP4939" s="107"/>
      <c r="AQ4939" s="107"/>
      <c r="AR4939" s="107"/>
      <c r="AS4939" s="107"/>
      <c r="AT4939" s="39"/>
      <c r="AZ4939" s="117"/>
      <c r="BK4939" s="39"/>
    </row>
    <row r="4940" spans="1:63" x14ac:dyDescent="0.25">
      <c r="A4940" s="92"/>
      <c r="B4940" s="92"/>
      <c r="C4940" s="92"/>
      <c r="D4940" s="92"/>
      <c r="E4940" s="92"/>
      <c r="F4940" s="92"/>
      <c r="G4940" s="92"/>
      <c r="H4940" s="92"/>
      <c r="I4940" s="92"/>
      <c r="J4940" s="92"/>
      <c r="K4940" s="92"/>
      <c r="L4940" s="92"/>
      <c r="M4940" s="92"/>
      <c r="N4940" s="92"/>
      <c r="AG4940" s="107"/>
      <c r="AH4940" s="107"/>
      <c r="AI4940" s="107"/>
      <c r="AJ4940" s="117"/>
      <c r="AK4940" s="107"/>
      <c r="AL4940" s="107"/>
      <c r="AM4940" s="107"/>
      <c r="AN4940" s="107"/>
      <c r="AO4940" s="107"/>
      <c r="AP4940" s="107"/>
      <c r="AQ4940" s="107"/>
      <c r="AR4940" s="107"/>
      <c r="AS4940" s="107"/>
      <c r="AT4940" s="107"/>
    </row>
    <row r="4941" spans="1:63" x14ac:dyDescent="0.25">
      <c r="A4941" s="92"/>
      <c r="B4941" s="92"/>
      <c r="C4941" s="92"/>
      <c r="D4941" s="92"/>
      <c r="E4941" s="92"/>
      <c r="F4941" s="92"/>
      <c r="G4941" s="92"/>
      <c r="H4941" s="92"/>
      <c r="I4941" s="92"/>
      <c r="J4941" s="92"/>
      <c r="K4941" s="92"/>
      <c r="L4941" s="92"/>
      <c r="M4941" s="92"/>
      <c r="N4941" s="92"/>
      <c r="AG4941" s="107"/>
      <c r="AH4941" s="117"/>
      <c r="AI4941" s="117"/>
      <c r="AJ4941" s="117"/>
      <c r="AK4941" s="107"/>
      <c r="AL4941" s="107"/>
      <c r="AM4941" s="107"/>
      <c r="AN4941" s="107"/>
      <c r="AO4941" s="107"/>
      <c r="AP4941" s="107"/>
      <c r="AQ4941" s="107"/>
      <c r="AR4941" s="107"/>
      <c r="AS4941" s="107"/>
      <c r="AT4941" s="39"/>
    </row>
    <row r="4942" spans="1:63" x14ac:dyDescent="0.25">
      <c r="A4942" s="92"/>
      <c r="B4942" s="92"/>
      <c r="C4942" s="92"/>
      <c r="D4942" s="92"/>
      <c r="E4942" s="92"/>
      <c r="F4942" s="92"/>
      <c r="G4942" s="92"/>
      <c r="H4942" s="92"/>
      <c r="I4942" s="92"/>
      <c r="J4942" s="92"/>
      <c r="K4942" s="92"/>
      <c r="L4942" s="92"/>
      <c r="M4942" s="92"/>
      <c r="N4942" s="92"/>
      <c r="AG4942" s="107"/>
      <c r="AH4942" s="107"/>
      <c r="AI4942" s="107"/>
      <c r="AJ4942" s="117"/>
      <c r="AK4942" s="107"/>
      <c r="AL4942" s="107"/>
      <c r="AM4942" s="107"/>
      <c r="AN4942" s="107"/>
      <c r="AO4942" s="107"/>
      <c r="AP4942" s="107"/>
      <c r="AQ4942" s="107"/>
      <c r="AR4942" s="107"/>
      <c r="AS4942" s="107"/>
      <c r="AT4942" s="107"/>
    </row>
    <row r="4943" spans="1:63" x14ac:dyDescent="0.25">
      <c r="A4943" s="92"/>
      <c r="B4943" s="93"/>
      <c r="C4943" s="93"/>
      <c r="D4943" s="92"/>
      <c r="E4943" s="92"/>
      <c r="F4943" s="92"/>
      <c r="G4943" s="92"/>
      <c r="H4943" s="92"/>
      <c r="I4943" s="92"/>
      <c r="J4943" s="92"/>
      <c r="K4943" s="92"/>
      <c r="L4943" s="92"/>
      <c r="M4943" s="92"/>
      <c r="N4943" s="94"/>
      <c r="AG4943" s="107"/>
      <c r="AH4943" s="107"/>
      <c r="AI4943" s="107"/>
      <c r="AJ4943" s="117"/>
      <c r="AK4943" s="107"/>
      <c r="AL4943" s="107"/>
      <c r="AM4943" s="107"/>
      <c r="AN4943" s="107"/>
      <c r="AO4943" s="107"/>
      <c r="AP4943" s="107"/>
      <c r="AQ4943" s="107"/>
      <c r="AR4943" s="107"/>
      <c r="AS4943" s="107"/>
      <c r="AT4943" s="107"/>
    </row>
    <row r="4944" spans="1:63" x14ac:dyDescent="0.25">
      <c r="A4944" s="92"/>
      <c r="B4944" s="92"/>
      <c r="C4944" s="92"/>
      <c r="D4944" s="92"/>
      <c r="E4944" s="92"/>
      <c r="F4944" s="92"/>
      <c r="G4944" s="92"/>
      <c r="H4944" s="92"/>
      <c r="I4944" s="92"/>
      <c r="J4944" s="92"/>
      <c r="K4944" s="92"/>
      <c r="L4944" s="92"/>
      <c r="M4944" s="92"/>
      <c r="N4944" s="92"/>
      <c r="AG4944" s="107"/>
      <c r="AH4944" s="107"/>
      <c r="AI4944" s="107"/>
      <c r="AJ4944" s="107"/>
      <c r="AK4944" s="107"/>
      <c r="AL4944" s="107"/>
      <c r="AM4944" s="107"/>
      <c r="AN4944" s="107"/>
      <c r="AO4944" s="107"/>
      <c r="AP4944" s="107"/>
      <c r="AQ4944" s="107"/>
      <c r="AR4944" s="107"/>
      <c r="AS4944" s="107"/>
      <c r="AT4944" s="107"/>
    </row>
    <row r="4945" spans="1:63" x14ac:dyDescent="0.25">
      <c r="A4945" s="92"/>
      <c r="B4945" s="93"/>
      <c r="C4945" s="93"/>
      <c r="D4945" s="92"/>
      <c r="E4945" s="92"/>
      <c r="F4945" s="92"/>
      <c r="G4945" s="92"/>
      <c r="H4945" s="92"/>
      <c r="I4945" s="92"/>
      <c r="J4945" s="92"/>
      <c r="K4945" s="92"/>
      <c r="L4945" s="92"/>
      <c r="M4945" s="92"/>
      <c r="N4945" s="94"/>
      <c r="AG4945" s="107"/>
      <c r="AH4945" s="107"/>
      <c r="AI4945" s="107"/>
      <c r="AJ4945" s="107"/>
      <c r="AK4945" s="107"/>
      <c r="AL4945" s="107"/>
      <c r="AM4945" s="107"/>
      <c r="AN4945" s="107"/>
      <c r="AO4945" s="107"/>
      <c r="AP4945" s="107"/>
      <c r="AQ4945" s="107"/>
      <c r="AR4945" s="107"/>
      <c r="AS4945" s="107"/>
      <c r="AT4945" s="107"/>
      <c r="AZ4945" s="117"/>
      <c r="BK4945" s="39"/>
    </row>
    <row r="4946" spans="1:63" x14ac:dyDescent="0.25">
      <c r="A4946" s="92"/>
      <c r="B4946" s="93"/>
      <c r="C4946" s="93"/>
      <c r="D4946" s="92"/>
      <c r="E4946" s="92"/>
      <c r="F4946" s="92"/>
      <c r="G4946" s="92"/>
      <c r="H4946" s="92"/>
      <c r="I4946" s="92"/>
      <c r="J4946" s="92"/>
      <c r="K4946" s="92"/>
      <c r="L4946" s="92"/>
      <c r="M4946" s="92"/>
      <c r="N4946" s="94"/>
      <c r="AG4946" s="107"/>
      <c r="AH4946" s="117"/>
      <c r="AI4946" s="117"/>
      <c r="AJ4946" s="107"/>
      <c r="AK4946" s="107"/>
      <c r="AL4946" s="107"/>
      <c r="AM4946" s="107"/>
      <c r="AN4946" s="107"/>
      <c r="AO4946" s="107"/>
      <c r="AP4946" s="107"/>
      <c r="AQ4946" s="107"/>
      <c r="AR4946" s="107"/>
      <c r="AS4946" s="107"/>
      <c r="AT4946" s="39"/>
      <c r="AZ4946" s="117"/>
      <c r="BK4946" s="39"/>
    </row>
    <row r="4947" spans="1:63" x14ac:dyDescent="0.25">
      <c r="A4947" s="92"/>
      <c r="B4947" s="92"/>
      <c r="C4947" s="92"/>
      <c r="D4947" s="92"/>
      <c r="E4947" s="92"/>
      <c r="F4947" s="92"/>
      <c r="G4947" s="92"/>
      <c r="H4947" s="92"/>
      <c r="I4947" s="92"/>
      <c r="J4947" s="92"/>
      <c r="K4947" s="92"/>
      <c r="L4947" s="92"/>
      <c r="M4947" s="92"/>
      <c r="N4947" s="92"/>
      <c r="AG4947" s="107"/>
      <c r="AH4947" s="117"/>
      <c r="AI4947" s="117"/>
      <c r="AJ4947" s="107"/>
      <c r="AK4947" s="107"/>
      <c r="AL4947" s="107"/>
      <c r="AM4947" s="107"/>
      <c r="AN4947" s="107"/>
      <c r="AO4947" s="107"/>
      <c r="AP4947" s="107"/>
      <c r="AQ4947" s="107"/>
      <c r="AR4947" s="107"/>
      <c r="AS4947" s="107"/>
      <c r="AT4947" s="39"/>
    </row>
    <row r="4948" spans="1:63" x14ac:dyDescent="0.25">
      <c r="A4948" s="92"/>
      <c r="B4948" s="92"/>
      <c r="C4948" s="92"/>
      <c r="D4948" s="92"/>
      <c r="E4948" s="92"/>
      <c r="F4948" s="92"/>
      <c r="G4948" s="92"/>
      <c r="H4948" s="92"/>
      <c r="I4948" s="92"/>
      <c r="J4948" s="92"/>
      <c r="K4948" s="92"/>
      <c r="L4948" s="92"/>
      <c r="M4948" s="92"/>
      <c r="N4948" s="92"/>
      <c r="AG4948" s="107"/>
      <c r="AH4948" s="117"/>
      <c r="AI4948" s="117"/>
      <c r="AJ4948" s="107"/>
      <c r="AK4948" s="107"/>
      <c r="AL4948" s="107"/>
      <c r="AM4948" s="107"/>
      <c r="AN4948" s="107"/>
      <c r="AO4948" s="107"/>
      <c r="AP4948" s="107"/>
      <c r="AQ4948" s="107"/>
      <c r="AR4948" s="107"/>
      <c r="AS4948" s="107"/>
      <c r="AT4948" s="39"/>
    </row>
    <row r="4949" spans="1:63" x14ac:dyDescent="0.25">
      <c r="A4949" s="92"/>
      <c r="B4949" s="92"/>
      <c r="C4949" s="92"/>
      <c r="D4949" s="92"/>
      <c r="E4949" s="92"/>
      <c r="F4949" s="92"/>
      <c r="G4949" s="92"/>
      <c r="H4949" s="92"/>
      <c r="I4949" s="92"/>
      <c r="J4949" s="92"/>
      <c r="K4949" s="92"/>
      <c r="L4949" s="92"/>
      <c r="M4949" s="92"/>
      <c r="N4949" s="92"/>
      <c r="AG4949" s="107"/>
      <c r="AH4949" s="117"/>
      <c r="AI4949" s="117"/>
      <c r="AJ4949" s="107"/>
      <c r="AK4949" s="107"/>
      <c r="AL4949" s="107"/>
      <c r="AM4949" s="107"/>
      <c r="AN4949" s="107"/>
      <c r="AO4949" s="107"/>
      <c r="AP4949" s="107"/>
      <c r="AQ4949" s="107"/>
      <c r="AR4949" s="107"/>
      <c r="AS4949" s="107"/>
      <c r="AT4949" s="39"/>
    </row>
    <row r="4950" spans="1:63" x14ac:dyDescent="0.25">
      <c r="A4950" s="92"/>
      <c r="B4950" s="93"/>
      <c r="C4950" s="93"/>
      <c r="D4950" s="92"/>
      <c r="E4950" s="92"/>
      <c r="F4950" s="92"/>
      <c r="G4950" s="92"/>
      <c r="H4950" s="92"/>
      <c r="I4950" s="92"/>
      <c r="J4950" s="92"/>
      <c r="K4950" s="92"/>
      <c r="L4950" s="92"/>
      <c r="M4950" s="92"/>
      <c r="N4950" s="94"/>
      <c r="AG4950" s="107"/>
      <c r="AH4950" s="117"/>
      <c r="AI4950" s="117"/>
      <c r="AJ4950" s="107"/>
      <c r="AK4950" s="107"/>
      <c r="AL4950" s="107"/>
      <c r="AM4950" s="107"/>
      <c r="AN4950" s="107"/>
      <c r="AO4950" s="107"/>
      <c r="AP4950" s="107"/>
      <c r="AQ4950" s="107"/>
      <c r="AR4950" s="107"/>
      <c r="AS4950" s="107"/>
      <c r="AT4950" s="39"/>
      <c r="AZ4950" s="117"/>
      <c r="BA4950" s="117"/>
      <c r="BK4950" s="39"/>
    </row>
    <row r="4951" spans="1:63" x14ac:dyDescent="0.25">
      <c r="A4951" s="92"/>
      <c r="B4951" s="92"/>
      <c r="C4951" s="92"/>
      <c r="D4951" s="92"/>
      <c r="E4951" s="92"/>
      <c r="F4951" s="92"/>
      <c r="G4951" s="92"/>
      <c r="H4951" s="92"/>
      <c r="I4951" s="92"/>
      <c r="J4951" s="92"/>
      <c r="K4951" s="92"/>
      <c r="L4951" s="92"/>
      <c r="M4951" s="92"/>
      <c r="N4951" s="92"/>
      <c r="AG4951" s="107"/>
      <c r="AH4951" s="117"/>
      <c r="AI4951" s="117"/>
      <c r="AJ4951" s="117"/>
      <c r="AK4951" s="107"/>
      <c r="AL4951" s="107"/>
      <c r="AM4951" s="107"/>
      <c r="AN4951" s="107"/>
      <c r="AO4951" s="107"/>
      <c r="AP4951" s="107"/>
      <c r="AQ4951" s="107"/>
      <c r="AR4951" s="107"/>
      <c r="AS4951" s="107"/>
      <c r="AT4951" s="39"/>
      <c r="BA4951" s="117"/>
    </row>
    <row r="4952" spans="1:63" x14ac:dyDescent="0.25">
      <c r="A4952" s="92"/>
      <c r="B4952" s="92"/>
      <c r="C4952" s="92"/>
      <c r="D4952" s="92"/>
      <c r="E4952" s="92"/>
      <c r="F4952" s="92"/>
      <c r="G4952" s="92"/>
      <c r="H4952" s="92"/>
      <c r="I4952" s="92"/>
      <c r="J4952" s="92"/>
      <c r="K4952" s="92"/>
      <c r="L4952" s="92"/>
      <c r="M4952" s="92"/>
      <c r="N4952" s="92"/>
      <c r="AG4952" s="107"/>
      <c r="AH4952" s="107"/>
      <c r="AI4952" s="107"/>
      <c r="AJ4952" s="107"/>
      <c r="AK4952" s="107"/>
      <c r="AL4952" s="107"/>
      <c r="AM4952" s="107"/>
      <c r="AN4952" s="107"/>
      <c r="AO4952" s="107"/>
      <c r="AP4952" s="107"/>
      <c r="AQ4952" s="107"/>
      <c r="AR4952" s="107"/>
      <c r="AS4952" s="107"/>
      <c r="AT4952" s="107"/>
      <c r="BA4952" s="117"/>
    </row>
    <row r="4953" spans="1:63" x14ac:dyDescent="0.25">
      <c r="A4953" s="92"/>
      <c r="B4953" s="92"/>
      <c r="C4953" s="92"/>
      <c r="D4953" s="92"/>
      <c r="E4953" s="92"/>
      <c r="F4953" s="92"/>
      <c r="G4953" s="92"/>
      <c r="H4953" s="92"/>
      <c r="I4953" s="92"/>
      <c r="J4953" s="92"/>
      <c r="K4953" s="92"/>
      <c r="L4953" s="92"/>
      <c r="M4953" s="92"/>
      <c r="N4953" s="92"/>
      <c r="AG4953" s="107"/>
      <c r="AH4953" s="117"/>
      <c r="AI4953" s="117"/>
      <c r="AJ4953" s="107"/>
      <c r="AK4953" s="107"/>
      <c r="AL4953" s="107"/>
      <c r="AM4953" s="107"/>
      <c r="AN4953" s="107"/>
      <c r="AO4953" s="107"/>
      <c r="AP4953" s="107"/>
      <c r="AQ4953" s="107"/>
      <c r="AR4953" s="107"/>
      <c r="AS4953" s="107"/>
      <c r="AT4953" s="39"/>
      <c r="BA4953" s="117"/>
    </row>
    <row r="4954" spans="1:63" x14ac:dyDescent="0.25">
      <c r="A4954" s="92"/>
      <c r="B4954" s="92"/>
      <c r="C4954" s="92"/>
      <c r="D4954" s="92"/>
      <c r="E4954" s="92"/>
      <c r="F4954" s="92"/>
      <c r="G4954" s="92"/>
      <c r="H4954" s="92"/>
      <c r="I4954" s="92"/>
      <c r="J4954" s="92"/>
      <c r="K4954" s="92"/>
      <c r="L4954" s="92"/>
      <c r="M4954" s="92"/>
      <c r="N4954" s="92"/>
      <c r="AG4954" s="107"/>
      <c r="AH4954" s="117"/>
      <c r="AI4954" s="117"/>
      <c r="AJ4954" s="107"/>
      <c r="AK4954" s="107"/>
      <c r="AL4954" s="107"/>
      <c r="AM4954" s="107"/>
      <c r="AN4954" s="107"/>
      <c r="AO4954" s="107"/>
      <c r="AP4954" s="107"/>
      <c r="AQ4954" s="107"/>
      <c r="AR4954" s="107"/>
      <c r="AS4954" s="107"/>
      <c r="AT4954" s="39"/>
      <c r="AZ4954" s="117"/>
      <c r="BA4954" s="117"/>
      <c r="BK4954" s="39"/>
    </row>
    <row r="4955" spans="1:63" x14ac:dyDescent="0.25">
      <c r="A4955" s="92"/>
      <c r="B4955" s="92"/>
      <c r="C4955" s="92"/>
      <c r="D4955" s="92"/>
      <c r="E4955" s="92"/>
      <c r="F4955" s="92"/>
      <c r="G4955" s="92"/>
      <c r="H4955" s="92"/>
      <c r="I4955" s="92"/>
      <c r="J4955" s="92"/>
      <c r="K4955" s="92"/>
      <c r="L4955" s="92"/>
      <c r="M4955" s="92"/>
      <c r="N4955" s="92"/>
      <c r="AG4955" s="107"/>
      <c r="AH4955" s="107"/>
      <c r="AI4955" s="107"/>
      <c r="AJ4955" s="107"/>
      <c r="AK4955" s="107"/>
      <c r="AL4955" s="107"/>
      <c r="AM4955" s="107"/>
      <c r="AN4955" s="107"/>
      <c r="AO4955" s="107"/>
      <c r="AP4955" s="107"/>
      <c r="AQ4955" s="107"/>
      <c r="AR4955" s="107"/>
      <c r="AS4955" s="107"/>
      <c r="AT4955" s="107"/>
    </row>
    <row r="4956" spans="1:63" x14ac:dyDescent="0.25">
      <c r="A4956" s="92"/>
      <c r="B4956" s="93"/>
      <c r="C4956" s="93"/>
      <c r="D4956" s="92"/>
      <c r="E4956" s="92"/>
      <c r="F4956" s="92"/>
      <c r="G4956" s="92"/>
      <c r="H4956" s="92"/>
      <c r="I4956" s="92"/>
      <c r="J4956" s="92"/>
      <c r="K4956" s="92"/>
      <c r="L4956" s="92"/>
      <c r="M4956" s="92"/>
      <c r="N4956" s="94"/>
      <c r="AG4956" s="107"/>
      <c r="AH4956" s="107"/>
      <c r="AI4956" s="107"/>
      <c r="AJ4956" s="107"/>
      <c r="AK4956" s="107"/>
      <c r="AL4956" s="107"/>
      <c r="AM4956" s="107"/>
      <c r="AN4956" s="107"/>
      <c r="AO4956" s="107"/>
      <c r="AP4956" s="107"/>
      <c r="AQ4956" s="107"/>
      <c r="AR4956" s="107"/>
      <c r="AS4956" s="107"/>
      <c r="AT4956" s="107"/>
      <c r="AZ4956" s="117"/>
      <c r="BK4956" s="39"/>
    </row>
    <row r="4957" spans="1:63" x14ac:dyDescent="0.25">
      <c r="A4957" s="92"/>
      <c r="B4957" s="93"/>
      <c r="C4957" s="93"/>
      <c r="D4957" s="92"/>
      <c r="E4957" s="92"/>
      <c r="F4957" s="92"/>
      <c r="G4957" s="92"/>
      <c r="H4957" s="92"/>
      <c r="I4957" s="92"/>
      <c r="J4957" s="92"/>
      <c r="K4957" s="92"/>
      <c r="L4957" s="92"/>
      <c r="M4957" s="92"/>
      <c r="N4957" s="94"/>
      <c r="AG4957" s="107"/>
      <c r="AH4957" s="107"/>
      <c r="AI4957" s="107"/>
      <c r="AJ4957" s="107"/>
      <c r="AK4957" s="107"/>
      <c r="AL4957" s="107"/>
      <c r="AM4957" s="107"/>
      <c r="AN4957" s="107"/>
      <c r="AO4957" s="107"/>
      <c r="AP4957" s="107"/>
      <c r="AQ4957" s="107"/>
      <c r="AR4957" s="107"/>
      <c r="AS4957" s="107"/>
      <c r="AT4957" s="107"/>
      <c r="AZ4957" s="117"/>
      <c r="BK4957" s="39"/>
    </row>
    <row r="4958" spans="1:63" x14ac:dyDescent="0.25">
      <c r="A4958" s="92"/>
      <c r="B4958" s="92"/>
      <c r="C4958" s="92"/>
      <c r="D4958" s="92"/>
      <c r="E4958" s="92"/>
      <c r="F4958" s="92"/>
      <c r="G4958" s="92"/>
      <c r="H4958" s="92"/>
      <c r="I4958" s="92"/>
      <c r="J4958" s="92"/>
      <c r="K4958" s="92"/>
      <c r="L4958" s="92"/>
      <c r="M4958" s="92"/>
      <c r="N4958" s="92"/>
      <c r="AG4958" s="107"/>
      <c r="AH4958" s="117"/>
      <c r="AI4958" s="117"/>
      <c r="AJ4958" s="107"/>
      <c r="AK4958" s="107"/>
      <c r="AL4958" s="107"/>
      <c r="AM4958" s="107"/>
      <c r="AN4958" s="107"/>
      <c r="AO4958" s="107"/>
      <c r="AP4958" s="107"/>
      <c r="AQ4958" s="107"/>
      <c r="AR4958" s="107"/>
      <c r="AS4958" s="107"/>
      <c r="AT4958" s="39"/>
      <c r="AZ4958" s="117"/>
      <c r="BK4958" s="39"/>
    </row>
    <row r="4959" spans="1:63" x14ac:dyDescent="0.25">
      <c r="A4959" s="92"/>
      <c r="B4959" s="92"/>
      <c r="C4959" s="92"/>
      <c r="D4959" s="92"/>
      <c r="E4959" s="92"/>
      <c r="F4959" s="92"/>
      <c r="G4959" s="92"/>
      <c r="H4959" s="92"/>
      <c r="I4959" s="92"/>
      <c r="J4959" s="92"/>
      <c r="K4959" s="92"/>
      <c r="L4959" s="92"/>
      <c r="M4959" s="92"/>
      <c r="N4959" s="92"/>
      <c r="AG4959" s="107"/>
      <c r="AH4959" s="117"/>
      <c r="AI4959" s="117"/>
      <c r="AJ4959" s="107"/>
      <c r="AK4959" s="107"/>
      <c r="AL4959" s="107"/>
      <c r="AM4959" s="107"/>
      <c r="AN4959" s="107"/>
      <c r="AO4959" s="107"/>
      <c r="AP4959" s="107"/>
      <c r="AQ4959" s="107"/>
      <c r="AR4959" s="107"/>
      <c r="AS4959" s="107"/>
      <c r="AT4959" s="39"/>
      <c r="AZ4959" s="117"/>
      <c r="BK4959" s="39"/>
    </row>
    <row r="4960" spans="1:63" x14ac:dyDescent="0.25">
      <c r="A4960" s="92"/>
      <c r="B4960" s="92"/>
      <c r="C4960" s="92"/>
      <c r="D4960" s="92"/>
      <c r="E4960" s="92"/>
      <c r="F4960" s="92"/>
      <c r="G4960" s="92"/>
      <c r="H4960" s="92"/>
      <c r="I4960" s="92"/>
      <c r="J4960" s="92"/>
      <c r="K4960" s="92"/>
      <c r="L4960" s="92"/>
      <c r="M4960" s="92"/>
      <c r="N4960" s="92"/>
      <c r="AG4960" s="107"/>
      <c r="AH4960" s="117"/>
      <c r="AI4960" s="117"/>
      <c r="AJ4960" s="107"/>
      <c r="AK4960" s="107"/>
      <c r="AL4960" s="107"/>
      <c r="AM4960" s="107"/>
      <c r="AN4960" s="107"/>
      <c r="AO4960" s="107"/>
      <c r="AP4960" s="107"/>
      <c r="AQ4960" s="107"/>
      <c r="AR4960" s="107"/>
      <c r="AS4960" s="107"/>
      <c r="AT4960" s="39"/>
    </row>
    <row r="4961" spans="1:63" x14ac:dyDescent="0.25">
      <c r="A4961" s="92"/>
      <c r="B4961" s="93"/>
      <c r="C4961" s="93"/>
      <c r="D4961" s="93"/>
      <c r="E4961" s="92"/>
      <c r="F4961" s="92"/>
      <c r="G4961" s="92"/>
      <c r="H4961" s="92"/>
      <c r="I4961" s="92"/>
      <c r="J4961" s="92"/>
      <c r="K4961" s="92"/>
      <c r="L4961" s="92"/>
      <c r="M4961" s="92"/>
      <c r="N4961" s="94"/>
      <c r="AG4961" s="107"/>
      <c r="AH4961" s="117"/>
      <c r="AI4961" s="117"/>
      <c r="AJ4961" s="107"/>
      <c r="AK4961" s="107"/>
      <c r="AL4961" s="107"/>
      <c r="AM4961" s="107"/>
      <c r="AN4961" s="107"/>
      <c r="AO4961" s="107"/>
      <c r="AP4961" s="107"/>
      <c r="AQ4961" s="107"/>
      <c r="AR4961" s="107"/>
      <c r="AS4961" s="107"/>
      <c r="AT4961" s="39"/>
      <c r="AZ4961" s="117"/>
      <c r="BK4961" s="39"/>
    </row>
    <row r="4962" spans="1:63" x14ac:dyDescent="0.25">
      <c r="A4962" s="92"/>
      <c r="B4962" s="92"/>
      <c r="C4962" s="92"/>
      <c r="D4962" s="93"/>
      <c r="E4962" s="92"/>
      <c r="F4962" s="92"/>
      <c r="G4962" s="92"/>
      <c r="H4962" s="92"/>
      <c r="I4962" s="92"/>
      <c r="J4962" s="92"/>
      <c r="K4962" s="92"/>
      <c r="L4962" s="92"/>
      <c r="M4962" s="92"/>
      <c r="N4962" s="92"/>
      <c r="AG4962" s="107"/>
      <c r="AH4962" s="117"/>
      <c r="AI4962" s="117"/>
      <c r="AJ4962" s="117"/>
      <c r="AK4962" s="107"/>
      <c r="AL4962" s="107"/>
      <c r="AM4962" s="107"/>
      <c r="AN4962" s="107"/>
      <c r="AO4962" s="107"/>
      <c r="AP4962" s="107"/>
      <c r="AQ4962" s="107"/>
      <c r="AR4962" s="107"/>
      <c r="AS4962" s="107"/>
      <c r="AT4962" s="39"/>
      <c r="AZ4962" s="117"/>
      <c r="BK4962" s="39"/>
    </row>
    <row r="4963" spans="1:63" x14ac:dyDescent="0.25">
      <c r="A4963" s="92"/>
      <c r="B4963" s="92"/>
      <c r="C4963" s="92"/>
      <c r="D4963" s="93"/>
      <c r="E4963" s="92"/>
      <c r="F4963" s="92"/>
      <c r="G4963" s="92"/>
      <c r="H4963" s="92"/>
      <c r="I4963" s="92"/>
      <c r="J4963" s="92"/>
      <c r="K4963" s="92"/>
      <c r="L4963" s="92"/>
      <c r="M4963" s="92"/>
      <c r="N4963" s="92"/>
      <c r="AG4963" s="107"/>
      <c r="AH4963" s="107"/>
      <c r="AI4963" s="107"/>
      <c r="AJ4963" s="117"/>
      <c r="AK4963" s="107"/>
      <c r="AL4963" s="107"/>
      <c r="AM4963" s="107"/>
      <c r="AN4963" s="107"/>
      <c r="AO4963" s="107"/>
      <c r="AP4963" s="107"/>
      <c r="AQ4963" s="107"/>
      <c r="AR4963" s="107"/>
      <c r="AS4963" s="107"/>
      <c r="AT4963" s="107"/>
    </row>
    <row r="4964" spans="1:63" x14ac:dyDescent="0.25">
      <c r="A4964" s="92"/>
      <c r="B4964" s="92"/>
      <c r="C4964" s="92"/>
      <c r="D4964" s="93"/>
      <c r="E4964" s="92"/>
      <c r="F4964" s="92"/>
      <c r="G4964" s="92"/>
      <c r="H4964" s="92"/>
      <c r="I4964" s="92"/>
      <c r="J4964" s="92"/>
      <c r="K4964" s="92"/>
      <c r="L4964" s="92"/>
      <c r="M4964" s="92"/>
      <c r="N4964" s="92"/>
      <c r="AG4964" s="107"/>
      <c r="AH4964" s="107"/>
      <c r="AI4964" s="107"/>
      <c r="AJ4964" s="117"/>
      <c r="AK4964" s="107"/>
      <c r="AL4964" s="107"/>
      <c r="AM4964" s="107"/>
      <c r="AN4964" s="107"/>
      <c r="AO4964" s="107"/>
      <c r="AP4964" s="107"/>
      <c r="AQ4964" s="107"/>
      <c r="AR4964" s="107"/>
      <c r="AS4964" s="107"/>
      <c r="AT4964" s="107"/>
      <c r="AZ4964" s="117"/>
      <c r="BK4964" s="39"/>
    </row>
    <row r="4965" spans="1:63" x14ac:dyDescent="0.25">
      <c r="A4965" s="92"/>
      <c r="B4965" s="93"/>
      <c r="C4965" s="93"/>
      <c r="D4965" s="93"/>
      <c r="E4965" s="92"/>
      <c r="F4965" s="92"/>
      <c r="G4965" s="92"/>
      <c r="H4965" s="92"/>
      <c r="I4965" s="92"/>
      <c r="J4965" s="92"/>
      <c r="K4965" s="92"/>
      <c r="L4965" s="92"/>
      <c r="M4965" s="92"/>
      <c r="N4965" s="94"/>
      <c r="AG4965" s="107"/>
      <c r="AH4965" s="107"/>
      <c r="AI4965" s="107"/>
      <c r="AJ4965" s="117"/>
      <c r="AK4965" s="107"/>
      <c r="AL4965" s="107"/>
      <c r="AM4965" s="107"/>
      <c r="AN4965" s="107"/>
      <c r="AO4965" s="107"/>
      <c r="AP4965" s="107"/>
      <c r="AQ4965" s="107"/>
      <c r="AR4965" s="107"/>
      <c r="AS4965" s="107"/>
      <c r="AT4965" s="107"/>
      <c r="AZ4965" s="117"/>
      <c r="BK4965" s="39"/>
    </row>
    <row r="4966" spans="1:63" x14ac:dyDescent="0.25">
      <c r="A4966" s="92"/>
      <c r="B4966" s="92"/>
      <c r="C4966" s="92"/>
      <c r="D4966" s="92"/>
      <c r="E4966" s="92"/>
      <c r="F4966" s="92"/>
      <c r="G4966" s="92"/>
      <c r="H4966" s="92"/>
      <c r="I4966" s="92"/>
      <c r="J4966" s="92"/>
      <c r="K4966" s="92"/>
      <c r="L4966" s="92"/>
      <c r="M4966" s="92"/>
      <c r="N4966" s="92"/>
      <c r="AG4966" s="107"/>
      <c r="AH4966" s="107"/>
      <c r="AI4966" s="107"/>
      <c r="AJ4966" s="117"/>
      <c r="AK4966" s="107"/>
      <c r="AL4966" s="107"/>
      <c r="AM4966" s="107"/>
      <c r="AN4966" s="107"/>
      <c r="AO4966" s="107"/>
      <c r="AP4966" s="107"/>
      <c r="AQ4966" s="107"/>
      <c r="AR4966" s="107"/>
      <c r="AS4966" s="107"/>
      <c r="AT4966" s="107"/>
      <c r="AZ4966" s="117"/>
      <c r="BK4966" s="39"/>
    </row>
    <row r="4967" spans="1:63" x14ac:dyDescent="0.25">
      <c r="A4967" s="92"/>
      <c r="B4967" s="93"/>
      <c r="C4967" s="93"/>
      <c r="D4967" s="92"/>
      <c r="E4967" s="92"/>
      <c r="F4967" s="92"/>
      <c r="G4967" s="92"/>
      <c r="H4967" s="92"/>
      <c r="I4967" s="92"/>
      <c r="J4967" s="92"/>
      <c r="K4967" s="92"/>
      <c r="L4967" s="92"/>
      <c r="M4967" s="92"/>
      <c r="N4967" s="94"/>
      <c r="AG4967" s="107"/>
      <c r="AH4967" s="117"/>
      <c r="AI4967" s="117"/>
      <c r="AJ4967" s="107"/>
      <c r="AK4967" s="107"/>
      <c r="AL4967" s="107"/>
      <c r="AM4967" s="107"/>
      <c r="AN4967" s="107"/>
      <c r="AO4967" s="107"/>
      <c r="AP4967" s="107"/>
      <c r="AQ4967" s="107"/>
      <c r="AR4967" s="107"/>
      <c r="AS4967" s="107"/>
      <c r="AT4967" s="39"/>
      <c r="AZ4967" s="117"/>
      <c r="BA4967" s="117"/>
      <c r="BK4967" s="39"/>
    </row>
    <row r="4968" spans="1:63" x14ac:dyDescent="0.25">
      <c r="A4968" s="92"/>
      <c r="B4968" s="93"/>
      <c r="C4968" s="93"/>
      <c r="D4968" s="92"/>
      <c r="E4968" s="92"/>
      <c r="F4968" s="92"/>
      <c r="G4968" s="92"/>
      <c r="H4968" s="92"/>
      <c r="I4968" s="92"/>
      <c r="J4968" s="92"/>
      <c r="K4968" s="92"/>
      <c r="L4968" s="92"/>
      <c r="M4968" s="92"/>
      <c r="N4968" s="94"/>
      <c r="AG4968" s="107"/>
      <c r="AH4968" s="117"/>
      <c r="AI4968" s="117"/>
      <c r="AJ4968" s="107"/>
      <c r="AK4968" s="107"/>
      <c r="AL4968" s="107"/>
      <c r="AM4968" s="107"/>
      <c r="AN4968" s="107"/>
      <c r="AO4968" s="107"/>
      <c r="AP4968" s="107"/>
      <c r="AQ4968" s="107"/>
      <c r="AR4968" s="107"/>
      <c r="AS4968" s="107"/>
      <c r="AT4968" s="39"/>
    </row>
    <row r="4969" spans="1:63" x14ac:dyDescent="0.25">
      <c r="A4969" s="92"/>
      <c r="B4969" s="93"/>
      <c r="C4969" s="93"/>
      <c r="D4969" s="92"/>
      <c r="E4969" s="92"/>
      <c r="F4969" s="92"/>
      <c r="G4969" s="92"/>
      <c r="H4969" s="92"/>
      <c r="I4969" s="92"/>
      <c r="J4969" s="92"/>
      <c r="K4969" s="92"/>
      <c r="L4969" s="92"/>
      <c r="M4969" s="92"/>
      <c r="N4969" s="94"/>
      <c r="AG4969" s="107"/>
      <c r="AH4969" s="117"/>
      <c r="AI4969" s="117"/>
      <c r="AJ4969" s="117"/>
      <c r="AK4969" s="107"/>
      <c r="AL4969" s="107"/>
      <c r="AM4969" s="107"/>
      <c r="AN4969" s="107"/>
      <c r="AO4969" s="107"/>
      <c r="AP4969" s="107"/>
      <c r="AQ4969" s="107"/>
      <c r="AR4969" s="107"/>
      <c r="AS4969" s="107"/>
      <c r="AT4969" s="39"/>
      <c r="AZ4969" s="117"/>
      <c r="BK4969" s="39"/>
    </row>
    <row r="4970" spans="1:63" x14ac:dyDescent="0.25">
      <c r="A4970" s="92"/>
      <c r="B4970" s="92"/>
      <c r="C4970" s="92"/>
      <c r="D4970" s="92"/>
      <c r="E4970" s="92"/>
      <c r="F4970" s="92"/>
      <c r="G4970" s="92"/>
      <c r="H4970" s="92"/>
      <c r="I4970" s="92"/>
      <c r="J4970" s="92"/>
      <c r="K4970" s="92"/>
      <c r="L4970" s="92"/>
      <c r="M4970" s="92"/>
      <c r="N4970" s="92"/>
      <c r="AG4970" s="107"/>
      <c r="AH4970" s="117"/>
      <c r="AI4970" s="117"/>
      <c r="AJ4970" s="107"/>
      <c r="AK4970" s="107"/>
      <c r="AL4970" s="107"/>
      <c r="AM4970" s="107"/>
      <c r="AN4970" s="107"/>
      <c r="AO4970" s="107"/>
      <c r="AP4970" s="107"/>
      <c r="AQ4970" s="107"/>
      <c r="AR4970" s="107"/>
      <c r="AS4970" s="107"/>
      <c r="AT4970" s="39"/>
    </row>
    <row r="4971" spans="1:63" x14ac:dyDescent="0.25">
      <c r="A4971" s="92"/>
      <c r="B4971" s="93"/>
      <c r="C4971" s="93"/>
      <c r="D4971" s="92"/>
      <c r="E4971" s="92"/>
      <c r="F4971" s="92"/>
      <c r="G4971" s="92"/>
      <c r="H4971" s="92"/>
      <c r="I4971" s="92"/>
      <c r="J4971" s="92"/>
      <c r="K4971" s="92"/>
      <c r="L4971" s="92"/>
      <c r="M4971" s="92"/>
      <c r="N4971" s="94"/>
      <c r="AG4971" s="107"/>
      <c r="AH4971" s="117"/>
      <c r="AI4971" s="117"/>
      <c r="AJ4971" s="117"/>
      <c r="AK4971" s="107"/>
      <c r="AL4971" s="107"/>
      <c r="AM4971" s="107"/>
      <c r="AN4971" s="107"/>
      <c r="AO4971" s="107"/>
      <c r="AP4971" s="107"/>
      <c r="AQ4971" s="107"/>
      <c r="AR4971" s="107"/>
      <c r="AS4971" s="107"/>
      <c r="AT4971" s="39"/>
    </row>
    <row r="4972" spans="1:63" x14ac:dyDescent="0.25">
      <c r="A4972" s="92"/>
      <c r="B4972" s="93"/>
      <c r="C4972" s="93"/>
      <c r="D4972" s="92"/>
      <c r="E4972" s="92"/>
      <c r="F4972" s="92"/>
      <c r="G4972" s="92"/>
      <c r="H4972" s="92"/>
      <c r="I4972" s="92"/>
      <c r="J4972" s="92"/>
      <c r="K4972" s="92"/>
      <c r="L4972" s="92"/>
      <c r="M4972" s="92"/>
      <c r="N4972" s="94"/>
      <c r="AG4972" s="107"/>
      <c r="AH4972" s="117"/>
      <c r="AI4972" s="117"/>
      <c r="AJ4972" s="117"/>
      <c r="AK4972" s="107"/>
      <c r="AL4972" s="107"/>
      <c r="AM4972" s="107"/>
      <c r="AN4972" s="107"/>
      <c r="AO4972" s="107"/>
      <c r="AP4972" s="107"/>
      <c r="AQ4972" s="107"/>
      <c r="AR4972" s="107"/>
      <c r="AS4972" s="107"/>
      <c r="AT4972" s="39"/>
    </row>
    <row r="4973" spans="1:63" x14ac:dyDescent="0.25">
      <c r="A4973" s="92"/>
      <c r="B4973" s="92"/>
      <c r="C4973" s="92"/>
      <c r="D4973" s="92"/>
      <c r="E4973" s="92"/>
      <c r="F4973" s="92"/>
      <c r="G4973" s="92"/>
      <c r="H4973" s="92"/>
      <c r="I4973" s="92"/>
      <c r="J4973" s="92"/>
      <c r="K4973" s="92"/>
      <c r="L4973" s="92"/>
      <c r="M4973" s="92"/>
      <c r="N4973" s="92"/>
      <c r="AG4973" s="107"/>
      <c r="AH4973" s="107"/>
      <c r="AI4973" s="107"/>
      <c r="AJ4973" s="117"/>
      <c r="AK4973" s="107"/>
      <c r="AL4973" s="107"/>
      <c r="AM4973" s="107"/>
      <c r="AN4973" s="107"/>
      <c r="AO4973" s="107"/>
      <c r="AP4973" s="107"/>
      <c r="AQ4973" s="107"/>
      <c r="AR4973" s="107"/>
      <c r="AS4973" s="107"/>
      <c r="AT4973" s="107"/>
    </row>
    <row r="4974" spans="1:63" x14ac:dyDescent="0.25">
      <c r="A4974" s="92"/>
      <c r="B4974" s="93"/>
      <c r="C4974" s="93"/>
      <c r="D4974" s="92"/>
      <c r="E4974" s="92"/>
      <c r="F4974" s="92"/>
      <c r="G4974" s="92"/>
      <c r="H4974" s="92"/>
      <c r="I4974" s="92"/>
      <c r="J4974" s="92"/>
      <c r="K4974" s="92"/>
      <c r="L4974" s="92"/>
      <c r="M4974" s="92"/>
      <c r="N4974" s="94"/>
      <c r="AG4974" s="107"/>
      <c r="AH4974" s="117"/>
      <c r="AI4974" s="117"/>
      <c r="AJ4974" s="117"/>
      <c r="AK4974" s="107"/>
      <c r="AL4974" s="107"/>
      <c r="AM4974" s="107"/>
      <c r="AN4974" s="107"/>
      <c r="AO4974" s="107"/>
      <c r="AP4974" s="107"/>
      <c r="AQ4974" s="107"/>
      <c r="AR4974" s="107"/>
      <c r="AS4974" s="107"/>
      <c r="AT4974" s="39"/>
      <c r="AZ4974" s="117"/>
      <c r="BK4974" s="39"/>
    </row>
    <row r="4975" spans="1:63" x14ac:dyDescent="0.25">
      <c r="A4975" s="92"/>
      <c r="B4975" s="93"/>
      <c r="C4975" s="93"/>
      <c r="D4975" s="92"/>
      <c r="E4975" s="92"/>
      <c r="F4975" s="92"/>
      <c r="G4975" s="92"/>
      <c r="H4975" s="92"/>
      <c r="I4975" s="92"/>
      <c r="J4975" s="92"/>
      <c r="K4975" s="92"/>
      <c r="L4975" s="92"/>
      <c r="M4975" s="92"/>
      <c r="N4975" s="94"/>
      <c r="AG4975" s="107"/>
      <c r="AH4975" s="107"/>
      <c r="AI4975" s="107"/>
      <c r="AJ4975" s="117"/>
      <c r="AK4975" s="107"/>
      <c r="AL4975" s="107"/>
      <c r="AM4975" s="107"/>
      <c r="AN4975" s="107"/>
      <c r="AO4975" s="107"/>
      <c r="AP4975" s="107"/>
      <c r="AQ4975" s="107"/>
      <c r="AR4975" s="107"/>
      <c r="AS4975" s="107"/>
      <c r="AT4975" s="107"/>
      <c r="AZ4975" s="117"/>
      <c r="BK4975" s="39"/>
    </row>
    <row r="4976" spans="1:63" x14ac:dyDescent="0.25">
      <c r="A4976" s="92"/>
      <c r="B4976" s="93"/>
      <c r="C4976" s="93"/>
      <c r="D4976" s="92"/>
      <c r="E4976" s="92"/>
      <c r="F4976" s="92"/>
      <c r="G4976" s="92"/>
      <c r="H4976" s="92"/>
      <c r="I4976" s="92"/>
      <c r="J4976" s="92"/>
      <c r="K4976" s="92"/>
      <c r="L4976" s="92"/>
      <c r="M4976" s="92"/>
      <c r="N4976" s="94"/>
      <c r="AG4976" s="107"/>
      <c r="AH4976" s="107"/>
      <c r="AI4976" s="107"/>
      <c r="AJ4976" s="117"/>
      <c r="AK4976" s="107"/>
      <c r="AL4976" s="107"/>
      <c r="AM4976" s="107"/>
      <c r="AN4976" s="107"/>
      <c r="AO4976" s="107"/>
      <c r="AP4976" s="107"/>
      <c r="AQ4976" s="107"/>
      <c r="AR4976" s="107"/>
      <c r="AS4976" s="107"/>
      <c r="AT4976" s="107"/>
      <c r="AZ4976" s="117"/>
      <c r="BK4976" s="39"/>
    </row>
    <row r="4977" spans="1:63" x14ac:dyDescent="0.25">
      <c r="A4977" s="92"/>
      <c r="B4977" s="93"/>
      <c r="C4977" s="93"/>
      <c r="D4977" s="93"/>
      <c r="E4977" s="92"/>
      <c r="F4977" s="92"/>
      <c r="G4977" s="92"/>
      <c r="H4977" s="92"/>
      <c r="I4977" s="92"/>
      <c r="J4977" s="92"/>
      <c r="K4977" s="92"/>
      <c r="L4977" s="92"/>
      <c r="M4977" s="92"/>
      <c r="N4977" s="94"/>
      <c r="AG4977" s="107"/>
      <c r="AH4977" s="107"/>
      <c r="AI4977" s="107"/>
      <c r="AJ4977" s="117"/>
      <c r="AK4977" s="107"/>
      <c r="AL4977" s="107"/>
      <c r="AM4977" s="107"/>
      <c r="AN4977" s="107"/>
      <c r="AO4977" s="107"/>
      <c r="AP4977" s="107"/>
      <c r="AQ4977" s="107"/>
      <c r="AR4977" s="107"/>
      <c r="AS4977" s="107"/>
      <c r="AT4977" s="107"/>
      <c r="AZ4977" s="117"/>
      <c r="BA4977" s="117"/>
      <c r="BK4977" s="39"/>
    </row>
    <row r="4978" spans="1:63" x14ac:dyDescent="0.25">
      <c r="A4978" s="92"/>
      <c r="B4978" s="92"/>
      <c r="C4978" s="92"/>
      <c r="D4978" s="92"/>
      <c r="E4978" s="92"/>
      <c r="F4978" s="92"/>
      <c r="G4978" s="92"/>
      <c r="H4978" s="92"/>
      <c r="I4978" s="92"/>
      <c r="J4978" s="92"/>
      <c r="K4978" s="92"/>
      <c r="L4978" s="92"/>
      <c r="M4978" s="92"/>
      <c r="N4978" s="92"/>
      <c r="AG4978" s="107"/>
      <c r="AH4978" s="107"/>
      <c r="AI4978" s="107"/>
      <c r="AJ4978" s="117"/>
      <c r="AK4978" s="107"/>
      <c r="AL4978" s="107"/>
      <c r="AM4978" s="107"/>
      <c r="AN4978" s="107"/>
      <c r="AO4978" s="107"/>
      <c r="AP4978" s="107"/>
      <c r="AQ4978" s="107"/>
      <c r="AR4978" s="107"/>
      <c r="AS4978" s="107"/>
      <c r="AT4978" s="107"/>
      <c r="AZ4978" s="117"/>
      <c r="BA4978" s="117"/>
      <c r="BK4978" s="39"/>
    </row>
    <row r="4979" spans="1:63" x14ac:dyDescent="0.25">
      <c r="A4979" s="92"/>
      <c r="B4979" s="93"/>
      <c r="C4979" s="93"/>
      <c r="D4979" s="92"/>
      <c r="E4979" s="92"/>
      <c r="F4979" s="92"/>
      <c r="G4979" s="92"/>
      <c r="H4979" s="92"/>
      <c r="I4979" s="92"/>
      <c r="J4979" s="92"/>
      <c r="K4979" s="92"/>
      <c r="L4979" s="92"/>
      <c r="M4979" s="92"/>
      <c r="N4979" s="94"/>
      <c r="AG4979" s="107"/>
      <c r="AH4979" s="117"/>
      <c r="AI4979" s="117"/>
      <c r="AJ4979" s="107"/>
      <c r="AK4979" s="107"/>
      <c r="AL4979" s="107"/>
      <c r="AM4979" s="107"/>
      <c r="AN4979" s="107"/>
      <c r="AO4979" s="107"/>
      <c r="AP4979" s="107"/>
      <c r="AQ4979" s="107"/>
      <c r="AR4979" s="107"/>
      <c r="AS4979" s="107"/>
      <c r="AT4979" s="39"/>
    </row>
    <row r="4980" spans="1:63" x14ac:dyDescent="0.25">
      <c r="A4980" s="92"/>
      <c r="B4980" s="92"/>
      <c r="C4980" s="92"/>
      <c r="D4980" s="92"/>
      <c r="E4980" s="92"/>
      <c r="F4980" s="92"/>
      <c r="G4980" s="92"/>
      <c r="H4980" s="92"/>
      <c r="I4980" s="92"/>
      <c r="J4980" s="92"/>
      <c r="K4980" s="92"/>
      <c r="L4980" s="92"/>
      <c r="M4980" s="92"/>
      <c r="N4980" s="92"/>
      <c r="AG4980" s="107"/>
      <c r="AH4980" s="117"/>
      <c r="AI4980" s="117"/>
      <c r="AJ4980" s="117"/>
      <c r="AK4980" s="107"/>
      <c r="AL4980" s="107"/>
      <c r="AM4980" s="107"/>
      <c r="AN4980" s="107"/>
      <c r="AO4980" s="107"/>
      <c r="AP4980" s="107"/>
      <c r="AQ4980" s="107"/>
      <c r="AR4980" s="107"/>
      <c r="AS4980" s="107"/>
      <c r="AT4980" s="39"/>
    </row>
    <row r="4981" spans="1:63" x14ac:dyDescent="0.25">
      <c r="A4981" s="92"/>
      <c r="B4981" s="92"/>
      <c r="C4981" s="92"/>
      <c r="D4981" s="92"/>
      <c r="E4981" s="92"/>
      <c r="F4981" s="92"/>
      <c r="G4981" s="92"/>
      <c r="H4981" s="92"/>
      <c r="I4981" s="92"/>
      <c r="J4981" s="92"/>
      <c r="K4981" s="92"/>
      <c r="L4981" s="92"/>
      <c r="M4981" s="92"/>
      <c r="N4981" s="92"/>
      <c r="AG4981" s="107"/>
      <c r="AH4981" s="117"/>
      <c r="AI4981" s="117"/>
      <c r="AJ4981" s="117"/>
      <c r="AK4981" s="107"/>
      <c r="AL4981" s="107"/>
      <c r="AM4981" s="107"/>
      <c r="AN4981" s="107"/>
      <c r="AO4981" s="107"/>
      <c r="AP4981" s="107"/>
      <c r="AQ4981" s="107"/>
      <c r="AR4981" s="107"/>
      <c r="AS4981" s="107"/>
      <c r="AT4981" s="39"/>
    </row>
    <row r="4982" spans="1:63" x14ac:dyDescent="0.25">
      <c r="A4982" s="92"/>
      <c r="B4982" s="92"/>
      <c r="C4982" s="92"/>
      <c r="D4982" s="92"/>
      <c r="E4982" s="92"/>
      <c r="F4982" s="92"/>
      <c r="G4982" s="92"/>
      <c r="H4982" s="92"/>
      <c r="I4982" s="92"/>
      <c r="J4982" s="92"/>
      <c r="K4982" s="92"/>
      <c r="L4982" s="92"/>
      <c r="M4982" s="92"/>
      <c r="N4982" s="92"/>
      <c r="AG4982" s="107"/>
      <c r="AH4982" s="107"/>
      <c r="AI4982" s="107"/>
      <c r="AJ4982" s="107"/>
      <c r="AK4982" s="107"/>
      <c r="AL4982" s="107"/>
      <c r="AM4982" s="107"/>
      <c r="AN4982" s="107"/>
      <c r="AO4982" s="107"/>
      <c r="AP4982" s="107"/>
      <c r="AQ4982" s="107"/>
      <c r="AR4982" s="107"/>
      <c r="AS4982" s="107"/>
      <c r="AT4982" s="107"/>
    </row>
    <row r="4983" spans="1:63" x14ac:dyDescent="0.25">
      <c r="A4983" s="92"/>
      <c r="B4983" s="92"/>
      <c r="C4983" s="92"/>
      <c r="D4983" s="92"/>
      <c r="E4983" s="92"/>
      <c r="F4983" s="92"/>
      <c r="G4983" s="92"/>
      <c r="H4983" s="92"/>
      <c r="I4983" s="92"/>
      <c r="J4983" s="92"/>
      <c r="K4983" s="92"/>
      <c r="L4983" s="92"/>
      <c r="M4983" s="92"/>
      <c r="N4983" s="92"/>
      <c r="AG4983" s="107"/>
      <c r="AH4983" s="107"/>
      <c r="AI4983" s="107"/>
      <c r="AJ4983" s="107"/>
      <c r="AK4983" s="107"/>
      <c r="AL4983" s="107"/>
      <c r="AM4983" s="107"/>
      <c r="AN4983" s="107"/>
      <c r="AO4983" s="107"/>
      <c r="AP4983" s="107"/>
      <c r="AQ4983" s="107"/>
      <c r="AR4983" s="107"/>
      <c r="AS4983" s="107"/>
      <c r="AT4983" s="107"/>
    </row>
    <row r="4984" spans="1:63" x14ac:dyDescent="0.25">
      <c r="A4984" s="92"/>
      <c r="B4984" s="93"/>
      <c r="C4984" s="93"/>
      <c r="D4984" s="92"/>
      <c r="E4984" s="92"/>
      <c r="F4984" s="92"/>
      <c r="G4984" s="92"/>
      <c r="H4984" s="92"/>
      <c r="I4984" s="92"/>
      <c r="J4984" s="92"/>
      <c r="K4984" s="92"/>
      <c r="L4984" s="92"/>
      <c r="M4984" s="92"/>
      <c r="N4984" s="94"/>
      <c r="AG4984" s="107"/>
      <c r="AH4984" s="107"/>
      <c r="AI4984" s="107"/>
      <c r="AJ4984" s="107"/>
      <c r="AK4984" s="107"/>
      <c r="AL4984" s="107"/>
      <c r="AM4984" s="107"/>
      <c r="AN4984" s="107"/>
      <c r="AO4984" s="107"/>
      <c r="AP4984" s="107"/>
      <c r="AQ4984" s="107"/>
      <c r="AR4984" s="107"/>
      <c r="AS4984" s="107"/>
      <c r="AT4984" s="107"/>
    </row>
    <row r="4985" spans="1:63" x14ac:dyDescent="0.25">
      <c r="A4985" s="92"/>
      <c r="B4985" s="93"/>
      <c r="C4985" s="93"/>
      <c r="D4985" s="92"/>
      <c r="E4985" s="92"/>
      <c r="F4985" s="92"/>
      <c r="G4985" s="92"/>
      <c r="H4985" s="92"/>
      <c r="I4985" s="92"/>
      <c r="J4985" s="92"/>
      <c r="K4985" s="92"/>
      <c r="L4985" s="92"/>
      <c r="M4985" s="92"/>
      <c r="N4985" s="94"/>
      <c r="AG4985" s="107"/>
      <c r="AH4985" s="107"/>
      <c r="AI4985" s="107"/>
      <c r="AJ4985" s="107"/>
      <c r="AK4985" s="107"/>
      <c r="AL4985" s="107"/>
      <c r="AM4985" s="107"/>
      <c r="AN4985" s="107"/>
      <c r="AO4985" s="107"/>
      <c r="AP4985" s="107"/>
      <c r="AQ4985" s="107"/>
      <c r="AR4985" s="107"/>
      <c r="AS4985" s="107"/>
      <c r="AT4985" s="107"/>
    </row>
    <row r="4986" spans="1:63" x14ac:dyDescent="0.25">
      <c r="A4986" s="92"/>
      <c r="B4986" s="93"/>
      <c r="C4986" s="93"/>
      <c r="D4986" s="92"/>
      <c r="E4986" s="92"/>
      <c r="F4986" s="92"/>
      <c r="G4986" s="92"/>
      <c r="H4986" s="92"/>
      <c r="I4986" s="92"/>
      <c r="J4986" s="92"/>
      <c r="K4986" s="92"/>
      <c r="L4986" s="92"/>
      <c r="M4986" s="92"/>
      <c r="N4986" s="94"/>
      <c r="AG4986" s="107"/>
      <c r="AH4986" s="107"/>
      <c r="AI4986" s="107"/>
      <c r="AJ4986" s="107"/>
      <c r="AK4986" s="107"/>
      <c r="AL4986" s="107"/>
      <c r="AM4986" s="107"/>
      <c r="AN4986" s="107"/>
      <c r="AO4986" s="107"/>
      <c r="AP4986" s="107"/>
      <c r="AQ4986" s="107"/>
      <c r="AR4986" s="107"/>
      <c r="AS4986" s="107"/>
      <c r="AT4986" s="107"/>
    </row>
    <row r="4987" spans="1:63" x14ac:dyDescent="0.25">
      <c r="A4987" s="92"/>
      <c r="B4987" s="93"/>
      <c r="C4987" s="93"/>
      <c r="D4987" s="93"/>
      <c r="E4987" s="92"/>
      <c r="F4987" s="92"/>
      <c r="G4987" s="92"/>
      <c r="H4987" s="92"/>
      <c r="I4987" s="92"/>
      <c r="J4987" s="92"/>
      <c r="K4987" s="92"/>
      <c r="L4987" s="92"/>
      <c r="M4987" s="92"/>
      <c r="N4987" s="94"/>
      <c r="AG4987" s="107"/>
      <c r="AH4987" s="107"/>
      <c r="AI4987" s="107"/>
      <c r="AJ4987" s="107"/>
      <c r="AK4987" s="107"/>
      <c r="AL4987" s="107"/>
      <c r="AM4987" s="107"/>
      <c r="AN4987" s="107"/>
      <c r="AO4987" s="107"/>
      <c r="AP4987" s="107"/>
      <c r="AQ4987" s="107"/>
      <c r="AR4987" s="107"/>
      <c r="AS4987" s="107"/>
      <c r="AT4987" s="107"/>
      <c r="AZ4987" s="117"/>
      <c r="BA4987" s="117"/>
      <c r="BK4987" s="39"/>
    </row>
    <row r="4988" spans="1:63" x14ac:dyDescent="0.25">
      <c r="A4988" s="92"/>
      <c r="B4988" s="93"/>
      <c r="C4988" s="93"/>
      <c r="D4988" s="93"/>
      <c r="E4988" s="92"/>
      <c r="F4988" s="92"/>
      <c r="G4988" s="92"/>
      <c r="H4988" s="92"/>
      <c r="I4988" s="92"/>
      <c r="J4988" s="92"/>
      <c r="K4988" s="92"/>
      <c r="L4988" s="92"/>
      <c r="M4988" s="92"/>
      <c r="N4988" s="94"/>
      <c r="AG4988" s="107"/>
      <c r="AH4988" s="117"/>
      <c r="AI4988" s="117"/>
      <c r="AJ4988" s="107"/>
      <c r="AK4988" s="107"/>
      <c r="AL4988" s="107"/>
      <c r="AM4988" s="107"/>
      <c r="AN4988" s="107"/>
      <c r="AO4988" s="107"/>
      <c r="AP4988" s="107"/>
      <c r="AQ4988" s="107"/>
      <c r="AR4988" s="107"/>
      <c r="AS4988" s="107"/>
      <c r="AT4988" s="39"/>
      <c r="AZ4988" s="117"/>
      <c r="BK4988" s="39"/>
    </row>
    <row r="4989" spans="1:63" x14ac:dyDescent="0.25">
      <c r="A4989" s="92"/>
      <c r="B4989" s="92"/>
      <c r="C4989" s="92"/>
      <c r="D4989" s="92"/>
      <c r="E4989" s="92"/>
      <c r="F4989" s="92"/>
      <c r="G4989" s="92"/>
      <c r="H4989" s="92"/>
      <c r="I4989" s="92"/>
      <c r="J4989" s="92"/>
      <c r="K4989" s="92"/>
      <c r="L4989" s="92"/>
      <c r="M4989" s="92"/>
      <c r="N4989" s="92"/>
      <c r="AG4989" s="107"/>
      <c r="AH4989" s="117"/>
      <c r="AI4989" s="117"/>
      <c r="AJ4989" s="107"/>
      <c r="AK4989" s="107"/>
      <c r="AL4989" s="107"/>
      <c r="AM4989" s="107"/>
      <c r="AN4989" s="107"/>
      <c r="AO4989" s="107"/>
      <c r="AP4989" s="107"/>
      <c r="AQ4989" s="107"/>
      <c r="AR4989" s="107"/>
      <c r="AS4989" s="107"/>
      <c r="AT4989" s="39"/>
      <c r="AZ4989" s="117"/>
      <c r="BK4989" s="39"/>
    </row>
    <row r="4990" spans="1:63" x14ac:dyDescent="0.25">
      <c r="A4990" s="92"/>
      <c r="B4990" s="92"/>
      <c r="C4990" s="92"/>
      <c r="D4990" s="92"/>
      <c r="E4990" s="92"/>
      <c r="F4990" s="92"/>
      <c r="G4990" s="92"/>
      <c r="H4990" s="92"/>
      <c r="I4990" s="92"/>
      <c r="J4990" s="92"/>
      <c r="K4990" s="92"/>
      <c r="L4990" s="92"/>
      <c r="M4990" s="92"/>
      <c r="N4990" s="92"/>
      <c r="AG4990" s="107"/>
      <c r="AH4990" s="117"/>
      <c r="AI4990" s="117"/>
      <c r="AJ4990" s="11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39"/>
      <c r="AZ4990" s="117"/>
      <c r="BK4990" s="39"/>
    </row>
    <row r="4991" spans="1:63" x14ac:dyDescent="0.25">
      <c r="A4991" s="92"/>
      <c r="B4991" s="92"/>
      <c r="C4991" s="92"/>
      <c r="D4991" s="92"/>
      <c r="E4991" s="92"/>
      <c r="F4991" s="92"/>
      <c r="G4991" s="92"/>
      <c r="H4991" s="92"/>
      <c r="I4991" s="92"/>
      <c r="J4991" s="92"/>
      <c r="K4991" s="92"/>
      <c r="L4991" s="92"/>
      <c r="M4991" s="92"/>
      <c r="N4991" s="92"/>
      <c r="AG4991" s="107"/>
      <c r="AH4991" s="117"/>
      <c r="AI4991" s="117"/>
      <c r="AJ4991" s="107"/>
      <c r="AK4991" s="107"/>
      <c r="AL4991" s="107"/>
      <c r="AM4991" s="107"/>
      <c r="AN4991" s="107"/>
      <c r="AO4991" s="107"/>
      <c r="AP4991" s="107"/>
      <c r="AQ4991" s="107"/>
      <c r="AR4991" s="107"/>
      <c r="AS4991" s="107"/>
      <c r="AT4991" s="39"/>
      <c r="AZ4991" s="117"/>
      <c r="BK4991" s="39"/>
    </row>
    <row r="4992" spans="1:63" x14ac:dyDescent="0.25">
      <c r="A4992" s="92"/>
      <c r="B4992" s="92"/>
      <c r="C4992" s="92"/>
      <c r="D4992" s="92"/>
      <c r="E4992" s="92"/>
      <c r="F4992" s="92"/>
      <c r="G4992" s="92"/>
      <c r="H4992" s="92"/>
      <c r="I4992" s="92"/>
      <c r="J4992" s="92"/>
      <c r="K4992" s="92"/>
      <c r="L4992" s="92"/>
      <c r="M4992" s="92"/>
      <c r="N4992" s="92"/>
      <c r="AG4992" s="107"/>
      <c r="AH4992" s="117"/>
      <c r="AI4992" s="117"/>
      <c r="AJ4992" s="107"/>
      <c r="AK4992" s="107"/>
      <c r="AL4992" s="107"/>
      <c r="AM4992" s="107"/>
      <c r="AN4992" s="107"/>
      <c r="AO4992" s="107"/>
      <c r="AP4992" s="107"/>
      <c r="AQ4992" s="107"/>
      <c r="AR4992" s="107"/>
      <c r="AS4992" s="107"/>
      <c r="AT4992" s="39"/>
      <c r="AZ4992" s="117"/>
      <c r="BA4992" s="117"/>
      <c r="BK4992" s="39"/>
    </row>
    <row r="4993" spans="1:63" x14ac:dyDescent="0.25">
      <c r="A4993" s="92"/>
      <c r="B4993" s="92"/>
      <c r="C4993" s="92"/>
      <c r="D4993" s="92"/>
      <c r="E4993" s="92"/>
      <c r="F4993" s="92"/>
      <c r="G4993" s="92"/>
      <c r="H4993" s="92"/>
      <c r="I4993" s="92"/>
      <c r="J4993" s="92"/>
      <c r="K4993" s="92"/>
      <c r="L4993" s="92"/>
      <c r="M4993" s="92"/>
      <c r="N4993" s="92"/>
      <c r="AG4993" s="107"/>
      <c r="AH4993" s="117"/>
      <c r="AI4993" s="117"/>
      <c r="AJ4993" s="117"/>
      <c r="AK4993" s="107"/>
      <c r="AL4993" s="107"/>
      <c r="AM4993" s="107"/>
      <c r="AN4993" s="107"/>
      <c r="AO4993" s="107"/>
      <c r="AP4993" s="107"/>
      <c r="AQ4993" s="107"/>
      <c r="AR4993" s="107"/>
      <c r="AS4993" s="107"/>
      <c r="AT4993" s="39"/>
      <c r="AZ4993" s="117"/>
      <c r="BK4993" s="39"/>
    </row>
    <row r="4994" spans="1:63" x14ac:dyDescent="0.25">
      <c r="A4994" s="92"/>
      <c r="B4994" s="92"/>
      <c r="C4994" s="92"/>
      <c r="D4994" s="92"/>
      <c r="E4994" s="92"/>
      <c r="F4994" s="92"/>
      <c r="G4994" s="92"/>
      <c r="H4994" s="92"/>
      <c r="I4994" s="92"/>
      <c r="J4994" s="92"/>
      <c r="K4994" s="92"/>
      <c r="L4994" s="92"/>
      <c r="M4994" s="92"/>
      <c r="N4994" s="92"/>
      <c r="AG4994" s="107"/>
      <c r="AH4994" s="117"/>
      <c r="AI4994" s="117"/>
      <c r="AJ4994" s="107"/>
      <c r="AK4994" s="107"/>
      <c r="AL4994" s="107"/>
      <c r="AM4994" s="107"/>
      <c r="AN4994" s="107"/>
      <c r="AO4994" s="107"/>
      <c r="AP4994" s="107"/>
      <c r="AQ4994" s="107"/>
      <c r="AR4994" s="107"/>
      <c r="AS4994" s="107"/>
      <c r="AT4994" s="39"/>
      <c r="AZ4994" s="117"/>
      <c r="BK4994" s="39"/>
    </row>
    <row r="4995" spans="1:63" x14ac:dyDescent="0.25">
      <c r="A4995" s="92"/>
      <c r="B4995" s="92"/>
      <c r="C4995" s="92"/>
      <c r="D4995" s="92"/>
      <c r="E4995" s="92"/>
      <c r="F4995" s="92"/>
      <c r="G4995" s="92"/>
      <c r="H4995" s="92"/>
      <c r="I4995" s="92"/>
      <c r="J4995" s="92"/>
      <c r="K4995" s="92"/>
      <c r="L4995" s="92"/>
      <c r="M4995" s="92"/>
      <c r="N4995" s="92"/>
      <c r="AG4995" s="107"/>
      <c r="AH4995" s="117"/>
      <c r="AI4995" s="117"/>
      <c r="AJ4995" s="107"/>
      <c r="AK4995" s="107"/>
      <c r="AL4995" s="107"/>
      <c r="AM4995" s="107"/>
      <c r="AN4995" s="107"/>
      <c r="AO4995" s="107"/>
      <c r="AP4995" s="107"/>
      <c r="AQ4995" s="107"/>
      <c r="AR4995" s="107"/>
      <c r="AS4995" s="107"/>
      <c r="AT4995" s="39"/>
      <c r="AZ4995" s="117"/>
      <c r="BK4995" s="39"/>
    </row>
    <row r="4996" spans="1:63" x14ac:dyDescent="0.25">
      <c r="A4996" s="92"/>
      <c r="B4996" s="92"/>
      <c r="C4996" s="92"/>
      <c r="D4996" s="92"/>
      <c r="E4996" s="92"/>
      <c r="F4996" s="92"/>
      <c r="G4996" s="92"/>
      <c r="H4996" s="92"/>
      <c r="I4996" s="92"/>
      <c r="J4996" s="92"/>
      <c r="K4996" s="92"/>
      <c r="L4996" s="92"/>
      <c r="M4996" s="92"/>
      <c r="N4996" s="92"/>
      <c r="AG4996" s="107"/>
      <c r="AH4996" s="117"/>
      <c r="AI4996" s="117"/>
      <c r="AJ4996" s="107"/>
      <c r="AK4996" s="107"/>
      <c r="AL4996" s="107"/>
      <c r="AM4996" s="107"/>
      <c r="AN4996" s="107"/>
      <c r="AO4996" s="107"/>
      <c r="AP4996" s="107"/>
      <c r="AQ4996" s="107"/>
      <c r="AR4996" s="107"/>
      <c r="AS4996" s="107"/>
      <c r="AT4996" s="39"/>
      <c r="AZ4996" s="117"/>
      <c r="BK4996" s="39"/>
    </row>
    <row r="4997" spans="1:63" x14ac:dyDescent="0.25">
      <c r="A4997" s="92"/>
      <c r="B4997" s="93"/>
      <c r="C4997" s="93"/>
      <c r="D4997" s="93"/>
      <c r="E4997" s="92"/>
      <c r="F4997" s="92"/>
      <c r="G4997" s="92"/>
      <c r="H4997" s="92"/>
      <c r="I4997" s="92"/>
      <c r="J4997" s="92"/>
      <c r="K4997" s="92"/>
      <c r="L4997" s="92"/>
      <c r="M4997" s="92"/>
      <c r="N4997" s="94"/>
      <c r="AG4997" s="107"/>
      <c r="AH4997" s="117"/>
      <c r="AI4997" s="117"/>
      <c r="AJ4997" s="107"/>
      <c r="AK4997" s="107"/>
      <c r="AL4997" s="107"/>
      <c r="AM4997" s="107"/>
      <c r="AN4997" s="107"/>
      <c r="AO4997" s="107"/>
      <c r="AP4997" s="107"/>
      <c r="AQ4997" s="107"/>
      <c r="AR4997" s="107"/>
      <c r="AS4997" s="107"/>
      <c r="AT4997" s="39"/>
      <c r="AZ4997" s="117"/>
      <c r="BK4997" s="39"/>
    </row>
    <row r="4998" spans="1:63" x14ac:dyDescent="0.25">
      <c r="A4998" s="92"/>
      <c r="B4998" s="93"/>
      <c r="C4998" s="93"/>
      <c r="D4998" s="92"/>
      <c r="E4998" s="92"/>
      <c r="F4998" s="92"/>
      <c r="G4998" s="92"/>
      <c r="H4998" s="92"/>
      <c r="I4998" s="92"/>
      <c r="J4998" s="92"/>
      <c r="K4998" s="92"/>
      <c r="L4998" s="92"/>
      <c r="M4998" s="92"/>
      <c r="N4998" s="94"/>
      <c r="AG4998" s="107"/>
      <c r="AH4998" s="117"/>
      <c r="AI4998" s="117"/>
      <c r="AJ4998" s="107"/>
      <c r="AK4998" s="107"/>
      <c r="AL4998" s="107"/>
      <c r="AM4998" s="107"/>
      <c r="AN4998" s="107"/>
      <c r="AO4998" s="107"/>
      <c r="AP4998" s="107"/>
      <c r="AQ4998" s="107"/>
      <c r="AR4998" s="107"/>
      <c r="AS4998" s="107"/>
      <c r="AT4998" s="39"/>
      <c r="AZ4998" s="117"/>
      <c r="BK4998" s="39"/>
    </row>
    <row r="4999" spans="1:63" x14ac:dyDescent="0.25">
      <c r="A4999" s="92"/>
      <c r="B4999" s="93"/>
      <c r="C4999" s="93"/>
      <c r="D4999" s="92"/>
      <c r="E4999" s="92"/>
      <c r="F4999" s="92"/>
      <c r="G4999" s="92"/>
      <c r="H4999" s="92"/>
      <c r="I4999" s="92"/>
      <c r="J4999" s="92"/>
      <c r="K4999" s="92"/>
      <c r="L4999" s="92"/>
      <c r="M4999" s="92"/>
      <c r="N4999" s="94"/>
      <c r="AG4999" s="107"/>
      <c r="AH4999" s="117"/>
      <c r="AI4999" s="117"/>
      <c r="AJ4999" s="107"/>
      <c r="AK4999" s="107"/>
      <c r="AL4999" s="107"/>
      <c r="AM4999" s="107"/>
      <c r="AN4999" s="107"/>
      <c r="AO4999" s="107"/>
      <c r="AP4999" s="107"/>
      <c r="AQ4999" s="107"/>
      <c r="AR4999" s="107"/>
      <c r="AS4999" s="107"/>
      <c r="AT4999" s="39"/>
      <c r="AZ4999" s="117"/>
      <c r="BK4999" s="39"/>
    </row>
    <row r="5000" spans="1:63" x14ac:dyDescent="0.25">
      <c r="A5000" s="92"/>
      <c r="B5000" s="93"/>
      <c r="C5000" s="93"/>
      <c r="D5000" s="92"/>
      <c r="E5000" s="92"/>
      <c r="F5000" s="92"/>
      <c r="G5000" s="92"/>
      <c r="H5000" s="92"/>
      <c r="I5000" s="92"/>
      <c r="J5000" s="92"/>
      <c r="K5000" s="92"/>
      <c r="L5000" s="92"/>
      <c r="M5000" s="92"/>
      <c r="N5000" s="94"/>
      <c r="AG5000" s="107"/>
      <c r="AH5000" s="117"/>
      <c r="AI5000" s="117"/>
      <c r="AJ5000" s="107"/>
      <c r="AK5000" s="107"/>
      <c r="AL5000" s="107"/>
      <c r="AM5000" s="107"/>
      <c r="AN5000" s="107"/>
      <c r="AO5000" s="107"/>
      <c r="AP5000" s="107"/>
      <c r="AQ5000" s="107"/>
      <c r="AR5000" s="107"/>
      <c r="AS5000" s="107"/>
      <c r="AT5000" s="39"/>
      <c r="AZ5000" s="117"/>
      <c r="BK5000" s="39"/>
    </row>
    <row r="5001" spans="1:63" x14ac:dyDescent="0.25">
      <c r="A5001" s="92"/>
      <c r="B5001" s="93"/>
      <c r="C5001" s="93"/>
      <c r="D5001" s="92"/>
      <c r="E5001" s="92"/>
      <c r="F5001" s="92"/>
      <c r="G5001" s="92"/>
      <c r="H5001" s="92"/>
      <c r="I5001" s="92"/>
      <c r="J5001" s="92"/>
      <c r="K5001" s="92"/>
      <c r="L5001" s="92"/>
      <c r="M5001" s="92"/>
      <c r="N5001" s="94"/>
      <c r="AG5001" s="107"/>
      <c r="AH5001" s="117"/>
      <c r="AI5001" s="117"/>
      <c r="AJ5001" s="117"/>
      <c r="AK5001" s="107"/>
      <c r="AL5001" s="107"/>
      <c r="AM5001" s="107"/>
      <c r="AN5001" s="107"/>
      <c r="AO5001" s="107"/>
      <c r="AP5001" s="107"/>
      <c r="AQ5001" s="107"/>
      <c r="AR5001" s="107"/>
      <c r="AS5001" s="107"/>
      <c r="AT5001" s="39"/>
      <c r="AZ5001" s="117"/>
      <c r="BK5001" s="39"/>
    </row>
    <row r="5002" spans="1:63" x14ac:dyDescent="0.25">
      <c r="A5002" s="92"/>
      <c r="B5002" s="93"/>
      <c r="C5002" s="93"/>
      <c r="D5002" s="93"/>
      <c r="E5002" s="92"/>
      <c r="F5002" s="92"/>
      <c r="G5002" s="92"/>
      <c r="H5002" s="92"/>
      <c r="I5002" s="92"/>
      <c r="J5002" s="92"/>
      <c r="K5002" s="92"/>
      <c r="L5002" s="92"/>
      <c r="M5002" s="92"/>
      <c r="N5002" s="94"/>
      <c r="AG5002" s="107"/>
      <c r="AH5002" s="117"/>
      <c r="AI5002" s="117"/>
      <c r="AJ5002" s="117"/>
      <c r="AK5002" s="107"/>
      <c r="AL5002" s="107"/>
      <c r="AM5002" s="107"/>
      <c r="AN5002" s="107"/>
      <c r="AO5002" s="107"/>
      <c r="AP5002" s="107"/>
      <c r="AQ5002" s="107"/>
      <c r="AR5002" s="107"/>
      <c r="AS5002" s="107"/>
      <c r="AT5002" s="39"/>
    </row>
    <row r="5003" spans="1:63" x14ac:dyDescent="0.25">
      <c r="A5003" s="92"/>
      <c r="B5003" s="93"/>
      <c r="C5003" s="93"/>
      <c r="D5003" s="92"/>
      <c r="E5003" s="92"/>
      <c r="F5003" s="92"/>
      <c r="G5003" s="92"/>
      <c r="H5003" s="92"/>
      <c r="I5003" s="92"/>
      <c r="J5003" s="92"/>
      <c r="K5003" s="92"/>
      <c r="L5003" s="92"/>
      <c r="M5003" s="92"/>
      <c r="N5003" s="94"/>
      <c r="AG5003" s="107"/>
      <c r="AH5003" s="107"/>
      <c r="AI5003" s="107"/>
      <c r="AJ5003" s="117"/>
      <c r="AK5003" s="107"/>
      <c r="AL5003" s="107"/>
      <c r="AM5003" s="107"/>
      <c r="AN5003" s="107"/>
      <c r="AO5003" s="107"/>
      <c r="AP5003" s="107"/>
      <c r="AQ5003" s="107"/>
      <c r="AR5003" s="107"/>
      <c r="AS5003" s="107"/>
      <c r="AT5003" s="107"/>
    </row>
    <row r="5004" spans="1:63" x14ac:dyDescent="0.25">
      <c r="A5004" s="92"/>
      <c r="B5004" s="93"/>
      <c r="C5004" s="93"/>
      <c r="D5004" s="92"/>
      <c r="E5004" s="92"/>
      <c r="F5004" s="92"/>
      <c r="G5004" s="92"/>
      <c r="H5004" s="92"/>
      <c r="I5004" s="92"/>
      <c r="J5004" s="92"/>
      <c r="K5004" s="92"/>
      <c r="L5004" s="92"/>
      <c r="M5004" s="92"/>
      <c r="N5004" s="94"/>
      <c r="AG5004" s="107"/>
      <c r="AH5004" s="107"/>
      <c r="AI5004" s="107"/>
      <c r="AJ5004" s="117"/>
      <c r="AK5004" s="107"/>
      <c r="AL5004" s="107"/>
      <c r="AM5004" s="107"/>
      <c r="AN5004" s="107"/>
      <c r="AO5004" s="107"/>
      <c r="AP5004" s="107"/>
      <c r="AQ5004" s="107"/>
      <c r="AR5004" s="107"/>
      <c r="AS5004" s="107"/>
      <c r="AT5004" s="107"/>
    </row>
    <row r="5005" spans="1:63" x14ac:dyDescent="0.25">
      <c r="A5005" s="92"/>
      <c r="B5005" s="93"/>
      <c r="C5005" s="93"/>
      <c r="D5005" s="92"/>
      <c r="E5005" s="92"/>
      <c r="F5005" s="92"/>
      <c r="G5005" s="92"/>
      <c r="H5005" s="92"/>
      <c r="I5005" s="92"/>
      <c r="J5005" s="92"/>
      <c r="K5005" s="92"/>
      <c r="L5005" s="92"/>
      <c r="M5005" s="92"/>
      <c r="N5005" s="94"/>
      <c r="AG5005" s="107"/>
      <c r="AH5005" s="107"/>
      <c r="AI5005" s="107"/>
      <c r="AJ5005" s="117"/>
      <c r="AK5005" s="107"/>
      <c r="AL5005" s="107"/>
      <c r="AM5005" s="107"/>
      <c r="AN5005" s="107"/>
      <c r="AO5005" s="107"/>
      <c r="AP5005" s="107"/>
      <c r="AQ5005" s="107"/>
      <c r="AR5005" s="107"/>
      <c r="AS5005" s="107"/>
      <c r="AT5005" s="107"/>
    </row>
    <row r="5006" spans="1:63" x14ac:dyDescent="0.25">
      <c r="A5006" s="92"/>
      <c r="B5006" s="92"/>
      <c r="C5006" s="92"/>
      <c r="D5006" s="92"/>
      <c r="E5006" s="92"/>
      <c r="F5006" s="92"/>
      <c r="G5006" s="92"/>
      <c r="H5006" s="92"/>
      <c r="I5006" s="92"/>
      <c r="J5006" s="92"/>
      <c r="K5006" s="92"/>
      <c r="L5006" s="92"/>
      <c r="M5006" s="92"/>
      <c r="N5006" s="92"/>
      <c r="AG5006" s="107"/>
      <c r="AH5006" s="107"/>
      <c r="AI5006" s="107"/>
      <c r="AJ5006" s="107"/>
      <c r="AK5006" s="107"/>
      <c r="AL5006" s="107"/>
      <c r="AM5006" s="107"/>
      <c r="AN5006" s="107"/>
      <c r="AO5006" s="107"/>
      <c r="AP5006" s="107"/>
      <c r="AQ5006" s="107"/>
      <c r="AR5006" s="107"/>
      <c r="AS5006" s="107"/>
      <c r="AT5006" s="107"/>
    </row>
    <row r="5007" spans="1:63" x14ac:dyDescent="0.25">
      <c r="A5007" s="92"/>
      <c r="B5007" s="92"/>
      <c r="C5007" s="92"/>
      <c r="D5007" s="92"/>
      <c r="E5007" s="92"/>
      <c r="F5007" s="92"/>
      <c r="G5007" s="92"/>
      <c r="H5007" s="92"/>
      <c r="I5007" s="92"/>
      <c r="J5007" s="92"/>
      <c r="K5007" s="92"/>
      <c r="L5007" s="92"/>
      <c r="M5007" s="92"/>
      <c r="N5007" s="92"/>
      <c r="AG5007" s="107"/>
      <c r="AH5007" s="107"/>
      <c r="AI5007" s="107"/>
      <c r="AJ5007" s="107"/>
      <c r="AK5007" s="107"/>
      <c r="AL5007" s="107"/>
      <c r="AM5007" s="107"/>
      <c r="AN5007" s="107"/>
      <c r="AO5007" s="107"/>
      <c r="AP5007" s="107"/>
      <c r="AQ5007" s="107"/>
      <c r="AR5007" s="107"/>
      <c r="AS5007" s="107"/>
      <c r="AT5007" s="107"/>
      <c r="AZ5007" s="117"/>
      <c r="BK5007" s="39"/>
    </row>
    <row r="5008" spans="1:63" x14ac:dyDescent="0.25">
      <c r="A5008" s="92"/>
      <c r="B5008" s="92"/>
      <c r="C5008" s="92"/>
      <c r="D5008" s="92"/>
      <c r="E5008" s="92"/>
      <c r="F5008" s="92"/>
      <c r="G5008" s="92"/>
      <c r="H5008" s="92"/>
      <c r="I5008" s="92"/>
      <c r="J5008" s="92"/>
      <c r="K5008" s="92"/>
      <c r="L5008" s="92"/>
      <c r="M5008" s="92"/>
      <c r="N5008" s="92"/>
      <c r="AG5008" s="107"/>
      <c r="AH5008" s="107"/>
      <c r="AI5008" s="107"/>
      <c r="AJ5008" s="107"/>
      <c r="AK5008" s="107"/>
      <c r="AL5008" s="107"/>
      <c r="AM5008" s="107"/>
      <c r="AN5008" s="107"/>
      <c r="AO5008" s="107"/>
      <c r="AP5008" s="107"/>
      <c r="AQ5008" s="107"/>
      <c r="AR5008" s="107"/>
      <c r="AS5008" s="107"/>
      <c r="AT5008" s="107"/>
      <c r="AZ5008" s="117"/>
      <c r="BK5008" s="39"/>
    </row>
    <row r="5009" spans="1:63" x14ac:dyDescent="0.25">
      <c r="A5009" s="92"/>
      <c r="B5009" s="92"/>
      <c r="C5009" s="92"/>
      <c r="D5009" s="92"/>
      <c r="E5009" s="92"/>
      <c r="F5009" s="92"/>
      <c r="G5009" s="92"/>
      <c r="H5009" s="92"/>
      <c r="I5009" s="92"/>
      <c r="J5009" s="92"/>
      <c r="K5009" s="92"/>
      <c r="L5009" s="92"/>
      <c r="M5009" s="92"/>
      <c r="N5009" s="92"/>
      <c r="AG5009" s="107"/>
      <c r="AH5009" s="107"/>
      <c r="AI5009" s="107"/>
      <c r="AJ5009" s="107"/>
      <c r="AK5009" s="107"/>
      <c r="AL5009" s="107"/>
      <c r="AM5009" s="107"/>
      <c r="AN5009" s="107"/>
      <c r="AO5009" s="107"/>
      <c r="AP5009" s="107"/>
      <c r="AQ5009" s="107"/>
      <c r="AR5009" s="107"/>
      <c r="AS5009" s="107"/>
      <c r="AT5009" s="107"/>
      <c r="AZ5009" s="117"/>
      <c r="BK5009" s="39"/>
    </row>
    <row r="5010" spans="1:63" x14ac:dyDescent="0.25">
      <c r="A5010" s="92"/>
      <c r="B5010" s="92"/>
      <c r="C5010" s="92"/>
      <c r="D5010" s="92"/>
      <c r="E5010" s="92"/>
      <c r="F5010" s="92"/>
      <c r="G5010" s="92"/>
      <c r="H5010" s="92"/>
      <c r="I5010" s="92"/>
      <c r="J5010" s="92"/>
      <c r="K5010" s="92"/>
      <c r="L5010" s="92"/>
      <c r="M5010" s="92"/>
      <c r="N5010" s="92"/>
      <c r="AG5010" s="107"/>
      <c r="AH5010" s="107"/>
      <c r="AI5010" s="107"/>
      <c r="AJ5010" s="107"/>
      <c r="AK5010" s="107"/>
      <c r="AL5010" s="107"/>
      <c r="AM5010" s="107"/>
      <c r="AN5010" s="107"/>
      <c r="AO5010" s="107"/>
      <c r="AP5010" s="107"/>
      <c r="AQ5010" s="107"/>
      <c r="AR5010" s="107"/>
      <c r="AS5010" s="107"/>
      <c r="AT5010" s="107"/>
      <c r="AZ5010" s="117"/>
      <c r="BK5010" s="39"/>
    </row>
    <row r="5011" spans="1:63" x14ac:dyDescent="0.25">
      <c r="A5011" s="92"/>
      <c r="B5011" s="93"/>
      <c r="C5011" s="93"/>
      <c r="D5011" s="92"/>
      <c r="E5011" s="92"/>
      <c r="F5011" s="92"/>
      <c r="G5011" s="92"/>
      <c r="H5011" s="92"/>
      <c r="I5011" s="92"/>
      <c r="J5011" s="92"/>
      <c r="K5011" s="92"/>
      <c r="L5011" s="92"/>
      <c r="M5011" s="92"/>
      <c r="N5011" s="94"/>
      <c r="AG5011" s="107"/>
      <c r="AH5011" s="107"/>
      <c r="AI5011" s="107"/>
      <c r="AJ5011" s="107"/>
      <c r="AK5011" s="107"/>
      <c r="AL5011" s="107"/>
      <c r="AM5011" s="107"/>
      <c r="AN5011" s="107"/>
      <c r="AO5011" s="107"/>
      <c r="AP5011" s="107"/>
      <c r="AQ5011" s="107"/>
      <c r="AR5011" s="107"/>
      <c r="AS5011" s="107"/>
      <c r="AT5011" s="107"/>
      <c r="AZ5011" s="117"/>
      <c r="BA5011" s="117"/>
      <c r="BK5011" s="39"/>
    </row>
    <row r="5012" spans="1:63" x14ac:dyDescent="0.25">
      <c r="A5012" s="92"/>
      <c r="B5012" s="93"/>
      <c r="C5012" s="93"/>
      <c r="D5012" s="92"/>
      <c r="E5012" s="92"/>
      <c r="F5012" s="92"/>
      <c r="G5012" s="92"/>
      <c r="H5012" s="92"/>
      <c r="I5012" s="92"/>
      <c r="J5012" s="92"/>
      <c r="K5012" s="92"/>
      <c r="L5012" s="92"/>
      <c r="M5012" s="92"/>
      <c r="N5012" s="94"/>
      <c r="AG5012" s="107"/>
      <c r="AH5012" s="107"/>
      <c r="AI5012" s="107"/>
      <c r="AJ5012" s="107"/>
      <c r="AK5012" s="107"/>
      <c r="AL5012" s="107"/>
      <c r="AM5012" s="107"/>
      <c r="AN5012" s="107"/>
      <c r="AO5012" s="107"/>
      <c r="AP5012" s="107"/>
      <c r="AQ5012" s="107"/>
      <c r="AR5012" s="107"/>
      <c r="AS5012" s="107"/>
      <c r="AT5012" s="107"/>
      <c r="BA5012" s="117"/>
    </row>
    <row r="5013" spans="1:63" x14ac:dyDescent="0.25">
      <c r="A5013" s="92"/>
      <c r="B5013" s="93"/>
      <c r="C5013" s="93"/>
      <c r="D5013" s="92"/>
      <c r="E5013" s="92"/>
      <c r="F5013" s="92"/>
      <c r="G5013" s="92"/>
      <c r="H5013" s="92"/>
      <c r="I5013" s="92"/>
      <c r="J5013" s="92"/>
      <c r="K5013" s="92"/>
      <c r="L5013" s="92"/>
      <c r="M5013" s="92"/>
      <c r="N5013" s="94"/>
      <c r="AG5013" s="107"/>
      <c r="AH5013" s="117"/>
      <c r="AI5013" s="117"/>
      <c r="AJ5013" s="117"/>
      <c r="AK5013" s="107"/>
      <c r="AL5013" s="107"/>
      <c r="AM5013" s="107"/>
      <c r="AN5013" s="107"/>
      <c r="AO5013" s="107"/>
      <c r="AP5013" s="107"/>
      <c r="AQ5013" s="107"/>
      <c r="AR5013" s="107"/>
      <c r="AS5013" s="107"/>
      <c r="AT5013" s="39"/>
      <c r="BA5013" s="117"/>
    </row>
    <row r="5014" spans="1:63" x14ac:dyDescent="0.25">
      <c r="A5014" s="92"/>
      <c r="B5014" s="93"/>
      <c r="C5014" s="93"/>
      <c r="D5014" s="92"/>
      <c r="E5014" s="92"/>
      <c r="F5014" s="92"/>
      <c r="G5014" s="92"/>
      <c r="H5014" s="92"/>
      <c r="I5014" s="92"/>
      <c r="J5014" s="92"/>
      <c r="K5014" s="92"/>
      <c r="L5014" s="92"/>
      <c r="M5014" s="92"/>
      <c r="N5014" s="94"/>
      <c r="AG5014" s="107"/>
      <c r="AH5014" s="117"/>
      <c r="AI5014" s="117"/>
      <c r="AJ5014" s="107"/>
      <c r="AK5014" s="107"/>
      <c r="AL5014" s="107"/>
      <c r="AM5014" s="107"/>
      <c r="AN5014" s="107"/>
      <c r="AO5014" s="107"/>
      <c r="AP5014" s="107"/>
      <c r="AQ5014" s="107"/>
      <c r="AR5014" s="107"/>
      <c r="AS5014" s="107"/>
      <c r="AT5014" s="39"/>
      <c r="BA5014" s="117"/>
    </row>
    <row r="5015" spans="1:63" x14ac:dyDescent="0.25">
      <c r="A5015" s="92"/>
      <c r="B5015" s="93"/>
      <c r="C5015" s="93"/>
      <c r="D5015" s="92"/>
      <c r="E5015" s="92"/>
      <c r="F5015" s="92"/>
      <c r="G5015" s="92"/>
      <c r="H5015" s="92"/>
      <c r="I5015" s="92"/>
      <c r="J5015" s="92"/>
      <c r="K5015" s="92"/>
      <c r="L5015" s="92"/>
      <c r="M5015" s="92"/>
      <c r="N5015" s="94"/>
      <c r="AG5015" s="107"/>
      <c r="AH5015" s="107"/>
      <c r="AI5015" s="107"/>
      <c r="AJ5015" s="107"/>
      <c r="AK5015" s="107"/>
      <c r="AL5015" s="107"/>
      <c r="AM5015" s="107"/>
      <c r="AN5015" s="107"/>
      <c r="AO5015" s="107"/>
      <c r="AP5015" s="107"/>
      <c r="AQ5015" s="107"/>
      <c r="AR5015" s="107"/>
      <c r="AS5015" s="107"/>
      <c r="AT5015" s="107"/>
      <c r="BA5015" s="117"/>
    </row>
    <row r="5016" spans="1:63" x14ac:dyDescent="0.25">
      <c r="A5016" s="92"/>
      <c r="B5016" s="93"/>
      <c r="C5016" s="93"/>
      <c r="D5016" s="92"/>
      <c r="E5016" s="92"/>
      <c r="F5016" s="92"/>
      <c r="G5016" s="92"/>
      <c r="H5016" s="92"/>
      <c r="I5016" s="92"/>
      <c r="J5016" s="92"/>
      <c r="K5016" s="92"/>
      <c r="L5016" s="92"/>
      <c r="M5016" s="92"/>
      <c r="N5016" s="94"/>
      <c r="AG5016" s="107"/>
      <c r="AH5016" s="117"/>
      <c r="AI5016" s="117"/>
      <c r="AJ5016" s="107"/>
      <c r="AK5016" s="107"/>
      <c r="AL5016" s="107"/>
      <c r="AM5016" s="107"/>
      <c r="AN5016" s="107"/>
      <c r="AO5016" s="107"/>
      <c r="AP5016" s="107"/>
      <c r="AQ5016" s="107"/>
      <c r="AR5016" s="107"/>
      <c r="AS5016" s="107"/>
      <c r="AT5016" s="39"/>
      <c r="BA5016" s="117"/>
    </row>
    <row r="5017" spans="1:63" x14ac:dyDescent="0.25">
      <c r="A5017" s="92"/>
      <c r="B5017" s="92"/>
      <c r="C5017" s="92"/>
      <c r="D5017" s="92"/>
      <c r="E5017" s="92"/>
      <c r="F5017" s="92"/>
      <c r="G5017" s="92"/>
      <c r="H5017" s="92"/>
      <c r="I5017" s="92"/>
      <c r="J5017" s="92"/>
      <c r="K5017" s="92"/>
      <c r="L5017" s="92"/>
      <c r="M5017" s="92"/>
      <c r="N5017" s="92"/>
      <c r="AG5017" s="107"/>
      <c r="AH5017" s="117"/>
      <c r="AI5017" s="117"/>
      <c r="AJ5017" s="117"/>
      <c r="AK5017" s="107"/>
      <c r="AL5017" s="107"/>
      <c r="AM5017" s="107"/>
      <c r="AN5017" s="107"/>
      <c r="AO5017" s="107"/>
      <c r="AP5017" s="107"/>
      <c r="AQ5017" s="107"/>
      <c r="AR5017" s="107"/>
      <c r="AS5017" s="107"/>
      <c r="AT5017" s="39"/>
      <c r="BA5017" s="117"/>
    </row>
    <row r="5018" spans="1:63" x14ac:dyDescent="0.25">
      <c r="A5018" s="92"/>
      <c r="B5018" s="92"/>
      <c r="C5018" s="92"/>
      <c r="D5018" s="92"/>
      <c r="E5018" s="92"/>
      <c r="F5018" s="92"/>
      <c r="G5018" s="92"/>
      <c r="H5018" s="92"/>
      <c r="I5018" s="92"/>
      <c r="J5018" s="92"/>
      <c r="K5018" s="92"/>
      <c r="L5018" s="92"/>
      <c r="M5018" s="92"/>
      <c r="N5018" s="92"/>
      <c r="AG5018" s="107"/>
      <c r="AH5018" s="117"/>
      <c r="AI5018" s="117"/>
      <c r="AJ5018" s="107"/>
      <c r="AK5018" s="107"/>
      <c r="AL5018" s="107"/>
      <c r="AM5018" s="107"/>
      <c r="AN5018" s="107"/>
      <c r="AO5018" s="107"/>
      <c r="AP5018" s="107"/>
      <c r="AQ5018" s="107"/>
      <c r="AR5018" s="107"/>
      <c r="AS5018" s="107"/>
      <c r="AT5018" s="39"/>
      <c r="BA5018" s="117"/>
    </row>
    <row r="5019" spans="1:63" x14ac:dyDescent="0.25">
      <c r="A5019" s="92"/>
      <c r="B5019" s="92"/>
      <c r="C5019" s="92"/>
      <c r="D5019" s="92"/>
      <c r="E5019" s="92"/>
      <c r="F5019" s="92"/>
      <c r="G5019" s="92"/>
      <c r="H5019" s="92"/>
      <c r="I5019" s="92"/>
      <c r="J5019" s="92"/>
      <c r="K5019" s="92"/>
      <c r="L5019" s="92"/>
      <c r="M5019" s="92"/>
      <c r="N5019" s="92"/>
      <c r="AG5019" s="107"/>
      <c r="AH5019" s="117"/>
      <c r="AI5019" s="117"/>
      <c r="AJ5019" s="107"/>
      <c r="AK5019" s="107"/>
      <c r="AL5019" s="107"/>
      <c r="AM5019" s="107"/>
      <c r="AN5019" s="107"/>
      <c r="AO5019" s="107"/>
      <c r="AP5019" s="107"/>
      <c r="AQ5019" s="107"/>
      <c r="AR5019" s="107"/>
      <c r="AS5019" s="107"/>
      <c r="AT5019" s="39"/>
      <c r="BA5019" s="117"/>
    </row>
    <row r="5020" spans="1:63" x14ac:dyDescent="0.25">
      <c r="A5020" s="92"/>
      <c r="B5020" s="92"/>
      <c r="C5020" s="92"/>
      <c r="D5020" s="92"/>
      <c r="E5020" s="92"/>
      <c r="F5020" s="92"/>
      <c r="G5020" s="92"/>
      <c r="H5020" s="92"/>
      <c r="I5020" s="92"/>
      <c r="J5020" s="92"/>
      <c r="K5020" s="92"/>
      <c r="L5020" s="92"/>
      <c r="M5020" s="92"/>
      <c r="N5020" s="92"/>
      <c r="AG5020" s="107"/>
      <c r="AH5020" s="117"/>
      <c r="AI5020" s="117"/>
      <c r="AJ5020" s="107"/>
      <c r="AK5020" s="107"/>
      <c r="AL5020" s="107"/>
      <c r="AM5020" s="107"/>
      <c r="AN5020" s="107"/>
      <c r="AO5020" s="107"/>
      <c r="AP5020" s="107"/>
      <c r="AQ5020" s="107"/>
      <c r="AR5020" s="107"/>
      <c r="AS5020" s="107"/>
      <c r="AT5020" s="39"/>
      <c r="BA5020" s="117"/>
    </row>
    <row r="5021" spans="1:63" x14ac:dyDescent="0.25">
      <c r="A5021" s="92"/>
      <c r="B5021" s="92"/>
      <c r="C5021" s="92"/>
      <c r="D5021" s="92"/>
      <c r="E5021" s="92"/>
      <c r="F5021" s="92"/>
      <c r="G5021" s="92"/>
      <c r="H5021" s="92"/>
      <c r="I5021" s="92"/>
      <c r="J5021" s="92"/>
      <c r="K5021" s="92"/>
      <c r="L5021" s="92"/>
      <c r="M5021" s="92"/>
      <c r="N5021" s="92"/>
      <c r="AG5021" s="107"/>
      <c r="AH5021" s="117"/>
      <c r="AI5021" s="117"/>
      <c r="AJ5021" s="107"/>
      <c r="AK5021" s="107"/>
      <c r="AL5021" s="107"/>
      <c r="AM5021" s="107"/>
      <c r="AN5021" s="107"/>
      <c r="AO5021" s="107"/>
      <c r="AP5021" s="107"/>
      <c r="AQ5021" s="107"/>
      <c r="AR5021" s="107"/>
      <c r="AS5021" s="107"/>
      <c r="AT5021" s="39"/>
      <c r="AZ5021" s="117"/>
      <c r="BK5021" s="39"/>
    </row>
    <row r="5022" spans="1:63" x14ac:dyDescent="0.25">
      <c r="A5022" s="92"/>
      <c r="B5022" s="93"/>
      <c r="C5022" s="93"/>
      <c r="D5022" s="92"/>
      <c r="E5022" s="92"/>
      <c r="F5022" s="92"/>
      <c r="G5022" s="92"/>
      <c r="H5022" s="92"/>
      <c r="I5022" s="92"/>
      <c r="J5022" s="92"/>
      <c r="K5022" s="92"/>
      <c r="L5022" s="92"/>
      <c r="M5022" s="92"/>
      <c r="N5022" s="94"/>
      <c r="AG5022" s="107"/>
      <c r="AH5022" s="107"/>
      <c r="AI5022" s="107"/>
      <c r="AJ5022" s="107"/>
      <c r="AK5022" s="107"/>
      <c r="AL5022" s="107"/>
      <c r="AM5022" s="107"/>
      <c r="AN5022" s="107"/>
      <c r="AO5022" s="107"/>
      <c r="AP5022" s="107"/>
      <c r="AQ5022" s="107"/>
      <c r="AR5022" s="107"/>
      <c r="AS5022" s="107"/>
      <c r="AT5022" s="107"/>
      <c r="AZ5022" s="117"/>
      <c r="BK5022" s="39"/>
    </row>
    <row r="5023" spans="1:63" x14ac:dyDescent="0.25">
      <c r="A5023" s="92"/>
      <c r="B5023" s="93"/>
      <c r="C5023" s="93"/>
      <c r="D5023" s="92"/>
      <c r="E5023" s="92"/>
      <c r="F5023" s="92"/>
      <c r="G5023" s="92"/>
      <c r="H5023" s="92"/>
      <c r="I5023" s="92"/>
      <c r="J5023" s="92"/>
      <c r="K5023" s="92"/>
      <c r="L5023" s="92"/>
      <c r="M5023" s="92"/>
      <c r="N5023" s="94"/>
      <c r="AG5023" s="107"/>
      <c r="AH5023" s="107"/>
      <c r="AI5023" s="107"/>
      <c r="AJ5023" s="107"/>
      <c r="AK5023" s="107"/>
      <c r="AL5023" s="107"/>
      <c r="AM5023" s="107"/>
      <c r="AN5023" s="107"/>
      <c r="AO5023" s="107"/>
      <c r="AP5023" s="107"/>
      <c r="AQ5023" s="107"/>
      <c r="AR5023" s="107"/>
      <c r="AS5023" s="107"/>
      <c r="AT5023" s="107"/>
      <c r="AZ5023" s="117"/>
      <c r="BK5023" s="39"/>
    </row>
    <row r="5024" spans="1:63" x14ac:dyDescent="0.25">
      <c r="A5024" s="92"/>
      <c r="B5024" s="93"/>
      <c r="C5024" s="93"/>
      <c r="D5024" s="92"/>
      <c r="E5024" s="92"/>
      <c r="F5024" s="92"/>
      <c r="G5024" s="92"/>
      <c r="H5024" s="92"/>
      <c r="I5024" s="92"/>
      <c r="J5024" s="92"/>
      <c r="K5024" s="92"/>
      <c r="L5024" s="92"/>
      <c r="M5024" s="92"/>
      <c r="N5024" s="94"/>
      <c r="AG5024" s="107"/>
      <c r="AH5024" s="107"/>
      <c r="AI5024" s="107"/>
      <c r="AJ5024" s="107"/>
      <c r="AK5024" s="107"/>
      <c r="AL5024" s="107"/>
      <c r="AM5024" s="107"/>
      <c r="AN5024" s="107"/>
      <c r="AO5024" s="107"/>
      <c r="AP5024" s="107"/>
      <c r="AQ5024" s="107"/>
      <c r="AR5024" s="107"/>
      <c r="AS5024" s="107"/>
      <c r="AT5024" s="107"/>
    </row>
    <row r="5025" spans="1:63" x14ac:dyDescent="0.25">
      <c r="A5025" s="92"/>
      <c r="B5025" s="93"/>
      <c r="C5025" s="93"/>
      <c r="D5025" s="92"/>
      <c r="E5025" s="92"/>
      <c r="F5025" s="92"/>
      <c r="G5025" s="92"/>
      <c r="H5025" s="92"/>
      <c r="I5025" s="92"/>
      <c r="J5025" s="92"/>
      <c r="K5025" s="92"/>
      <c r="L5025" s="92"/>
      <c r="M5025" s="92"/>
      <c r="N5025" s="94"/>
      <c r="AG5025" s="107"/>
      <c r="AH5025" s="107"/>
      <c r="AI5025" s="107"/>
      <c r="AJ5025" s="107"/>
      <c r="AK5025" s="107"/>
      <c r="AL5025" s="107"/>
      <c r="AM5025" s="107"/>
      <c r="AN5025" s="107"/>
      <c r="AO5025" s="107"/>
      <c r="AP5025" s="107"/>
      <c r="AQ5025" s="107"/>
      <c r="AR5025" s="107"/>
      <c r="AS5025" s="107"/>
      <c r="AT5025" s="107"/>
    </row>
    <row r="5026" spans="1:63" x14ac:dyDescent="0.25">
      <c r="A5026" s="92"/>
      <c r="B5026" s="93"/>
      <c r="C5026" s="93"/>
      <c r="D5026" s="93"/>
      <c r="E5026" s="92"/>
      <c r="F5026" s="92"/>
      <c r="G5026" s="92"/>
      <c r="H5026" s="92"/>
      <c r="I5026" s="92"/>
      <c r="J5026" s="92"/>
      <c r="K5026" s="92"/>
      <c r="L5026" s="92"/>
      <c r="M5026" s="92"/>
      <c r="N5026" s="94"/>
      <c r="AG5026" s="107"/>
      <c r="AH5026" s="107"/>
      <c r="AI5026" s="107"/>
      <c r="AJ5026" s="107"/>
      <c r="AK5026" s="107"/>
      <c r="AL5026" s="107"/>
      <c r="AM5026" s="107"/>
      <c r="AN5026" s="107"/>
      <c r="AO5026" s="107"/>
      <c r="AP5026" s="107"/>
      <c r="AQ5026" s="107"/>
      <c r="AR5026" s="107"/>
      <c r="AS5026" s="107"/>
      <c r="AT5026" s="107"/>
    </row>
    <row r="5027" spans="1:63" x14ac:dyDescent="0.25">
      <c r="A5027" s="92"/>
      <c r="B5027" s="92"/>
      <c r="C5027" s="92"/>
      <c r="D5027" s="93"/>
      <c r="E5027" s="92"/>
      <c r="F5027" s="92"/>
      <c r="G5027" s="92"/>
      <c r="H5027" s="92"/>
      <c r="I5027" s="92"/>
      <c r="J5027" s="92"/>
      <c r="K5027" s="92"/>
      <c r="L5027" s="92"/>
      <c r="M5027" s="92"/>
      <c r="N5027" s="92"/>
      <c r="AG5027" s="107"/>
      <c r="AH5027" s="107"/>
      <c r="AI5027" s="107"/>
      <c r="AJ5027" s="107"/>
      <c r="AK5027" s="107"/>
      <c r="AL5027" s="107"/>
      <c r="AM5027" s="107"/>
      <c r="AN5027" s="107"/>
      <c r="AO5027" s="107"/>
      <c r="AP5027" s="107"/>
      <c r="AQ5027" s="107"/>
      <c r="AR5027" s="107"/>
      <c r="AS5027" s="107"/>
      <c r="AT5027" s="107"/>
    </row>
    <row r="5028" spans="1:63" x14ac:dyDescent="0.25">
      <c r="A5028" s="92"/>
      <c r="B5028" s="92"/>
      <c r="C5028" s="92"/>
      <c r="D5028" s="93"/>
      <c r="E5028" s="92"/>
      <c r="F5028" s="92"/>
      <c r="G5028" s="92"/>
      <c r="H5028" s="92"/>
      <c r="I5028" s="92"/>
      <c r="J5028" s="92"/>
      <c r="K5028" s="92"/>
      <c r="L5028" s="92"/>
      <c r="M5028" s="92"/>
      <c r="N5028" s="92"/>
      <c r="AG5028" s="107"/>
      <c r="AH5028" s="107"/>
      <c r="AI5028" s="107"/>
      <c r="AJ5028" s="107"/>
      <c r="AK5028" s="107"/>
      <c r="AL5028" s="107"/>
      <c r="AM5028" s="107"/>
      <c r="AN5028" s="107"/>
      <c r="AO5028" s="107"/>
      <c r="AP5028" s="107"/>
      <c r="AQ5028" s="107"/>
      <c r="AR5028" s="107"/>
      <c r="AS5028" s="107"/>
      <c r="AT5028" s="107"/>
    </row>
    <row r="5029" spans="1:63" x14ac:dyDescent="0.25">
      <c r="A5029" s="92"/>
      <c r="B5029" s="92"/>
      <c r="C5029" s="92"/>
      <c r="D5029" s="93"/>
      <c r="E5029" s="92"/>
      <c r="F5029" s="92"/>
      <c r="G5029" s="92"/>
      <c r="H5029" s="92"/>
      <c r="I5029" s="92"/>
      <c r="J5029" s="92"/>
      <c r="K5029" s="92"/>
      <c r="L5029" s="92"/>
      <c r="M5029" s="92"/>
      <c r="N5029" s="92"/>
      <c r="AG5029" s="107"/>
      <c r="AH5029" s="117"/>
      <c r="AI5029" s="117"/>
      <c r="AJ5029" s="117"/>
      <c r="AK5029" s="107"/>
      <c r="AL5029" s="107"/>
      <c r="AM5029" s="107"/>
      <c r="AN5029" s="107"/>
      <c r="AO5029" s="107"/>
      <c r="AP5029" s="107"/>
      <c r="AQ5029" s="107"/>
      <c r="AR5029" s="107"/>
      <c r="AS5029" s="107"/>
      <c r="AT5029" s="39"/>
    </row>
    <row r="5030" spans="1:63" x14ac:dyDescent="0.25">
      <c r="A5030" s="92"/>
      <c r="B5030" s="92"/>
      <c r="C5030" s="92"/>
      <c r="D5030" s="93"/>
      <c r="E5030" s="92"/>
      <c r="F5030" s="92"/>
      <c r="G5030" s="92"/>
      <c r="H5030" s="92"/>
      <c r="I5030" s="92"/>
      <c r="J5030" s="92"/>
      <c r="K5030" s="92"/>
      <c r="L5030" s="92"/>
      <c r="M5030" s="92"/>
      <c r="N5030" s="92"/>
      <c r="AG5030" s="107"/>
      <c r="AH5030" s="117"/>
      <c r="AI5030" s="117"/>
      <c r="AJ5030" s="107"/>
      <c r="AK5030" s="107"/>
      <c r="AL5030" s="107"/>
      <c r="AM5030" s="107"/>
      <c r="AN5030" s="107"/>
      <c r="AO5030" s="107"/>
      <c r="AP5030" s="107"/>
      <c r="AQ5030" s="107"/>
      <c r="AR5030" s="107"/>
      <c r="AS5030" s="107"/>
      <c r="AT5030" s="39"/>
    </row>
    <row r="5031" spans="1:63" x14ac:dyDescent="0.25">
      <c r="A5031" s="92"/>
      <c r="B5031" s="92"/>
      <c r="C5031" s="92"/>
      <c r="D5031" s="93"/>
      <c r="E5031" s="92"/>
      <c r="F5031" s="92"/>
      <c r="G5031" s="92"/>
      <c r="H5031" s="92"/>
      <c r="I5031" s="92"/>
      <c r="J5031" s="92"/>
      <c r="K5031" s="92"/>
      <c r="L5031" s="92"/>
      <c r="M5031" s="92"/>
      <c r="N5031" s="92"/>
      <c r="AG5031" s="107"/>
      <c r="AH5031" s="117"/>
      <c r="AI5031" s="11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39"/>
      <c r="AZ5031" s="117"/>
      <c r="BA5031" s="117"/>
      <c r="BK5031" s="39"/>
    </row>
    <row r="5032" spans="1:63" x14ac:dyDescent="0.25">
      <c r="A5032" s="92"/>
      <c r="B5032" s="92"/>
      <c r="C5032" s="92"/>
      <c r="D5032" s="93"/>
      <c r="E5032" s="92"/>
      <c r="F5032" s="92"/>
      <c r="G5032" s="92"/>
      <c r="H5032" s="92"/>
      <c r="I5032" s="92"/>
      <c r="J5032" s="92"/>
      <c r="K5032" s="92"/>
      <c r="L5032" s="92"/>
      <c r="M5032" s="92"/>
      <c r="N5032" s="92"/>
      <c r="AG5032" s="107"/>
      <c r="AH5032" s="117"/>
      <c r="AI5032" s="117"/>
      <c r="AJ5032" s="107"/>
      <c r="AK5032" s="107"/>
      <c r="AL5032" s="107"/>
      <c r="AM5032" s="107"/>
      <c r="AN5032" s="107"/>
      <c r="AO5032" s="107"/>
      <c r="AP5032" s="107"/>
      <c r="AQ5032" s="107"/>
      <c r="AR5032" s="107"/>
      <c r="AS5032" s="107"/>
      <c r="AT5032" s="39"/>
      <c r="AZ5032" s="117"/>
      <c r="BA5032" s="117"/>
      <c r="BK5032" s="39"/>
    </row>
    <row r="5033" spans="1:63" x14ac:dyDescent="0.25">
      <c r="A5033" s="92"/>
      <c r="B5033" s="92"/>
      <c r="C5033" s="92"/>
      <c r="D5033" s="93"/>
      <c r="E5033" s="92"/>
      <c r="F5033" s="92"/>
      <c r="G5033" s="92"/>
      <c r="H5033" s="92"/>
      <c r="I5033" s="92"/>
      <c r="J5033" s="92"/>
      <c r="K5033" s="92"/>
      <c r="L5033" s="92"/>
      <c r="M5033" s="92"/>
      <c r="N5033" s="92"/>
      <c r="AG5033" s="107"/>
      <c r="AH5033" s="117"/>
      <c r="AI5033" s="117"/>
      <c r="AJ5033" s="107"/>
      <c r="AK5033" s="107"/>
      <c r="AL5033" s="107"/>
      <c r="AM5033" s="107"/>
      <c r="AN5033" s="107"/>
      <c r="AO5033" s="107"/>
      <c r="AP5033" s="107"/>
      <c r="AQ5033" s="107"/>
      <c r="AR5033" s="107"/>
      <c r="AS5033" s="107"/>
      <c r="AT5033" s="39"/>
      <c r="AZ5033" s="117"/>
      <c r="BK5033" s="39"/>
    </row>
    <row r="5034" spans="1:63" x14ac:dyDescent="0.25">
      <c r="A5034" s="92"/>
      <c r="B5034" s="92"/>
      <c r="C5034" s="92"/>
      <c r="D5034" s="93"/>
      <c r="E5034" s="92"/>
      <c r="F5034" s="92"/>
      <c r="G5034" s="92"/>
      <c r="H5034" s="92"/>
      <c r="I5034" s="92"/>
      <c r="J5034" s="92"/>
      <c r="K5034" s="92"/>
      <c r="L5034" s="92"/>
      <c r="M5034" s="92"/>
      <c r="N5034" s="92"/>
      <c r="AG5034" s="107"/>
      <c r="AH5034" s="117"/>
      <c r="AI5034" s="117"/>
      <c r="AJ5034" s="107"/>
      <c r="AK5034" s="107"/>
      <c r="AL5034" s="107"/>
      <c r="AM5034" s="107"/>
      <c r="AN5034" s="107"/>
      <c r="AO5034" s="107"/>
      <c r="AP5034" s="107"/>
      <c r="AQ5034" s="107"/>
      <c r="AR5034" s="107"/>
      <c r="AS5034" s="107"/>
      <c r="AT5034" s="39"/>
      <c r="AZ5034" s="117"/>
      <c r="BA5034" s="117"/>
      <c r="BK5034" s="39"/>
    </row>
    <row r="5035" spans="1:63" x14ac:dyDescent="0.25">
      <c r="A5035" s="92"/>
      <c r="B5035" s="92"/>
      <c r="C5035" s="92"/>
      <c r="D5035" s="93"/>
      <c r="E5035" s="92"/>
      <c r="F5035" s="92"/>
      <c r="G5035" s="92"/>
      <c r="H5035" s="92"/>
      <c r="I5035" s="92"/>
      <c r="J5035" s="92"/>
      <c r="K5035" s="92"/>
      <c r="L5035" s="92"/>
      <c r="M5035" s="92"/>
      <c r="N5035" s="92"/>
      <c r="AG5035" s="107"/>
      <c r="AH5035" s="107"/>
      <c r="AI5035" s="107"/>
      <c r="AJ5035" s="107"/>
      <c r="AK5035" s="107"/>
      <c r="AL5035" s="107"/>
      <c r="AM5035" s="107"/>
      <c r="AN5035" s="107"/>
      <c r="AO5035" s="107"/>
      <c r="AP5035" s="107"/>
      <c r="AQ5035" s="107"/>
      <c r="AR5035" s="107"/>
      <c r="AS5035" s="107"/>
      <c r="AT5035" s="107"/>
    </row>
    <row r="5036" spans="1:63" x14ac:dyDescent="0.25">
      <c r="A5036" s="92"/>
      <c r="B5036" s="92"/>
      <c r="C5036" s="92"/>
      <c r="D5036" s="93"/>
      <c r="E5036" s="92"/>
      <c r="F5036" s="92"/>
      <c r="G5036" s="92"/>
      <c r="H5036" s="92"/>
      <c r="I5036" s="92"/>
      <c r="J5036" s="92"/>
      <c r="K5036" s="92"/>
      <c r="L5036" s="92"/>
      <c r="M5036" s="92"/>
      <c r="N5036" s="92"/>
      <c r="AG5036" s="107"/>
      <c r="AH5036" s="117"/>
      <c r="AI5036" s="117"/>
      <c r="AJ5036" s="107"/>
      <c r="AK5036" s="107"/>
      <c r="AL5036" s="107"/>
      <c r="AM5036" s="107"/>
      <c r="AN5036" s="107"/>
      <c r="AO5036" s="107"/>
      <c r="AP5036" s="107"/>
      <c r="AQ5036" s="107"/>
      <c r="AR5036" s="107"/>
      <c r="AS5036" s="107"/>
      <c r="AT5036" s="39"/>
    </row>
    <row r="5037" spans="1:63" x14ac:dyDescent="0.25">
      <c r="A5037" s="92"/>
      <c r="B5037" s="93"/>
      <c r="C5037" s="93"/>
      <c r="D5037" s="92"/>
      <c r="E5037" s="92"/>
      <c r="F5037" s="92"/>
      <c r="G5037" s="92"/>
      <c r="H5037" s="92"/>
      <c r="I5037" s="92"/>
      <c r="J5037" s="92"/>
      <c r="K5037" s="92"/>
      <c r="L5037" s="92"/>
      <c r="M5037" s="92"/>
      <c r="N5037" s="94"/>
      <c r="AG5037" s="107"/>
      <c r="AH5037" s="107"/>
      <c r="AI5037" s="107"/>
      <c r="AJ5037" s="107"/>
      <c r="AK5037" s="107"/>
      <c r="AL5037" s="107"/>
      <c r="AM5037" s="107"/>
      <c r="AN5037" s="107"/>
      <c r="AO5037" s="107"/>
      <c r="AP5037" s="107"/>
      <c r="AQ5037" s="107"/>
      <c r="AR5037" s="107"/>
      <c r="AS5037" s="107"/>
      <c r="AT5037" s="107"/>
      <c r="AZ5037" s="117"/>
      <c r="BK5037" s="39"/>
    </row>
    <row r="5038" spans="1:63" x14ac:dyDescent="0.25">
      <c r="A5038" s="92"/>
      <c r="B5038" s="93"/>
      <c r="C5038" s="93"/>
      <c r="D5038" s="92"/>
      <c r="E5038" s="92"/>
      <c r="F5038" s="92"/>
      <c r="G5038" s="92"/>
      <c r="H5038" s="92"/>
      <c r="I5038" s="92"/>
      <c r="J5038" s="92"/>
      <c r="K5038" s="92"/>
      <c r="L5038" s="92"/>
      <c r="M5038" s="92"/>
      <c r="N5038" s="94"/>
      <c r="AG5038" s="107"/>
      <c r="AH5038" s="107"/>
      <c r="AI5038" s="107"/>
      <c r="AJ5038" s="107"/>
      <c r="AK5038" s="107"/>
      <c r="AL5038" s="107"/>
      <c r="AM5038" s="107"/>
      <c r="AN5038" s="107"/>
      <c r="AO5038" s="107"/>
      <c r="AP5038" s="107"/>
      <c r="AQ5038" s="107"/>
      <c r="AR5038" s="107"/>
      <c r="AS5038" s="107"/>
      <c r="AT5038" s="107"/>
      <c r="AZ5038" s="117"/>
      <c r="BK5038" s="39"/>
    </row>
    <row r="5039" spans="1:63" x14ac:dyDescent="0.25">
      <c r="A5039" s="92"/>
      <c r="B5039" s="93"/>
      <c r="C5039" s="93"/>
      <c r="D5039" s="92"/>
      <c r="E5039" s="92"/>
      <c r="F5039" s="92"/>
      <c r="G5039" s="92"/>
      <c r="H5039" s="92"/>
      <c r="I5039" s="92"/>
      <c r="J5039" s="92"/>
      <c r="K5039" s="92"/>
      <c r="L5039" s="92"/>
      <c r="M5039" s="92"/>
      <c r="N5039" s="94"/>
      <c r="AG5039" s="107"/>
      <c r="AH5039" s="107"/>
      <c r="AI5039" s="107"/>
      <c r="AJ5039" s="107"/>
      <c r="AK5039" s="107"/>
      <c r="AL5039" s="107"/>
      <c r="AM5039" s="107"/>
      <c r="AN5039" s="107"/>
      <c r="AO5039" s="107"/>
      <c r="AP5039" s="107"/>
      <c r="AQ5039" s="107"/>
      <c r="AR5039" s="107"/>
      <c r="AS5039" s="107"/>
      <c r="AT5039" s="107"/>
      <c r="AZ5039" s="117"/>
      <c r="BA5039" s="117"/>
      <c r="BK5039" s="39"/>
    </row>
    <row r="5040" spans="1:63" x14ac:dyDescent="0.25">
      <c r="A5040" s="92"/>
      <c r="B5040" s="92"/>
      <c r="C5040" s="92"/>
      <c r="D5040" s="92"/>
      <c r="E5040" s="92"/>
      <c r="F5040" s="92"/>
      <c r="G5040" s="92"/>
      <c r="H5040" s="92"/>
      <c r="I5040" s="92"/>
      <c r="J5040" s="92"/>
      <c r="K5040" s="92"/>
      <c r="L5040" s="92"/>
      <c r="M5040" s="92"/>
      <c r="N5040" s="92"/>
      <c r="AG5040" s="107"/>
      <c r="AH5040" s="117"/>
      <c r="AI5040" s="117"/>
      <c r="AJ5040" s="117"/>
      <c r="AK5040" s="107"/>
      <c r="AL5040" s="107"/>
      <c r="AM5040" s="107"/>
      <c r="AN5040" s="107"/>
      <c r="AO5040" s="107"/>
      <c r="AP5040" s="107"/>
      <c r="AQ5040" s="107"/>
      <c r="AR5040" s="107"/>
      <c r="AS5040" s="107"/>
      <c r="AT5040" s="39"/>
      <c r="AZ5040" s="117"/>
      <c r="BK5040" s="39"/>
    </row>
    <row r="5041" spans="1:63" x14ac:dyDescent="0.25">
      <c r="A5041" s="92"/>
      <c r="B5041" s="92"/>
      <c r="C5041" s="92"/>
      <c r="D5041" s="92"/>
      <c r="E5041" s="92"/>
      <c r="F5041" s="92"/>
      <c r="G5041" s="92"/>
      <c r="H5041" s="92"/>
      <c r="I5041" s="92"/>
      <c r="J5041" s="92"/>
      <c r="K5041" s="92"/>
      <c r="L5041" s="92"/>
      <c r="M5041" s="92"/>
      <c r="N5041" s="92"/>
      <c r="AG5041" s="107"/>
      <c r="AH5041" s="117"/>
      <c r="AI5041" s="117"/>
      <c r="AJ5041" s="107"/>
      <c r="AK5041" s="107"/>
      <c r="AL5041" s="107"/>
      <c r="AM5041" s="107"/>
      <c r="AN5041" s="107"/>
      <c r="AO5041" s="107"/>
      <c r="AP5041" s="107"/>
      <c r="AQ5041" s="107"/>
      <c r="AR5041" s="107"/>
      <c r="AS5041" s="107"/>
      <c r="AT5041" s="39"/>
      <c r="AZ5041" s="117"/>
      <c r="BA5041" s="117"/>
      <c r="BK5041" s="39"/>
    </row>
    <row r="5042" spans="1:63" x14ac:dyDescent="0.25">
      <c r="A5042" s="92"/>
      <c r="B5042" s="92"/>
      <c r="C5042" s="92"/>
      <c r="D5042" s="92"/>
      <c r="E5042" s="92"/>
      <c r="F5042" s="92"/>
      <c r="G5042" s="92"/>
      <c r="H5042" s="92"/>
      <c r="I5042" s="92"/>
      <c r="J5042" s="92"/>
      <c r="K5042" s="92"/>
      <c r="L5042" s="92"/>
      <c r="M5042" s="92"/>
      <c r="N5042" s="92"/>
      <c r="AG5042" s="107"/>
      <c r="AH5042" s="117"/>
      <c r="AI5042" s="107"/>
      <c r="AJ5042" s="117"/>
      <c r="AK5042" s="107"/>
      <c r="AL5042" s="107"/>
      <c r="AM5042" s="107"/>
      <c r="AN5042" s="107"/>
      <c r="AO5042" s="107"/>
      <c r="AP5042" s="107"/>
      <c r="AQ5042" s="107"/>
      <c r="AR5042" s="107"/>
      <c r="AS5042" s="107"/>
      <c r="AT5042" s="39"/>
      <c r="AZ5042" s="117"/>
      <c r="BK5042" s="39"/>
    </row>
    <row r="5043" spans="1:63" x14ac:dyDescent="0.25">
      <c r="A5043" s="92"/>
      <c r="B5043" s="92"/>
      <c r="C5043" s="92"/>
      <c r="D5043" s="92"/>
      <c r="E5043" s="92"/>
      <c r="F5043" s="92"/>
      <c r="G5043" s="92"/>
      <c r="H5043" s="92"/>
      <c r="I5043" s="92"/>
      <c r="J5043" s="92"/>
      <c r="K5043" s="92"/>
      <c r="L5043" s="92"/>
      <c r="M5043" s="92"/>
      <c r="N5043" s="92"/>
      <c r="AG5043" s="107"/>
      <c r="AH5043" s="117"/>
      <c r="AI5043" s="107"/>
      <c r="AJ5043" s="117"/>
      <c r="AK5043" s="107"/>
      <c r="AL5043" s="107"/>
      <c r="AM5043" s="107"/>
      <c r="AN5043" s="107"/>
      <c r="AO5043" s="107"/>
      <c r="AP5043" s="107"/>
      <c r="AQ5043" s="107"/>
      <c r="AR5043" s="107"/>
      <c r="AS5043" s="107"/>
      <c r="AT5043" s="39"/>
      <c r="AZ5043" s="117"/>
      <c r="BK5043" s="39"/>
    </row>
    <row r="5044" spans="1:63" x14ac:dyDescent="0.25">
      <c r="A5044" s="92"/>
      <c r="B5044" s="92"/>
      <c r="C5044" s="92"/>
      <c r="D5044" s="92"/>
      <c r="E5044" s="92"/>
      <c r="F5044" s="92"/>
      <c r="G5044" s="92"/>
      <c r="H5044" s="92"/>
      <c r="I5044" s="92"/>
      <c r="J5044" s="92"/>
      <c r="K5044" s="92"/>
      <c r="L5044" s="92"/>
      <c r="M5044" s="92"/>
      <c r="N5044" s="92"/>
      <c r="AG5044" s="107"/>
      <c r="AH5044" s="107"/>
      <c r="AI5044" s="107"/>
      <c r="AJ5044" s="117"/>
      <c r="AK5044" s="107"/>
      <c r="AL5044" s="107"/>
      <c r="AM5044" s="107"/>
      <c r="AN5044" s="107"/>
      <c r="AO5044" s="107"/>
      <c r="AP5044" s="107"/>
      <c r="AQ5044" s="107"/>
      <c r="AR5044" s="107"/>
      <c r="AS5044" s="107"/>
      <c r="AT5044" s="107"/>
      <c r="AZ5044" s="117"/>
      <c r="BK5044" s="39"/>
    </row>
    <row r="5045" spans="1:63" x14ac:dyDescent="0.25">
      <c r="A5045" s="92"/>
      <c r="B5045" s="92"/>
      <c r="C5045" s="92"/>
      <c r="D5045" s="92"/>
      <c r="E5045" s="92"/>
      <c r="F5045" s="92"/>
      <c r="G5045" s="92"/>
      <c r="H5045" s="92"/>
      <c r="I5045" s="92"/>
      <c r="J5045" s="92"/>
      <c r="K5045" s="92"/>
      <c r="L5045" s="92"/>
      <c r="M5045" s="92"/>
      <c r="N5045" s="92"/>
      <c r="AG5045" s="107"/>
      <c r="AH5045" s="107"/>
      <c r="AI5045" s="107"/>
      <c r="AJ5045" s="107"/>
      <c r="AK5045" s="107"/>
      <c r="AL5045" s="107"/>
      <c r="AM5045" s="107"/>
      <c r="AN5045" s="107"/>
      <c r="AO5045" s="107"/>
      <c r="AP5045" s="107"/>
      <c r="AQ5045" s="107"/>
      <c r="AR5045" s="107"/>
      <c r="AS5045" s="107"/>
      <c r="AT5045" s="107"/>
      <c r="AZ5045" s="117"/>
      <c r="BK5045" s="39"/>
    </row>
    <row r="5046" spans="1:63" x14ac:dyDescent="0.25">
      <c r="A5046" s="92"/>
      <c r="B5046" s="92"/>
      <c r="C5046" s="92"/>
      <c r="D5046" s="92"/>
      <c r="E5046" s="92"/>
      <c r="F5046" s="92"/>
      <c r="G5046" s="92"/>
      <c r="H5046" s="92"/>
      <c r="I5046" s="92"/>
      <c r="J5046" s="92"/>
      <c r="K5046" s="92"/>
      <c r="L5046" s="92"/>
      <c r="M5046" s="92"/>
      <c r="N5046" s="92"/>
      <c r="AG5046" s="107"/>
      <c r="AH5046" s="107"/>
      <c r="AI5046" s="107"/>
      <c r="AJ5046" s="107"/>
      <c r="AK5046" s="107"/>
      <c r="AL5046" s="107"/>
      <c r="AM5046" s="107"/>
      <c r="AN5046" s="107"/>
      <c r="AO5046" s="107"/>
      <c r="AP5046" s="107"/>
      <c r="AQ5046" s="107"/>
      <c r="AR5046" s="107"/>
      <c r="AS5046" s="107"/>
      <c r="AT5046" s="107"/>
      <c r="AZ5046" s="117"/>
      <c r="BA5046" s="117"/>
      <c r="BK5046" s="39"/>
    </row>
    <row r="5047" spans="1:63" x14ac:dyDescent="0.25">
      <c r="A5047" s="92"/>
      <c r="B5047" s="93"/>
      <c r="C5047" s="93"/>
      <c r="D5047" s="93"/>
      <c r="E5047" s="92"/>
      <c r="F5047" s="92"/>
      <c r="G5047" s="92"/>
      <c r="H5047" s="92"/>
      <c r="I5047" s="92"/>
      <c r="J5047" s="92"/>
      <c r="K5047" s="92"/>
      <c r="L5047" s="92"/>
      <c r="M5047" s="92"/>
      <c r="N5047" s="94"/>
      <c r="AG5047" s="107"/>
      <c r="AH5047" s="117"/>
      <c r="AI5047" s="117"/>
      <c r="AJ5047" s="107"/>
      <c r="AK5047" s="107"/>
      <c r="AL5047" s="107"/>
      <c r="AM5047" s="107"/>
      <c r="AN5047" s="107"/>
      <c r="AO5047" s="107"/>
      <c r="AP5047" s="107"/>
      <c r="AQ5047" s="107"/>
      <c r="AR5047" s="107"/>
      <c r="AS5047" s="107"/>
      <c r="AT5047" s="39"/>
      <c r="AZ5047" s="117"/>
      <c r="BA5047" s="117"/>
      <c r="BK5047" s="39"/>
    </row>
    <row r="5048" spans="1:63" x14ac:dyDescent="0.25">
      <c r="A5048" s="92"/>
      <c r="B5048" s="93"/>
      <c r="C5048" s="93"/>
      <c r="D5048" s="93"/>
      <c r="E5048" s="92"/>
      <c r="F5048" s="92"/>
      <c r="G5048" s="92"/>
      <c r="H5048" s="92"/>
      <c r="I5048" s="92"/>
      <c r="J5048" s="92"/>
      <c r="K5048" s="92"/>
      <c r="L5048" s="92"/>
      <c r="M5048" s="92"/>
      <c r="N5048" s="94"/>
      <c r="AG5048" s="107"/>
      <c r="AH5048" s="117"/>
      <c r="AI5048" s="107"/>
      <c r="AJ5048" s="117"/>
      <c r="AK5048" s="107"/>
      <c r="AL5048" s="107"/>
      <c r="AM5048" s="107"/>
      <c r="AN5048" s="107"/>
      <c r="AO5048" s="107"/>
      <c r="AP5048" s="107"/>
      <c r="AQ5048" s="107"/>
      <c r="AR5048" s="107"/>
      <c r="AS5048" s="107"/>
      <c r="AT5048" s="39"/>
      <c r="BA5048" s="117"/>
    </row>
    <row r="5049" spans="1:63" x14ac:dyDescent="0.25">
      <c r="A5049" s="92"/>
      <c r="B5049" s="93"/>
      <c r="C5049" s="93"/>
      <c r="D5049" s="92"/>
      <c r="E5049" s="92"/>
      <c r="F5049" s="92"/>
      <c r="G5049" s="92"/>
      <c r="H5049" s="92"/>
      <c r="I5049" s="92"/>
      <c r="J5049" s="92"/>
      <c r="K5049" s="92"/>
      <c r="L5049" s="92"/>
      <c r="M5049" s="92"/>
      <c r="N5049" s="94"/>
      <c r="AG5049" s="107"/>
      <c r="AH5049" s="117"/>
      <c r="AI5049" s="107"/>
      <c r="AJ5049" s="117"/>
      <c r="AK5049" s="107"/>
      <c r="AL5049" s="107"/>
      <c r="AM5049" s="107"/>
      <c r="AN5049" s="107"/>
      <c r="AO5049" s="107"/>
      <c r="AP5049" s="107"/>
      <c r="AQ5049" s="107"/>
      <c r="AR5049" s="107"/>
      <c r="AS5049" s="107"/>
      <c r="AT5049" s="39"/>
      <c r="BA5049" s="117"/>
    </row>
    <row r="5050" spans="1:63" x14ac:dyDescent="0.25">
      <c r="A5050" s="92"/>
      <c r="B5050" s="93"/>
      <c r="C5050" s="93"/>
      <c r="D5050" s="92"/>
      <c r="E5050" s="92"/>
      <c r="F5050" s="92"/>
      <c r="G5050" s="92"/>
      <c r="H5050" s="92"/>
      <c r="I5050" s="92"/>
      <c r="J5050" s="92"/>
      <c r="K5050" s="92"/>
      <c r="L5050" s="92"/>
      <c r="M5050" s="92"/>
      <c r="N5050" s="94"/>
      <c r="AG5050" s="107"/>
      <c r="AH5050" s="107"/>
      <c r="AI5050" s="107"/>
      <c r="AJ5050" s="107"/>
      <c r="AK5050" s="107"/>
      <c r="AL5050" s="107"/>
      <c r="AM5050" s="107"/>
      <c r="AN5050" s="107"/>
      <c r="AO5050" s="107"/>
      <c r="AP5050" s="107"/>
      <c r="AQ5050" s="107"/>
      <c r="AR5050" s="107"/>
      <c r="AS5050" s="107"/>
      <c r="AT5050" s="107"/>
      <c r="BA5050" s="117"/>
    </row>
    <row r="5051" spans="1:63" x14ac:dyDescent="0.25">
      <c r="A5051" s="92"/>
      <c r="B5051" s="93"/>
      <c r="C5051" s="93"/>
      <c r="D5051" s="93"/>
      <c r="E5051" s="92"/>
      <c r="F5051" s="92"/>
      <c r="G5051" s="92"/>
      <c r="H5051" s="92"/>
      <c r="I5051" s="92"/>
      <c r="J5051" s="92"/>
      <c r="K5051" s="92"/>
      <c r="L5051" s="92"/>
      <c r="M5051" s="92"/>
      <c r="N5051" s="94"/>
      <c r="AG5051" s="107"/>
      <c r="AH5051" s="117"/>
      <c r="AI5051" s="107"/>
      <c r="AJ5051" s="117"/>
      <c r="AK5051" s="107"/>
      <c r="AL5051" s="107"/>
      <c r="AM5051" s="107"/>
      <c r="AN5051" s="107"/>
      <c r="AO5051" s="107"/>
      <c r="AP5051" s="107"/>
      <c r="AQ5051" s="107"/>
      <c r="AR5051" s="107"/>
      <c r="AS5051" s="107"/>
      <c r="AT5051" s="39"/>
      <c r="BA5051" s="117"/>
    </row>
    <row r="5052" spans="1:63" x14ac:dyDescent="0.25">
      <c r="A5052" s="92"/>
      <c r="B5052" s="92"/>
      <c r="C5052" s="92"/>
      <c r="D5052" s="93"/>
      <c r="E5052" s="92"/>
      <c r="F5052" s="92"/>
      <c r="G5052" s="92"/>
      <c r="H5052" s="92"/>
      <c r="I5052" s="92"/>
      <c r="J5052" s="92"/>
      <c r="K5052" s="92"/>
      <c r="L5052" s="92"/>
      <c r="M5052" s="92"/>
      <c r="N5052" s="92"/>
      <c r="AG5052" s="107"/>
      <c r="AH5052" s="107"/>
      <c r="AI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63" x14ac:dyDescent="0.25">
      <c r="A5053" s="92"/>
      <c r="B5053" s="92"/>
      <c r="C5053" s="92"/>
      <c r="D5053" s="93"/>
      <c r="E5053" s="92"/>
      <c r="F5053" s="92"/>
      <c r="G5053" s="92"/>
      <c r="H5053" s="92"/>
      <c r="I5053" s="92"/>
      <c r="J5053" s="92"/>
      <c r="K5053" s="92"/>
      <c r="L5053" s="92"/>
      <c r="M5053" s="92"/>
      <c r="N5053" s="92"/>
      <c r="AG5053" s="107"/>
      <c r="AH5053" s="107"/>
      <c r="AI5053" s="107"/>
      <c r="AJ5053" s="107"/>
      <c r="AK5053" s="107"/>
      <c r="AL5053" s="107"/>
      <c r="AM5053" s="107"/>
      <c r="AN5053" s="107"/>
      <c r="AO5053" s="107"/>
      <c r="AP5053" s="107"/>
      <c r="AQ5053" s="107"/>
      <c r="AR5053" s="107"/>
      <c r="AS5053" s="107"/>
      <c r="AT5053" s="107"/>
    </row>
    <row r="5054" spans="1:63" x14ac:dyDescent="0.25">
      <c r="A5054" s="92"/>
      <c r="B5054" s="93"/>
      <c r="C5054" s="93"/>
      <c r="D5054" s="92"/>
      <c r="E5054" s="92"/>
      <c r="F5054" s="92"/>
      <c r="G5054" s="92"/>
      <c r="H5054" s="92"/>
      <c r="I5054" s="92"/>
      <c r="J5054" s="92"/>
      <c r="K5054" s="92"/>
      <c r="L5054" s="92"/>
      <c r="M5054" s="92"/>
      <c r="N5054" s="94"/>
      <c r="AG5054" s="107"/>
      <c r="AH5054" s="107"/>
      <c r="AI5054" s="107"/>
      <c r="AJ5054" s="107"/>
      <c r="AK5054" s="107"/>
      <c r="AL5054" s="107"/>
      <c r="AM5054" s="107"/>
      <c r="AN5054" s="107"/>
      <c r="AO5054" s="107"/>
      <c r="AP5054" s="107"/>
      <c r="AQ5054" s="107"/>
      <c r="AR5054" s="107"/>
      <c r="AS5054" s="107"/>
      <c r="AT5054" s="107"/>
    </row>
    <row r="5055" spans="1:63" x14ac:dyDescent="0.25">
      <c r="A5055" s="92"/>
      <c r="B5055" s="93"/>
      <c r="C5055" s="93"/>
      <c r="D5055" s="92"/>
      <c r="E5055" s="92"/>
      <c r="F5055" s="92"/>
      <c r="G5055" s="92"/>
      <c r="H5055" s="92"/>
      <c r="I5055" s="92"/>
      <c r="J5055" s="92"/>
      <c r="K5055" s="92"/>
      <c r="L5055" s="92"/>
      <c r="M5055" s="92"/>
      <c r="N5055" s="94"/>
      <c r="AG5055" s="107"/>
      <c r="AH5055" s="117"/>
      <c r="AI5055" s="107"/>
      <c r="AJ5055" s="117"/>
      <c r="AK5055" s="107"/>
      <c r="AL5055" s="107"/>
      <c r="AM5055" s="107"/>
      <c r="AN5055" s="107"/>
      <c r="AO5055" s="107"/>
      <c r="AP5055" s="107"/>
      <c r="AQ5055" s="107"/>
      <c r="AR5055" s="107"/>
      <c r="AS5055" s="107"/>
      <c r="AT5055" s="39"/>
    </row>
    <row r="5056" spans="1:63" x14ac:dyDescent="0.25">
      <c r="A5056" s="92"/>
      <c r="B5056" s="93"/>
      <c r="C5056" s="93"/>
      <c r="D5056" s="92"/>
      <c r="E5056" s="92"/>
      <c r="F5056" s="92"/>
      <c r="G5056" s="92"/>
      <c r="H5056" s="92"/>
      <c r="I5056" s="92"/>
      <c r="J5056" s="92"/>
      <c r="K5056" s="92"/>
      <c r="L5056" s="92"/>
      <c r="M5056" s="92"/>
      <c r="N5056" s="94"/>
      <c r="AG5056" s="107"/>
      <c r="AH5056" s="107"/>
      <c r="AI5056" s="107"/>
      <c r="AJ5056" s="107"/>
      <c r="AK5056" s="107"/>
      <c r="AL5056" s="107"/>
      <c r="AM5056" s="107"/>
      <c r="AN5056" s="107"/>
      <c r="AO5056" s="107"/>
      <c r="AP5056" s="107"/>
      <c r="AQ5056" s="107"/>
      <c r="AR5056" s="107"/>
      <c r="AS5056" s="107"/>
      <c r="AT5056" s="107"/>
    </row>
    <row r="5057" spans="1:63" x14ac:dyDescent="0.25">
      <c r="A5057" s="92"/>
      <c r="B5057" s="93"/>
      <c r="C5057" s="93"/>
      <c r="D5057" s="92"/>
      <c r="E5057" s="92"/>
      <c r="F5057" s="92"/>
      <c r="G5057" s="92"/>
      <c r="H5057" s="92"/>
      <c r="I5057" s="92"/>
      <c r="J5057" s="92"/>
      <c r="K5057" s="92"/>
      <c r="L5057" s="92"/>
      <c r="M5057" s="92"/>
      <c r="N5057" s="94"/>
      <c r="AG5057" s="107"/>
      <c r="AH5057" s="107"/>
      <c r="AI5057" s="107"/>
      <c r="AJ5057" s="107"/>
      <c r="AK5057" s="107"/>
      <c r="AL5057" s="107"/>
      <c r="AM5057" s="107"/>
      <c r="AN5057" s="107"/>
      <c r="AO5057" s="107"/>
      <c r="AP5057" s="107"/>
      <c r="AQ5057" s="107"/>
      <c r="AR5057" s="107"/>
      <c r="AS5057" s="107"/>
      <c r="AT5057" s="107"/>
    </row>
    <row r="5058" spans="1:63" x14ac:dyDescent="0.25">
      <c r="A5058" s="92"/>
      <c r="B5058" s="93"/>
      <c r="C5058" s="93"/>
      <c r="D5058" s="92"/>
      <c r="E5058" s="92"/>
      <c r="F5058" s="92"/>
      <c r="G5058" s="92"/>
      <c r="H5058" s="92"/>
      <c r="I5058" s="92"/>
      <c r="J5058" s="92"/>
      <c r="K5058" s="92"/>
      <c r="L5058" s="92"/>
      <c r="M5058" s="92"/>
      <c r="N5058" s="94"/>
      <c r="AG5058" s="107"/>
      <c r="AH5058" s="107"/>
      <c r="AI5058" s="107"/>
      <c r="AJ5058" s="107"/>
      <c r="AK5058" s="107"/>
      <c r="AL5058" s="107"/>
      <c r="AM5058" s="107"/>
      <c r="AN5058" s="107"/>
      <c r="AO5058" s="107"/>
      <c r="AP5058" s="107"/>
      <c r="AQ5058" s="107"/>
      <c r="AR5058" s="107"/>
      <c r="AS5058" s="107"/>
      <c r="AT5058" s="107"/>
      <c r="AZ5058" s="117"/>
      <c r="BK5058" s="39"/>
    </row>
    <row r="5059" spans="1:63" x14ac:dyDescent="0.25">
      <c r="A5059" s="92"/>
      <c r="B5059" s="93"/>
      <c r="C5059" s="93"/>
      <c r="D5059" s="93"/>
      <c r="E5059" s="92"/>
      <c r="F5059" s="92"/>
      <c r="G5059" s="92"/>
      <c r="H5059" s="92"/>
      <c r="I5059" s="92"/>
      <c r="J5059" s="92"/>
      <c r="K5059" s="92"/>
      <c r="L5059" s="92"/>
      <c r="M5059" s="92"/>
      <c r="N5059" s="94"/>
      <c r="AG5059" s="107"/>
      <c r="AH5059" s="107"/>
      <c r="AI5059" s="107"/>
      <c r="AJ5059" s="107"/>
      <c r="AK5059" s="107"/>
      <c r="AL5059" s="107"/>
      <c r="AM5059" s="107"/>
      <c r="AN5059" s="107"/>
      <c r="AO5059" s="107"/>
      <c r="AP5059" s="107"/>
      <c r="AQ5059" s="107"/>
      <c r="AR5059" s="107"/>
      <c r="AS5059" s="107"/>
      <c r="AT5059" s="107"/>
      <c r="AZ5059" s="117"/>
      <c r="BK5059" s="39"/>
    </row>
    <row r="5060" spans="1:63" x14ac:dyDescent="0.25">
      <c r="A5060" s="92"/>
      <c r="B5060" s="93"/>
      <c r="C5060" s="93"/>
      <c r="D5060" s="92"/>
      <c r="E5060" s="92"/>
      <c r="F5060" s="92"/>
      <c r="G5060" s="92"/>
      <c r="H5060" s="92"/>
      <c r="I5060" s="92"/>
      <c r="J5060" s="92"/>
      <c r="K5060" s="92"/>
      <c r="L5060" s="92"/>
      <c r="M5060" s="92"/>
      <c r="N5060" s="94"/>
      <c r="AG5060" s="107"/>
      <c r="AH5060" s="107"/>
      <c r="AI5060" s="107"/>
      <c r="AJ5060" s="107"/>
      <c r="AK5060" s="107"/>
      <c r="AL5060" s="107"/>
      <c r="AM5060" s="107"/>
      <c r="AN5060" s="107"/>
      <c r="AO5060" s="107"/>
      <c r="AP5060" s="107"/>
      <c r="AQ5060" s="107"/>
      <c r="AR5060" s="107"/>
      <c r="AS5060" s="107"/>
      <c r="AT5060" s="107"/>
    </row>
    <row r="5061" spans="1:63" x14ac:dyDescent="0.25">
      <c r="A5061" s="92"/>
      <c r="B5061" s="92"/>
      <c r="C5061" s="92"/>
      <c r="D5061" s="92"/>
      <c r="E5061" s="92"/>
      <c r="F5061" s="92"/>
      <c r="G5061" s="92"/>
      <c r="H5061" s="92"/>
      <c r="I5061" s="92"/>
      <c r="J5061" s="92"/>
      <c r="K5061" s="92"/>
      <c r="L5061" s="92"/>
      <c r="M5061" s="92"/>
      <c r="N5061" s="92"/>
      <c r="AG5061" s="107"/>
      <c r="AH5061" s="107"/>
      <c r="AI5061" s="107"/>
      <c r="AJ5061" s="107"/>
      <c r="AK5061" s="107"/>
      <c r="AL5061" s="107"/>
      <c r="AM5061" s="107"/>
      <c r="AN5061" s="107"/>
      <c r="AO5061" s="107"/>
      <c r="AP5061" s="107"/>
      <c r="AQ5061" s="107"/>
      <c r="AR5061" s="107"/>
      <c r="AS5061" s="107"/>
      <c r="AT5061" s="107"/>
    </row>
    <row r="5062" spans="1:63" x14ac:dyDescent="0.25">
      <c r="A5062" s="92"/>
      <c r="B5062" s="93"/>
      <c r="C5062" s="93"/>
      <c r="D5062" s="92"/>
      <c r="E5062" s="92"/>
      <c r="F5062" s="92"/>
      <c r="G5062" s="92"/>
      <c r="H5062" s="92"/>
      <c r="I5062" s="92"/>
      <c r="J5062" s="92"/>
      <c r="K5062" s="92"/>
      <c r="L5062" s="92"/>
      <c r="M5062" s="92"/>
      <c r="N5062" s="94"/>
      <c r="AG5062" s="107"/>
      <c r="AH5062" s="107"/>
      <c r="AI5062" s="107"/>
      <c r="AJ5062" s="107"/>
      <c r="AK5062" s="107"/>
      <c r="AL5062" s="107"/>
      <c r="AM5062" s="107"/>
      <c r="AN5062" s="107"/>
      <c r="AO5062" s="107"/>
      <c r="AP5062" s="107"/>
      <c r="AQ5062" s="107"/>
      <c r="AR5062" s="107"/>
      <c r="AS5062" s="107"/>
      <c r="AT5062" s="107"/>
    </row>
    <row r="5063" spans="1:63" x14ac:dyDescent="0.25">
      <c r="A5063" s="92"/>
      <c r="B5063" s="93"/>
      <c r="C5063" s="93"/>
      <c r="D5063" s="92"/>
      <c r="E5063" s="92"/>
      <c r="F5063" s="92"/>
      <c r="G5063" s="92"/>
      <c r="H5063" s="92"/>
      <c r="I5063" s="92"/>
      <c r="J5063" s="92"/>
      <c r="K5063" s="92"/>
      <c r="L5063" s="92"/>
      <c r="M5063" s="92"/>
      <c r="N5063" s="94"/>
      <c r="AG5063" s="107"/>
      <c r="AH5063" s="107"/>
      <c r="AI5063" s="107"/>
      <c r="AJ5063" s="107"/>
      <c r="AK5063" s="107"/>
      <c r="AL5063" s="107"/>
      <c r="AM5063" s="107"/>
      <c r="AN5063" s="107"/>
      <c r="AO5063" s="107"/>
      <c r="AP5063" s="107"/>
      <c r="AQ5063" s="107"/>
      <c r="AR5063" s="107"/>
      <c r="AS5063" s="107"/>
      <c r="AT5063" s="107"/>
    </row>
    <row r="5064" spans="1:63" x14ac:dyDescent="0.25">
      <c r="A5064" s="92"/>
      <c r="B5064" s="93"/>
      <c r="C5064" s="93"/>
      <c r="D5064" s="93"/>
      <c r="E5064" s="92"/>
      <c r="F5064" s="92"/>
      <c r="G5064" s="92"/>
      <c r="H5064" s="92"/>
      <c r="I5064" s="92"/>
      <c r="J5064" s="92"/>
      <c r="K5064" s="92"/>
      <c r="L5064" s="92"/>
      <c r="M5064" s="92"/>
      <c r="N5064" s="94"/>
      <c r="AG5064" s="107"/>
      <c r="AH5064" s="117"/>
      <c r="AI5064" s="107"/>
      <c r="AJ5064" s="117"/>
      <c r="AK5064" s="107"/>
      <c r="AL5064" s="107"/>
      <c r="AM5064" s="107"/>
      <c r="AN5064" s="107"/>
      <c r="AO5064" s="107"/>
      <c r="AP5064" s="107"/>
      <c r="AQ5064" s="107"/>
      <c r="AR5064" s="107"/>
      <c r="AS5064" s="107"/>
      <c r="AT5064" s="39"/>
    </row>
    <row r="5065" spans="1:63" x14ac:dyDescent="0.25">
      <c r="A5065" s="92"/>
      <c r="B5065" s="93"/>
      <c r="C5065" s="93"/>
      <c r="D5065" s="92"/>
      <c r="E5065" s="92"/>
      <c r="F5065" s="92"/>
      <c r="G5065" s="92"/>
      <c r="H5065" s="92"/>
      <c r="I5065" s="92"/>
      <c r="J5065" s="92"/>
      <c r="K5065" s="92"/>
      <c r="L5065" s="92"/>
      <c r="M5065" s="92"/>
      <c r="N5065" s="94"/>
      <c r="AG5065" s="107"/>
      <c r="AH5065" s="117"/>
      <c r="AI5065" s="107"/>
      <c r="AJ5065" s="117"/>
      <c r="AK5065" s="107"/>
      <c r="AL5065" s="107"/>
      <c r="AM5065" s="107"/>
      <c r="AN5065" s="107"/>
      <c r="AO5065" s="107"/>
      <c r="AP5065" s="107"/>
      <c r="AQ5065" s="107"/>
      <c r="AR5065" s="107"/>
      <c r="AS5065" s="107"/>
      <c r="AT5065" s="39"/>
    </row>
    <row r="5066" spans="1:63" x14ac:dyDescent="0.25">
      <c r="A5066" s="92"/>
      <c r="B5066" s="93"/>
      <c r="C5066" s="93"/>
      <c r="D5066" s="92"/>
      <c r="E5066" s="92"/>
      <c r="F5066" s="92"/>
      <c r="G5066" s="92"/>
      <c r="H5066" s="92"/>
      <c r="I5066" s="92"/>
      <c r="J5066" s="92"/>
      <c r="K5066" s="92"/>
      <c r="L5066" s="92"/>
      <c r="M5066" s="92"/>
      <c r="N5066" s="94"/>
      <c r="AG5066" s="107"/>
      <c r="AH5066" s="107"/>
      <c r="AI5066" s="107"/>
      <c r="AJ5066" s="107"/>
      <c r="AK5066" s="107"/>
      <c r="AL5066" s="107"/>
      <c r="AM5066" s="107"/>
      <c r="AN5066" s="107"/>
      <c r="AO5066" s="107"/>
      <c r="AP5066" s="107"/>
      <c r="AQ5066" s="107"/>
      <c r="AR5066" s="107"/>
      <c r="AS5066" s="107"/>
      <c r="AT5066" s="107"/>
    </row>
    <row r="5067" spans="1:63" x14ac:dyDescent="0.25">
      <c r="A5067" s="92"/>
      <c r="B5067" s="93"/>
      <c r="C5067" s="93"/>
      <c r="D5067" s="92"/>
      <c r="E5067" s="92"/>
      <c r="F5067" s="92"/>
      <c r="G5067" s="92"/>
      <c r="H5067" s="92"/>
      <c r="I5067" s="92"/>
      <c r="J5067" s="92"/>
      <c r="K5067" s="92"/>
      <c r="L5067" s="92"/>
      <c r="M5067" s="92"/>
      <c r="N5067" s="94"/>
      <c r="AG5067" s="107"/>
      <c r="AH5067" s="107"/>
      <c r="AI5067" s="107"/>
      <c r="AJ5067" s="107"/>
      <c r="AK5067" s="107"/>
      <c r="AL5067" s="107"/>
      <c r="AM5067" s="107"/>
      <c r="AN5067" s="107"/>
      <c r="AO5067" s="107"/>
      <c r="AP5067" s="107"/>
      <c r="AQ5067" s="107"/>
      <c r="AR5067" s="107"/>
      <c r="AS5067" s="107"/>
      <c r="AT5067" s="107"/>
    </row>
    <row r="5068" spans="1:63" x14ac:dyDescent="0.25">
      <c r="A5068" s="92"/>
      <c r="B5068" s="93"/>
      <c r="C5068" s="93"/>
      <c r="D5068" s="92"/>
      <c r="E5068" s="92"/>
      <c r="F5068" s="92"/>
      <c r="G5068" s="92"/>
      <c r="H5068" s="92"/>
      <c r="I5068" s="92"/>
      <c r="J5068" s="92"/>
      <c r="K5068" s="92"/>
      <c r="L5068" s="92"/>
      <c r="M5068" s="92"/>
      <c r="N5068" s="94"/>
      <c r="AG5068" s="107"/>
      <c r="AH5068" s="107"/>
      <c r="AI5068" s="107"/>
      <c r="AJ5068" s="107"/>
      <c r="AK5068" s="107"/>
      <c r="AL5068" s="107"/>
      <c r="AM5068" s="107"/>
      <c r="AN5068" s="107"/>
      <c r="AO5068" s="107"/>
      <c r="AP5068" s="107"/>
      <c r="AQ5068" s="107"/>
      <c r="AR5068" s="107"/>
      <c r="AS5068" s="107"/>
      <c r="AT5068" s="107"/>
      <c r="AZ5068" s="117"/>
      <c r="BK5068" s="39"/>
    </row>
    <row r="5069" spans="1:63" x14ac:dyDescent="0.25">
      <c r="A5069" s="92"/>
      <c r="B5069" s="93"/>
      <c r="C5069" s="93"/>
      <c r="D5069" s="93"/>
      <c r="E5069" s="92"/>
      <c r="F5069" s="92"/>
      <c r="G5069" s="92"/>
      <c r="H5069" s="92"/>
      <c r="I5069" s="92"/>
      <c r="J5069" s="92"/>
      <c r="K5069" s="92"/>
      <c r="L5069" s="92"/>
      <c r="M5069" s="92"/>
      <c r="N5069" s="94"/>
      <c r="AG5069" s="107"/>
      <c r="AH5069" s="107"/>
      <c r="AI5069" s="107"/>
      <c r="AJ5069" s="107"/>
      <c r="AK5069" s="107"/>
      <c r="AL5069" s="107"/>
      <c r="AM5069" s="107"/>
      <c r="AN5069" s="107"/>
      <c r="AO5069" s="107"/>
      <c r="AP5069" s="107"/>
      <c r="AQ5069" s="107"/>
      <c r="AR5069" s="107"/>
      <c r="AS5069" s="107"/>
      <c r="AT5069" s="107"/>
      <c r="AZ5069" s="117"/>
      <c r="BK5069" s="39"/>
    </row>
    <row r="5070" spans="1:63" x14ac:dyDescent="0.25">
      <c r="A5070" s="92"/>
      <c r="B5070" s="93"/>
      <c r="C5070" s="93"/>
      <c r="D5070" s="92"/>
      <c r="E5070" s="92"/>
      <c r="F5070" s="92"/>
      <c r="G5070" s="92"/>
      <c r="H5070" s="92"/>
      <c r="I5070" s="92"/>
      <c r="J5070" s="92"/>
      <c r="K5070" s="92"/>
      <c r="L5070" s="92"/>
      <c r="M5070" s="92"/>
      <c r="N5070" s="94"/>
      <c r="AG5070" s="107"/>
      <c r="AH5070" s="107"/>
      <c r="AI5070" s="107"/>
      <c r="AJ5070" s="107"/>
      <c r="AK5070" s="107"/>
      <c r="AL5070" s="107"/>
      <c r="AM5070" s="107"/>
      <c r="AN5070" s="107"/>
      <c r="AO5070" s="107"/>
      <c r="AP5070" s="107"/>
      <c r="AQ5070" s="107"/>
      <c r="AR5070" s="107"/>
      <c r="AS5070" s="107"/>
      <c r="AT5070" s="107"/>
      <c r="AZ5070" s="117"/>
      <c r="BK5070" s="39"/>
    </row>
    <row r="5071" spans="1:63" x14ac:dyDescent="0.25">
      <c r="A5071" s="92"/>
      <c r="B5071" s="93"/>
      <c r="C5071" s="93"/>
      <c r="D5071" s="93"/>
      <c r="E5071" s="92"/>
      <c r="F5071" s="92"/>
      <c r="G5071" s="92"/>
      <c r="H5071" s="92"/>
      <c r="I5071" s="92"/>
      <c r="J5071" s="92"/>
      <c r="K5071" s="92"/>
      <c r="L5071" s="92"/>
      <c r="M5071" s="92"/>
      <c r="N5071" s="94"/>
      <c r="AG5071" s="107"/>
      <c r="AH5071" s="107"/>
      <c r="AI5071" s="107"/>
      <c r="AJ5071" s="107"/>
      <c r="AK5071" s="107"/>
      <c r="AL5071" s="107"/>
      <c r="AM5071" s="107"/>
      <c r="AN5071" s="107"/>
      <c r="AO5071" s="107"/>
      <c r="AP5071" s="107"/>
      <c r="AQ5071" s="107"/>
      <c r="AR5071" s="107"/>
      <c r="AS5071" s="107"/>
      <c r="AT5071" s="107"/>
      <c r="BA5071" s="117"/>
      <c r="BK5071" s="39"/>
    </row>
    <row r="5072" spans="1:63" x14ac:dyDescent="0.25">
      <c r="A5072" s="92"/>
      <c r="B5072" s="93"/>
      <c r="C5072" s="93"/>
      <c r="D5072" s="92"/>
      <c r="E5072" s="92"/>
      <c r="F5072" s="92"/>
      <c r="G5072" s="92"/>
      <c r="H5072" s="92"/>
      <c r="I5072" s="92"/>
      <c r="J5072" s="92"/>
      <c r="K5072" s="92"/>
      <c r="L5072" s="92"/>
      <c r="M5072" s="92"/>
      <c r="N5072" s="94"/>
      <c r="AG5072" s="107"/>
      <c r="AH5072" s="117"/>
      <c r="AI5072" s="117"/>
      <c r="AJ5072" s="107"/>
      <c r="AK5072" s="107"/>
      <c r="AL5072" s="107"/>
      <c r="AM5072" s="107"/>
      <c r="AN5072" s="107"/>
      <c r="AO5072" s="107"/>
      <c r="AP5072" s="107"/>
      <c r="AQ5072" s="107"/>
      <c r="AR5072" s="107"/>
      <c r="AS5072" s="107"/>
      <c r="AT5072" s="39"/>
    </row>
    <row r="5073" spans="1:63" x14ac:dyDescent="0.25">
      <c r="A5073" s="92"/>
      <c r="B5073" s="93"/>
      <c r="C5073" s="93"/>
      <c r="D5073" s="92"/>
      <c r="E5073" s="92"/>
      <c r="F5073" s="92"/>
      <c r="G5073" s="92"/>
      <c r="H5073" s="92"/>
      <c r="I5073" s="92"/>
      <c r="J5073" s="92"/>
      <c r="K5073" s="92"/>
      <c r="L5073" s="92"/>
      <c r="M5073" s="92"/>
      <c r="N5073" s="94"/>
      <c r="AG5073" s="107"/>
      <c r="AH5073" s="117"/>
      <c r="AI5073" s="117"/>
      <c r="AJ5073" s="107"/>
      <c r="AK5073" s="107"/>
      <c r="AL5073" s="107"/>
      <c r="AM5073" s="107"/>
      <c r="AN5073" s="107"/>
      <c r="AO5073" s="107"/>
      <c r="AP5073" s="107"/>
      <c r="AQ5073" s="107"/>
      <c r="AR5073" s="107"/>
      <c r="AS5073" s="107"/>
      <c r="AT5073" s="39"/>
    </row>
    <row r="5074" spans="1:63" x14ac:dyDescent="0.25">
      <c r="A5074" s="92"/>
      <c r="B5074" s="93"/>
      <c r="C5074" s="93"/>
      <c r="D5074" s="93"/>
      <c r="E5074" s="92"/>
      <c r="F5074" s="92"/>
      <c r="G5074" s="92"/>
      <c r="H5074" s="92"/>
      <c r="I5074" s="92"/>
      <c r="J5074" s="92"/>
      <c r="K5074" s="92"/>
      <c r="L5074" s="92"/>
      <c r="M5074" s="92"/>
      <c r="N5074" s="94"/>
      <c r="AG5074" s="107"/>
      <c r="AH5074" s="117"/>
      <c r="AI5074" s="107"/>
      <c r="AJ5074" s="117"/>
      <c r="AK5074" s="107"/>
      <c r="AL5074" s="107"/>
      <c r="AM5074" s="107"/>
      <c r="AN5074" s="107"/>
      <c r="AO5074" s="107"/>
      <c r="AP5074" s="107"/>
      <c r="AQ5074" s="107"/>
      <c r="AR5074" s="107"/>
      <c r="AS5074" s="107"/>
      <c r="AT5074" s="39"/>
    </row>
    <row r="5075" spans="1:63" x14ac:dyDescent="0.25">
      <c r="A5075" s="92"/>
      <c r="B5075" s="93"/>
      <c r="C5075" s="93"/>
      <c r="D5075" s="93"/>
      <c r="E5075" s="92"/>
      <c r="F5075" s="92"/>
      <c r="G5075" s="92"/>
      <c r="H5075" s="92"/>
      <c r="I5075" s="92"/>
      <c r="J5075" s="92"/>
      <c r="K5075" s="92"/>
      <c r="L5075" s="92"/>
      <c r="M5075" s="92"/>
      <c r="N5075" s="94"/>
      <c r="AG5075" s="107"/>
      <c r="AH5075" s="107"/>
      <c r="AI5075" s="107"/>
      <c r="AJ5075" s="11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</row>
    <row r="5076" spans="1:63" x14ac:dyDescent="0.25">
      <c r="A5076" s="92"/>
      <c r="B5076" s="92"/>
      <c r="C5076" s="92"/>
      <c r="D5076" s="92"/>
      <c r="E5076" s="92"/>
      <c r="F5076" s="92"/>
      <c r="G5076" s="92"/>
      <c r="H5076" s="92"/>
      <c r="I5076" s="92"/>
      <c r="J5076" s="92"/>
      <c r="K5076" s="92"/>
      <c r="L5076" s="92"/>
      <c r="M5076" s="92"/>
      <c r="N5076" s="92"/>
      <c r="AG5076" s="107"/>
      <c r="AH5076" s="107"/>
      <c r="AI5076" s="107"/>
      <c r="AJ5076" s="107"/>
      <c r="AK5076" s="107"/>
      <c r="AL5076" s="107"/>
      <c r="AM5076" s="107"/>
      <c r="AN5076" s="107"/>
      <c r="AO5076" s="107"/>
      <c r="AP5076" s="107"/>
      <c r="AQ5076" s="107"/>
      <c r="AR5076" s="107"/>
      <c r="AS5076" s="107"/>
      <c r="AT5076" s="107"/>
    </row>
    <row r="5077" spans="1:63" x14ac:dyDescent="0.25">
      <c r="A5077" s="92"/>
      <c r="B5077" s="93"/>
      <c r="C5077" s="93"/>
      <c r="D5077" s="93"/>
      <c r="E5077" s="92"/>
      <c r="F5077" s="92"/>
      <c r="G5077" s="92"/>
      <c r="H5077" s="92"/>
      <c r="I5077" s="92"/>
      <c r="J5077" s="92"/>
      <c r="K5077" s="92"/>
      <c r="L5077" s="92"/>
      <c r="M5077" s="92"/>
      <c r="N5077" s="94"/>
      <c r="AG5077" s="107"/>
      <c r="AH5077" s="107"/>
      <c r="AI5077" s="107"/>
      <c r="AJ5077" s="107"/>
      <c r="AK5077" s="107"/>
      <c r="AL5077" s="107"/>
      <c r="AM5077" s="107"/>
      <c r="AN5077" s="107"/>
      <c r="AO5077" s="107"/>
      <c r="AP5077" s="107"/>
      <c r="AQ5077" s="107"/>
      <c r="AR5077" s="107"/>
      <c r="AS5077" s="107"/>
      <c r="AT5077" s="107"/>
    </row>
    <row r="5078" spans="1:63" x14ac:dyDescent="0.25">
      <c r="A5078" s="92"/>
      <c r="B5078" s="92"/>
      <c r="C5078" s="92"/>
      <c r="D5078" s="93"/>
      <c r="E5078" s="92"/>
      <c r="F5078" s="92"/>
      <c r="G5078" s="92"/>
      <c r="H5078" s="92"/>
      <c r="I5078" s="92"/>
      <c r="J5078" s="92"/>
      <c r="K5078" s="92"/>
      <c r="L5078" s="92"/>
      <c r="M5078" s="92"/>
      <c r="N5078" s="92"/>
      <c r="AG5078" s="107"/>
      <c r="AH5078" s="107"/>
      <c r="AI5078" s="107"/>
      <c r="AJ5078" s="107"/>
      <c r="AK5078" s="107"/>
      <c r="AL5078" s="107"/>
      <c r="AM5078" s="107"/>
      <c r="AN5078" s="107"/>
      <c r="AO5078" s="107"/>
      <c r="AP5078" s="107"/>
      <c r="AQ5078" s="107"/>
      <c r="AR5078" s="107"/>
      <c r="AS5078" s="107"/>
      <c r="AT5078" s="107"/>
    </row>
    <row r="5079" spans="1:63" x14ac:dyDescent="0.25">
      <c r="A5079" s="92"/>
      <c r="B5079" s="92"/>
      <c r="C5079" s="92"/>
      <c r="D5079" s="93"/>
      <c r="E5079" s="92"/>
      <c r="F5079" s="92"/>
      <c r="G5079" s="92"/>
      <c r="H5079" s="92"/>
      <c r="I5079" s="92"/>
      <c r="J5079" s="92"/>
      <c r="K5079" s="92"/>
      <c r="L5079" s="92"/>
      <c r="M5079" s="92"/>
      <c r="N5079" s="92"/>
      <c r="AG5079" s="107"/>
      <c r="AH5079" s="107"/>
      <c r="AI5079" s="107"/>
      <c r="AJ5079" s="107"/>
      <c r="AK5079" s="107"/>
      <c r="AL5079" s="107"/>
      <c r="AM5079" s="107"/>
      <c r="AN5079" s="107"/>
      <c r="AO5079" s="107"/>
      <c r="AP5079" s="107"/>
      <c r="AQ5079" s="107"/>
      <c r="AR5079" s="107"/>
      <c r="AS5079" s="107"/>
      <c r="AT5079" s="107"/>
    </row>
    <row r="5080" spans="1:63" x14ac:dyDescent="0.25">
      <c r="A5080" s="92"/>
      <c r="B5080" s="92"/>
      <c r="C5080" s="92"/>
      <c r="D5080" s="93"/>
      <c r="E5080" s="92"/>
      <c r="F5080" s="92"/>
      <c r="G5080" s="92"/>
      <c r="H5080" s="92"/>
      <c r="I5080" s="92"/>
      <c r="J5080" s="92"/>
      <c r="K5080" s="92"/>
      <c r="L5080" s="92"/>
      <c r="M5080" s="92"/>
      <c r="N5080" s="92"/>
      <c r="AG5080" s="107"/>
      <c r="AH5080" s="107"/>
      <c r="AI5080" s="107"/>
      <c r="AJ5080" s="107"/>
      <c r="AK5080" s="107"/>
      <c r="AL5080" s="107"/>
      <c r="AM5080" s="107"/>
      <c r="AN5080" s="107"/>
      <c r="AO5080" s="107"/>
      <c r="AP5080" s="107"/>
      <c r="AQ5080" s="107"/>
      <c r="AR5080" s="107"/>
      <c r="AS5080" s="107"/>
      <c r="AT5080" s="107"/>
    </row>
    <row r="5081" spans="1:63" x14ac:dyDescent="0.25">
      <c r="A5081" s="92"/>
      <c r="B5081" s="92"/>
      <c r="C5081" s="92"/>
      <c r="D5081" s="93"/>
      <c r="E5081" s="92"/>
      <c r="F5081" s="92"/>
      <c r="G5081" s="92"/>
      <c r="H5081" s="92"/>
      <c r="I5081" s="92"/>
      <c r="J5081" s="92"/>
      <c r="K5081" s="92"/>
      <c r="L5081" s="92"/>
      <c r="M5081" s="92"/>
      <c r="N5081" s="92"/>
      <c r="AG5081" s="107"/>
      <c r="AH5081" s="107"/>
      <c r="AI5081" s="107"/>
      <c r="AJ5081" s="107"/>
      <c r="AK5081" s="107"/>
      <c r="AL5081" s="107"/>
      <c r="AM5081" s="107"/>
      <c r="AN5081" s="107"/>
      <c r="AO5081" s="107"/>
      <c r="AP5081" s="107"/>
      <c r="AQ5081" s="107"/>
      <c r="AR5081" s="107"/>
      <c r="AS5081" s="107"/>
      <c r="AT5081" s="107"/>
    </row>
    <row r="5082" spans="1:63" x14ac:dyDescent="0.25">
      <c r="A5082" s="92"/>
      <c r="B5082" s="92"/>
      <c r="C5082" s="92"/>
      <c r="D5082" s="92"/>
      <c r="E5082" s="92"/>
      <c r="F5082" s="92"/>
      <c r="G5082" s="92"/>
      <c r="H5082" s="92"/>
      <c r="I5082" s="92"/>
      <c r="J5082" s="92"/>
      <c r="K5082" s="92"/>
      <c r="L5082" s="92"/>
      <c r="M5082" s="92"/>
      <c r="N5082" s="92"/>
      <c r="AG5082" s="107"/>
      <c r="AH5082" s="107"/>
      <c r="AI5082" s="107"/>
      <c r="AJ5082" s="107"/>
      <c r="AK5082" s="107"/>
      <c r="AL5082" s="107"/>
      <c r="AM5082" s="107"/>
      <c r="AN5082" s="107"/>
      <c r="AO5082" s="107"/>
      <c r="AP5082" s="107"/>
      <c r="AQ5082" s="107"/>
      <c r="AR5082" s="107"/>
      <c r="AS5082" s="107"/>
      <c r="AT5082" s="107"/>
      <c r="AZ5082" s="117"/>
      <c r="BK5082" s="39"/>
    </row>
    <row r="5083" spans="1:63" x14ac:dyDescent="0.25">
      <c r="A5083" s="92"/>
      <c r="B5083" s="92"/>
      <c r="C5083" s="92"/>
      <c r="D5083" s="92"/>
      <c r="E5083" s="92"/>
      <c r="F5083" s="92"/>
      <c r="G5083" s="92"/>
      <c r="H5083" s="92"/>
      <c r="I5083" s="92"/>
      <c r="J5083" s="92"/>
      <c r="K5083" s="92"/>
      <c r="L5083" s="92"/>
      <c r="M5083" s="92"/>
      <c r="N5083" s="92"/>
      <c r="AG5083" s="107"/>
      <c r="AH5083" s="107"/>
      <c r="AI5083" s="107"/>
      <c r="AJ5083" s="107"/>
      <c r="AK5083" s="107"/>
      <c r="AL5083" s="107"/>
      <c r="AM5083" s="107"/>
      <c r="AN5083" s="107"/>
      <c r="AO5083" s="107"/>
      <c r="AP5083" s="107"/>
      <c r="AQ5083" s="107"/>
      <c r="AR5083" s="107"/>
      <c r="AS5083" s="107"/>
      <c r="AT5083" s="107"/>
      <c r="AZ5083" s="117"/>
      <c r="BK5083" s="39"/>
    </row>
    <row r="5084" spans="1:63" x14ac:dyDescent="0.25">
      <c r="A5084" s="92"/>
      <c r="B5084" s="92"/>
      <c r="C5084" s="92"/>
      <c r="D5084" s="92"/>
      <c r="E5084" s="92"/>
      <c r="F5084" s="92"/>
      <c r="G5084" s="92"/>
      <c r="H5084" s="92"/>
      <c r="I5084" s="92"/>
      <c r="J5084" s="92"/>
      <c r="K5084" s="92"/>
      <c r="L5084" s="92"/>
      <c r="M5084" s="92"/>
      <c r="N5084" s="92"/>
      <c r="AG5084" s="107"/>
      <c r="AH5084" s="107"/>
      <c r="AI5084" s="107"/>
      <c r="AJ5084" s="107"/>
      <c r="AK5084" s="107"/>
      <c r="AL5084" s="107"/>
      <c r="AM5084" s="107"/>
      <c r="AN5084" s="107"/>
      <c r="AO5084" s="107"/>
      <c r="AP5084" s="107"/>
      <c r="AQ5084" s="107"/>
      <c r="AR5084" s="107"/>
      <c r="AS5084" s="107"/>
      <c r="AT5084" s="107"/>
      <c r="AZ5084" s="117"/>
      <c r="BK5084" s="39"/>
    </row>
    <row r="5085" spans="1:63" x14ac:dyDescent="0.25">
      <c r="A5085" s="92"/>
      <c r="B5085" s="92"/>
      <c r="C5085" s="92"/>
      <c r="D5085" s="92"/>
      <c r="E5085" s="92"/>
      <c r="F5085" s="92"/>
      <c r="G5085" s="92"/>
      <c r="H5085" s="92"/>
      <c r="I5085" s="92"/>
      <c r="J5085" s="92"/>
      <c r="K5085" s="92"/>
      <c r="L5085" s="92"/>
      <c r="M5085" s="92"/>
      <c r="N5085" s="92"/>
      <c r="AG5085" s="107"/>
      <c r="AH5085" s="117"/>
      <c r="AI5085" s="107"/>
      <c r="AJ5085" s="117"/>
      <c r="AK5085" s="107"/>
      <c r="AL5085" s="107"/>
      <c r="AM5085" s="107"/>
      <c r="AN5085" s="107"/>
      <c r="AO5085" s="107"/>
      <c r="AP5085" s="107"/>
      <c r="AQ5085" s="107"/>
      <c r="AR5085" s="107"/>
      <c r="AS5085" s="107"/>
      <c r="AT5085" s="39"/>
    </row>
    <row r="5086" spans="1:63" x14ac:dyDescent="0.25">
      <c r="A5086" s="92"/>
      <c r="B5086" s="92"/>
      <c r="C5086" s="92"/>
      <c r="D5086" s="92"/>
      <c r="E5086" s="92"/>
      <c r="F5086" s="92"/>
      <c r="G5086" s="92"/>
      <c r="H5086" s="92"/>
      <c r="I5086" s="92"/>
      <c r="J5086" s="92"/>
      <c r="K5086" s="92"/>
      <c r="L5086" s="92"/>
      <c r="M5086" s="92"/>
      <c r="N5086" s="92"/>
      <c r="AG5086" s="107"/>
      <c r="AH5086" s="117"/>
      <c r="AI5086" s="107"/>
      <c r="AJ5086" s="117"/>
      <c r="AK5086" s="107"/>
      <c r="AL5086" s="107"/>
      <c r="AM5086" s="107"/>
      <c r="AN5086" s="107"/>
      <c r="AO5086" s="107"/>
      <c r="AP5086" s="107"/>
      <c r="AQ5086" s="107"/>
      <c r="AR5086" s="107"/>
      <c r="AS5086" s="107"/>
      <c r="AT5086" s="39"/>
    </row>
    <row r="5087" spans="1:63" x14ac:dyDescent="0.25">
      <c r="A5087" s="92"/>
      <c r="B5087" s="92"/>
      <c r="C5087" s="92"/>
      <c r="D5087" s="92"/>
      <c r="E5087" s="92"/>
      <c r="F5087" s="92"/>
      <c r="G5087" s="92"/>
      <c r="H5087" s="92"/>
      <c r="I5087" s="92"/>
      <c r="J5087" s="92"/>
      <c r="K5087" s="92"/>
      <c r="L5087" s="92"/>
      <c r="M5087" s="92"/>
      <c r="N5087" s="92"/>
      <c r="AG5087" s="107"/>
      <c r="AH5087" s="117"/>
      <c r="AI5087" s="117"/>
      <c r="AJ5087" s="117"/>
      <c r="AK5087" s="107"/>
      <c r="AL5087" s="107"/>
      <c r="AM5087" s="107"/>
      <c r="AN5087" s="107"/>
      <c r="AO5087" s="107"/>
      <c r="AP5087" s="107"/>
      <c r="AQ5087" s="107"/>
      <c r="AR5087" s="107"/>
      <c r="AS5087" s="107"/>
      <c r="AT5087" s="39"/>
    </row>
    <row r="5088" spans="1:63" x14ac:dyDescent="0.25">
      <c r="A5088" s="92"/>
      <c r="B5088" s="92"/>
      <c r="C5088" s="92"/>
      <c r="D5088" s="92"/>
      <c r="E5088" s="92"/>
      <c r="F5088" s="92"/>
      <c r="G5088" s="92"/>
      <c r="H5088" s="92"/>
      <c r="I5088" s="92"/>
      <c r="J5088" s="92"/>
      <c r="K5088" s="92"/>
      <c r="L5088" s="92"/>
      <c r="M5088" s="92"/>
      <c r="N5088" s="92"/>
      <c r="AG5088" s="107"/>
      <c r="AH5088" s="107"/>
      <c r="AI5088" s="107"/>
      <c r="AJ5088" s="117"/>
      <c r="AK5088" s="107"/>
      <c r="AL5088" s="107"/>
      <c r="AM5088" s="107"/>
      <c r="AN5088" s="107"/>
      <c r="AO5088" s="107"/>
      <c r="AP5088" s="107"/>
      <c r="AQ5088" s="107"/>
      <c r="AR5088" s="107"/>
      <c r="AS5088" s="107"/>
      <c r="AT5088" s="107"/>
    </row>
    <row r="5089" spans="1:63" x14ac:dyDescent="0.25">
      <c r="A5089" s="92"/>
      <c r="B5089" s="93"/>
      <c r="C5089" s="93"/>
      <c r="D5089" s="93"/>
      <c r="E5089" s="92"/>
      <c r="F5089" s="92"/>
      <c r="G5089" s="92"/>
      <c r="H5089" s="92"/>
      <c r="I5089" s="92"/>
      <c r="J5089" s="92"/>
      <c r="K5089" s="92"/>
      <c r="L5089" s="92"/>
      <c r="M5089" s="92"/>
      <c r="N5089" s="94"/>
      <c r="AG5089" s="107"/>
      <c r="AH5089" s="107"/>
      <c r="AI5089" s="107"/>
      <c r="AJ5089" s="107"/>
      <c r="AK5089" s="107"/>
      <c r="AL5089" s="107"/>
      <c r="AM5089" s="107"/>
      <c r="AN5089" s="107"/>
      <c r="AO5089" s="107"/>
      <c r="AP5089" s="107"/>
      <c r="AQ5089" s="107"/>
      <c r="AR5089" s="107"/>
      <c r="AS5089" s="107"/>
      <c r="AT5089" s="107"/>
      <c r="AZ5089" s="117"/>
      <c r="BK5089" s="39"/>
    </row>
    <row r="5090" spans="1:63" x14ac:dyDescent="0.25">
      <c r="A5090" s="92"/>
      <c r="B5090" s="93"/>
      <c r="C5090" s="93"/>
      <c r="D5090" s="92"/>
      <c r="E5090" s="92"/>
      <c r="F5090" s="92"/>
      <c r="G5090" s="92"/>
      <c r="H5090" s="92"/>
      <c r="I5090" s="92"/>
      <c r="J5090" s="92"/>
      <c r="K5090" s="92"/>
      <c r="L5090" s="92"/>
      <c r="M5090" s="92"/>
      <c r="N5090" s="94"/>
      <c r="AG5090" s="107"/>
      <c r="AH5090" s="107"/>
      <c r="AI5090" s="107"/>
      <c r="AJ5090" s="107"/>
      <c r="AK5090" s="107"/>
      <c r="AL5090" s="107"/>
      <c r="AM5090" s="107"/>
      <c r="AN5090" s="107"/>
      <c r="AO5090" s="107"/>
      <c r="AP5090" s="107"/>
      <c r="AQ5090" s="107"/>
      <c r="AR5090" s="107"/>
      <c r="AS5090" s="107"/>
      <c r="AT5090" s="107"/>
    </row>
    <row r="5091" spans="1:63" x14ac:dyDescent="0.25">
      <c r="A5091" s="92"/>
      <c r="B5091" s="93"/>
      <c r="C5091" s="93"/>
      <c r="D5091" s="93"/>
      <c r="E5091" s="92"/>
      <c r="F5091" s="92"/>
      <c r="G5091" s="92"/>
      <c r="H5091" s="92"/>
      <c r="I5091" s="92"/>
      <c r="J5091" s="92"/>
      <c r="K5091" s="92"/>
      <c r="L5091" s="92"/>
      <c r="M5091" s="92"/>
      <c r="N5091" s="94"/>
      <c r="AG5091" s="107"/>
      <c r="AH5091" s="107"/>
      <c r="AI5091" s="107"/>
      <c r="AJ5091" s="107"/>
      <c r="AK5091" s="107"/>
      <c r="AL5091" s="107"/>
      <c r="AM5091" s="107"/>
      <c r="AN5091" s="107"/>
      <c r="AO5091" s="107"/>
      <c r="AP5091" s="107"/>
      <c r="AQ5091" s="107"/>
      <c r="AR5091" s="107"/>
      <c r="AS5091" s="107"/>
      <c r="AT5091" s="107"/>
    </row>
    <row r="5092" spans="1:63" x14ac:dyDescent="0.25">
      <c r="A5092" s="92"/>
      <c r="B5092" s="92"/>
      <c r="C5092" s="92"/>
      <c r="D5092" s="92"/>
      <c r="E5092" s="92"/>
      <c r="F5092" s="92"/>
      <c r="G5092" s="92"/>
      <c r="H5092" s="92"/>
      <c r="I5092" s="92"/>
      <c r="J5092" s="92"/>
      <c r="K5092" s="92"/>
      <c r="L5092" s="92"/>
      <c r="M5092" s="92"/>
      <c r="N5092" s="92"/>
      <c r="AG5092" s="107"/>
      <c r="AH5092" s="107"/>
      <c r="AI5092" s="107"/>
      <c r="AJ5092" s="107"/>
      <c r="AK5092" s="107"/>
      <c r="AL5092" s="107"/>
      <c r="AM5092" s="107"/>
      <c r="AN5092" s="107"/>
      <c r="AO5092" s="107"/>
      <c r="AP5092" s="107"/>
      <c r="AQ5092" s="107"/>
      <c r="AR5092" s="107"/>
      <c r="AS5092" s="107"/>
      <c r="AT5092" s="107"/>
    </row>
    <row r="5093" spans="1:63" x14ac:dyDescent="0.25">
      <c r="A5093" s="92"/>
      <c r="B5093" s="93"/>
      <c r="C5093" s="93"/>
      <c r="D5093" s="92"/>
      <c r="E5093" s="92"/>
      <c r="F5093" s="92"/>
      <c r="G5093" s="92"/>
      <c r="H5093" s="92"/>
      <c r="I5093" s="92"/>
      <c r="J5093" s="92"/>
      <c r="K5093" s="92"/>
      <c r="L5093" s="92"/>
      <c r="M5093" s="92"/>
      <c r="N5093" s="94"/>
      <c r="AG5093" s="107"/>
      <c r="AH5093" s="117"/>
      <c r="AI5093" s="107"/>
      <c r="AJ5093" s="117"/>
      <c r="AK5093" s="107"/>
      <c r="AL5093" s="107"/>
      <c r="AM5093" s="107"/>
      <c r="AN5093" s="107"/>
      <c r="AO5093" s="107"/>
      <c r="AP5093" s="107"/>
      <c r="AQ5093" s="107"/>
      <c r="AR5093" s="107"/>
      <c r="AS5093" s="107"/>
      <c r="AT5093" s="39"/>
      <c r="AZ5093" s="117"/>
      <c r="BK5093" s="39"/>
    </row>
    <row r="5094" spans="1:63" x14ac:dyDescent="0.25">
      <c r="A5094" s="92"/>
      <c r="B5094" s="92"/>
      <c r="C5094" s="92"/>
      <c r="D5094" s="92"/>
      <c r="E5094" s="92"/>
      <c r="F5094" s="92"/>
      <c r="G5094" s="92"/>
      <c r="H5094" s="92"/>
      <c r="I5094" s="92"/>
      <c r="J5094" s="92"/>
      <c r="K5094" s="92"/>
      <c r="L5094" s="92"/>
      <c r="M5094" s="92"/>
      <c r="N5094" s="92"/>
      <c r="AG5094" s="107"/>
      <c r="AH5094" s="107"/>
      <c r="AI5094" s="107"/>
      <c r="AJ5094" s="117"/>
      <c r="AK5094" s="107"/>
      <c r="AL5094" s="107"/>
      <c r="AM5094" s="107"/>
      <c r="AN5094" s="107"/>
      <c r="AO5094" s="107"/>
      <c r="AP5094" s="107"/>
      <c r="AQ5094" s="107"/>
      <c r="AR5094" s="107"/>
      <c r="AS5094" s="107"/>
      <c r="AT5094" s="107"/>
      <c r="AZ5094" s="117"/>
      <c r="BK5094" s="39"/>
    </row>
    <row r="5095" spans="1:63" x14ac:dyDescent="0.25">
      <c r="A5095" s="92"/>
      <c r="B5095" s="92"/>
      <c r="C5095" s="92"/>
      <c r="D5095" s="92"/>
      <c r="E5095" s="92"/>
      <c r="F5095" s="92"/>
      <c r="G5095" s="92"/>
      <c r="H5095" s="92"/>
      <c r="I5095" s="92"/>
      <c r="J5095" s="92"/>
      <c r="K5095" s="92"/>
      <c r="L5095" s="92"/>
      <c r="M5095" s="92"/>
      <c r="N5095" s="92"/>
      <c r="AG5095" s="107"/>
      <c r="AH5095" s="117"/>
      <c r="AI5095" s="107"/>
      <c r="AJ5095" s="117"/>
      <c r="AK5095" s="107"/>
      <c r="AL5095" s="107"/>
      <c r="AM5095" s="107"/>
      <c r="AN5095" s="107"/>
      <c r="AO5095" s="107"/>
      <c r="AP5095" s="107"/>
      <c r="AQ5095" s="107"/>
      <c r="AR5095" s="107"/>
      <c r="AS5095" s="107"/>
      <c r="AT5095" s="39"/>
      <c r="AZ5095" s="117"/>
      <c r="BK5095" s="39"/>
    </row>
    <row r="5096" spans="1:63" x14ac:dyDescent="0.25">
      <c r="A5096" s="92"/>
      <c r="B5096" s="92"/>
      <c r="C5096" s="92"/>
      <c r="D5096" s="92"/>
      <c r="E5096" s="92"/>
      <c r="F5096" s="92"/>
      <c r="G5096" s="92"/>
      <c r="H5096" s="92"/>
      <c r="I5096" s="92"/>
      <c r="J5096" s="92"/>
      <c r="K5096" s="92"/>
      <c r="L5096" s="92"/>
      <c r="M5096" s="92"/>
      <c r="N5096" s="92"/>
      <c r="AG5096" s="107"/>
      <c r="AH5096" s="117"/>
      <c r="AI5096" s="107"/>
      <c r="AJ5096" s="117"/>
      <c r="AK5096" s="107"/>
      <c r="AL5096" s="107"/>
      <c r="AM5096" s="107"/>
      <c r="AN5096" s="107"/>
      <c r="AO5096" s="107"/>
      <c r="AP5096" s="107"/>
      <c r="AQ5096" s="107"/>
      <c r="AR5096" s="107"/>
      <c r="AS5096" s="107"/>
      <c r="AT5096" s="39"/>
      <c r="AZ5096" s="117"/>
      <c r="BK5096" s="39"/>
    </row>
    <row r="5097" spans="1:63" x14ac:dyDescent="0.25">
      <c r="A5097" s="92"/>
      <c r="B5097" s="92"/>
      <c r="C5097" s="92"/>
      <c r="D5097" s="92"/>
      <c r="E5097" s="92"/>
      <c r="F5097" s="92"/>
      <c r="G5097" s="92"/>
      <c r="H5097" s="92"/>
      <c r="I5097" s="92"/>
      <c r="J5097" s="92"/>
      <c r="K5097" s="92"/>
      <c r="L5097" s="92"/>
      <c r="M5097" s="92"/>
      <c r="N5097" s="92"/>
      <c r="AG5097" s="107"/>
      <c r="AH5097" s="107"/>
      <c r="AI5097" s="107"/>
      <c r="AJ5097" s="117"/>
      <c r="AK5097" s="107"/>
      <c r="AL5097" s="107"/>
      <c r="AM5097" s="107"/>
      <c r="AN5097" s="107"/>
      <c r="AO5097" s="107"/>
      <c r="AP5097" s="107"/>
      <c r="AQ5097" s="107"/>
      <c r="AR5097" s="107"/>
      <c r="AS5097" s="107"/>
      <c r="AT5097" s="107"/>
      <c r="AZ5097" s="117"/>
      <c r="BK5097" s="39"/>
    </row>
    <row r="5098" spans="1:63" x14ac:dyDescent="0.25">
      <c r="A5098" s="92"/>
      <c r="B5098" s="92"/>
      <c r="C5098" s="92"/>
      <c r="D5098" s="92"/>
      <c r="E5098" s="92"/>
      <c r="F5098" s="92"/>
      <c r="G5098" s="92"/>
      <c r="H5098" s="92"/>
      <c r="I5098" s="92"/>
      <c r="J5098" s="92"/>
      <c r="K5098" s="92"/>
      <c r="L5098" s="92"/>
      <c r="M5098" s="92"/>
      <c r="N5098" s="92"/>
      <c r="AG5098" s="107"/>
      <c r="AH5098" s="107"/>
      <c r="AI5098" s="107"/>
      <c r="AJ5098" s="107"/>
      <c r="AK5098" s="107"/>
      <c r="AL5098" s="107"/>
      <c r="AM5098" s="107"/>
      <c r="AN5098" s="107"/>
      <c r="AO5098" s="107"/>
      <c r="AP5098" s="107"/>
      <c r="AQ5098" s="107"/>
      <c r="AR5098" s="107"/>
      <c r="AS5098" s="107"/>
      <c r="AT5098" s="107"/>
      <c r="AZ5098" s="117"/>
      <c r="BK5098" s="39"/>
    </row>
    <row r="5099" spans="1:63" x14ac:dyDescent="0.25">
      <c r="A5099" s="92"/>
      <c r="B5099" s="92"/>
      <c r="C5099" s="92"/>
      <c r="D5099" s="92"/>
      <c r="E5099" s="92"/>
      <c r="F5099" s="92"/>
      <c r="G5099" s="92"/>
      <c r="H5099" s="92"/>
      <c r="I5099" s="92"/>
      <c r="J5099" s="92"/>
      <c r="K5099" s="92"/>
      <c r="L5099" s="92"/>
      <c r="M5099" s="92"/>
      <c r="N5099" s="92"/>
      <c r="AG5099" s="107"/>
      <c r="AH5099" s="107"/>
      <c r="AI5099" s="107"/>
      <c r="AJ5099" s="107"/>
      <c r="AK5099" s="107"/>
      <c r="AL5099" s="107"/>
      <c r="AM5099" s="107"/>
      <c r="AN5099" s="107"/>
      <c r="AO5099" s="107"/>
      <c r="AP5099" s="107"/>
      <c r="AQ5099" s="107"/>
      <c r="AR5099" s="107"/>
      <c r="AS5099" s="107"/>
      <c r="AT5099" s="107"/>
      <c r="AZ5099" s="117"/>
      <c r="BK5099" s="39"/>
    </row>
    <row r="5100" spans="1:63" x14ac:dyDescent="0.25">
      <c r="A5100" s="92"/>
      <c r="B5100" s="92"/>
      <c r="C5100" s="92"/>
      <c r="D5100" s="92"/>
      <c r="E5100" s="92"/>
      <c r="F5100" s="92"/>
      <c r="G5100" s="92"/>
      <c r="H5100" s="92"/>
      <c r="I5100" s="92"/>
      <c r="J5100" s="92"/>
      <c r="K5100" s="92"/>
      <c r="L5100" s="92"/>
      <c r="M5100" s="92"/>
      <c r="N5100" s="92"/>
      <c r="AG5100" s="107"/>
      <c r="AH5100" s="107"/>
      <c r="AI5100" s="107"/>
      <c r="AJ5100" s="107"/>
      <c r="AK5100" s="107"/>
      <c r="AL5100" s="107"/>
      <c r="AM5100" s="107"/>
      <c r="AN5100" s="107"/>
      <c r="AO5100" s="107"/>
      <c r="AP5100" s="107"/>
      <c r="AQ5100" s="107"/>
      <c r="AR5100" s="107"/>
      <c r="AS5100" s="107"/>
      <c r="AT5100" s="107"/>
      <c r="AZ5100" s="117"/>
      <c r="BK5100" s="39"/>
    </row>
    <row r="5101" spans="1:63" x14ac:dyDescent="0.25">
      <c r="A5101" s="92"/>
      <c r="B5101" s="92"/>
      <c r="C5101" s="92"/>
      <c r="D5101" s="92"/>
      <c r="E5101" s="92"/>
      <c r="F5101" s="92"/>
      <c r="G5101" s="92"/>
      <c r="H5101" s="92"/>
      <c r="I5101" s="92"/>
      <c r="J5101" s="92"/>
      <c r="K5101" s="92"/>
      <c r="L5101" s="92"/>
      <c r="M5101" s="92"/>
      <c r="N5101" s="92"/>
      <c r="AG5101" s="107"/>
      <c r="AH5101" s="107"/>
      <c r="AI5101" s="107"/>
      <c r="AJ5101" s="107"/>
      <c r="AK5101" s="107"/>
      <c r="AL5101" s="107"/>
      <c r="AM5101" s="107"/>
      <c r="AN5101" s="107"/>
      <c r="AO5101" s="107"/>
      <c r="AP5101" s="107"/>
      <c r="AQ5101" s="107"/>
      <c r="AR5101" s="107"/>
      <c r="AS5101" s="107"/>
      <c r="AT5101" s="107"/>
      <c r="AZ5101" s="117"/>
      <c r="BA5101" s="117"/>
      <c r="BK5101" s="39"/>
    </row>
    <row r="5102" spans="1:63" x14ac:dyDescent="0.25">
      <c r="A5102" s="92"/>
      <c r="B5102" s="93"/>
      <c r="C5102" s="93"/>
      <c r="D5102" s="93"/>
      <c r="E5102" s="92"/>
      <c r="F5102" s="92"/>
      <c r="G5102" s="92"/>
      <c r="H5102" s="92"/>
      <c r="I5102" s="92"/>
      <c r="J5102" s="92"/>
      <c r="K5102" s="92"/>
      <c r="L5102" s="92"/>
      <c r="M5102" s="92"/>
      <c r="N5102" s="94"/>
      <c r="AG5102" s="107"/>
      <c r="AH5102" s="117"/>
      <c r="AI5102" s="117"/>
      <c r="AJ5102" s="107"/>
      <c r="AK5102" s="107"/>
      <c r="AL5102" s="107"/>
      <c r="AM5102" s="107"/>
      <c r="AN5102" s="107"/>
      <c r="AO5102" s="107"/>
      <c r="AP5102" s="107"/>
      <c r="AQ5102" s="107"/>
      <c r="AR5102" s="107"/>
      <c r="AS5102" s="107"/>
      <c r="AT5102" s="39"/>
      <c r="BA5102" s="117"/>
    </row>
    <row r="5103" spans="1:63" x14ac:dyDescent="0.25">
      <c r="A5103" s="92"/>
      <c r="B5103" s="92"/>
      <c r="C5103" s="92"/>
      <c r="D5103" s="92"/>
      <c r="E5103" s="92"/>
      <c r="F5103" s="92"/>
      <c r="G5103" s="92"/>
      <c r="H5103" s="92"/>
      <c r="I5103" s="92"/>
      <c r="J5103" s="92"/>
      <c r="K5103" s="92"/>
      <c r="L5103" s="92"/>
      <c r="M5103" s="92"/>
      <c r="N5103" s="92"/>
      <c r="AG5103" s="107"/>
      <c r="AH5103" s="107"/>
      <c r="AI5103" s="107"/>
      <c r="AJ5103" s="107"/>
      <c r="AK5103" s="107"/>
      <c r="AL5103" s="107"/>
      <c r="AM5103" s="107"/>
      <c r="AN5103" s="107"/>
      <c r="AO5103" s="107"/>
      <c r="AP5103" s="107"/>
      <c r="AQ5103" s="107"/>
      <c r="AR5103" s="107"/>
      <c r="AS5103" s="107"/>
      <c r="AT5103" s="107"/>
      <c r="AZ5103" s="117"/>
      <c r="BA5103" s="117"/>
      <c r="BK5103" s="39"/>
    </row>
    <row r="5104" spans="1:63" x14ac:dyDescent="0.25">
      <c r="A5104" s="92"/>
      <c r="B5104" s="93"/>
      <c r="C5104" s="93"/>
      <c r="D5104" s="92"/>
      <c r="E5104" s="92"/>
      <c r="F5104" s="92"/>
      <c r="G5104" s="92"/>
      <c r="H5104" s="92"/>
      <c r="I5104" s="92"/>
      <c r="J5104" s="92"/>
      <c r="K5104" s="92"/>
      <c r="L5104" s="92"/>
      <c r="M5104" s="92"/>
      <c r="N5104" s="94"/>
      <c r="AG5104" s="107"/>
      <c r="AH5104" s="117"/>
      <c r="AI5104" s="107"/>
      <c r="AJ5104" s="117"/>
      <c r="AK5104" s="107"/>
      <c r="AL5104" s="107"/>
      <c r="AM5104" s="107"/>
      <c r="AN5104" s="107"/>
      <c r="AO5104" s="107"/>
      <c r="AP5104" s="107"/>
      <c r="AQ5104" s="107"/>
      <c r="AR5104" s="107"/>
      <c r="AS5104" s="107"/>
      <c r="AT5104" s="39"/>
      <c r="BA5104" s="117"/>
    </row>
    <row r="5105" spans="1:63" x14ac:dyDescent="0.25">
      <c r="A5105" s="92"/>
      <c r="B5105" s="93"/>
      <c r="C5105" s="93"/>
      <c r="D5105" s="93"/>
      <c r="E5105" s="92"/>
      <c r="F5105" s="92"/>
      <c r="G5105" s="92"/>
      <c r="H5105" s="92"/>
      <c r="I5105" s="92"/>
      <c r="J5105" s="92"/>
      <c r="K5105" s="92"/>
      <c r="L5105" s="92"/>
      <c r="M5105" s="92"/>
      <c r="N5105" s="94"/>
      <c r="AG5105" s="107"/>
      <c r="AH5105" s="107"/>
      <c r="AI5105" s="107"/>
      <c r="AJ5105" s="107"/>
      <c r="AK5105" s="107"/>
      <c r="AL5105" s="107"/>
      <c r="AM5105" s="107"/>
      <c r="AN5105" s="107"/>
      <c r="AO5105" s="107"/>
      <c r="AP5105" s="107"/>
      <c r="AQ5105" s="107"/>
      <c r="AR5105" s="107"/>
      <c r="AS5105" s="107"/>
      <c r="AT5105" s="107"/>
      <c r="BA5105" s="117"/>
    </row>
    <row r="5106" spans="1:63" x14ac:dyDescent="0.25">
      <c r="A5106" s="92"/>
      <c r="B5106" s="93"/>
      <c r="C5106" s="93"/>
      <c r="D5106" s="92"/>
      <c r="E5106" s="92"/>
      <c r="F5106" s="92"/>
      <c r="G5106" s="92"/>
      <c r="H5106" s="92"/>
      <c r="I5106" s="92"/>
      <c r="J5106" s="92"/>
      <c r="K5106" s="92"/>
      <c r="L5106" s="92"/>
      <c r="M5106" s="92"/>
      <c r="N5106" s="94"/>
      <c r="AG5106" s="107"/>
      <c r="AH5106" s="107"/>
      <c r="AI5106" s="107"/>
      <c r="AJ5106" s="107"/>
      <c r="AK5106" s="107"/>
      <c r="AL5106" s="107"/>
      <c r="AM5106" s="107"/>
      <c r="AN5106" s="107"/>
      <c r="AO5106" s="107"/>
      <c r="AP5106" s="107"/>
      <c r="AQ5106" s="107"/>
      <c r="AR5106" s="107"/>
      <c r="AS5106" s="107"/>
      <c r="AT5106" s="107"/>
    </row>
    <row r="5107" spans="1:63" x14ac:dyDescent="0.25">
      <c r="A5107" s="92"/>
      <c r="B5107" s="93"/>
      <c r="C5107" s="93"/>
      <c r="D5107" s="93"/>
      <c r="E5107" s="92"/>
      <c r="F5107" s="92"/>
      <c r="G5107" s="92"/>
      <c r="H5107" s="92"/>
      <c r="I5107" s="92"/>
      <c r="J5107" s="92"/>
      <c r="K5107" s="92"/>
      <c r="L5107" s="92"/>
      <c r="M5107" s="92"/>
      <c r="N5107" s="94"/>
      <c r="AG5107" s="107"/>
      <c r="AH5107" s="107"/>
      <c r="AI5107" s="107"/>
      <c r="AJ5107" s="107"/>
      <c r="AK5107" s="107"/>
      <c r="AL5107" s="107"/>
      <c r="AM5107" s="107"/>
      <c r="AN5107" s="107"/>
      <c r="AO5107" s="107"/>
      <c r="AP5107" s="107"/>
      <c r="AQ5107" s="107"/>
      <c r="AR5107" s="107"/>
      <c r="AS5107" s="107"/>
      <c r="AT5107" s="107"/>
    </row>
    <row r="5108" spans="1:63" x14ac:dyDescent="0.25">
      <c r="A5108" s="92"/>
      <c r="B5108" s="93"/>
      <c r="C5108" s="93"/>
      <c r="D5108" s="92"/>
      <c r="E5108" s="92"/>
      <c r="F5108" s="92"/>
      <c r="G5108" s="92"/>
      <c r="H5108" s="92"/>
      <c r="I5108" s="92"/>
      <c r="J5108" s="92"/>
      <c r="K5108" s="92"/>
      <c r="L5108" s="92"/>
      <c r="M5108" s="92"/>
      <c r="N5108" s="94"/>
      <c r="AG5108" s="107"/>
      <c r="AH5108" s="107"/>
      <c r="AI5108" s="107"/>
      <c r="AJ5108" s="107"/>
      <c r="AK5108" s="107"/>
      <c r="AL5108" s="107"/>
      <c r="AM5108" s="107"/>
      <c r="AN5108" s="107"/>
      <c r="AO5108" s="107"/>
      <c r="AP5108" s="107"/>
      <c r="AQ5108" s="107"/>
      <c r="AR5108" s="107"/>
      <c r="AS5108" s="107"/>
      <c r="AT5108" s="107"/>
      <c r="AZ5108" s="117"/>
      <c r="BK5108" s="39"/>
    </row>
    <row r="5109" spans="1:63" x14ac:dyDescent="0.25">
      <c r="A5109" s="92"/>
      <c r="B5109" s="93"/>
      <c r="C5109" s="92"/>
      <c r="D5109" s="93"/>
      <c r="E5109" s="92"/>
      <c r="F5109" s="92"/>
      <c r="G5109" s="92"/>
      <c r="H5109" s="92"/>
      <c r="I5109" s="92"/>
      <c r="J5109" s="92"/>
      <c r="K5109" s="92"/>
      <c r="L5109" s="92"/>
      <c r="M5109" s="92"/>
      <c r="N5109" s="94"/>
      <c r="AG5109" s="107"/>
      <c r="AH5109" s="107"/>
      <c r="AI5109" s="107"/>
      <c r="AJ5109" s="107"/>
      <c r="AK5109" s="107"/>
      <c r="AL5109" s="107"/>
      <c r="AM5109" s="107"/>
      <c r="AN5109" s="107"/>
      <c r="AO5109" s="107"/>
      <c r="AP5109" s="107"/>
      <c r="AQ5109" s="107"/>
      <c r="AR5109" s="107"/>
      <c r="AS5109" s="107"/>
      <c r="AT5109" s="107"/>
      <c r="AZ5109" s="117"/>
      <c r="BK5109" s="39"/>
    </row>
    <row r="5110" spans="1:63" x14ac:dyDescent="0.25">
      <c r="A5110" s="92"/>
      <c r="B5110" s="92"/>
      <c r="C5110" s="92"/>
      <c r="D5110" s="92"/>
      <c r="E5110" s="92"/>
      <c r="F5110" s="92"/>
      <c r="G5110" s="92"/>
      <c r="H5110" s="92"/>
      <c r="I5110" s="92"/>
      <c r="J5110" s="92"/>
      <c r="K5110" s="92"/>
      <c r="L5110" s="92"/>
      <c r="M5110" s="92"/>
      <c r="N5110" s="92"/>
      <c r="AG5110" s="107"/>
      <c r="AH5110" s="117"/>
      <c r="AI5110" s="107"/>
      <c r="AJ5110" s="117"/>
      <c r="AK5110" s="107"/>
      <c r="AL5110" s="107"/>
      <c r="AM5110" s="107"/>
      <c r="AN5110" s="107"/>
      <c r="AO5110" s="107"/>
      <c r="AP5110" s="107"/>
      <c r="AQ5110" s="107"/>
      <c r="AR5110" s="107"/>
      <c r="AS5110" s="107"/>
      <c r="AT5110" s="39"/>
      <c r="AZ5110" s="117"/>
      <c r="BK5110" s="39"/>
    </row>
    <row r="5111" spans="1:63" x14ac:dyDescent="0.25">
      <c r="A5111" s="92"/>
      <c r="B5111" s="92"/>
      <c r="C5111" s="92"/>
      <c r="D5111" s="92"/>
      <c r="E5111" s="92"/>
      <c r="F5111" s="92"/>
      <c r="G5111" s="92"/>
      <c r="H5111" s="92"/>
      <c r="I5111" s="92"/>
      <c r="J5111" s="92"/>
      <c r="K5111" s="92"/>
      <c r="L5111" s="92"/>
      <c r="M5111" s="92"/>
      <c r="N5111" s="92"/>
      <c r="AG5111" s="107"/>
      <c r="AH5111" s="107"/>
      <c r="AI5111" s="107"/>
      <c r="AJ5111" s="107"/>
      <c r="AK5111" s="107"/>
      <c r="AL5111" s="107"/>
      <c r="AM5111" s="107"/>
      <c r="AN5111" s="107"/>
      <c r="AO5111" s="107"/>
      <c r="AP5111" s="107"/>
      <c r="AQ5111" s="107"/>
      <c r="AR5111" s="107"/>
      <c r="AS5111" s="107"/>
      <c r="AT5111" s="107"/>
      <c r="AZ5111" s="117"/>
      <c r="BK5111" s="39"/>
    </row>
    <row r="5112" spans="1:63" x14ac:dyDescent="0.25">
      <c r="A5112" s="92"/>
      <c r="B5112" s="92"/>
      <c r="C5112" s="92"/>
      <c r="D5112" s="92"/>
      <c r="E5112" s="92"/>
      <c r="F5112" s="92"/>
      <c r="G5112" s="92"/>
      <c r="H5112" s="92"/>
      <c r="I5112" s="92"/>
      <c r="J5112" s="92"/>
      <c r="K5112" s="92"/>
      <c r="L5112" s="92"/>
      <c r="M5112" s="92"/>
      <c r="N5112" s="92"/>
      <c r="AG5112" s="107"/>
      <c r="AH5112" s="117"/>
      <c r="AI5112" s="107"/>
      <c r="AJ5112" s="117"/>
      <c r="AK5112" s="107"/>
      <c r="AL5112" s="107"/>
      <c r="AM5112" s="107"/>
      <c r="AN5112" s="107"/>
      <c r="AO5112" s="107"/>
      <c r="AP5112" s="107"/>
      <c r="AQ5112" s="107"/>
      <c r="AR5112" s="107"/>
      <c r="AS5112" s="107"/>
      <c r="AT5112" s="39"/>
      <c r="AZ5112" s="117"/>
      <c r="BK5112" s="39"/>
    </row>
    <row r="5113" spans="1:63" x14ac:dyDescent="0.25">
      <c r="A5113" s="92"/>
      <c r="B5113" s="92"/>
      <c r="C5113" s="92"/>
      <c r="D5113" s="92"/>
      <c r="E5113" s="92"/>
      <c r="F5113" s="92"/>
      <c r="G5113" s="92"/>
      <c r="H5113" s="92"/>
      <c r="I5113" s="92"/>
      <c r="J5113" s="92"/>
      <c r="K5113" s="92"/>
      <c r="L5113" s="92"/>
      <c r="M5113" s="92"/>
      <c r="N5113" s="92"/>
      <c r="AG5113" s="107"/>
      <c r="AH5113" s="117"/>
      <c r="AI5113" s="107"/>
      <c r="AJ5113" s="117"/>
      <c r="AK5113" s="107"/>
      <c r="AL5113" s="107"/>
      <c r="AM5113" s="107"/>
      <c r="AN5113" s="107"/>
      <c r="AO5113" s="107"/>
      <c r="AP5113" s="107"/>
      <c r="AQ5113" s="107"/>
      <c r="AR5113" s="107"/>
      <c r="AS5113" s="107"/>
      <c r="AT5113" s="39"/>
      <c r="AZ5113" s="117"/>
      <c r="BA5113" s="117"/>
      <c r="BK5113" s="39"/>
    </row>
    <row r="5114" spans="1:63" x14ac:dyDescent="0.25">
      <c r="A5114" s="92"/>
      <c r="B5114" s="92"/>
      <c r="C5114" s="92"/>
      <c r="D5114" s="92"/>
      <c r="E5114" s="92"/>
      <c r="F5114" s="92"/>
      <c r="G5114" s="92"/>
      <c r="H5114" s="92"/>
      <c r="I5114" s="92"/>
      <c r="J5114" s="92"/>
      <c r="K5114" s="92"/>
      <c r="L5114" s="92"/>
      <c r="M5114" s="92"/>
      <c r="N5114" s="92"/>
      <c r="AG5114" s="107"/>
      <c r="AH5114" s="107"/>
      <c r="AI5114" s="107"/>
      <c r="AJ5114" s="117"/>
      <c r="AK5114" s="107"/>
      <c r="AL5114" s="107"/>
      <c r="AM5114" s="107"/>
      <c r="AN5114" s="107"/>
      <c r="AO5114" s="107"/>
      <c r="AP5114" s="107"/>
      <c r="AQ5114" s="107"/>
      <c r="AR5114" s="107"/>
      <c r="AS5114" s="107"/>
      <c r="AT5114" s="107"/>
    </row>
    <row r="5115" spans="1:63" x14ac:dyDescent="0.25">
      <c r="A5115" s="92"/>
      <c r="B5115" s="92"/>
      <c r="C5115" s="92"/>
      <c r="D5115" s="92"/>
      <c r="E5115" s="92"/>
      <c r="F5115" s="92"/>
      <c r="G5115" s="92"/>
      <c r="H5115" s="92"/>
      <c r="I5115" s="92"/>
      <c r="J5115" s="92"/>
      <c r="K5115" s="92"/>
      <c r="L5115" s="92"/>
      <c r="M5115" s="92"/>
      <c r="N5115" s="92"/>
      <c r="AG5115" s="107"/>
      <c r="AH5115" s="107"/>
      <c r="AI5115" s="107"/>
      <c r="AJ5115" s="107"/>
      <c r="AK5115" s="107"/>
      <c r="AL5115" s="107"/>
      <c r="AM5115" s="107"/>
      <c r="AN5115" s="107"/>
      <c r="AO5115" s="107"/>
      <c r="AP5115" s="107"/>
      <c r="AQ5115" s="107"/>
      <c r="AR5115" s="107"/>
      <c r="AS5115" s="107"/>
      <c r="AT5115" s="107"/>
      <c r="AZ5115" s="117"/>
      <c r="BK5115" s="39"/>
    </row>
    <row r="5116" spans="1:63" x14ac:dyDescent="0.25">
      <c r="A5116" s="92"/>
      <c r="B5116" s="92"/>
      <c r="C5116" s="92"/>
      <c r="D5116" s="92"/>
      <c r="E5116" s="92"/>
      <c r="F5116" s="92"/>
      <c r="G5116" s="92"/>
      <c r="H5116" s="92"/>
      <c r="I5116" s="92"/>
      <c r="J5116" s="92"/>
      <c r="K5116" s="92"/>
      <c r="L5116" s="92"/>
      <c r="M5116" s="92"/>
      <c r="N5116" s="92"/>
      <c r="AG5116" s="107"/>
      <c r="AH5116" s="117"/>
      <c r="AI5116" s="107"/>
      <c r="AJ5116" s="117"/>
      <c r="AK5116" s="107"/>
      <c r="AL5116" s="107"/>
      <c r="AM5116" s="107"/>
      <c r="AN5116" s="107"/>
      <c r="AO5116" s="107"/>
      <c r="AP5116" s="107"/>
      <c r="AQ5116" s="107"/>
      <c r="AR5116" s="107"/>
      <c r="AS5116" s="107"/>
      <c r="AT5116" s="39"/>
      <c r="AZ5116" s="117"/>
      <c r="BK5116" s="39"/>
    </row>
    <row r="5117" spans="1:63" x14ac:dyDescent="0.25">
      <c r="A5117" s="92"/>
      <c r="B5117" s="92"/>
      <c r="C5117" s="92"/>
      <c r="D5117" s="92"/>
      <c r="E5117" s="92"/>
      <c r="F5117" s="92"/>
      <c r="G5117" s="92"/>
      <c r="H5117" s="92"/>
      <c r="I5117" s="92"/>
      <c r="J5117" s="92"/>
      <c r="K5117" s="92"/>
      <c r="L5117" s="92"/>
      <c r="M5117" s="92"/>
      <c r="N5117" s="92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</row>
    <row r="5118" spans="1:63" x14ac:dyDescent="0.25">
      <c r="A5118" s="92"/>
      <c r="B5118" s="92"/>
      <c r="C5118" s="92"/>
      <c r="D5118" s="92"/>
      <c r="E5118" s="92"/>
      <c r="F5118" s="92"/>
      <c r="G5118" s="92"/>
      <c r="H5118" s="92"/>
      <c r="I5118" s="92"/>
      <c r="J5118" s="92"/>
      <c r="K5118" s="92"/>
      <c r="L5118" s="92"/>
      <c r="M5118" s="92"/>
      <c r="N5118" s="92"/>
      <c r="AG5118" s="107"/>
      <c r="AH5118" s="107"/>
      <c r="AI5118" s="107"/>
      <c r="AJ5118" s="107"/>
      <c r="AK5118" s="107"/>
      <c r="AL5118" s="107"/>
      <c r="AM5118" s="107"/>
      <c r="AN5118" s="107"/>
      <c r="AO5118" s="107"/>
      <c r="AP5118" s="107"/>
      <c r="AQ5118" s="107"/>
      <c r="AR5118" s="107"/>
      <c r="AS5118" s="107"/>
      <c r="AT5118" s="107"/>
    </row>
    <row r="5119" spans="1:63" x14ac:dyDescent="0.25">
      <c r="A5119" s="92"/>
      <c r="B5119" s="92"/>
      <c r="C5119" s="92"/>
      <c r="D5119" s="92"/>
      <c r="E5119" s="92"/>
      <c r="F5119" s="92"/>
      <c r="G5119" s="92"/>
      <c r="H5119" s="92"/>
      <c r="I5119" s="92"/>
      <c r="J5119" s="92"/>
      <c r="K5119" s="92"/>
      <c r="L5119" s="92"/>
      <c r="M5119" s="92"/>
      <c r="N5119" s="92"/>
      <c r="AG5119" s="107"/>
      <c r="AH5119" s="107"/>
      <c r="AI5119" s="107"/>
      <c r="AJ5119" s="107"/>
      <c r="AK5119" s="107"/>
      <c r="AL5119" s="107"/>
      <c r="AM5119" s="107"/>
      <c r="AN5119" s="107"/>
      <c r="AO5119" s="107"/>
      <c r="AP5119" s="107"/>
      <c r="AQ5119" s="107"/>
      <c r="AR5119" s="107"/>
      <c r="AS5119" s="107"/>
      <c r="AT5119" s="107"/>
    </row>
    <row r="5120" spans="1:63" x14ac:dyDescent="0.25">
      <c r="A5120" s="92"/>
      <c r="B5120" s="93"/>
      <c r="C5120" s="93"/>
      <c r="D5120" s="92"/>
      <c r="E5120" s="92"/>
      <c r="F5120" s="92"/>
      <c r="G5120" s="92"/>
      <c r="H5120" s="92"/>
      <c r="I5120" s="92"/>
      <c r="J5120" s="92"/>
      <c r="K5120" s="92"/>
      <c r="L5120" s="92"/>
      <c r="M5120" s="92"/>
      <c r="N5120" s="94"/>
      <c r="AG5120" s="107"/>
      <c r="AH5120" s="107"/>
      <c r="AI5120" s="107"/>
      <c r="AJ5120" s="107"/>
      <c r="AK5120" s="107"/>
      <c r="AL5120" s="107"/>
      <c r="AM5120" s="107"/>
      <c r="AN5120" s="107"/>
      <c r="AO5120" s="107"/>
      <c r="AP5120" s="107"/>
      <c r="AQ5120" s="107"/>
      <c r="AR5120" s="107"/>
      <c r="AS5120" s="107"/>
      <c r="AT5120" s="107"/>
      <c r="AZ5120" s="117"/>
      <c r="BK5120" s="39"/>
    </row>
    <row r="5121" spans="1:63" x14ac:dyDescent="0.25">
      <c r="A5121" s="92"/>
      <c r="B5121" s="93"/>
      <c r="C5121" s="93"/>
      <c r="D5121" s="92"/>
      <c r="E5121" s="92"/>
      <c r="F5121" s="92"/>
      <c r="G5121" s="92"/>
      <c r="H5121" s="92"/>
      <c r="I5121" s="92"/>
      <c r="J5121" s="92"/>
      <c r="K5121" s="92"/>
      <c r="L5121" s="92"/>
      <c r="M5121" s="92"/>
      <c r="N5121" s="94"/>
      <c r="AG5121" s="107"/>
      <c r="AH5121" s="107"/>
      <c r="AI5121" s="107"/>
      <c r="AJ5121" s="107"/>
      <c r="AK5121" s="107"/>
      <c r="AL5121" s="107"/>
      <c r="AM5121" s="107"/>
      <c r="AN5121" s="107"/>
      <c r="AO5121" s="107"/>
      <c r="AP5121" s="107"/>
      <c r="AQ5121" s="107"/>
      <c r="AR5121" s="107"/>
      <c r="AS5121" s="107"/>
      <c r="AT5121" s="107"/>
      <c r="AZ5121" s="117"/>
      <c r="BK5121" s="39"/>
    </row>
    <row r="5122" spans="1:63" x14ac:dyDescent="0.25">
      <c r="A5122" s="92"/>
      <c r="B5122" s="93"/>
      <c r="C5122" s="93"/>
      <c r="D5122" s="92"/>
      <c r="E5122" s="92"/>
      <c r="F5122" s="92"/>
      <c r="G5122" s="92"/>
      <c r="H5122" s="92"/>
      <c r="I5122" s="92"/>
      <c r="J5122" s="92"/>
      <c r="K5122" s="92"/>
      <c r="L5122" s="92"/>
      <c r="M5122" s="92"/>
      <c r="N5122" s="94"/>
      <c r="AG5122" s="107"/>
      <c r="AH5122" s="117"/>
      <c r="AI5122" s="107"/>
      <c r="AJ5122" s="117"/>
      <c r="AK5122" s="107"/>
      <c r="AL5122" s="107"/>
      <c r="AM5122" s="107"/>
      <c r="AN5122" s="107"/>
      <c r="AO5122" s="107"/>
      <c r="AP5122" s="107"/>
      <c r="AQ5122" s="107"/>
      <c r="AR5122" s="107"/>
      <c r="AS5122" s="107"/>
      <c r="AT5122" s="39"/>
      <c r="AZ5122" s="117"/>
      <c r="BK5122" s="39"/>
    </row>
    <row r="5123" spans="1:63" x14ac:dyDescent="0.25">
      <c r="A5123" s="92"/>
      <c r="B5123" s="93"/>
      <c r="C5123" s="93"/>
      <c r="D5123" s="92"/>
      <c r="E5123" s="92"/>
      <c r="F5123" s="92"/>
      <c r="G5123" s="92"/>
      <c r="H5123" s="92"/>
      <c r="I5123" s="92"/>
      <c r="J5123" s="92"/>
      <c r="K5123" s="92"/>
      <c r="L5123" s="92"/>
      <c r="M5123" s="92"/>
      <c r="N5123" s="94"/>
      <c r="AG5123" s="107"/>
      <c r="AH5123" s="117"/>
      <c r="AI5123" s="107"/>
      <c r="AJ5123" s="117"/>
      <c r="AK5123" s="107"/>
      <c r="AL5123" s="107"/>
      <c r="AM5123" s="107"/>
      <c r="AN5123" s="107"/>
      <c r="AO5123" s="107"/>
      <c r="AP5123" s="107"/>
      <c r="AQ5123" s="107"/>
      <c r="AR5123" s="107"/>
      <c r="AS5123" s="107"/>
      <c r="AT5123" s="39"/>
      <c r="AZ5123" s="117"/>
      <c r="BK5123" s="39"/>
    </row>
    <row r="5124" spans="1:63" x14ac:dyDescent="0.25">
      <c r="A5124" s="92"/>
      <c r="B5124" s="92"/>
      <c r="C5124" s="92"/>
      <c r="D5124" s="92"/>
      <c r="E5124" s="92"/>
      <c r="F5124" s="92"/>
      <c r="G5124" s="92"/>
      <c r="H5124" s="92"/>
      <c r="I5124" s="92"/>
      <c r="J5124" s="92"/>
      <c r="K5124" s="92"/>
      <c r="L5124" s="92"/>
      <c r="M5124" s="92"/>
      <c r="N5124" s="92"/>
      <c r="AG5124" s="107"/>
      <c r="AH5124" s="107"/>
      <c r="AI5124" s="107"/>
      <c r="AJ5124" s="117"/>
      <c r="AK5124" s="107"/>
      <c r="AL5124" s="107"/>
      <c r="AM5124" s="107"/>
      <c r="AN5124" s="107"/>
      <c r="AO5124" s="107"/>
      <c r="AP5124" s="107"/>
      <c r="AQ5124" s="107"/>
      <c r="AR5124" s="107"/>
      <c r="AS5124" s="107"/>
      <c r="AT5124" s="107"/>
      <c r="AZ5124" s="117"/>
      <c r="BA5124" s="117"/>
      <c r="BK5124" s="39"/>
    </row>
    <row r="5125" spans="1:63" x14ac:dyDescent="0.25">
      <c r="A5125" s="92"/>
      <c r="B5125" s="92"/>
      <c r="C5125" s="92"/>
      <c r="D5125" s="92"/>
      <c r="E5125" s="92"/>
      <c r="F5125" s="92"/>
      <c r="G5125" s="92"/>
      <c r="H5125" s="92"/>
      <c r="I5125" s="92"/>
      <c r="J5125" s="92"/>
      <c r="K5125" s="92"/>
      <c r="L5125" s="92"/>
      <c r="M5125" s="92"/>
      <c r="N5125" s="92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BA5125" s="117"/>
    </row>
    <row r="5126" spans="1:63" x14ac:dyDescent="0.25">
      <c r="A5126" s="92"/>
      <c r="B5126" s="92"/>
      <c r="C5126" s="92"/>
      <c r="D5126" s="92"/>
      <c r="E5126" s="92"/>
      <c r="F5126" s="92"/>
      <c r="G5126" s="92"/>
      <c r="H5126" s="92"/>
      <c r="I5126" s="92"/>
      <c r="J5126" s="92"/>
      <c r="K5126" s="92"/>
      <c r="L5126" s="92"/>
      <c r="M5126" s="92"/>
      <c r="N5126" s="92"/>
      <c r="AG5126" s="107"/>
      <c r="AH5126" s="107"/>
      <c r="AI5126" s="107"/>
      <c r="AJ5126" s="107"/>
      <c r="AK5126" s="107"/>
      <c r="AL5126" s="107"/>
      <c r="AM5126" s="107"/>
      <c r="AN5126" s="107"/>
      <c r="AO5126" s="107"/>
      <c r="AP5126" s="107"/>
      <c r="AQ5126" s="107"/>
      <c r="AR5126" s="107"/>
      <c r="AS5126" s="107"/>
      <c r="AT5126" s="107"/>
      <c r="BA5126" s="117"/>
    </row>
    <row r="5127" spans="1:63" x14ac:dyDescent="0.25">
      <c r="A5127" s="92"/>
      <c r="B5127" s="93"/>
      <c r="C5127" s="93"/>
      <c r="D5127" s="92"/>
      <c r="E5127" s="92"/>
      <c r="F5127" s="92"/>
      <c r="G5127" s="92"/>
      <c r="H5127" s="92"/>
      <c r="I5127" s="92"/>
      <c r="J5127" s="92"/>
      <c r="K5127" s="92"/>
      <c r="L5127" s="92"/>
      <c r="M5127" s="92"/>
      <c r="N5127" s="94"/>
      <c r="AG5127" s="107"/>
      <c r="AH5127" s="107"/>
      <c r="AI5127" s="107"/>
      <c r="AJ5127" s="107"/>
      <c r="AK5127" s="107"/>
      <c r="AL5127" s="107"/>
      <c r="AM5127" s="107"/>
      <c r="AN5127" s="107"/>
      <c r="AO5127" s="107"/>
      <c r="AP5127" s="107"/>
      <c r="AQ5127" s="107"/>
      <c r="AR5127" s="107"/>
      <c r="AS5127" s="107"/>
      <c r="AT5127" s="107"/>
      <c r="BA5127" s="117"/>
    </row>
    <row r="5128" spans="1:63" x14ac:dyDescent="0.25">
      <c r="A5128" s="92"/>
      <c r="B5128" s="92"/>
      <c r="C5128" s="92"/>
      <c r="D5128" s="92"/>
      <c r="E5128" s="92"/>
      <c r="F5128" s="92"/>
      <c r="G5128" s="92"/>
      <c r="H5128" s="92"/>
      <c r="I5128" s="92"/>
      <c r="J5128" s="92"/>
      <c r="K5128" s="92"/>
      <c r="L5128" s="92"/>
      <c r="M5128" s="92"/>
      <c r="N5128" s="92"/>
      <c r="AG5128" s="107"/>
      <c r="AH5128" s="107"/>
      <c r="AI5128" s="107"/>
      <c r="AJ5128" s="107"/>
      <c r="AK5128" s="107"/>
      <c r="AL5128" s="107"/>
      <c r="AM5128" s="107"/>
      <c r="AN5128" s="107"/>
      <c r="AO5128" s="107"/>
      <c r="AP5128" s="107"/>
      <c r="AQ5128" s="107"/>
      <c r="AR5128" s="107"/>
      <c r="AS5128" s="107"/>
      <c r="AT5128" s="107"/>
      <c r="BA5128" s="117"/>
    </row>
    <row r="5129" spans="1:63" x14ac:dyDescent="0.25">
      <c r="A5129" s="92"/>
      <c r="B5129" s="93"/>
      <c r="C5129" s="93"/>
      <c r="D5129" s="92"/>
      <c r="E5129" s="92"/>
      <c r="F5129" s="92"/>
      <c r="G5129" s="92"/>
      <c r="H5129" s="92"/>
      <c r="I5129" s="92"/>
      <c r="J5129" s="92"/>
      <c r="K5129" s="92"/>
      <c r="L5129" s="92"/>
      <c r="M5129" s="92"/>
      <c r="N5129" s="94"/>
      <c r="AG5129" s="107"/>
      <c r="AH5129" s="117"/>
      <c r="AI5129" s="107"/>
      <c r="AJ5129" s="117"/>
      <c r="AK5129" s="107"/>
      <c r="AL5129" s="107"/>
      <c r="AM5129" s="107"/>
      <c r="AN5129" s="107"/>
      <c r="AO5129" s="107"/>
      <c r="AP5129" s="107"/>
      <c r="AQ5129" s="107"/>
      <c r="AR5129" s="107"/>
      <c r="AS5129" s="107"/>
      <c r="AT5129" s="39"/>
      <c r="AZ5129" s="117"/>
      <c r="BK5129" s="39"/>
    </row>
    <row r="5130" spans="1:63" x14ac:dyDescent="0.25">
      <c r="A5130" s="92"/>
      <c r="B5130" s="93"/>
      <c r="C5130" s="93"/>
      <c r="D5130" s="92"/>
      <c r="E5130" s="92"/>
      <c r="F5130" s="92"/>
      <c r="G5130" s="92"/>
      <c r="H5130" s="92"/>
      <c r="I5130" s="92"/>
      <c r="J5130" s="92"/>
      <c r="K5130" s="92"/>
      <c r="L5130" s="92"/>
      <c r="M5130" s="92"/>
      <c r="N5130" s="94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AQ5130" s="107"/>
      <c r="AR5130" s="107"/>
      <c r="AS5130" s="107"/>
      <c r="AT5130" s="107"/>
      <c r="AZ5130" s="117"/>
      <c r="BK5130" s="39"/>
    </row>
    <row r="5131" spans="1:63" x14ac:dyDescent="0.25">
      <c r="A5131" s="92"/>
      <c r="B5131" s="93"/>
      <c r="C5131" s="93"/>
      <c r="D5131" s="92"/>
      <c r="E5131" s="92"/>
      <c r="F5131" s="92"/>
      <c r="G5131" s="92"/>
      <c r="H5131" s="92"/>
      <c r="I5131" s="92"/>
      <c r="J5131" s="92"/>
      <c r="K5131" s="92"/>
      <c r="L5131" s="92"/>
      <c r="M5131" s="92"/>
      <c r="N5131" s="94"/>
      <c r="AG5131" s="107"/>
      <c r="AH5131" s="107"/>
      <c r="AI5131" s="107"/>
      <c r="AJ5131" s="107"/>
      <c r="AK5131" s="107"/>
      <c r="AL5131" s="107"/>
      <c r="AM5131" s="107"/>
      <c r="AN5131" s="107"/>
      <c r="AO5131" s="107"/>
      <c r="AP5131" s="107"/>
      <c r="AQ5131" s="107"/>
      <c r="AR5131" s="107"/>
      <c r="AS5131" s="107"/>
      <c r="AT5131" s="107"/>
      <c r="AZ5131" s="117"/>
      <c r="BA5131" s="117"/>
      <c r="BK5131" s="39"/>
    </row>
    <row r="5132" spans="1:63" x14ac:dyDescent="0.25">
      <c r="A5132" s="92"/>
      <c r="B5132" s="93"/>
      <c r="C5132" s="93"/>
      <c r="D5132" s="92"/>
      <c r="E5132" s="92"/>
      <c r="F5132" s="92"/>
      <c r="G5132" s="92"/>
      <c r="H5132" s="92"/>
      <c r="I5132" s="92"/>
      <c r="J5132" s="92"/>
      <c r="K5132" s="92"/>
      <c r="L5132" s="92"/>
      <c r="M5132" s="92"/>
      <c r="N5132" s="94"/>
      <c r="AG5132" s="107"/>
      <c r="AH5132" s="107"/>
      <c r="AI5132" s="107"/>
      <c r="AJ5132" s="107"/>
      <c r="AK5132" s="107"/>
      <c r="AL5132" s="107"/>
      <c r="AM5132" s="107"/>
      <c r="AN5132" s="107"/>
      <c r="AO5132" s="107"/>
      <c r="AP5132" s="107"/>
      <c r="AQ5132" s="107"/>
      <c r="AR5132" s="107"/>
      <c r="AS5132" s="107"/>
      <c r="AT5132" s="107"/>
      <c r="AZ5132" s="117"/>
      <c r="BK5132" s="39"/>
    </row>
    <row r="5133" spans="1:63" x14ac:dyDescent="0.25">
      <c r="A5133" s="92"/>
      <c r="B5133" s="93"/>
      <c r="C5133" s="93"/>
      <c r="D5133" s="92"/>
      <c r="E5133" s="92"/>
      <c r="F5133" s="92"/>
      <c r="G5133" s="92"/>
      <c r="H5133" s="92"/>
      <c r="I5133" s="92"/>
      <c r="J5133" s="92"/>
      <c r="K5133" s="92"/>
      <c r="L5133" s="92"/>
      <c r="M5133" s="92"/>
      <c r="N5133" s="94"/>
      <c r="AG5133" s="107"/>
      <c r="AH5133" s="107"/>
      <c r="AI5133" s="107"/>
      <c r="AJ5133" s="107"/>
      <c r="AK5133" s="107"/>
      <c r="AL5133" s="107"/>
      <c r="AM5133" s="107"/>
      <c r="AN5133" s="107"/>
      <c r="AO5133" s="107"/>
      <c r="AP5133" s="107"/>
      <c r="AQ5133" s="107"/>
      <c r="AR5133" s="107"/>
      <c r="AS5133" s="107"/>
      <c r="AT5133" s="107"/>
      <c r="AZ5133" s="117"/>
      <c r="BA5133" s="117"/>
      <c r="BK5133" s="39"/>
    </row>
    <row r="5134" spans="1:63" x14ac:dyDescent="0.25">
      <c r="A5134" s="92"/>
      <c r="B5134" s="93"/>
      <c r="C5134" s="93"/>
      <c r="D5134" s="92"/>
      <c r="E5134" s="92"/>
      <c r="F5134" s="92"/>
      <c r="G5134" s="92"/>
      <c r="H5134" s="92"/>
      <c r="I5134" s="92"/>
      <c r="J5134" s="92"/>
      <c r="K5134" s="92"/>
      <c r="L5134" s="92"/>
      <c r="M5134" s="92"/>
      <c r="N5134" s="94"/>
      <c r="AG5134" s="107"/>
      <c r="AH5134" s="107"/>
      <c r="AI5134" s="107"/>
      <c r="AJ5134" s="107"/>
      <c r="AK5134" s="107"/>
      <c r="AL5134" s="107"/>
      <c r="AM5134" s="107"/>
      <c r="AN5134" s="107"/>
      <c r="AO5134" s="107"/>
      <c r="AP5134" s="107"/>
      <c r="AQ5134" s="107"/>
      <c r="AR5134" s="107"/>
      <c r="AS5134" s="107"/>
      <c r="AT5134" s="107"/>
      <c r="AZ5134" s="117"/>
      <c r="BA5134" s="117"/>
      <c r="BK5134" s="39"/>
    </row>
    <row r="5135" spans="1:63" x14ac:dyDescent="0.25">
      <c r="A5135" s="92"/>
      <c r="B5135" s="93"/>
      <c r="C5135" s="93"/>
      <c r="D5135" s="92"/>
      <c r="E5135" s="92"/>
      <c r="F5135" s="92"/>
      <c r="G5135" s="92"/>
      <c r="H5135" s="92"/>
      <c r="I5135" s="92"/>
      <c r="J5135" s="92"/>
      <c r="K5135" s="92"/>
      <c r="L5135" s="92"/>
      <c r="M5135" s="92"/>
      <c r="N5135" s="94"/>
      <c r="AG5135" s="107"/>
      <c r="AH5135" s="117"/>
      <c r="AI5135" s="107"/>
      <c r="AJ5135" s="117"/>
      <c r="AK5135" s="107"/>
      <c r="AL5135" s="107"/>
      <c r="AM5135" s="107"/>
      <c r="AN5135" s="107"/>
      <c r="AO5135" s="107"/>
      <c r="AP5135" s="107"/>
      <c r="AQ5135" s="107"/>
      <c r="AR5135" s="107"/>
      <c r="AS5135" s="107"/>
      <c r="AT5135" s="39"/>
      <c r="BA5135" s="117"/>
    </row>
    <row r="5136" spans="1:63" x14ac:dyDescent="0.25">
      <c r="A5136" s="92"/>
      <c r="B5136" s="93"/>
      <c r="C5136" s="93"/>
      <c r="D5136" s="92"/>
      <c r="E5136" s="92"/>
      <c r="F5136" s="92"/>
      <c r="G5136" s="92"/>
      <c r="H5136" s="92"/>
      <c r="I5136" s="92"/>
      <c r="J5136" s="92"/>
      <c r="K5136" s="92"/>
      <c r="L5136" s="92"/>
      <c r="M5136" s="92"/>
      <c r="N5136" s="94"/>
      <c r="AG5136" s="107"/>
      <c r="AH5136" s="117"/>
      <c r="AI5136" s="107"/>
      <c r="AJ5136" s="117"/>
      <c r="AK5136" s="107"/>
      <c r="AL5136" s="107"/>
      <c r="AM5136" s="107"/>
      <c r="AN5136" s="107"/>
      <c r="AO5136" s="107"/>
      <c r="AP5136" s="107"/>
      <c r="AQ5136" s="107"/>
      <c r="AR5136" s="107"/>
      <c r="AS5136" s="107"/>
      <c r="AT5136" s="39"/>
      <c r="AZ5136" s="117"/>
      <c r="BA5136" s="117"/>
      <c r="BK5136" s="39"/>
    </row>
    <row r="5137" spans="1:63" x14ac:dyDescent="0.25">
      <c r="A5137" s="92"/>
      <c r="B5137" s="93"/>
      <c r="C5137" s="93"/>
      <c r="D5137" s="92"/>
      <c r="E5137" s="92"/>
      <c r="F5137" s="92"/>
      <c r="G5137" s="92"/>
      <c r="H5137" s="92"/>
      <c r="I5137" s="92"/>
      <c r="J5137" s="92"/>
      <c r="K5137" s="92"/>
      <c r="L5137" s="92"/>
      <c r="M5137" s="92"/>
      <c r="N5137" s="94"/>
      <c r="AG5137" s="107"/>
      <c r="AH5137" s="107"/>
      <c r="AI5137" s="107"/>
      <c r="AJ5137" s="107"/>
      <c r="AK5137" s="107"/>
      <c r="AL5137" s="107"/>
      <c r="AM5137" s="107"/>
      <c r="AN5137" s="107"/>
      <c r="AO5137" s="107"/>
      <c r="AP5137" s="107"/>
      <c r="AQ5137" s="107"/>
      <c r="AR5137" s="107"/>
      <c r="AS5137" s="107"/>
      <c r="AT5137" s="107"/>
      <c r="BA5137" s="117"/>
    </row>
    <row r="5138" spans="1:63" x14ac:dyDescent="0.25">
      <c r="A5138" s="92"/>
      <c r="B5138" s="93"/>
      <c r="C5138" s="93"/>
      <c r="D5138" s="92"/>
      <c r="E5138" s="92"/>
      <c r="F5138" s="92"/>
      <c r="G5138" s="92"/>
      <c r="H5138" s="92"/>
      <c r="I5138" s="92"/>
      <c r="J5138" s="92"/>
      <c r="K5138" s="92"/>
      <c r="L5138" s="92"/>
      <c r="M5138" s="92"/>
      <c r="N5138" s="94"/>
      <c r="AG5138" s="107"/>
      <c r="AH5138" s="107"/>
      <c r="AI5138" s="107"/>
      <c r="AJ5138" s="107"/>
      <c r="AK5138" s="107"/>
      <c r="AL5138" s="107"/>
      <c r="AM5138" s="107"/>
      <c r="AN5138" s="107"/>
      <c r="AO5138" s="107"/>
      <c r="AP5138" s="107"/>
      <c r="AQ5138" s="107"/>
      <c r="AR5138" s="107"/>
      <c r="AS5138" s="107"/>
      <c r="AT5138" s="107"/>
      <c r="BA5138" s="117"/>
    </row>
    <row r="5139" spans="1:63" x14ac:dyDescent="0.25">
      <c r="A5139" s="92"/>
      <c r="B5139" s="93"/>
      <c r="C5139" s="93"/>
      <c r="D5139" s="92"/>
      <c r="E5139" s="92"/>
      <c r="F5139" s="92"/>
      <c r="G5139" s="92"/>
      <c r="H5139" s="92"/>
      <c r="I5139" s="92"/>
      <c r="J5139" s="92"/>
      <c r="K5139" s="92"/>
      <c r="L5139" s="92"/>
      <c r="M5139" s="92"/>
      <c r="N5139" s="94"/>
      <c r="AG5139" s="107"/>
      <c r="AH5139" s="107"/>
      <c r="AI5139" s="107"/>
      <c r="AJ5139" s="107"/>
      <c r="AK5139" s="107"/>
      <c r="AL5139" s="107"/>
      <c r="AM5139" s="107"/>
      <c r="AN5139" s="107"/>
      <c r="AO5139" s="107"/>
      <c r="AP5139" s="107"/>
      <c r="AQ5139" s="107"/>
      <c r="AR5139" s="107"/>
      <c r="AS5139" s="107"/>
      <c r="AT5139" s="107"/>
      <c r="BA5139" s="117"/>
    </row>
    <row r="5140" spans="1:63" x14ac:dyDescent="0.25">
      <c r="A5140" s="92"/>
      <c r="B5140" s="93"/>
      <c r="C5140" s="93"/>
      <c r="D5140" s="92"/>
      <c r="E5140" s="92"/>
      <c r="F5140" s="92"/>
      <c r="G5140" s="92"/>
      <c r="H5140" s="92"/>
      <c r="I5140" s="92"/>
      <c r="J5140" s="92"/>
      <c r="K5140" s="92"/>
      <c r="L5140" s="92"/>
      <c r="M5140" s="92"/>
      <c r="N5140" s="94"/>
      <c r="AG5140" s="107"/>
      <c r="AH5140" s="107"/>
      <c r="AI5140" s="107"/>
      <c r="AJ5140" s="107"/>
      <c r="AK5140" s="107"/>
      <c r="AL5140" s="107"/>
      <c r="AM5140" s="107"/>
      <c r="AN5140" s="107"/>
      <c r="AO5140" s="107"/>
      <c r="AP5140" s="107"/>
      <c r="AQ5140" s="107"/>
      <c r="AR5140" s="107"/>
      <c r="AS5140" s="107"/>
      <c r="AT5140" s="107"/>
      <c r="BA5140" s="117"/>
    </row>
    <row r="5141" spans="1:63" x14ac:dyDescent="0.25">
      <c r="A5141" s="92"/>
      <c r="B5141" s="93"/>
      <c r="C5141" s="93"/>
      <c r="D5141" s="92"/>
      <c r="E5141" s="92"/>
      <c r="F5141" s="92"/>
      <c r="G5141" s="92"/>
      <c r="H5141" s="92"/>
      <c r="I5141" s="92"/>
      <c r="J5141" s="92"/>
      <c r="K5141" s="92"/>
      <c r="L5141" s="92"/>
      <c r="M5141" s="92"/>
      <c r="N5141" s="94"/>
      <c r="AG5141" s="107"/>
      <c r="AH5141" s="107"/>
      <c r="AI5141" s="107"/>
      <c r="AJ5141" s="107"/>
      <c r="AK5141" s="107"/>
      <c r="AL5141" s="107"/>
      <c r="AM5141" s="107"/>
      <c r="AN5141" s="107"/>
      <c r="AO5141" s="107"/>
      <c r="AP5141" s="107"/>
      <c r="AQ5141" s="107"/>
      <c r="AR5141" s="107"/>
      <c r="AS5141" s="107"/>
      <c r="AT5141" s="107"/>
      <c r="AZ5141" s="117"/>
      <c r="BK5141" s="39"/>
    </row>
    <row r="5142" spans="1:63" x14ac:dyDescent="0.25">
      <c r="A5142" s="92"/>
      <c r="B5142" s="93"/>
      <c r="C5142" s="93"/>
      <c r="D5142" s="92"/>
      <c r="E5142" s="92"/>
      <c r="F5142" s="92"/>
      <c r="G5142" s="92"/>
      <c r="H5142" s="92"/>
      <c r="I5142" s="92"/>
      <c r="J5142" s="92"/>
      <c r="K5142" s="92"/>
      <c r="L5142" s="92"/>
      <c r="M5142" s="92"/>
      <c r="N5142" s="94"/>
      <c r="AG5142" s="107"/>
      <c r="AH5142" s="107"/>
      <c r="AI5142" s="107"/>
      <c r="AJ5142" s="107"/>
      <c r="AK5142" s="107"/>
      <c r="AL5142" s="107"/>
      <c r="AM5142" s="107"/>
      <c r="AN5142" s="107"/>
      <c r="AO5142" s="107"/>
      <c r="AP5142" s="107"/>
      <c r="AQ5142" s="107"/>
      <c r="AR5142" s="107"/>
      <c r="AS5142" s="107"/>
      <c r="AT5142" s="107"/>
      <c r="AZ5142" s="117"/>
      <c r="BA5142" s="117"/>
      <c r="BK5142" s="39"/>
    </row>
    <row r="5143" spans="1:63" x14ac:dyDescent="0.25">
      <c r="A5143" s="92"/>
      <c r="B5143" s="93"/>
      <c r="C5143" s="93"/>
      <c r="D5143" s="92"/>
      <c r="E5143" s="92"/>
      <c r="F5143" s="92"/>
      <c r="G5143" s="92"/>
      <c r="H5143" s="92"/>
      <c r="I5143" s="92"/>
      <c r="J5143" s="92"/>
      <c r="K5143" s="92"/>
      <c r="L5143" s="92"/>
      <c r="M5143" s="92"/>
      <c r="N5143" s="94"/>
      <c r="AG5143" s="107"/>
      <c r="AH5143" s="107"/>
      <c r="AI5143" s="107"/>
      <c r="AJ5143" s="107"/>
      <c r="AK5143" s="107"/>
      <c r="AL5143" s="107"/>
      <c r="AM5143" s="107"/>
      <c r="AN5143" s="107"/>
      <c r="AO5143" s="107"/>
      <c r="AP5143" s="107"/>
      <c r="AQ5143" s="107"/>
      <c r="AR5143" s="107"/>
      <c r="AS5143" s="107"/>
      <c r="AT5143" s="107"/>
      <c r="AZ5143" s="117"/>
      <c r="BA5143" s="117"/>
      <c r="BK5143" s="39"/>
    </row>
    <row r="5144" spans="1:63" x14ac:dyDescent="0.25">
      <c r="A5144" s="92"/>
      <c r="B5144" s="93"/>
      <c r="C5144" s="93"/>
      <c r="D5144" s="92"/>
      <c r="E5144" s="92"/>
      <c r="F5144" s="92"/>
      <c r="G5144" s="92"/>
      <c r="H5144" s="92"/>
      <c r="I5144" s="92"/>
      <c r="J5144" s="92"/>
      <c r="K5144" s="92"/>
      <c r="L5144" s="92"/>
      <c r="M5144" s="92"/>
      <c r="N5144" s="94"/>
      <c r="AG5144" s="107"/>
      <c r="AH5144" s="117"/>
      <c r="AI5144" s="107"/>
      <c r="AJ5144" s="117"/>
      <c r="AK5144" s="107"/>
      <c r="AL5144" s="107"/>
      <c r="AM5144" s="107"/>
      <c r="AN5144" s="107"/>
      <c r="AO5144" s="107"/>
      <c r="AP5144" s="107"/>
      <c r="AQ5144" s="107"/>
      <c r="AR5144" s="107"/>
      <c r="AS5144" s="107"/>
      <c r="AT5144" s="39"/>
    </row>
    <row r="5145" spans="1:63" x14ac:dyDescent="0.25">
      <c r="A5145" s="92"/>
      <c r="B5145" s="93"/>
      <c r="C5145" s="93"/>
      <c r="D5145" s="93"/>
      <c r="E5145" s="92"/>
      <c r="F5145" s="92"/>
      <c r="G5145" s="92"/>
      <c r="H5145" s="92"/>
      <c r="I5145" s="92"/>
      <c r="J5145" s="92"/>
      <c r="K5145" s="92"/>
      <c r="L5145" s="92"/>
      <c r="M5145" s="92"/>
      <c r="N5145" s="94"/>
      <c r="AG5145" s="107"/>
      <c r="AH5145" s="107"/>
      <c r="AI5145" s="107"/>
      <c r="AJ5145" s="107"/>
      <c r="AK5145" s="107"/>
      <c r="AL5145" s="107"/>
      <c r="AM5145" s="107"/>
      <c r="AN5145" s="107"/>
      <c r="AO5145" s="107"/>
      <c r="AP5145" s="107"/>
      <c r="AQ5145" s="107"/>
      <c r="AR5145" s="107"/>
      <c r="AS5145" s="107"/>
      <c r="AT5145" s="107"/>
    </row>
    <row r="5146" spans="1:63" x14ac:dyDescent="0.25">
      <c r="A5146" s="92"/>
      <c r="B5146" s="92"/>
      <c r="C5146" s="92"/>
      <c r="D5146" s="93"/>
      <c r="E5146" s="92"/>
      <c r="F5146" s="92"/>
      <c r="G5146" s="92"/>
      <c r="H5146" s="92"/>
      <c r="I5146" s="92"/>
      <c r="J5146" s="92"/>
      <c r="K5146" s="92"/>
      <c r="L5146" s="92"/>
      <c r="M5146" s="92"/>
      <c r="N5146" s="92"/>
      <c r="AG5146" s="107"/>
      <c r="AH5146" s="107"/>
      <c r="AI5146" s="107"/>
      <c r="AJ5146" s="107"/>
      <c r="AK5146" s="107"/>
      <c r="AL5146" s="107"/>
      <c r="AM5146" s="107"/>
      <c r="AN5146" s="107"/>
      <c r="AO5146" s="107"/>
      <c r="AP5146" s="107"/>
      <c r="AQ5146" s="107"/>
      <c r="AR5146" s="107"/>
      <c r="AS5146" s="107"/>
      <c r="AT5146" s="107"/>
    </row>
    <row r="5147" spans="1:63" x14ac:dyDescent="0.25">
      <c r="A5147" s="92"/>
      <c r="B5147" s="93"/>
      <c r="C5147" s="93"/>
      <c r="D5147" s="92"/>
      <c r="E5147" s="92"/>
      <c r="F5147" s="92"/>
      <c r="G5147" s="92"/>
      <c r="H5147" s="92"/>
      <c r="I5147" s="92"/>
      <c r="J5147" s="92"/>
      <c r="K5147" s="92"/>
      <c r="L5147" s="92"/>
      <c r="M5147" s="92"/>
      <c r="N5147" s="94"/>
      <c r="AG5147" s="107"/>
      <c r="AH5147" s="107"/>
      <c r="AI5147" s="107"/>
      <c r="AJ5147" s="107"/>
      <c r="AK5147" s="107"/>
      <c r="AL5147" s="107"/>
      <c r="AM5147" s="107"/>
      <c r="AN5147" s="107"/>
      <c r="AO5147" s="107"/>
      <c r="AP5147" s="107"/>
      <c r="AQ5147" s="107"/>
      <c r="AR5147" s="107"/>
      <c r="AS5147" s="107"/>
      <c r="AT5147" s="107"/>
    </row>
    <row r="5148" spans="1:63" x14ac:dyDescent="0.25">
      <c r="A5148" s="92"/>
      <c r="B5148" s="93"/>
      <c r="C5148" s="93"/>
      <c r="D5148" s="93"/>
      <c r="E5148" s="92"/>
      <c r="F5148" s="92"/>
      <c r="G5148" s="92"/>
      <c r="H5148" s="92"/>
      <c r="I5148" s="92"/>
      <c r="J5148" s="92"/>
      <c r="K5148" s="92"/>
      <c r="L5148" s="92"/>
      <c r="M5148" s="92"/>
      <c r="N5148" s="94"/>
      <c r="AG5148" s="107"/>
      <c r="AH5148" s="107"/>
      <c r="AI5148" s="107"/>
      <c r="AJ5148" s="107"/>
      <c r="AK5148" s="107"/>
      <c r="AL5148" s="107"/>
      <c r="AM5148" s="107"/>
      <c r="AN5148" s="107"/>
      <c r="AO5148" s="107"/>
      <c r="AP5148" s="107"/>
      <c r="AQ5148" s="107"/>
      <c r="AR5148" s="107"/>
      <c r="AS5148" s="107"/>
      <c r="AT5148" s="107"/>
    </row>
    <row r="5149" spans="1:63" x14ac:dyDescent="0.25">
      <c r="A5149" s="92"/>
      <c r="B5149" s="92"/>
      <c r="C5149" s="92"/>
      <c r="D5149" s="93"/>
      <c r="E5149" s="92"/>
      <c r="F5149" s="92"/>
      <c r="G5149" s="92"/>
      <c r="H5149" s="92"/>
      <c r="I5149" s="92"/>
      <c r="J5149" s="92"/>
      <c r="K5149" s="92"/>
      <c r="L5149" s="92"/>
      <c r="M5149" s="92"/>
      <c r="N5149" s="92"/>
      <c r="AG5149" s="107"/>
      <c r="AH5149" s="107"/>
      <c r="AI5149" s="107"/>
      <c r="AJ5149" s="107"/>
      <c r="AK5149" s="107"/>
      <c r="AL5149" s="107"/>
      <c r="AM5149" s="107"/>
      <c r="AN5149" s="107"/>
      <c r="AO5149" s="107"/>
      <c r="AP5149" s="107"/>
      <c r="AQ5149" s="107"/>
      <c r="AR5149" s="107"/>
      <c r="AS5149" s="107"/>
      <c r="AT5149" s="107"/>
    </row>
    <row r="5150" spans="1:63" x14ac:dyDescent="0.25">
      <c r="A5150" s="92"/>
      <c r="B5150" s="92"/>
      <c r="C5150" s="92"/>
      <c r="D5150" s="93"/>
      <c r="E5150" s="92"/>
      <c r="F5150" s="92"/>
      <c r="G5150" s="92"/>
      <c r="H5150" s="92"/>
      <c r="I5150" s="92"/>
      <c r="J5150" s="92"/>
      <c r="K5150" s="92"/>
      <c r="L5150" s="92"/>
      <c r="M5150" s="92"/>
      <c r="N5150" s="92"/>
      <c r="AG5150" s="107"/>
      <c r="AH5150" s="107"/>
      <c r="AI5150" s="107"/>
      <c r="AJ5150" s="107"/>
      <c r="AK5150" s="107"/>
      <c r="AL5150" s="107"/>
      <c r="AM5150" s="107"/>
      <c r="AN5150" s="107"/>
      <c r="AO5150" s="107"/>
      <c r="AP5150" s="107"/>
      <c r="AQ5150" s="107"/>
      <c r="AR5150" s="107"/>
      <c r="AS5150" s="107"/>
      <c r="AT5150" s="107"/>
      <c r="AZ5150" s="117"/>
      <c r="BK5150" s="39"/>
    </row>
    <row r="5151" spans="1:63" x14ac:dyDescent="0.25">
      <c r="A5151" s="92"/>
      <c r="B5151" s="92"/>
      <c r="C5151" s="92"/>
      <c r="D5151" s="92"/>
      <c r="E5151" s="92"/>
      <c r="F5151" s="92"/>
      <c r="G5151" s="92"/>
      <c r="H5151" s="92"/>
      <c r="I5151" s="92"/>
      <c r="J5151" s="92"/>
      <c r="K5151" s="92"/>
      <c r="L5151" s="92"/>
      <c r="M5151" s="92"/>
      <c r="N5151" s="92"/>
      <c r="AG5151" s="107"/>
      <c r="AH5151" s="107"/>
      <c r="AI5151" s="107"/>
      <c r="AJ5151" s="107"/>
      <c r="AK5151" s="107"/>
      <c r="AL5151" s="107"/>
      <c r="AM5151" s="107"/>
      <c r="AN5151" s="107"/>
      <c r="AO5151" s="107"/>
      <c r="AP5151" s="107"/>
      <c r="AQ5151" s="107"/>
      <c r="AR5151" s="107"/>
      <c r="AS5151" s="107"/>
      <c r="AT5151" s="107"/>
      <c r="AZ5151" s="117"/>
      <c r="BK5151" s="39"/>
    </row>
    <row r="5152" spans="1:63" x14ac:dyDescent="0.25">
      <c r="A5152" s="92"/>
      <c r="B5152" s="92"/>
      <c r="C5152" s="92"/>
      <c r="D5152" s="92"/>
      <c r="E5152" s="92"/>
      <c r="F5152" s="92"/>
      <c r="G5152" s="92"/>
      <c r="H5152" s="92"/>
      <c r="I5152" s="92"/>
      <c r="J5152" s="92"/>
      <c r="K5152" s="92"/>
      <c r="L5152" s="92"/>
      <c r="M5152" s="92"/>
      <c r="N5152" s="92"/>
      <c r="AG5152" s="107"/>
      <c r="AH5152" s="107"/>
      <c r="AI5152" s="107"/>
      <c r="AJ5152" s="107"/>
      <c r="AK5152" s="107"/>
      <c r="AL5152" s="107"/>
      <c r="AM5152" s="107"/>
      <c r="AN5152" s="107"/>
      <c r="AO5152" s="107"/>
      <c r="AP5152" s="107"/>
      <c r="AQ5152" s="107"/>
      <c r="AR5152" s="107"/>
      <c r="AS5152" s="107"/>
      <c r="AT5152" s="107"/>
      <c r="AZ5152" s="117"/>
      <c r="BA5152" s="117"/>
      <c r="BK5152" s="39"/>
    </row>
    <row r="5153" spans="1:63" x14ac:dyDescent="0.25">
      <c r="A5153" s="92"/>
      <c r="B5153" s="93"/>
      <c r="C5153" s="93"/>
      <c r="D5153" s="92"/>
      <c r="E5153" s="92"/>
      <c r="F5153" s="92"/>
      <c r="G5153" s="92"/>
      <c r="H5153" s="92"/>
      <c r="I5153" s="92"/>
      <c r="J5153" s="92"/>
      <c r="K5153" s="92"/>
      <c r="L5153" s="92"/>
      <c r="M5153" s="92"/>
      <c r="N5153" s="94"/>
      <c r="AG5153" s="107"/>
      <c r="AH5153" s="107"/>
      <c r="AI5153" s="107"/>
      <c r="AJ5153" s="107"/>
      <c r="AK5153" s="107"/>
      <c r="AL5153" s="107"/>
      <c r="AM5153" s="107"/>
      <c r="AN5153" s="107"/>
      <c r="AO5153" s="107"/>
      <c r="AP5153" s="107"/>
      <c r="AQ5153" s="107"/>
      <c r="AR5153" s="107"/>
      <c r="AS5153" s="107"/>
      <c r="AT5153" s="107"/>
      <c r="AZ5153" s="117"/>
      <c r="BK5153" s="39"/>
    </row>
    <row r="5154" spans="1:63" x14ac:dyDescent="0.25">
      <c r="A5154" s="92"/>
      <c r="B5154" s="92"/>
      <c r="C5154" s="92"/>
      <c r="D5154" s="92"/>
      <c r="E5154" s="92"/>
      <c r="F5154" s="92"/>
      <c r="G5154" s="92"/>
      <c r="H5154" s="92"/>
      <c r="I5154" s="92"/>
      <c r="J5154" s="92"/>
      <c r="K5154" s="92"/>
      <c r="L5154" s="92"/>
      <c r="M5154" s="92"/>
      <c r="N5154" s="92"/>
      <c r="AG5154" s="107"/>
      <c r="AH5154" s="107"/>
      <c r="AI5154" s="107"/>
      <c r="AJ5154" s="107"/>
      <c r="AK5154" s="107"/>
      <c r="AL5154" s="107"/>
      <c r="AM5154" s="107"/>
      <c r="AN5154" s="107"/>
      <c r="AO5154" s="107"/>
      <c r="AP5154" s="107"/>
      <c r="AQ5154" s="107"/>
      <c r="AR5154" s="107"/>
      <c r="AS5154" s="107"/>
      <c r="AT5154" s="107"/>
      <c r="AZ5154" s="117"/>
      <c r="BK5154" s="39"/>
    </row>
    <row r="5155" spans="1:63" x14ac:dyDescent="0.25">
      <c r="A5155" s="92"/>
      <c r="B5155" s="92"/>
      <c r="C5155" s="92"/>
      <c r="D5155" s="92"/>
      <c r="E5155" s="92"/>
      <c r="F5155" s="92"/>
      <c r="G5155" s="92"/>
      <c r="H5155" s="92"/>
      <c r="I5155" s="92"/>
      <c r="J5155" s="92"/>
      <c r="K5155" s="92"/>
      <c r="L5155" s="92"/>
      <c r="M5155" s="92"/>
      <c r="N5155" s="92"/>
      <c r="AG5155" s="107"/>
      <c r="AH5155" s="107"/>
      <c r="AI5155" s="107"/>
      <c r="AJ5155" s="107"/>
      <c r="AK5155" s="107"/>
      <c r="AL5155" s="107"/>
      <c r="AM5155" s="107"/>
      <c r="AN5155" s="107"/>
      <c r="AO5155" s="107"/>
      <c r="AP5155" s="107"/>
      <c r="AQ5155" s="107"/>
      <c r="AR5155" s="107"/>
      <c r="AS5155" s="107"/>
      <c r="AT5155" s="107"/>
      <c r="AZ5155" s="117"/>
      <c r="BA5155" s="117"/>
      <c r="BK5155" s="39"/>
    </row>
    <row r="5156" spans="1:63" x14ac:dyDescent="0.25">
      <c r="A5156" s="92"/>
      <c r="B5156" s="93"/>
      <c r="C5156" s="93"/>
      <c r="D5156" s="92"/>
      <c r="E5156" s="92"/>
      <c r="F5156" s="92"/>
      <c r="G5156" s="92"/>
      <c r="H5156" s="92"/>
      <c r="I5156" s="92"/>
      <c r="J5156" s="92"/>
      <c r="K5156" s="92"/>
      <c r="L5156" s="92"/>
      <c r="M5156" s="92"/>
      <c r="N5156" s="94"/>
      <c r="AG5156" s="107"/>
      <c r="AH5156" s="107"/>
      <c r="AI5156" s="107"/>
      <c r="AJ5156" s="107"/>
      <c r="AK5156" s="107"/>
      <c r="AL5156" s="107"/>
      <c r="AM5156" s="107"/>
      <c r="AN5156" s="107"/>
      <c r="AO5156" s="107"/>
      <c r="AP5156" s="107"/>
      <c r="AQ5156" s="107"/>
      <c r="AR5156" s="107"/>
      <c r="AS5156" s="107"/>
      <c r="AT5156" s="107"/>
      <c r="AZ5156" s="117"/>
      <c r="BK5156" s="39"/>
    </row>
    <row r="5157" spans="1:63" x14ac:dyDescent="0.25">
      <c r="A5157" s="92"/>
      <c r="B5157" s="93"/>
      <c r="C5157" s="93"/>
      <c r="D5157" s="92"/>
      <c r="E5157" s="92"/>
      <c r="F5157" s="92"/>
      <c r="G5157" s="92"/>
      <c r="H5157" s="92"/>
      <c r="I5157" s="92"/>
      <c r="J5157" s="92"/>
      <c r="K5157" s="92"/>
      <c r="L5157" s="92"/>
      <c r="M5157" s="92"/>
      <c r="N5157" s="94"/>
      <c r="AG5157" s="107"/>
      <c r="AH5157" s="107"/>
      <c r="AI5157" s="107"/>
      <c r="AJ5157" s="107"/>
      <c r="AK5157" s="107"/>
      <c r="AL5157" s="107"/>
      <c r="AM5157" s="107"/>
      <c r="AN5157" s="107"/>
      <c r="AO5157" s="107"/>
      <c r="AP5157" s="107"/>
      <c r="AQ5157" s="107"/>
      <c r="AR5157" s="107"/>
      <c r="AS5157" s="107"/>
      <c r="AT5157" s="107"/>
      <c r="AZ5157" s="117"/>
      <c r="BK5157" s="39"/>
    </row>
    <row r="5158" spans="1:63" x14ac:dyDescent="0.25">
      <c r="A5158" s="92"/>
      <c r="B5158" s="93"/>
      <c r="C5158" s="93"/>
      <c r="D5158" s="92"/>
      <c r="E5158" s="92"/>
      <c r="F5158" s="92"/>
      <c r="G5158" s="92"/>
      <c r="H5158" s="92"/>
      <c r="I5158" s="92"/>
      <c r="J5158" s="92"/>
      <c r="K5158" s="92"/>
      <c r="L5158" s="92"/>
      <c r="M5158" s="92"/>
      <c r="N5158" s="94"/>
      <c r="AG5158" s="107"/>
      <c r="AH5158" s="107"/>
      <c r="AI5158" s="107"/>
      <c r="AJ5158" s="107"/>
      <c r="AK5158" s="107"/>
      <c r="AL5158" s="107"/>
      <c r="AM5158" s="107"/>
      <c r="AN5158" s="107"/>
      <c r="AO5158" s="107"/>
      <c r="AP5158" s="107"/>
      <c r="AQ5158" s="107"/>
      <c r="AR5158" s="107"/>
      <c r="AS5158" s="107"/>
      <c r="AT5158" s="107"/>
      <c r="AZ5158" s="117"/>
      <c r="BK5158" s="39"/>
    </row>
    <row r="5159" spans="1:63" x14ac:dyDescent="0.25">
      <c r="A5159" s="92"/>
      <c r="B5159" s="93"/>
      <c r="C5159" s="93"/>
      <c r="D5159" s="92"/>
      <c r="E5159" s="92"/>
      <c r="F5159" s="92"/>
      <c r="G5159" s="92"/>
      <c r="H5159" s="92"/>
      <c r="I5159" s="92"/>
      <c r="J5159" s="92"/>
      <c r="K5159" s="92"/>
      <c r="L5159" s="92"/>
      <c r="M5159" s="92"/>
      <c r="N5159" s="94"/>
      <c r="AG5159" s="107"/>
      <c r="AH5159" s="107"/>
      <c r="AI5159" s="107"/>
      <c r="AJ5159" s="107"/>
      <c r="AK5159" s="107"/>
      <c r="AL5159" s="107"/>
      <c r="AM5159" s="107"/>
      <c r="AN5159" s="107"/>
      <c r="AO5159" s="107"/>
      <c r="AP5159" s="107"/>
      <c r="AQ5159" s="107"/>
      <c r="AR5159" s="107"/>
      <c r="AS5159" s="107"/>
      <c r="AT5159" s="107"/>
      <c r="AZ5159" s="117"/>
      <c r="BK5159" s="39"/>
    </row>
    <row r="5160" spans="1:63" x14ac:dyDescent="0.25">
      <c r="A5160" s="92"/>
      <c r="B5160" s="93"/>
      <c r="C5160" s="93"/>
      <c r="D5160" s="92"/>
      <c r="E5160" s="92"/>
      <c r="F5160" s="92"/>
      <c r="G5160" s="92"/>
      <c r="H5160" s="92"/>
      <c r="I5160" s="92"/>
      <c r="J5160" s="92"/>
      <c r="K5160" s="92"/>
      <c r="L5160" s="92"/>
      <c r="M5160" s="92"/>
      <c r="N5160" s="94"/>
      <c r="AG5160" s="107"/>
      <c r="AH5160" s="107"/>
      <c r="AI5160" s="107"/>
      <c r="AJ5160" s="107"/>
      <c r="AK5160" s="107"/>
      <c r="AL5160" s="107"/>
      <c r="AM5160" s="107"/>
      <c r="AN5160" s="107"/>
      <c r="AO5160" s="107"/>
      <c r="AP5160" s="107"/>
      <c r="AQ5160" s="107"/>
      <c r="AR5160" s="107"/>
      <c r="AS5160" s="107"/>
      <c r="AT5160" s="107"/>
      <c r="AZ5160" s="117"/>
      <c r="BK5160" s="39"/>
    </row>
    <row r="5161" spans="1:63" x14ac:dyDescent="0.25">
      <c r="A5161" s="92"/>
      <c r="B5161" s="93"/>
      <c r="C5161" s="93"/>
      <c r="D5161" s="92"/>
      <c r="E5161" s="92"/>
      <c r="F5161" s="92"/>
      <c r="G5161" s="92"/>
      <c r="H5161" s="92"/>
      <c r="I5161" s="92"/>
      <c r="J5161" s="92"/>
      <c r="K5161" s="92"/>
      <c r="L5161" s="92"/>
      <c r="M5161" s="92"/>
      <c r="N5161" s="94"/>
      <c r="AG5161" s="107"/>
      <c r="AH5161" s="107"/>
      <c r="AI5161" s="107"/>
      <c r="AJ5161" s="107"/>
      <c r="AK5161" s="107"/>
      <c r="AL5161" s="107"/>
      <c r="AM5161" s="107"/>
      <c r="AN5161" s="107"/>
      <c r="AO5161" s="107"/>
      <c r="AP5161" s="107"/>
      <c r="AQ5161" s="107"/>
      <c r="AR5161" s="107"/>
      <c r="AS5161" s="107"/>
      <c r="AT5161" s="107"/>
      <c r="AZ5161" s="117"/>
      <c r="BK5161" s="39"/>
    </row>
    <row r="5162" spans="1:63" x14ac:dyDescent="0.25">
      <c r="A5162" s="92"/>
      <c r="B5162" s="93"/>
      <c r="C5162" s="93"/>
      <c r="D5162" s="92"/>
      <c r="E5162" s="92"/>
      <c r="F5162" s="92"/>
      <c r="G5162" s="92"/>
      <c r="H5162" s="92"/>
      <c r="I5162" s="92"/>
      <c r="J5162" s="92"/>
      <c r="K5162" s="92"/>
      <c r="L5162" s="92"/>
      <c r="M5162" s="92"/>
      <c r="N5162" s="94"/>
      <c r="AG5162" s="107"/>
      <c r="AH5162" s="117"/>
      <c r="AI5162" s="107"/>
      <c r="AJ5162" s="117"/>
      <c r="AK5162" s="107"/>
      <c r="AL5162" s="107"/>
      <c r="AM5162" s="107"/>
      <c r="AN5162" s="107"/>
      <c r="AO5162" s="107"/>
      <c r="AP5162" s="107"/>
      <c r="AQ5162" s="107"/>
      <c r="AR5162" s="107"/>
      <c r="AS5162" s="107"/>
      <c r="AT5162" s="39"/>
      <c r="AZ5162" s="117"/>
      <c r="BK5162" s="39"/>
    </row>
    <row r="5163" spans="1:63" x14ac:dyDescent="0.25">
      <c r="A5163" s="92"/>
      <c r="B5163" s="93"/>
      <c r="C5163" s="93"/>
      <c r="D5163" s="92"/>
      <c r="E5163" s="92"/>
      <c r="F5163" s="92"/>
      <c r="G5163" s="92"/>
      <c r="H5163" s="92"/>
      <c r="I5163" s="92"/>
      <c r="J5163" s="92"/>
      <c r="K5163" s="92"/>
      <c r="L5163" s="92"/>
      <c r="M5163" s="92"/>
      <c r="N5163" s="94"/>
      <c r="AG5163" s="107"/>
      <c r="AH5163" s="107"/>
      <c r="AI5163" s="107"/>
      <c r="AJ5163" s="107"/>
      <c r="AK5163" s="107"/>
      <c r="AL5163" s="107"/>
      <c r="AM5163" s="107"/>
      <c r="AN5163" s="107"/>
      <c r="AO5163" s="107"/>
      <c r="AP5163" s="107"/>
      <c r="AQ5163" s="107"/>
      <c r="AR5163" s="107"/>
      <c r="AS5163" s="107"/>
      <c r="AT5163" s="107"/>
      <c r="AZ5163" s="117"/>
      <c r="BA5163" s="117"/>
      <c r="BK5163" s="39"/>
    </row>
    <row r="5164" spans="1:63" x14ac:dyDescent="0.25">
      <c r="A5164" s="92"/>
      <c r="B5164" s="92"/>
      <c r="C5164" s="92"/>
      <c r="D5164" s="92"/>
      <c r="E5164" s="92"/>
      <c r="F5164" s="92"/>
      <c r="G5164" s="92"/>
      <c r="H5164" s="92"/>
      <c r="I5164" s="92"/>
      <c r="J5164" s="92"/>
      <c r="K5164" s="92"/>
      <c r="L5164" s="92"/>
      <c r="M5164" s="92"/>
      <c r="N5164" s="92"/>
      <c r="AG5164" s="107"/>
      <c r="AH5164" s="107"/>
      <c r="AI5164" s="107"/>
      <c r="AJ5164" s="107"/>
      <c r="AK5164" s="107"/>
      <c r="AL5164" s="107"/>
      <c r="AM5164" s="107"/>
      <c r="AN5164" s="107"/>
      <c r="AO5164" s="107"/>
      <c r="AP5164" s="107"/>
      <c r="AQ5164" s="107"/>
      <c r="AR5164" s="107"/>
      <c r="AS5164" s="107"/>
      <c r="AT5164" s="107"/>
      <c r="AZ5164" s="117"/>
      <c r="BA5164" s="117"/>
      <c r="BK5164" s="39"/>
    </row>
    <row r="5165" spans="1:63" x14ac:dyDescent="0.25">
      <c r="A5165" s="92"/>
      <c r="B5165" s="93"/>
      <c r="C5165" s="93"/>
      <c r="D5165" s="92"/>
      <c r="E5165" s="92"/>
      <c r="F5165" s="92"/>
      <c r="G5165" s="92"/>
      <c r="H5165" s="92"/>
      <c r="I5165" s="92"/>
      <c r="J5165" s="92"/>
      <c r="K5165" s="92"/>
      <c r="L5165" s="92"/>
      <c r="M5165" s="92"/>
      <c r="N5165" s="94"/>
      <c r="AG5165" s="107"/>
      <c r="AH5165" s="117"/>
      <c r="AI5165" s="107"/>
      <c r="AJ5165" s="117"/>
      <c r="AK5165" s="107"/>
      <c r="AL5165" s="107"/>
      <c r="AM5165" s="107"/>
      <c r="AN5165" s="107"/>
      <c r="AO5165" s="107"/>
      <c r="AP5165" s="107"/>
      <c r="AQ5165" s="107"/>
      <c r="AR5165" s="107"/>
      <c r="AS5165" s="107"/>
      <c r="AT5165" s="39"/>
      <c r="BA5165" s="117"/>
    </row>
    <row r="5166" spans="1:63" x14ac:dyDescent="0.25">
      <c r="A5166" s="92"/>
      <c r="B5166" s="93"/>
      <c r="C5166" s="93"/>
      <c r="D5166" s="92"/>
      <c r="E5166" s="92"/>
      <c r="F5166" s="92"/>
      <c r="G5166" s="92"/>
      <c r="H5166" s="92"/>
      <c r="I5166" s="92"/>
      <c r="J5166" s="92"/>
      <c r="K5166" s="92"/>
      <c r="L5166" s="92"/>
      <c r="M5166" s="92"/>
      <c r="N5166" s="94"/>
      <c r="AG5166" s="107"/>
      <c r="AH5166" s="107"/>
      <c r="AI5166" s="107"/>
      <c r="AJ5166" s="107"/>
      <c r="AK5166" s="107"/>
      <c r="AL5166" s="107"/>
      <c r="AM5166" s="107"/>
      <c r="AN5166" s="107"/>
      <c r="AO5166" s="107"/>
      <c r="AP5166" s="107"/>
      <c r="AQ5166" s="107"/>
      <c r="AR5166" s="107"/>
      <c r="AS5166" s="107"/>
      <c r="AT5166" s="107"/>
      <c r="BA5166" s="117"/>
    </row>
    <row r="5167" spans="1:63" x14ac:dyDescent="0.25">
      <c r="A5167" s="92"/>
      <c r="B5167" s="93"/>
      <c r="C5167" s="93"/>
      <c r="D5167" s="93"/>
      <c r="E5167" s="92"/>
      <c r="F5167" s="92"/>
      <c r="G5167" s="92"/>
      <c r="H5167" s="92"/>
      <c r="I5167" s="92"/>
      <c r="J5167" s="92"/>
      <c r="K5167" s="92"/>
      <c r="L5167" s="92"/>
      <c r="M5167" s="92"/>
      <c r="N5167" s="94"/>
      <c r="AG5167" s="107"/>
      <c r="AH5167" s="117"/>
      <c r="AI5167" s="107"/>
      <c r="AJ5167" s="117"/>
      <c r="AK5167" s="107"/>
      <c r="AL5167" s="107"/>
      <c r="AM5167" s="107"/>
      <c r="AN5167" s="107"/>
      <c r="AO5167" s="107"/>
      <c r="AP5167" s="107"/>
      <c r="AQ5167" s="107"/>
      <c r="AR5167" s="107"/>
      <c r="AS5167" s="107"/>
      <c r="AT5167" s="39"/>
      <c r="BA5167" s="117"/>
    </row>
    <row r="5168" spans="1:63" x14ac:dyDescent="0.25">
      <c r="A5168" s="92"/>
      <c r="B5168" s="92"/>
      <c r="C5168" s="92"/>
      <c r="D5168" s="92"/>
      <c r="E5168" s="92"/>
      <c r="F5168" s="92"/>
      <c r="G5168" s="92"/>
      <c r="H5168" s="92"/>
      <c r="I5168" s="92"/>
      <c r="J5168" s="92"/>
      <c r="K5168" s="92"/>
      <c r="L5168" s="92"/>
      <c r="M5168" s="92"/>
      <c r="N5168" s="92"/>
      <c r="AG5168" s="107"/>
      <c r="AH5168" s="117"/>
      <c r="AI5168" s="107"/>
      <c r="AJ5168" s="117"/>
      <c r="AK5168" s="107"/>
      <c r="AL5168" s="107"/>
      <c r="AM5168" s="107"/>
      <c r="AN5168" s="107"/>
      <c r="AO5168" s="107"/>
      <c r="AP5168" s="107"/>
      <c r="AQ5168" s="107"/>
      <c r="AR5168" s="107"/>
      <c r="AS5168" s="107"/>
      <c r="AT5168" s="39"/>
    </row>
    <row r="5169" spans="1:63" x14ac:dyDescent="0.25">
      <c r="A5169" s="92"/>
      <c r="B5169" s="93"/>
      <c r="C5169" s="93"/>
      <c r="D5169" s="92"/>
      <c r="E5169" s="92"/>
      <c r="F5169" s="92"/>
      <c r="G5169" s="92"/>
      <c r="H5169" s="92"/>
      <c r="I5169" s="92"/>
      <c r="J5169" s="92"/>
      <c r="K5169" s="92"/>
      <c r="L5169" s="92"/>
      <c r="M5169" s="92"/>
      <c r="N5169" s="94"/>
      <c r="AG5169" s="107"/>
      <c r="AH5169" s="117"/>
      <c r="AI5169" s="107"/>
      <c r="AJ5169" s="117"/>
      <c r="AK5169" s="107"/>
      <c r="AL5169" s="107"/>
      <c r="AM5169" s="107"/>
      <c r="AN5169" s="107"/>
      <c r="AO5169" s="107"/>
      <c r="AP5169" s="107"/>
      <c r="AQ5169" s="107"/>
      <c r="AR5169" s="107"/>
      <c r="AS5169" s="107"/>
      <c r="AT5169" s="39"/>
    </row>
    <row r="5170" spans="1:63" x14ac:dyDescent="0.25">
      <c r="A5170" s="92"/>
      <c r="B5170" s="93"/>
      <c r="C5170" s="93"/>
      <c r="D5170" s="92"/>
      <c r="E5170" s="92"/>
      <c r="F5170" s="92"/>
      <c r="G5170" s="92"/>
      <c r="H5170" s="92"/>
      <c r="I5170" s="92"/>
      <c r="J5170" s="92"/>
      <c r="K5170" s="92"/>
      <c r="L5170" s="92"/>
      <c r="M5170" s="92"/>
      <c r="N5170" s="94"/>
      <c r="AG5170" s="107"/>
      <c r="AH5170" s="107"/>
      <c r="AI5170" s="107"/>
      <c r="AJ5170" s="107"/>
      <c r="AK5170" s="107"/>
      <c r="AL5170" s="107"/>
      <c r="AM5170" s="107"/>
      <c r="AN5170" s="107"/>
      <c r="AO5170" s="107"/>
      <c r="AP5170" s="107"/>
      <c r="AQ5170" s="107"/>
      <c r="AR5170" s="107"/>
      <c r="AS5170" s="107"/>
      <c r="AT5170" s="107"/>
    </row>
    <row r="5171" spans="1:63" x14ac:dyDescent="0.25">
      <c r="A5171" s="92"/>
      <c r="B5171" s="93"/>
      <c r="C5171" s="93"/>
      <c r="D5171" s="92"/>
      <c r="E5171" s="92"/>
      <c r="F5171" s="92"/>
      <c r="G5171" s="92"/>
      <c r="H5171" s="92"/>
      <c r="I5171" s="92"/>
      <c r="J5171" s="92"/>
      <c r="K5171" s="92"/>
      <c r="L5171" s="92"/>
      <c r="M5171" s="92"/>
      <c r="N5171" s="94"/>
      <c r="AG5171" s="107"/>
      <c r="AH5171" s="117"/>
      <c r="AI5171" s="107"/>
      <c r="AJ5171" s="117"/>
      <c r="AK5171" s="107"/>
      <c r="AL5171" s="107"/>
      <c r="AM5171" s="107"/>
      <c r="AN5171" s="107"/>
      <c r="AO5171" s="107"/>
      <c r="AP5171" s="107"/>
      <c r="AQ5171" s="107"/>
      <c r="AR5171" s="107"/>
      <c r="AS5171" s="107"/>
      <c r="AT5171" s="39"/>
    </row>
    <row r="5172" spans="1:63" x14ac:dyDescent="0.25">
      <c r="A5172" s="92"/>
      <c r="B5172" s="93"/>
      <c r="C5172" s="93"/>
      <c r="D5172" s="92"/>
      <c r="E5172" s="92"/>
      <c r="F5172" s="92"/>
      <c r="G5172" s="92"/>
      <c r="H5172" s="92"/>
      <c r="I5172" s="92"/>
      <c r="J5172" s="92"/>
      <c r="K5172" s="92"/>
      <c r="L5172" s="92"/>
      <c r="M5172" s="92"/>
      <c r="N5172" s="94"/>
      <c r="AG5172" s="107"/>
      <c r="AH5172" s="107"/>
      <c r="AI5172" s="107"/>
      <c r="AJ5172" s="107"/>
      <c r="AK5172" s="107"/>
      <c r="AL5172" s="107"/>
      <c r="AM5172" s="107"/>
      <c r="AN5172" s="107"/>
      <c r="AO5172" s="107"/>
      <c r="AP5172" s="107"/>
      <c r="AQ5172" s="107"/>
      <c r="AR5172" s="107"/>
      <c r="AS5172" s="107"/>
      <c r="AT5172" s="107"/>
    </row>
    <row r="5173" spans="1:63" x14ac:dyDescent="0.25">
      <c r="A5173" s="92"/>
      <c r="B5173" s="92"/>
      <c r="C5173" s="92"/>
      <c r="D5173" s="92"/>
      <c r="E5173" s="92"/>
      <c r="F5173" s="92"/>
      <c r="G5173" s="92"/>
      <c r="H5173" s="92"/>
      <c r="I5173" s="92"/>
      <c r="J5173" s="92"/>
      <c r="K5173" s="92"/>
      <c r="L5173" s="92"/>
      <c r="M5173" s="92"/>
      <c r="N5173" s="92"/>
      <c r="AG5173" s="107"/>
      <c r="AH5173" s="117"/>
      <c r="AI5173" s="107"/>
      <c r="AJ5173" s="117"/>
      <c r="AK5173" s="107"/>
      <c r="AL5173" s="107"/>
      <c r="AM5173" s="107"/>
      <c r="AN5173" s="107"/>
      <c r="AO5173" s="107"/>
      <c r="AP5173" s="107"/>
      <c r="AQ5173" s="107"/>
      <c r="AR5173" s="107"/>
      <c r="AS5173" s="107"/>
      <c r="AT5173" s="39"/>
    </row>
    <row r="5174" spans="1:63" x14ac:dyDescent="0.25">
      <c r="A5174" s="92"/>
      <c r="B5174" s="92"/>
      <c r="C5174" s="92"/>
      <c r="D5174" s="92"/>
      <c r="E5174" s="92"/>
      <c r="F5174" s="92"/>
      <c r="G5174" s="92"/>
      <c r="H5174" s="92"/>
      <c r="I5174" s="92"/>
      <c r="J5174" s="92"/>
      <c r="K5174" s="92"/>
      <c r="L5174" s="92"/>
      <c r="M5174" s="92"/>
      <c r="N5174" s="92"/>
      <c r="AG5174" s="107"/>
      <c r="AH5174" s="117"/>
      <c r="AI5174" s="117"/>
      <c r="AJ5174" s="107"/>
      <c r="AK5174" s="107"/>
      <c r="AL5174" s="107"/>
      <c r="AM5174" s="107"/>
      <c r="AN5174" s="107"/>
      <c r="AO5174" s="107"/>
      <c r="AP5174" s="107"/>
      <c r="AQ5174" s="107"/>
      <c r="AR5174" s="107"/>
      <c r="AS5174" s="107"/>
      <c r="AT5174" s="39"/>
    </row>
    <row r="5175" spans="1:63" x14ac:dyDescent="0.25">
      <c r="A5175" s="92"/>
      <c r="B5175" s="92"/>
      <c r="C5175" s="92"/>
      <c r="D5175" s="92"/>
      <c r="E5175" s="92"/>
      <c r="F5175" s="92"/>
      <c r="G5175" s="92"/>
      <c r="H5175" s="92"/>
      <c r="I5175" s="92"/>
      <c r="J5175" s="92"/>
      <c r="K5175" s="92"/>
      <c r="L5175" s="92"/>
      <c r="M5175" s="92"/>
      <c r="N5175" s="92"/>
      <c r="AG5175" s="107"/>
      <c r="AH5175" s="107"/>
      <c r="AI5175" s="107"/>
      <c r="AJ5175" s="107"/>
      <c r="AK5175" s="107"/>
      <c r="AL5175" s="107"/>
      <c r="AM5175" s="107"/>
      <c r="AN5175" s="107"/>
      <c r="AO5175" s="107"/>
      <c r="AP5175" s="107"/>
      <c r="AQ5175" s="107"/>
      <c r="AR5175" s="107"/>
      <c r="AS5175" s="107"/>
      <c r="AT5175" s="107"/>
      <c r="AZ5175" s="117"/>
      <c r="BA5175" s="117"/>
      <c r="BK5175" s="39"/>
    </row>
    <row r="5176" spans="1:63" x14ac:dyDescent="0.25">
      <c r="A5176" s="92"/>
      <c r="B5176" s="93"/>
      <c r="C5176" s="93"/>
      <c r="D5176" s="92"/>
      <c r="E5176" s="92"/>
      <c r="F5176" s="92"/>
      <c r="G5176" s="92"/>
      <c r="H5176" s="92"/>
      <c r="I5176" s="92"/>
      <c r="J5176" s="92"/>
      <c r="K5176" s="92"/>
      <c r="L5176" s="92"/>
      <c r="M5176" s="92"/>
      <c r="N5176" s="94"/>
      <c r="AG5176" s="107"/>
      <c r="AH5176" s="107"/>
      <c r="AI5176" s="107"/>
      <c r="AJ5176" s="107"/>
      <c r="AK5176" s="107"/>
      <c r="AL5176" s="107"/>
      <c r="AM5176" s="107"/>
      <c r="AN5176" s="107"/>
      <c r="AO5176" s="107"/>
      <c r="AP5176" s="107"/>
      <c r="AQ5176" s="107"/>
      <c r="AR5176" s="107"/>
      <c r="AS5176" s="107"/>
      <c r="AT5176" s="107"/>
      <c r="AZ5176" s="117"/>
      <c r="BK5176" s="39"/>
    </row>
    <row r="5177" spans="1:63" x14ac:dyDescent="0.25">
      <c r="A5177" s="92"/>
      <c r="B5177" s="93"/>
      <c r="C5177" s="93"/>
      <c r="D5177" s="92"/>
      <c r="E5177" s="92"/>
      <c r="F5177" s="92"/>
      <c r="G5177" s="92"/>
      <c r="H5177" s="92"/>
      <c r="I5177" s="92"/>
      <c r="J5177" s="92"/>
      <c r="K5177" s="92"/>
      <c r="L5177" s="92"/>
      <c r="M5177" s="92"/>
      <c r="N5177" s="94"/>
      <c r="AG5177" s="107"/>
      <c r="AH5177" s="117"/>
      <c r="AI5177" s="107"/>
      <c r="AJ5177" s="117"/>
      <c r="AK5177" s="107"/>
      <c r="AL5177" s="107"/>
      <c r="AM5177" s="107"/>
      <c r="AN5177" s="107"/>
      <c r="AO5177" s="107"/>
      <c r="AP5177" s="107"/>
      <c r="AQ5177" s="107"/>
      <c r="AR5177" s="107"/>
      <c r="AS5177" s="107"/>
      <c r="AT5177" s="39"/>
    </row>
    <row r="5178" spans="1:63" x14ac:dyDescent="0.25">
      <c r="A5178" s="92"/>
      <c r="B5178" s="93"/>
      <c r="C5178" s="93"/>
      <c r="D5178" s="92"/>
      <c r="E5178" s="92"/>
      <c r="F5178" s="92"/>
      <c r="G5178" s="92"/>
      <c r="H5178" s="92"/>
      <c r="I5178" s="92"/>
      <c r="J5178" s="92"/>
      <c r="K5178" s="92"/>
      <c r="L5178" s="92"/>
      <c r="M5178" s="92"/>
      <c r="N5178" s="94"/>
      <c r="AG5178" s="107"/>
      <c r="AH5178" s="107"/>
      <c r="AI5178" s="107"/>
      <c r="AJ5178" s="107"/>
      <c r="AK5178" s="107"/>
      <c r="AL5178" s="107"/>
      <c r="AM5178" s="107"/>
      <c r="AN5178" s="107"/>
      <c r="AO5178" s="107"/>
      <c r="AP5178" s="107"/>
      <c r="AQ5178" s="107"/>
      <c r="AR5178" s="107"/>
      <c r="AS5178" s="107"/>
      <c r="AT5178" s="107"/>
      <c r="AZ5178" s="117"/>
      <c r="BK5178" s="39"/>
    </row>
    <row r="5179" spans="1:63" x14ac:dyDescent="0.25">
      <c r="A5179" s="92"/>
      <c r="B5179" s="93"/>
      <c r="C5179" s="93"/>
      <c r="D5179" s="92"/>
      <c r="E5179" s="92"/>
      <c r="F5179" s="92"/>
      <c r="G5179" s="92"/>
      <c r="H5179" s="92"/>
      <c r="I5179" s="92"/>
      <c r="J5179" s="92"/>
      <c r="K5179" s="92"/>
      <c r="L5179" s="92"/>
      <c r="M5179" s="92"/>
      <c r="N5179" s="94"/>
      <c r="AG5179" s="107"/>
      <c r="AH5179" s="107"/>
      <c r="AI5179" s="107"/>
      <c r="AJ5179" s="107"/>
      <c r="AK5179" s="107"/>
      <c r="AL5179" s="107"/>
      <c r="AM5179" s="107"/>
      <c r="AN5179" s="107"/>
      <c r="AO5179" s="107"/>
      <c r="AP5179" s="107"/>
      <c r="AQ5179" s="107"/>
      <c r="AR5179" s="107"/>
      <c r="AS5179" s="107"/>
      <c r="AT5179" s="107"/>
      <c r="AZ5179" s="117"/>
      <c r="BA5179" s="117"/>
      <c r="BK5179" s="39"/>
    </row>
    <row r="5180" spans="1:63" x14ac:dyDescent="0.25">
      <c r="A5180" s="92"/>
      <c r="B5180" s="93"/>
      <c r="C5180" s="93"/>
      <c r="D5180" s="92"/>
      <c r="E5180" s="92"/>
      <c r="F5180" s="92"/>
      <c r="G5180" s="92"/>
      <c r="H5180" s="92"/>
      <c r="I5180" s="92"/>
      <c r="J5180" s="92"/>
      <c r="K5180" s="92"/>
      <c r="L5180" s="92"/>
      <c r="M5180" s="92"/>
      <c r="N5180" s="94"/>
      <c r="AG5180" s="107"/>
      <c r="AH5180" s="117"/>
      <c r="AI5180" s="107"/>
      <c r="AJ5180" s="117"/>
      <c r="AK5180" s="107"/>
      <c r="AL5180" s="107"/>
      <c r="AM5180" s="107"/>
      <c r="AN5180" s="107"/>
      <c r="AO5180" s="107"/>
      <c r="AP5180" s="107"/>
      <c r="AQ5180" s="107"/>
      <c r="AR5180" s="107"/>
      <c r="AS5180" s="107"/>
      <c r="AT5180" s="39"/>
      <c r="AZ5180" s="117"/>
      <c r="BK5180" s="39"/>
    </row>
    <row r="5181" spans="1:63" x14ac:dyDescent="0.25">
      <c r="A5181" s="92"/>
      <c r="B5181" s="93"/>
      <c r="C5181" s="93"/>
      <c r="D5181" s="92"/>
      <c r="E5181" s="92"/>
      <c r="F5181" s="92"/>
      <c r="G5181" s="92"/>
      <c r="H5181" s="92"/>
      <c r="I5181" s="92"/>
      <c r="J5181" s="92"/>
      <c r="K5181" s="92"/>
      <c r="L5181" s="92"/>
      <c r="M5181" s="92"/>
      <c r="N5181" s="94"/>
      <c r="AG5181" s="107"/>
      <c r="AH5181" s="107"/>
      <c r="AI5181" s="107"/>
      <c r="AJ5181" s="107"/>
      <c r="AK5181" s="107"/>
      <c r="AL5181" s="107"/>
      <c r="AM5181" s="107"/>
      <c r="AN5181" s="107"/>
      <c r="AO5181" s="107"/>
      <c r="AP5181" s="107"/>
      <c r="AQ5181" s="107"/>
      <c r="AR5181" s="107"/>
      <c r="AS5181" s="107"/>
      <c r="AT5181" s="107"/>
      <c r="AZ5181" s="117"/>
      <c r="BK5181" s="39"/>
    </row>
    <row r="5182" spans="1:63" x14ac:dyDescent="0.25">
      <c r="A5182" s="92"/>
      <c r="B5182" s="93"/>
      <c r="C5182" s="93"/>
      <c r="D5182" s="92"/>
      <c r="E5182" s="92"/>
      <c r="F5182" s="92"/>
      <c r="G5182" s="92"/>
      <c r="H5182" s="92"/>
      <c r="I5182" s="92"/>
      <c r="J5182" s="92"/>
      <c r="K5182" s="92"/>
      <c r="L5182" s="92"/>
      <c r="M5182" s="92"/>
      <c r="N5182" s="94"/>
      <c r="AG5182" s="107"/>
      <c r="AH5182" s="107"/>
      <c r="AI5182" s="107"/>
      <c r="AJ5182" s="107"/>
      <c r="AK5182" s="107"/>
      <c r="AL5182" s="107"/>
      <c r="AM5182" s="107"/>
      <c r="AN5182" s="107"/>
      <c r="AO5182" s="107"/>
      <c r="AP5182" s="107"/>
      <c r="AQ5182" s="107"/>
      <c r="AR5182" s="107"/>
      <c r="AS5182" s="107"/>
      <c r="AT5182" s="107"/>
      <c r="AZ5182" s="117"/>
      <c r="BK5182" s="39"/>
    </row>
    <row r="5183" spans="1:63" x14ac:dyDescent="0.25">
      <c r="A5183" s="92"/>
      <c r="B5183" s="93"/>
      <c r="C5183" s="93"/>
      <c r="D5183" s="92"/>
      <c r="E5183" s="92"/>
      <c r="F5183" s="92"/>
      <c r="G5183" s="92"/>
      <c r="H5183" s="92"/>
      <c r="I5183" s="92"/>
      <c r="J5183" s="92"/>
      <c r="K5183" s="92"/>
      <c r="L5183" s="92"/>
      <c r="M5183" s="92"/>
      <c r="N5183" s="94"/>
      <c r="AG5183" s="107"/>
      <c r="AH5183" s="117"/>
      <c r="AI5183" s="107"/>
      <c r="AJ5183" s="117"/>
      <c r="AK5183" s="107"/>
      <c r="AL5183" s="107"/>
      <c r="AM5183" s="107"/>
      <c r="AN5183" s="107"/>
      <c r="AO5183" s="107"/>
      <c r="AP5183" s="107"/>
      <c r="AQ5183" s="107"/>
      <c r="AR5183" s="107"/>
      <c r="AS5183" s="107"/>
      <c r="AT5183" s="39"/>
      <c r="AZ5183" s="117"/>
      <c r="BK5183" s="39"/>
    </row>
    <row r="5184" spans="1:63" x14ac:dyDescent="0.25">
      <c r="A5184" s="92"/>
      <c r="B5184" s="93"/>
      <c r="C5184" s="93"/>
      <c r="D5184" s="93"/>
      <c r="E5184" s="92"/>
      <c r="F5184" s="92"/>
      <c r="G5184" s="92"/>
      <c r="H5184" s="92"/>
      <c r="I5184" s="92"/>
      <c r="J5184" s="92"/>
      <c r="K5184" s="92"/>
      <c r="L5184" s="92"/>
      <c r="M5184" s="92"/>
      <c r="N5184" s="94"/>
      <c r="AG5184" s="107"/>
      <c r="AH5184" s="117"/>
      <c r="AI5184" s="107"/>
      <c r="AJ5184" s="117"/>
      <c r="AK5184" s="107"/>
      <c r="AL5184" s="107"/>
      <c r="AM5184" s="107"/>
      <c r="AN5184" s="107"/>
      <c r="AO5184" s="107"/>
      <c r="AP5184" s="107"/>
      <c r="AQ5184" s="107"/>
      <c r="AR5184" s="107"/>
      <c r="AS5184" s="107"/>
      <c r="AT5184" s="39"/>
    </row>
    <row r="5185" spans="1:63" x14ac:dyDescent="0.25">
      <c r="A5185" s="92"/>
      <c r="B5185" s="93"/>
      <c r="C5185" s="93"/>
      <c r="D5185" s="93"/>
      <c r="E5185" s="92"/>
      <c r="F5185" s="92"/>
      <c r="G5185" s="92"/>
      <c r="H5185" s="92"/>
      <c r="I5185" s="92"/>
      <c r="J5185" s="92"/>
      <c r="K5185" s="92"/>
      <c r="L5185" s="92"/>
      <c r="M5185" s="92"/>
      <c r="N5185" s="94"/>
      <c r="AG5185" s="107"/>
      <c r="AH5185" s="107"/>
      <c r="AI5185" s="107"/>
      <c r="AJ5185" s="107"/>
      <c r="AK5185" s="107"/>
      <c r="AL5185" s="107"/>
      <c r="AM5185" s="107"/>
      <c r="AN5185" s="107"/>
      <c r="AO5185" s="107"/>
      <c r="AP5185" s="107"/>
      <c r="AQ5185" s="107"/>
      <c r="AR5185" s="107"/>
      <c r="AS5185" s="107"/>
      <c r="AT5185" s="107"/>
    </row>
    <row r="5186" spans="1:63" x14ac:dyDescent="0.25">
      <c r="A5186" s="92"/>
      <c r="B5186" s="92"/>
      <c r="C5186" s="92"/>
      <c r="D5186" s="93"/>
      <c r="E5186" s="92"/>
      <c r="F5186" s="92"/>
      <c r="G5186" s="92"/>
      <c r="H5186" s="92"/>
      <c r="I5186" s="92"/>
      <c r="J5186" s="92"/>
      <c r="K5186" s="92"/>
      <c r="L5186" s="92"/>
      <c r="M5186" s="92"/>
      <c r="N5186" s="92"/>
      <c r="AG5186" s="107"/>
      <c r="AH5186" s="117"/>
      <c r="AI5186" s="107"/>
      <c r="AJ5186" s="117"/>
      <c r="AK5186" s="107"/>
      <c r="AL5186" s="107"/>
      <c r="AM5186" s="107"/>
      <c r="AN5186" s="107"/>
      <c r="AO5186" s="107"/>
      <c r="AP5186" s="107"/>
      <c r="AQ5186" s="107"/>
      <c r="AR5186" s="107"/>
      <c r="AS5186" s="107"/>
      <c r="AT5186" s="39"/>
    </row>
    <row r="5187" spans="1:63" x14ac:dyDescent="0.25">
      <c r="A5187" s="92"/>
      <c r="B5187" s="92"/>
      <c r="C5187" s="92"/>
      <c r="D5187" s="93"/>
      <c r="E5187" s="92"/>
      <c r="F5187" s="92"/>
      <c r="G5187" s="92"/>
      <c r="H5187" s="92"/>
      <c r="I5187" s="92"/>
      <c r="J5187" s="92"/>
      <c r="K5187" s="92"/>
      <c r="L5187" s="92"/>
      <c r="M5187" s="92"/>
      <c r="N5187" s="92"/>
      <c r="AG5187" s="107"/>
      <c r="AH5187" s="107"/>
      <c r="AI5187" s="107"/>
      <c r="AJ5187" s="107"/>
      <c r="AK5187" s="107"/>
      <c r="AL5187" s="107"/>
      <c r="AM5187" s="107"/>
      <c r="AN5187" s="107"/>
      <c r="AO5187" s="107"/>
      <c r="AP5187" s="107"/>
      <c r="AQ5187" s="107"/>
      <c r="AR5187" s="107"/>
      <c r="AS5187" s="107"/>
      <c r="AT5187" s="107"/>
    </row>
    <row r="5188" spans="1:63" x14ac:dyDescent="0.25">
      <c r="A5188" s="92"/>
      <c r="B5188" s="92"/>
      <c r="C5188" s="92"/>
      <c r="D5188" s="93"/>
      <c r="E5188" s="92"/>
      <c r="F5188" s="92"/>
      <c r="G5188" s="92"/>
      <c r="H5188" s="92"/>
      <c r="I5188" s="92"/>
      <c r="J5188" s="92"/>
      <c r="K5188" s="92"/>
      <c r="L5188" s="92"/>
      <c r="M5188" s="92"/>
      <c r="N5188" s="92"/>
      <c r="AG5188" s="107"/>
      <c r="AH5188" s="117"/>
      <c r="AI5188" s="107"/>
      <c r="AJ5188" s="117"/>
      <c r="AK5188" s="107"/>
      <c r="AL5188" s="107"/>
      <c r="AM5188" s="107"/>
      <c r="AN5188" s="107"/>
      <c r="AO5188" s="107"/>
      <c r="AP5188" s="107"/>
      <c r="AQ5188" s="107"/>
      <c r="AR5188" s="107"/>
      <c r="AS5188" s="107"/>
      <c r="AT5188" s="39"/>
    </row>
    <row r="5189" spans="1:63" x14ac:dyDescent="0.25">
      <c r="A5189" s="92"/>
      <c r="B5189" s="92"/>
      <c r="C5189" s="92"/>
      <c r="D5189" s="93"/>
      <c r="E5189" s="92"/>
      <c r="F5189" s="92"/>
      <c r="G5189" s="92"/>
      <c r="H5189" s="92"/>
      <c r="I5189" s="92"/>
      <c r="J5189" s="92"/>
      <c r="K5189" s="92"/>
      <c r="L5189" s="92"/>
      <c r="M5189" s="92"/>
      <c r="N5189" s="92"/>
      <c r="AG5189" s="107"/>
      <c r="AH5189" s="107"/>
      <c r="AI5189" s="107"/>
      <c r="AJ5189" s="107"/>
      <c r="AK5189" s="107"/>
      <c r="AL5189" s="107"/>
      <c r="AM5189" s="107"/>
      <c r="AN5189" s="107"/>
      <c r="AO5189" s="107"/>
      <c r="AP5189" s="107"/>
      <c r="AQ5189" s="107"/>
      <c r="AR5189" s="107"/>
      <c r="AS5189" s="107"/>
      <c r="AT5189" s="107"/>
    </row>
    <row r="5190" spans="1:63" x14ac:dyDescent="0.25">
      <c r="A5190" s="92"/>
      <c r="B5190" s="93"/>
      <c r="C5190" s="93"/>
      <c r="D5190" s="92"/>
      <c r="E5190" s="92"/>
      <c r="F5190" s="92"/>
      <c r="G5190" s="92"/>
      <c r="H5190" s="92"/>
      <c r="I5190" s="92"/>
      <c r="J5190" s="92"/>
      <c r="K5190" s="92"/>
      <c r="L5190" s="92"/>
      <c r="M5190" s="92"/>
      <c r="N5190" s="94"/>
      <c r="AG5190" s="107"/>
      <c r="AH5190" s="117"/>
      <c r="AI5190" s="107"/>
      <c r="AJ5190" s="117"/>
      <c r="AK5190" s="107"/>
      <c r="AL5190" s="107"/>
      <c r="AM5190" s="107"/>
      <c r="AN5190" s="107"/>
      <c r="AO5190" s="107"/>
      <c r="AP5190" s="107"/>
      <c r="AQ5190" s="107"/>
      <c r="AR5190" s="107"/>
      <c r="AS5190" s="107"/>
      <c r="AT5190" s="39"/>
    </row>
    <row r="5191" spans="1:63" x14ac:dyDescent="0.25">
      <c r="A5191" s="92"/>
      <c r="B5191" s="93"/>
      <c r="C5191" s="93"/>
      <c r="D5191" s="92"/>
      <c r="E5191" s="92"/>
      <c r="F5191" s="92"/>
      <c r="G5191" s="92"/>
      <c r="H5191" s="92"/>
      <c r="I5191" s="92"/>
      <c r="J5191" s="92"/>
      <c r="K5191" s="92"/>
      <c r="L5191" s="92"/>
      <c r="M5191" s="92"/>
      <c r="N5191" s="94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Q5191" s="107"/>
      <c r="AR5191" s="107"/>
      <c r="AS5191" s="107"/>
      <c r="AT5191" s="107"/>
      <c r="AZ5191" s="117"/>
      <c r="BA5191" s="117"/>
      <c r="BK5191" s="39"/>
    </row>
    <row r="5192" spans="1:63" x14ac:dyDescent="0.25">
      <c r="A5192" s="92"/>
      <c r="B5192" s="93"/>
      <c r="C5192" s="93"/>
      <c r="D5192" s="92"/>
      <c r="E5192" s="92"/>
      <c r="F5192" s="92"/>
      <c r="G5192" s="92"/>
      <c r="H5192" s="92"/>
      <c r="I5192" s="92"/>
      <c r="J5192" s="92"/>
      <c r="K5192" s="92"/>
      <c r="L5192" s="92"/>
      <c r="M5192" s="92"/>
      <c r="N5192" s="94"/>
      <c r="AG5192" s="107"/>
      <c r="AH5192" s="117"/>
      <c r="AI5192" s="107"/>
      <c r="AJ5192" s="117"/>
      <c r="AK5192" s="107"/>
      <c r="AL5192" s="107"/>
      <c r="AM5192" s="107"/>
      <c r="AN5192" s="107"/>
      <c r="AO5192" s="107"/>
      <c r="AP5192" s="107"/>
      <c r="AQ5192" s="107"/>
      <c r="AR5192" s="107"/>
      <c r="AS5192" s="107"/>
      <c r="AT5192" s="39"/>
      <c r="AZ5192" s="117"/>
      <c r="BK5192" s="39"/>
    </row>
    <row r="5193" spans="1:63" x14ac:dyDescent="0.25">
      <c r="A5193" s="92"/>
      <c r="B5193" s="93"/>
      <c r="C5193" s="93"/>
      <c r="D5193" s="92"/>
      <c r="E5193" s="92"/>
      <c r="F5193" s="92"/>
      <c r="G5193" s="92"/>
      <c r="H5193" s="92"/>
      <c r="I5193" s="92"/>
      <c r="J5193" s="92"/>
      <c r="K5193" s="92"/>
      <c r="L5193" s="92"/>
      <c r="M5193" s="92"/>
      <c r="N5193" s="94"/>
      <c r="AG5193" s="107"/>
      <c r="AH5193" s="117"/>
      <c r="AI5193" s="117"/>
      <c r="AJ5193" s="107"/>
      <c r="AK5193" s="107"/>
      <c r="AL5193" s="107"/>
      <c r="AM5193" s="107"/>
      <c r="AN5193" s="107"/>
      <c r="AO5193" s="107"/>
      <c r="AP5193" s="107"/>
      <c r="AQ5193" s="107"/>
      <c r="AR5193" s="107"/>
      <c r="AS5193" s="107"/>
      <c r="AT5193" s="39"/>
      <c r="AZ5193" s="117"/>
      <c r="BK5193" s="39"/>
    </row>
    <row r="5194" spans="1:63" x14ac:dyDescent="0.25">
      <c r="A5194" s="92"/>
      <c r="B5194" s="93"/>
      <c r="C5194" s="93"/>
      <c r="D5194" s="92"/>
      <c r="E5194" s="92"/>
      <c r="F5194" s="92"/>
      <c r="G5194" s="92"/>
      <c r="H5194" s="92"/>
      <c r="I5194" s="92"/>
      <c r="J5194" s="92"/>
      <c r="K5194" s="92"/>
      <c r="L5194" s="92"/>
      <c r="M5194" s="92"/>
      <c r="N5194" s="94"/>
      <c r="AG5194" s="107"/>
      <c r="AH5194" s="107"/>
      <c r="AI5194" s="107"/>
      <c r="AJ5194" s="107"/>
      <c r="AK5194" s="107"/>
      <c r="AL5194" s="107"/>
      <c r="AM5194" s="107"/>
      <c r="AN5194" s="107"/>
      <c r="AO5194" s="107"/>
      <c r="AP5194" s="107"/>
      <c r="AQ5194" s="107"/>
      <c r="AR5194" s="107"/>
      <c r="AS5194" s="107"/>
      <c r="AT5194" s="107"/>
      <c r="AZ5194" s="117"/>
      <c r="BK5194" s="39"/>
    </row>
    <row r="5195" spans="1:63" x14ac:dyDescent="0.25">
      <c r="A5195" s="92"/>
      <c r="B5195" s="93"/>
      <c r="C5195" s="93"/>
      <c r="D5195" s="93"/>
      <c r="E5195" s="92"/>
      <c r="F5195" s="92"/>
      <c r="G5195" s="92"/>
      <c r="H5195" s="92"/>
      <c r="I5195" s="92"/>
      <c r="J5195" s="92"/>
      <c r="K5195" s="92"/>
      <c r="L5195" s="92"/>
      <c r="M5195" s="92"/>
      <c r="N5195" s="94"/>
      <c r="AG5195" s="107"/>
      <c r="AH5195" s="117"/>
      <c r="AI5195" s="107"/>
      <c r="AJ5195" s="117"/>
      <c r="AK5195" s="107"/>
      <c r="AL5195" s="107"/>
      <c r="AM5195" s="107"/>
      <c r="AN5195" s="107"/>
      <c r="AO5195" s="107"/>
      <c r="AP5195" s="107"/>
      <c r="AQ5195" s="107"/>
      <c r="AR5195" s="107"/>
      <c r="AS5195" s="107"/>
      <c r="AT5195" s="39"/>
      <c r="AZ5195" s="117"/>
      <c r="BK5195" s="39"/>
    </row>
    <row r="5196" spans="1:63" x14ac:dyDescent="0.25">
      <c r="A5196" s="92"/>
      <c r="B5196" s="93"/>
      <c r="C5196" s="93"/>
      <c r="D5196" s="92"/>
      <c r="E5196" s="92"/>
      <c r="F5196" s="92"/>
      <c r="G5196" s="92"/>
      <c r="H5196" s="92"/>
      <c r="I5196" s="92"/>
      <c r="J5196" s="92"/>
      <c r="K5196" s="92"/>
      <c r="L5196" s="92"/>
      <c r="M5196" s="92"/>
      <c r="N5196" s="94"/>
      <c r="AG5196" s="107"/>
      <c r="AH5196" s="117"/>
      <c r="AI5196" s="107"/>
      <c r="AJ5196" s="117"/>
      <c r="AK5196" s="107"/>
      <c r="AL5196" s="107"/>
      <c r="AM5196" s="107"/>
      <c r="AN5196" s="107"/>
      <c r="AO5196" s="107"/>
      <c r="AP5196" s="107"/>
      <c r="AQ5196" s="107"/>
      <c r="AR5196" s="107"/>
      <c r="AS5196" s="107"/>
      <c r="AT5196" s="39"/>
      <c r="AZ5196" s="117"/>
      <c r="BK5196" s="39"/>
    </row>
    <row r="5197" spans="1:63" x14ac:dyDescent="0.25">
      <c r="A5197" s="92"/>
      <c r="B5197" s="93"/>
      <c r="C5197" s="93"/>
      <c r="D5197" s="92"/>
      <c r="E5197" s="92"/>
      <c r="F5197" s="92"/>
      <c r="G5197" s="92"/>
      <c r="H5197" s="92"/>
      <c r="I5197" s="92"/>
      <c r="J5197" s="92"/>
      <c r="K5197" s="92"/>
      <c r="L5197" s="92"/>
      <c r="M5197" s="92"/>
      <c r="N5197" s="94"/>
      <c r="AG5197" s="107"/>
      <c r="AH5197" s="107"/>
      <c r="AI5197" s="107"/>
      <c r="AJ5197" s="107"/>
      <c r="AK5197" s="107"/>
      <c r="AL5197" s="107"/>
      <c r="AM5197" s="107"/>
      <c r="AN5197" s="107"/>
      <c r="AO5197" s="107"/>
      <c r="AP5197" s="107"/>
      <c r="AQ5197" s="107"/>
      <c r="AR5197" s="107"/>
      <c r="AS5197" s="107"/>
      <c r="AT5197" s="107"/>
    </row>
    <row r="5198" spans="1:63" x14ac:dyDescent="0.25">
      <c r="A5198" s="92"/>
      <c r="B5198" s="93"/>
      <c r="C5198" s="93"/>
      <c r="D5198" s="92"/>
      <c r="E5198" s="92"/>
      <c r="F5198" s="92"/>
      <c r="G5198" s="92"/>
      <c r="H5198" s="92"/>
      <c r="I5198" s="92"/>
      <c r="J5198" s="92"/>
      <c r="K5198" s="92"/>
      <c r="L5198" s="92"/>
      <c r="M5198" s="92"/>
      <c r="N5198" s="94"/>
      <c r="AG5198" s="107"/>
      <c r="AH5198" s="107"/>
      <c r="AI5198" s="107"/>
      <c r="AJ5198" s="107"/>
      <c r="AK5198" s="107"/>
      <c r="AL5198" s="107"/>
      <c r="AM5198" s="107"/>
      <c r="AN5198" s="107"/>
      <c r="AO5198" s="107"/>
      <c r="AP5198" s="107"/>
      <c r="AQ5198" s="107"/>
      <c r="AR5198" s="107"/>
      <c r="AS5198" s="107"/>
      <c r="AT5198" s="107"/>
      <c r="AZ5198" s="117"/>
      <c r="BK5198" s="39"/>
    </row>
    <row r="5199" spans="1:63" x14ac:dyDescent="0.25">
      <c r="A5199" s="92"/>
      <c r="B5199" s="93"/>
      <c r="C5199" s="93"/>
      <c r="D5199" s="93"/>
      <c r="E5199" s="92"/>
      <c r="F5199" s="92"/>
      <c r="G5199" s="92"/>
      <c r="H5199" s="92"/>
      <c r="I5199" s="92"/>
      <c r="J5199" s="92"/>
      <c r="K5199" s="92"/>
      <c r="L5199" s="92"/>
      <c r="M5199" s="92"/>
      <c r="N5199" s="94"/>
      <c r="AG5199" s="107"/>
      <c r="AH5199" s="107"/>
      <c r="AI5199" s="107"/>
      <c r="AJ5199" s="107"/>
      <c r="AK5199" s="107"/>
      <c r="AL5199" s="107"/>
      <c r="AM5199" s="107"/>
      <c r="AN5199" s="107"/>
      <c r="AO5199" s="107"/>
      <c r="AP5199" s="107"/>
      <c r="AQ5199" s="107"/>
      <c r="AR5199" s="107"/>
      <c r="AS5199" s="107"/>
      <c r="AT5199" s="107"/>
    </row>
    <row r="5200" spans="1:63" x14ac:dyDescent="0.25">
      <c r="A5200" s="92"/>
      <c r="B5200" s="93"/>
      <c r="C5200" s="93"/>
      <c r="D5200" s="92"/>
      <c r="E5200" s="92"/>
      <c r="F5200" s="92"/>
      <c r="G5200" s="92"/>
      <c r="H5200" s="92"/>
      <c r="I5200" s="92"/>
      <c r="J5200" s="92"/>
      <c r="K5200" s="92"/>
      <c r="L5200" s="92"/>
      <c r="M5200" s="92"/>
      <c r="N5200" s="94"/>
      <c r="AG5200" s="107"/>
      <c r="AH5200" s="107"/>
      <c r="AI5200" s="107"/>
      <c r="AJ5200" s="107"/>
      <c r="AK5200" s="107"/>
      <c r="AL5200" s="107"/>
      <c r="AM5200" s="107"/>
      <c r="AN5200" s="107"/>
      <c r="AO5200" s="107"/>
      <c r="AP5200" s="107"/>
      <c r="AQ5200" s="107"/>
      <c r="AR5200" s="107"/>
      <c r="AS5200" s="107"/>
      <c r="AT5200" s="107"/>
    </row>
    <row r="5201" spans="1:63" x14ac:dyDescent="0.25">
      <c r="A5201" s="92"/>
      <c r="B5201" s="93"/>
      <c r="C5201" s="93"/>
      <c r="D5201" s="92"/>
      <c r="E5201" s="92"/>
      <c r="F5201" s="92"/>
      <c r="G5201" s="92"/>
      <c r="H5201" s="92"/>
      <c r="I5201" s="92"/>
      <c r="J5201" s="92"/>
      <c r="K5201" s="92"/>
      <c r="L5201" s="92"/>
      <c r="M5201" s="92"/>
      <c r="N5201" s="94"/>
      <c r="AG5201" s="107"/>
      <c r="AH5201" s="107"/>
      <c r="AI5201" s="107"/>
      <c r="AJ5201" s="107"/>
      <c r="AK5201" s="107"/>
      <c r="AL5201" s="107"/>
      <c r="AM5201" s="107"/>
      <c r="AN5201" s="107"/>
      <c r="AO5201" s="107"/>
      <c r="AP5201" s="107"/>
      <c r="AQ5201" s="107"/>
      <c r="AR5201" s="107"/>
      <c r="AS5201" s="107"/>
      <c r="AT5201" s="107"/>
    </row>
    <row r="5202" spans="1:63" x14ac:dyDescent="0.25">
      <c r="A5202" s="92"/>
      <c r="B5202" s="93"/>
      <c r="C5202" s="93"/>
      <c r="D5202" s="93"/>
      <c r="E5202" s="92"/>
      <c r="F5202" s="92"/>
      <c r="G5202" s="92"/>
      <c r="H5202" s="92"/>
      <c r="I5202" s="92"/>
      <c r="J5202" s="92"/>
      <c r="K5202" s="92"/>
      <c r="L5202" s="92"/>
      <c r="M5202" s="92"/>
      <c r="N5202" s="94"/>
      <c r="AG5202" s="107"/>
      <c r="AH5202" s="117"/>
      <c r="AI5202" s="107"/>
      <c r="AJ5202" s="117"/>
      <c r="AK5202" s="107"/>
      <c r="AL5202" s="107"/>
      <c r="AM5202" s="107"/>
      <c r="AN5202" s="107"/>
      <c r="AO5202" s="107"/>
      <c r="AP5202" s="107"/>
      <c r="AQ5202" s="107"/>
      <c r="AR5202" s="107"/>
      <c r="AS5202" s="107"/>
      <c r="AT5202" s="39"/>
      <c r="AZ5202" s="117"/>
      <c r="BA5202" s="117"/>
      <c r="BK5202" s="39"/>
    </row>
    <row r="5203" spans="1:63" x14ac:dyDescent="0.25">
      <c r="A5203" s="92"/>
      <c r="B5203" s="92"/>
      <c r="C5203" s="92"/>
      <c r="D5203" s="93"/>
      <c r="E5203" s="92"/>
      <c r="F5203" s="92"/>
      <c r="G5203" s="92"/>
      <c r="H5203" s="92"/>
      <c r="I5203" s="92"/>
      <c r="J5203" s="92"/>
      <c r="K5203" s="92"/>
      <c r="L5203" s="92"/>
      <c r="M5203" s="92"/>
      <c r="N5203" s="92"/>
      <c r="AG5203" s="107"/>
      <c r="AH5203" s="107"/>
      <c r="AI5203" s="107"/>
      <c r="AJ5203" s="107"/>
      <c r="AK5203" s="107"/>
      <c r="AL5203" s="107"/>
      <c r="AM5203" s="107"/>
      <c r="AN5203" s="107"/>
      <c r="AO5203" s="107"/>
      <c r="AP5203" s="107"/>
      <c r="AQ5203" s="107"/>
      <c r="AR5203" s="107"/>
      <c r="AS5203" s="107"/>
      <c r="AT5203" s="107"/>
      <c r="AZ5203" s="117"/>
      <c r="BK5203" s="39"/>
    </row>
    <row r="5204" spans="1:63" x14ac:dyDescent="0.25">
      <c r="A5204" s="92"/>
      <c r="B5204" s="93"/>
      <c r="C5204" s="93"/>
      <c r="D5204" s="92"/>
      <c r="E5204" s="92"/>
      <c r="F5204" s="92"/>
      <c r="G5204" s="92"/>
      <c r="H5204" s="92"/>
      <c r="I5204" s="92"/>
      <c r="J5204" s="92"/>
      <c r="K5204" s="92"/>
      <c r="L5204" s="92"/>
      <c r="M5204" s="92"/>
      <c r="N5204" s="94"/>
      <c r="AG5204" s="107"/>
      <c r="AH5204" s="117"/>
      <c r="AI5204" s="107"/>
      <c r="AJ5204" s="117"/>
      <c r="AK5204" s="107"/>
      <c r="AL5204" s="107"/>
      <c r="AM5204" s="107"/>
      <c r="AN5204" s="107"/>
      <c r="AO5204" s="107"/>
      <c r="AP5204" s="107"/>
      <c r="AQ5204" s="107"/>
      <c r="AR5204" s="107"/>
      <c r="AS5204" s="107"/>
      <c r="AT5204" s="39"/>
      <c r="BA5204" s="117"/>
      <c r="BK5204" s="39"/>
    </row>
    <row r="5205" spans="1:63" x14ac:dyDescent="0.25">
      <c r="A5205" s="92"/>
      <c r="B5205" s="92"/>
      <c r="C5205" s="92"/>
      <c r="D5205" s="92"/>
      <c r="E5205" s="92"/>
      <c r="F5205" s="92"/>
      <c r="G5205" s="92"/>
      <c r="H5205" s="92"/>
      <c r="I5205" s="92"/>
      <c r="J5205" s="92"/>
      <c r="K5205" s="92"/>
      <c r="L5205" s="92"/>
      <c r="M5205" s="92"/>
      <c r="N5205" s="92"/>
      <c r="AG5205" s="107"/>
      <c r="AH5205" s="107"/>
      <c r="AI5205" s="107"/>
      <c r="AJ5205" s="107"/>
      <c r="AK5205" s="107"/>
      <c r="AL5205" s="107"/>
      <c r="AM5205" s="107"/>
      <c r="AN5205" s="107"/>
      <c r="AO5205" s="107"/>
      <c r="AP5205" s="107"/>
      <c r="AQ5205" s="107"/>
      <c r="AR5205" s="107"/>
      <c r="AS5205" s="107"/>
      <c r="AT5205" s="107"/>
      <c r="BA5205" s="117"/>
      <c r="BK5205" s="39"/>
    </row>
    <row r="5206" spans="1:63" x14ac:dyDescent="0.25">
      <c r="A5206" s="92"/>
      <c r="B5206" s="92"/>
      <c r="C5206" s="92"/>
      <c r="D5206" s="92"/>
      <c r="E5206" s="92"/>
      <c r="F5206" s="92"/>
      <c r="G5206" s="92"/>
      <c r="H5206" s="92"/>
      <c r="I5206" s="92"/>
      <c r="J5206" s="92"/>
      <c r="K5206" s="92"/>
      <c r="L5206" s="92"/>
      <c r="M5206" s="92"/>
      <c r="N5206" s="92"/>
      <c r="AG5206" s="107"/>
      <c r="AH5206" s="107"/>
      <c r="AI5206" s="107"/>
      <c r="AJ5206" s="107"/>
      <c r="AK5206" s="107"/>
      <c r="AL5206" s="107"/>
      <c r="AM5206" s="107"/>
      <c r="AN5206" s="107"/>
      <c r="AO5206" s="107"/>
      <c r="AP5206" s="107"/>
      <c r="AQ5206" s="107"/>
      <c r="AR5206" s="107"/>
      <c r="AS5206" s="107"/>
      <c r="AT5206" s="107"/>
      <c r="BA5206" s="117"/>
    </row>
    <row r="5207" spans="1:63" x14ac:dyDescent="0.25">
      <c r="A5207" s="92"/>
      <c r="B5207" s="92"/>
      <c r="C5207" s="92"/>
      <c r="D5207" s="92"/>
      <c r="E5207" s="92"/>
      <c r="F5207" s="92"/>
      <c r="G5207" s="92"/>
      <c r="H5207" s="92"/>
      <c r="I5207" s="92"/>
      <c r="J5207" s="92"/>
      <c r="K5207" s="92"/>
      <c r="L5207" s="92"/>
      <c r="M5207" s="92"/>
      <c r="N5207" s="92"/>
      <c r="AG5207" s="107"/>
      <c r="AH5207" s="117"/>
      <c r="AI5207" s="107"/>
      <c r="AJ5207" s="117"/>
      <c r="AK5207" s="107"/>
      <c r="AL5207" s="107"/>
      <c r="AM5207" s="107"/>
      <c r="AN5207" s="107"/>
      <c r="AO5207" s="107"/>
      <c r="AP5207" s="107"/>
      <c r="AQ5207" s="107"/>
      <c r="AR5207" s="107"/>
      <c r="AS5207" s="107"/>
      <c r="AT5207" s="39"/>
    </row>
    <row r="5208" spans="1:63" x14ac:dyDescent="0.25">
      <c r="A5208" s="92"/>
      <c r="B5208" s="92"/>
      <c r="C5208" s="92"/>
      <c r="D5208" s="92"/>
      <c r="E5208" s="92"/>
      <c r="F5208" s="92"/>
      <c r="G5208" s="92"/>
      <c r="H5208" s="92"/>
      <c r="I5208" s="92"/>
      <c r="J5208" s="92"/>
      <c r="K5208" s="92"/>
      <c r="L5208" s="92"/>
      <c r="M5208" s="92"/>
      <c r="N5208" s="92"/>
      <c r="AG5208" s="107"/>
      <c r="AH5208" s="117"/>
      <c r="AI5208" s="107"/>
      <c r="AJ5208" s="117"/>
      <c r="AK5208" s="107"/>
      <c r="AL5208" s="107"/>
      <c r="AM5208" s="107"/>
      <c r="AN5208" s="107"/>
      <c r="AO5208" s="107"/>
      <c r="AP5208" s="107"/>
      <c r="AQ5208" s="107"/>
      <c r="AR5208" s="107"/>
      <c r="AS5208" s="107"/>
      <c r="AT5208" s="39"/>
    </row>
    <row r="5209" spans="1:63" x14ac:dyDescent="0.25">
      <c r="A5209" s="92"/>
      <c r="B5209" s="92"/>
      <c r="C5209" s="92"/>
      <c r="D5209" s="92"/>
      <c r="E5209" s="92"/>
      <c r="F5209" s="92"/>
      <c r="G5209" s="92"/>
      <c r="H5209" s="92"/>
      <c r="I5209" s="92"/>
      <c r="J5209" s="92"/>
      <c r="K5209" s="92"/>
      <c r="L5209" s="92"/>
      <c r="M5209" s="92"/>
      <c r="N5209" s="92"/>
      <c r="AG5209" s="107"/>
      <c r="AH5209" s="107"/>
      <c r="AI5209" s="107"/>
      <c r="AJ5209" s="117"/>
      <c r="AK5209" s="107"/>
      <c r="AL5209" s="107"/>
      <c r="AM5209" s="107"/>
      <c r="AN5209" s="107"/>
      <c r="AO5209" s="107"/>
      <c r="AP5209" s="107"/>
      <c r="AQ5209" s="107"/>
      <c r="AR5209" s="107"/>
      <c r="AS5209" s="107"/>
      <c r="AT5209" s="107"/>
      <c r="AZ5209" s="117"/>
      <c r="BK5209" s="39"/>
    </row>
    <row r="5210" spans="1:63" x14ac:dyDescent="0.25">
      <c r="A5210" s="92"/>
      <c r="B5210" s="93"/>
      <c r="C5210" s="93"/>
      <c r="D5210" s="93"/>
      <c r="E5210" s="92"/>
      <c r="F5210" s="92"/>
      <c r="G5210" s="92"/>
      <c r="H5210" s="92"/>
      <c r="I5210" s="92"/>
      <c r="J5210" s="92"/>
      <c r="K5210" s="92"/>
      <c r="L5210" s="92"/>
      <c r="M5210" s="92"/>
      <c r="N5210" s="94"/>
      <c r="AG5210" s="107"/>
      <c r="AH5210" s="117"/>
      <c r="AI5210" s="107"/>
      <c r="AJ5210" s="117"/>
      <c r="AK5210" s="107"/>
      <c r="AL5210" s="107"/>
      <c r="AM5210" s="107"/>
      <c r="AN5210" s="107"/>
      <c r="AO5210" s="107"/>
      <c r="AP5210" s="107"/>
      <c r="AQ5210" s="107"/>
      <c r="AR5210" s="107"/>
      <c r="AS5210" s="107"/>
      <c r="AT5210" s="39"/>
      <c r="BA5210" s="117"/>
      <c r="BK5210" s="39"/>
    </row>
    <row r="5211" spans="1:63" x14ac:dyDescent="0.25">
      <c r="A5211" s="92"/>
      <c r="B5211" s="92"/>
      <c r="C5211" s="92"/>
      <c r="D5211" s="93"/>
      <c r="E5211" s="92"/>
      <c r="F5211" s="92"/>
      <c r="G5211" s="92"/>
      <c r="H5211" s="92"/>
      <c r="I5211" s="92"/>
      <c r="J5211" s="92"/>
      <c r="K5211" s="92"/>
      <c r="L5211" s="92"/>
      <c r="M5211" s="92"/>
      <c r="N5211" s="92"/>
      <c r="AG5211" s="107"/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Q5211" s="107"/>
      <c r="AR5211" s="107"/>
      <c r="AS5211" s="107"/>
      <c r="AT5211" s="107"/>
      <c r="BA5211" s="117"/>
      <c r="BK5211" s="39"/>
    </row>
    <row r="5212" spans="1:63" x14ac:dyDescent="0.25">
      <c r="A5212" s="92"/>
      <c r="B5212" s="92"/>
      <c r="C5212" s="92"/>
      <c r="D5212" s="93"/>
      <c r="E5212" s="92"/>
      <c r="F5212" s="92"/>
      <c r="G5212" s="92"/>
      <c r="H5212" s="92"/>
      <c r="I5212" s="92"/>
      <c r="J5212" s="92"/>
      <c r="K5212" s="92"/>
      <c r="L5212" s="92"/>
      <c r="M5212" s="92"/>
      <c r="N5212" s="92"/>
      <c r="AG5212" s="107"/>
      <c r="AH5212" s="107"/>
      <c r="AI5212" s="107"/>
      <c r="AJ5212" s="107"/>
      <c r="AK5212" s="107"/>
      <c r="AL5212" s="107"/>
      <c r="AM5212" s="107"/>
      <c r="AN5212" s="107"/>
      <c r="AO5212" s="107"/>
      <c r="AP5212" s="107"/>
      <c r="AQ5212" s="107"/>
      <c r="AR5212" s="107"/>
      <c r="AS5212" s="107"/>
      <c r="AT5212" s="107"/>
    </row>
    <row r="5213" spans="1:63" x14ac:dyDescent="0.25">
      <c r="A5213" s="92"/>
      <c r="B5213" s="92"/>
      <c r="C5213" s="92"/>
      <c r="D5213" s="93"/>
      <c r="E5213" s="92"/>
      <c r="F5213" s="92"/>
      <c r="G5213" s="92"/>
      <c r="H5213" s="92"/>
      <c r="I5213" s="92"/>
      <c r="J5213" s="92"/>
      <c r="K5213" s="92"/>
      <c r="L5213" s="92"/>
      <c r="M5213" s="92"/>
      <c r="N5213" s="92"/>
      <c r="AG5213" s="107"/>
      <c r="AH5213" s="107"/>
      <c r="AI5213" s="107"/>
      <c r="AJ5213" s="107"/>
      <c r="AK5213" s="107"/>
      <c r="AL5213" s="107"/>
      <c r="AM5213" s="107"/>
      <c r="AN5213" s="107"/>
      <c r="AO5213" s="107"/>
      <c r="AP5213" s="107"/>
      <c r="AQ5213" s="107"/>
      <c r="AR5213" s="107"/>
      <c r="AS5213" s="107"/>
      <c r="AT5213" s="107"/>
      <c r="BA5213" s="117"/>
      <c r="BK5213" s="39"/>
    </row>
    <row r="5214" spans="1:63" x14ac:dyDescent="0.25">
      <c r="A5214" s="92"/>
      <c r="B5214" s="92"/>
      <c r="C5214" s="92"/>
      <c r="D5214" s="93"/>
      <c r="E5214" s="92"/>
      <c r="F5214" s="92"/>
      <c r="G5214" s="92"/>
      <c r="H5214" s="92"/>
      <c r="I5214" s="92"/>
      <c r="J5214" s="92"/>
      <c r="K5214" s="92"/>
      <c r="L5214" s="92"/>
      <c r="M5214" s="92"/>
      <c r="N5214" s="92"/>
      <c r="AG5214" s="107"/>
      <c r="AH5214" s="107"/>
      <c r="AI5214" s="107"/>
      <c r="AJ5214" s="107"/>
      <c r="AK5214" s="107"/>
      <c r="AL5214" s="107"/>
      <c r="AM5214" s="107"/>
      <c r="AN5214" s="107"/>
      <c r="AO5214" s="107"/>
      <c r="AP5214" s="107"/>
      <c r="AQ5214" s="107"/>
      <c r="AR5214" s="107"/>
      <c r="AS5214" s="107"/>
      <c r="AT5214" s="107"/>
    </row>
    <row r="5215" spans="1:63" x14ac:dyDescent="0.25">
      <c r="A5215" s="92"/>
      <c r="B5215" s="92"/>
      <c r="C5215" s="92"/>
      <c r="D5215" s="93"/>
      <c r="E5215" s="92"/>
      <c r="F5215" s="92"/>
      <c r="G5215" s="92"/>
      <c r="H5215" s="92"/>
      <c r="I5215" s="92"/>
      <c r="J5215" s="92"/>
      <c r="K5215" s="92"/>
      <c r="L5215" s="92"/>
      <c r="M5215" s="92"/>
      <c r="N5215" s="92"/>
      <c r="AG5215" s="107"/>
      <c r="AH5215" s="107"/>
      <c r="AI5215" s="107"/>
      <c r="AJ5215" s="107"/>
      <c r="AK5215" s="107"/>
      <c r="AL5215" s="107"/>
      <c r="AM5215" s="107"/>
      <c r="AN5215" s="107"/>
      <c r="AO5215" s="107"/>
      <c r="AP5215" s="107"/>
      <c r="AQ5215" s="107"/>
      <c r="AR5215" s="107"/>
      <c r="AS5215" s="107"/>
      <c r="AT5215" s="107"/>
    </row>
    <row r="5216" spans="1:63" x14ac:dyDescent="0.25">
      <c r="A5216" s="92"/>
      <c r="B5216" s="92"/>
      <c r="C5216" s="92"/>
      <c r="D5216" s="93"/>
      <c r="E5216" s="92"/>
      <c r="F5216" s="92"/>
      <c r="G5216" s="92"/>
      <c r="H5216" s="92"/>
      <c r="I5216" s="92"/>
      <c r="J5216" s="92"/>
      <c r="K5216" s="92"/>
      <c r="L5216" s="92"/>
      <c r="M5216" s="92"/>
      <c r="N5216" s="92"/>
      <c r="AG5216" s="107"/>
      <c r="AH5216" s="107"/>
      <c r="AI5216" s="107"/>
      <c r="AJ5216" s="107"/>
      <c r="AK5216" s="107"/>
      <c r="AL5216" s="107"/>
      <c r="AM5216" s="107"/>
      <c r="AN5216" s="107"/>
      <c r="AO5216" s="107"/>
      <c r="AP5216" s="107"/>
      <c r="AQ5216" s="107"/>
      <c r="AR5216" s="107"/>
      <c r="AS5216" s="107"/>
      <c r="AT5216" s="107"/>
    </row>
    <row r="5217" spans="1:63" x14ac:dyDescent="0.25">
      <c r="A5217" s="92"/>
      <c r="B5217" s="92"/>
      <c r="C5217" s="92"/>
      <c r="D5217" s="93"/>
      <c r="E5217" s="92"/>
      <c r="F5217" s="92"/>
      <c r="G5217" s="92"/>
      <c r="H5217" s="92"/>
      <c r="I5217" s="92"/>
      <c r="J5217" s="92"/>
      <c r="K5217" s="92"/>
      <c r="L5217" s="92"/>
      <c r="M5217" s="92"/>
      <c r="N5217" s="92"/>
      <c r="AG5217" s="107"/>
      <c r="AH5217" s="107"/>
      <c r="AI5217" s="107"/>
      <c r="AJ5217" s="107"/>
      <c r="AK5217" s="107"/>
      <c r="AL5217" s="107"/>
      <c r="AM5217" s="107"/>
      <c r="AN5217" s="107"/>
      <c r="AO5217" s="107"/>
      <c r="AP5217" s="107"/>
      <c r="AQ5217" s="107"/>
      <c r="AR5217" s="107"/>
      <c r="AS5217" s="107"/>
      <c r="AT5217" s="107"/>
      <c r="BA5217" s="117"/>
      <c r="BK5217" s="39"/>
    </row>
    <row r="5218" spans="1:63" x14ac:dyDescent="0.25">
      <c r="A5218" s="92"/>
      <c r="B5218" s="92"/>
      <c r="C5218" s="92"/>
      <c r="D5218" s="93"/>
      <c r="E5218" s="92"/>
      <c r="F5218" s="92"/>
      <c r="G5218" s="92"/>
      <c r="H5218" s="92"/>
      <c r="I5218" s="92"/>
      <c r="J5218" s="92"/>
      <c r="K5218" s="92"/>
      <c r="L5218" s="92"/>
      <c r="M5218" s="92"/>
      <c r="N5218" s="92"/>
      <c r="AG5218" s="107"/>
      <c r="AH5218" s="107"/>
      <c r="AI5218" s="107"/>
      <c r="AJ5218" s="107"/>
      <c r="AK5218" s="107"/>
      <c r="AL5218" s="107"/>
      <c r="AM5218" s="107"/>
      <c r="AN5218" s="107"/>
      <c r="AO5218" s="107"/>
      <c r="AP5218" s="107"/>
      <c r="AQ5218" s="107"/>
      <c r="AR5218" s="107"/>
      <c r="AS5218" s="107"/>
      <c r="AT5218" s="107"/>
    </row>
    <row r="5219" spans="1:63" x14ac:dyDescent="0.25">
      <c r="A5219" s="92"/>
      <c r="B5219" s="93"/>
      <c r="C5219" s="93"/>
      <c r="D5219" s="92"/>
      <c r="E5219" s="92"/>
      <c r="F5219" s="92"/>
      <c r="G5219" s="92"/>
      <c r="H5219" s="92"/>
      <c r="I5219" s="92"/>
      <c r="J5219" s="92"/>
      <c r="K5219" s="92"/>
      <c r="L5219" s="92"/>
      <c r="M5219" s="92"/>
      <c r="N5219" s="94"/>
      <c r="AG5219" s="107"/>
      <c r="AH5219" s="107"/>
      <c r="AI5219" s="107"/>
      <c r="AJ5219" s="107"/>
      <c r="AK5219" s="107"/>
      <c r="AL5219" s="107"/>
      <c r="AM5219" s="107"/>
      <c r="AN5219" s="107"/>
      <c r="AO5219" s="107"/>
      <c r="AP5219" s="107"/>
      <c r="AQ5219" s="107"/>
      <c r="AR5219" s="107"/>
      <c r="AS5219" s="107"/>
      <c r="AT5219" s="107"/>
    </row>
    <row r="5220" spans="1:63" x14ac:dyDescent="0.25">
      <c r="A5220" s="92"/>
      <c r="B5220" s="93"/>
      <c r="C5220" s="93"/>
      <c r="D5220" s="92"/>
      <c r="E5220" s="92"/>
      <c r="F5220" s="92"/>
      <c r="G5220" s="92"/>
      <c r="H5220" s="92"/>
      <c r="I5220" s="92"/>
      <c r="J5220" s="92"/>
      <c r="K5220" s="92"/>
      <c r="L5220" s="92"/>
      <c r="M5220" s="92"/>
      <c r="N5220" s="94"/>
      <c r="AG5220" s="107"/>
      <c r="AH5220" s="107"/>
      <c r="AI5220" s="107"/>
      <c r="AJ5220" s="107"/>
      <c r="AK5220" s="107"/>
      <c r="AL5220" s="107"/>
      <c r="AM5220" s="107"/>
      <c r="AN5220" s="107"/>
      <c r="AO5220" s="107"/>
      <c r="AP5220" s="107"/>
      <c r="AQ5220" s="107"/>
      <c r="AR5220" s="107"/>
      <c r="AS5220" s="107"/>
      <c r="AT5220" s="107"/>
    </row>
    <row r="5221" spans="1:63" x14ac:dyDescent="0.25">
      <c r="A5221" s="92"/>
      <c r="B5221" s="93"/>
      <c r="C5221" s="93"/>
      <c r="D5221" s="92"/>
      <c r="E5221" s="92"/>
      <c r="F5221" s="92"/>
      <c r="G5221" s="92"/>
      <c r="H5221" s="92"/>
      <c r="I5221" s="92"/>
      <c r="J5221" s="92"/>
      <c r="K5221" s="92"/>
      <c r="L5221" s="92"/>
      <c r="M5221" s="92"/>
      <c r="N5221" s="94"/>
      <c r="AG5221" s="107"/>
      <c r="AH5221" s="117"/>
      <c r="AI5221" s="107"/>
      <c r="AJ5221" s="117"/>
      <c r="AK5221" s="107"/>
      <c r="AL5221" s="107"/>
      <c r="AM5221" s="107"/>
      <c r="AN5221" s="107"/>
      <c r="AO5221" s="107"/>
      <c r="AP5221" s="107"/>
      <c r="AQ5221" s="107"/>
      <c r="AR5221" s="107"/>
      <c r="AS5221" s="107"/>
      <c r="AT5221" s="39"/>
    </row>
    <row r="5222" spans="1:63" x14ac:dyDescent="0.25">
      <c r="A5222" s="92"/>
      <c r="B5222" s="92"/>
      <c r="C5222" s="92"/>
      <c r="D5222" s="92"/>
      <c r="E5222" s="92"/>
      <c r="F5222" s="92"/>
      <c r="G5222" s="92"/>
      <c r="H5222" s="92"/>
      <c r="I5222" s="92"/>
      <c r="J5222" s="92"/>
      <c r="K5222" s="92"/>
      <c r="L5222" s="92"/>
      <c r="M5222" s="92"/>
      <c r="N5222" s="92"/>
      <c r="AG5222" s="107"/>
      <c r="AH5222" s="107"/>
      <c r="AI5222" s="107"/>
      <c r="AJ5222" s="117"/>
      <c r="AK5222" s="107"/>
      <c r="AL5222" s="107"/>
      <c r="AM5222" s="107"/>
      <c r="AN5222" s="107"/>
      <c r="AO5222" s="107"/>
      <c r="AP5222" s="107"/>
      <c r="AQ5222" s="107"/>
      <c r="AR5222" s="107"/>
      <c r="AS5222" s="107"/>
      <c r="AT5222" s="107"/>
    </row>
    <row r="5223" spans="1:63" x14ac:dyDescent="0.25">
      <c r="A5223" s="92"/>
      <c r="B5223" s="93"/>
      <c r="C5223" s="93"/>
      <c r="D5223" s="93"/>
      <c r="E5223" s="92"/>
      <c r="F5223" s="92"/>
      <c r="G5223" s="92"/>
      <c r="H5223" s="92"/>
      <c r="I5223" s="92"/>
      <c r="J5223" s="92"/>
      <c r="K5223" s="92"/>
      <c r="L5223" s="92"/>
      <c r="M5223" s="92"/>
      <c r="N5223" s="94"/>
      <c r="AG5223" s="107"/>
      <c r="AH5223" s="117"/>
      <c r="AI5223" s="107"/>
      <c r="AJ5223" s="117"/>
      <c r="AK5223" s="107"/>
      <c r="AL5223" s="107"/>
      <c r="AM5223" s="107"/>
      <c r="AN5223" s="107"/>
      <c r="AO5223" s="107"/>
      <c r="AP5223" s="107"/>
      <c r="AQ5223" s="107"/>
      <c r="AR5223" s="107"/>
      <c r="AS5223" s="107"/>
      <c r="AT5223" s="39"/>
    </row>
    <row r="5224" spans="1:63" x14ac:dyDescent="0.25">
      <c r="A5224" s="92"/>
      <c r="B5224" s="93"/>
      <c r="C5224" s="93"/>
      <c r="D5224" s="92"/>
      <c r="E5224" s="92"/>
      <c r="F5224" s="92"/>
      <c r="G5224" s="92"/>
      <c r="H5224" s="92"/>
      <c r="I5224" s="92"/>
      <c r="J5224" s="92"/>
      <c r="K5224" s="92"/>
      <c r="L5224" s="92"/>
      <c r="M5224" s="92"/>
      <c r="N5224" s="94"/>
      <c r="AG5224" s="107"/>
      <c r="AH5224" s="107"/>
      <c r="AI5224" s="107"/>
      <c r="AJ5224" s="117"/>
      <c r="AK5224" s="107"/>
      <c r="AL5224" s="107"/>
      <c r="AM5224" s="107"/>
      <c r="AN5224" s="107"/>
      <c r="AO5224" s="107"/>
      <c r="AP5224" s="107"/>
      <c r="AQ5224" s="107"/>
      <c r="AR5224" s="107"/>
      <c r="AS5224" s="107"/>
      <c r="AT5224" s="107"/>
    </row>
    <row r="5225" spans="1:63" x14ac:dyDescent="0.25">
      <c r="A5225" s="92"/>
      <c r="B5225" s="92"/>
      <c r="C5225" s="92"/>
      <c r="D5225" s="92"/>
      <c r="E5225" s="92"/>
      <c r="F5225" s="92"/>
      <c r="G5225" s="92"/>
      <c r="H5225" s="92"/>
      <c r="I5225" s="92"/>
      <c r="J5225" s="92"/>
      <c r="K5225" s="92"/>
      <c r="L5225" s="92"/>
      <c r="M5225" s="92"/>
      <c r="N5225" s="92"/>
      <c r="AG5225" s="107"/>
      <c r="AH5225" s="107"/>
      <c r="AI5225" s="107"/>
      <c r="AJ5225" s="107"/>
      <c r="AK5225" s="107"/>
      <c r="AL5225" s="107"/>
      <c r="AM5225" s="107"/>
      <c r="AN5225" s="107"/>
      <c r="AO5225" s="107"/>
      <c r="AP5225" s="107"/>
      <c r="AQ5225" s="107"/>
      <c r="AR5225" s="107"/>
      <c r="AS5225" s="107"/>
      <c r="AT5225" s="107"/>
    </row>
    <row r="5226" spans="1:63" x14ac:dyDescent="0.25">
      <c r="A5226" s="92"/>
      <c r="B5226" s="92"/>
      <c r="C5226" s="92"/>
      <c r="D5226" s="92"/>
      <c r="E5226" s="92"/>
      <c r="F5226" s="92"/>
      <c r="G5226" s="92"/>
      <c r="H5226" s="92"/>
      <c r="I5226" s="92"/>
      <c r="J5226" s="92"/>
      <c r="K5226" s="92"/>
      <c r="L5226" s="92"/>
      <c r="M5226" s="92"/>
      <c r="N5226" s="92"/>
      <c r="AG5226" s="107"/>
      <c r="AH5226" s="107"/>
      <c r="AI5226" s="107"/>
      <c r="AJ5226" s="107"/>
      <c r="AK5226" s="107"/>
      <c r="AL5226" s="107"/>
      <c r="AM5226" s="107"/>
      <c r="AN5226" s="107"/>
      <c r="AO5226" s="107"/>
      <c r="AP5226" s="107"/>
      <c r="AQ5226" s="107"/>
      <c r="AR5226" s="107"/>
      <c r="AS5226" s="107"/>
      <c r="AT5226" s="107"/>
      <c r="BA5226" s="117"/>
      <c r="BK5226" s="39"/>
    </row>
    <row r="5227" spans="1:63" x14ac:dyDescent="0.25">
      <c r="A5227" s="92"/>
      <c r="B5227" s="92"/>
      <c r="C5227" s="92"/>
      <c r="D5227" s="92"/>
      <c r="E5227" s="92"/>
      <c r="F5227" s="92"/>
      <c r="G5227" s="92"/>
      <c r="H5227" s="92"/>
      <c r="I5227" s="92"/>
      <c r="J5227" s="92"/>
      <c r="K5227" s="92"/>
      <c r="L5227" s="92"/>
      <c r="M5227" s="92"/>
      <c r="N5227" s="92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BA5227" s="117"/>
      <c r="BK5227" s="39"/>
    </row>
    <row r="5228" spans="1:63" x14ac:dyDescent="0.25">
      <c r="A5228" s="92"/>
      <c r="B5228" s="92"/>
      <c r="C5228" s="92"/>
      <c r="D5228" s="92"/>
      <c r="E5228" s="92"/>
      <c r="F5228" s="92"/>
      <c r="G5228" s="92"/>
      <c r="H5228" s="92"/>
      <c r="I5228" s="92"/>
      <c r="J5228" s="92"/>
      <c r="K5228" s="92"/>
      <c r="L5228" s="92"/>
      <c r="M5228" s="92"/>
      <c r="N5228" s="92"/>
      <c r="AG5228" s="107"/>
      <c r="AH5228" s="107"/>
      <c r="AI5228" s="107"/>
      <c r="AJ5228" s="107"/>
      <c r="AK5228" s="107"/>
      <c r="AL5228" s="107"/>
      <c r="AM5228" s="107"/>
      <c r="AN5228" s="107"/>
      <c r="AO5228" s="107"/>
      <c r="AP5228" s="107"/>
      <c r="AQ5228" s="107"/>
      <c r="AR5228" s="107"/>
      <c r="AS5228" s="107"/>
      <c r="AT5228" s="107"/>
    </row>
    <row r="5229" spans="1:63" x14ac:dyDescent="0.25">
      <c r="A5229" s="92"/>
      <c r="B5229" s="92"/>
      <c r="C5229" s="92"/>
      <c r="D5229" s="92"/>
      <c r="E5229" s="92"/>
      <c r="F5229" s="92"/>
      <c r="G5229" s="92"/>
      <c r="H5229" s="92"/>
      <c r="I5229" s="92"/>
      <c r="J5229" s="92"/>
      <c r="K5229" s="92"/>
      <c r="L5229" s="92"/>
      <c r="M5229" s="92"/>
      <c r="N5229" s="92"/>
      <c r="AG5229" s="107"/>
      <c r="AH5229" s="107"/>
      <c r="AI5229" s="107"/>
      <c r="AJ5229" s="107"/>
      <c r="AK5229" s="107"/>
      <c r="AL5229" s="107"/>
      <c r="AM5229" s="107"/>
      <c r="AN5229" s="107"/>
      <c r="AO5229" s="107"/>
      <c r="AP5229" s="107"/>
      <c r="AQ5229" s="107"/>
      <c r="AR5229" s="107"/>
      <c r="AS5229" s="107"/>
      <c r="AT5229" s="107"/>
    </row>
    <row r="5230" spans="1:63" x14ac:dyDescent="0.25">
      <c r="A5230" s="92"/>
      <c r="B5230" s="92"/>
      <c r="C5230" s="92"/>
      <c r="D5230" s="92"/>
      <c r="E5230" s="92"/>
      <c r="F5230" s="92"/>
      <c r="G5230" s="92"/>
      <c r="H5230" s="92"/>
      <c r="I5230" s="92"/>
      <c r="J5230" s="92"/>
      <c r="K5230" s="92"/>
      <c r="L5230" s="92"/>
      <c r="M5230" s="92"/>
      <c r="N5230" s="92"/>
      <c r="AG5230" s="107"/>
      <c r="AH5230" s="117"/>
      <c r="AI5230" s="107"/>
      <c r="AJ5230" s="117"/>
      <c r="AK5230" s="107"/>
      <c r="AL5230" s="107"/>
      <c r="AM5230" s="107"/>
      <c r="AN5230" s="107"/>
      <c r="AO5230" s="107"/>
      <c r="AP5230" s="107"/>
      <c r="AQ5230" s="107"/>
      <c r="AR5230" s="107"/>
      <c r="AS5230" s="107"/>
      <c r="AT5230" s="39"/>
    </row>
    <row r="5231" spans="1:63" x14ac:dyDescent="0.25">
      <c r="A5231" s="92"/>
      <c r="B5231" s="93"/>
      <c r="C5231" s="93"/>
      <c r="D5231" s="93"/>
      <c r="E5231" s="92"/>
      <c r="F5231" s="92"/>
      <c r="G5231" s="92"/>
      <c r="H5231" s="92"/>
      <c r="I5231" s="92"/>
      <c r="J5231" s="92"/>
      <c r="K5231" s="92"/>
      <c r="L5231" s="92"/>
      <c r="M5231" s="92"/>
      <c r="N5231" s="94"/>
      <c r="AG5231" s="107"/>
      <c r="AH5231" s="117"/>
      <c r="AI5231" s="107"/>
      <c r="AJ5231" s="117"/>
      <c r="AK5231" s="107"/>
      <c r="AL5231" s="107"/>
      <c r="AM5231" s="107"/>
      <c r="AN5231" s="107"/>
      <c r="AO5231" s="107"/>
      <c r="AP5231" s="107"/>
      <c r="AQ5231" s="107"/>
      <c r="AR5231" s="107"/>
      <c r="AS5231" s="107"/>
      <c r="AT5231" s="39"/>
    </row>
    <row r="5232" spans="1:63" x14ac:dyDescent="0.25">
      <c r="A5232" s="92"/>
      <c r="B5232" s="92"/>
      <c r="C5232" s="92"/>
      <c r="D5232" s="92"/>
      <c r="E5232" s="92"/>
      <c r="F5232" s="92"/>
      <c r="G5232" s="92"/>
      <c r="H5232" s="92"/>
      <c r="I5232" s="92"/>
      <c r="J5232" s="92"/>
      <c r="K5232" s="92"/>
      <c r="L5232" s="92"/>
      <c r="M5232" s="92"/>
      <c r="N5232" s="92"/>
      <c r="AG5232" s="107"/>
      <c r="AH5232" s="107"/>
      <c r="AI5232" s="107"/>
      <c r="AJ5232" s="107"/>
      <c r="AK5232" s="107"/>
      <c r="AL5232" s="107"/>
      <c r="AM5232" s="107"/>
      <c r="AN5232" s="107"/>
      <c r="AO5232" s="107"/>
      <c r="AP5232" s="107"/>
      <c r="AQ5232" s="107"/>
      <c r="AR5232" s="107"/>
      <c r="AS5232" s="107"/>
      <c r="AT5232" s="107"/>
    </row>
    <row r="5233" spans="1:63" x14ac:dyDescent="0.25">
      <c r="A5233" s="92"/>
      <c r="B5233" s="92"/>
      <c r="C5233" s="92"/>
      <c r="D5233" s="92"/>
      <c r="E5233" s="92"/>
      <c r="F5233" s="92"/>
      <c r="G5233" s="92"/>
      <c r="H5233" s="92"/>
      <c r="I5233" s="92"/>
      <c r="J5233" s="92"/>
      <c r="K5233" s="92"/>
      <c r="L5233" s="92"/>
      <c r="M5233" s="92"/>
      <c r="N5233" s="92"/>
      <c r="AG5233" s="107"/>
      <c r="AH5233" s="117"/>
      <c r="AI5233" s="107"/>
      <c r="AJ5233" s="117"/>
      <c r="AK5233" s="107"/>
      <c r="AL5233" s="107"/>
      <c r="AM5233" s="107"/>
      <c r="AN5233" s="107"/>
      <c r="AO5233" s="107"/>
      <c r="AP5233" s="107"/>
      <c r="AQ5233" s="107"/>
      <c r="AR5233" s="107"/>
      <c r="AS5233" s="107"/>
      <c r="AT5233" s="39"/>
    </row>
    <row r="5234" spans="1:63" x14ac:dyDescent="0.25">
      <c r="A5234" s="92"/>
      <c r="B5234" s="92"/>
      <c r="C5234" s="92"/>
      <c r="D5234" s="92"/>
      <c r="E5234" s="92"/>
      <c r="F5234" s="92"/>
      <c r="G5234" s="92"/>
      <c r="H5234" s="92"/>
      <c r="I5234" s="92"/>
      <c r="J5234" s="92"/>
      <c r="K5234" s="92"/>
      <c r="L5234" s="92"/>
      <c r="M5234" s="92"/>
      <c r="N5234" s="92"/>
      <c r="AG5234" s="107"/>
      <c r="AH5234" s="117"/>
      <c r="AI5234" s="107"/>
      <c r="AJ5234" s="117"/>
      <c r="AK5234" s="107"/>
      <c r="AL5234" s="107"/>
      <c r="AM5234" s="107"/>
      <c r="AN5234" s="107"/>
      <c r="AO5234" s="107"/>
      <c r="AP5234" s="107"/>
      <c r="AQ5234" s="107"/>
      <c r="AR5234" s="107"/>
      <c r="AS5234" s="107"/>
      <c r="AT5234" s="39"/>
      <c r="AZ5234" s="117"/>
      <c r="BK5234" s="39"/>
    </row>
    <row r="5235" spans="1:63" x14ac:dyDescent="0.25">
      <c r="A5235" s="92"/>
      <c r="B5235" s="92"/>
      <c r="C5235" s="92"/>
      <c r="D5235" s="92"/>
      <c r="E5235" s="92"/>
      <c r="F5235" s="92"/>
      <c r="G5235" s="92"/>
      <c r="H5235" s="92"/>
      <c r="I5235" s="92"/>
      <c r="J5235" s="92"/>
      <c r="K5235" s="92"/>
      <c r="L5235" s="92"/>
      <c r="M5235" s="92"/>
      <c r="N5235" s="92"/>
      <c r="AG5235" s="107"/>
      <c r="AH5235" s="117"/>
      <c r="AI5235" s="107"/>
      <c r="AJ5235" s="117"/>
      <c r="AK5235" s="107"/>
      <c r="AL5235" s="107"/>
      <c r="AM5235" s="107"/>
      <c r="AN5235" s="107"/>
      <c r="AO5235" s="107"/>
      <c r="AP5235" s="107"/>
      <c r="AQ5235" s="107"/>
      <c r="AR5235" s="107"/>
      <c r="AS5235" s="107"/>
      <c r="AT5235" s="39"/>
      <c r="AZ5235" s="117"/>
      <c r="BK5235" s="39"/>
    </row>
    <row r="5236" spans="1:63" x14ac:dyDescent="0.25">
      <c r="A5236" s="92"/>
      <c r="B5236" s="92"/>
      <c r="C5236" s="92"/>
      <c r="D5236" s="92"/>
      <c r="E5236" s="92"/>
      <c r="F5236" s="92"/>
      <c r="G5236" s="92"/>
      <c r="H5236" s="92"/>
      <c r="I5236" s="92"/>
      <c r="J5236" s="92"/>
      <c r="K5236" s="92"/>
      <c r="L5236" s="92"/>
      <c r="M5236" s="92"/>
      <c r="N5236" s="92"/>
      <c r="AG5236" s="107"/>
      <c r="AH5236" s="117"/>
      <c r="AI5236" s="107"/>
      <c r="AJ5236" s="117"/>
      <c r="AK5236" s="107"/>
      <c r="AL5236" s="107"/>
      <c r="AM5236" s="107"/>
      <c r="AN5236" s="107"/>
      <c r="AO5236" s="107"/>
      <c r="AP5236" s="107"/>
      <c r="AQ5236" s="107"/>
      <c r="AR5236" s="107"/>
      <c r="AS5236" s="107"/>
      <c r="AT5236" s="39"/>
      <c r="BA5236" s="117"/>
      <c r="BK5236" s="39"/>
    </row>
    <row r="5237" spans="1:63" x14ac:dyDescent="0.25">
      <c r="A5237" s="92"/>
      <c r="B5237" s="92"/>
      <c r="C5237" s="92"/>
      <c r="D5237" s="92"/>
      <c r="E5237" s="92"/>
      <c r="F5237" s="92"/>
      <c r="G5237" s="92"/>
      <c r="H5237" s="92"/>
      <c r="I5237" s="92"/>
      <c r="J5237" s="92"/>
      <c r="K5237" s="92"/>
      <c r="L5237" s="92"/>
      <c r="M5237" s="92"/>
      <c r="N5237" s="92"/>
      <c r="AG5237" s="107"/>
      <c r="AH5237" s="107"/>
      <c r="AI5237" s="107"/>
      <c r="AJ5237" s="107"/>
      <c r="AK5237" s="107"/>
      <c r="AL5237" s="107"/>
      <c r="AM5237" s="107"/>
      <c r="AN5237" s="107"/>
      <c r="AO5237" s="107"/>
      <c r="AP5237" s="107"/>
      <c r="AQ5237" s="107"/>
      <c r="AR5237" s="107"/>
      <c r="AS5237" s="107"/>
      <c r="AT5237" s="107"/>
      <c r="BA5237" s="117"/>
    </row>
    <row r="5238" spans="1:63" x14ac:dyDescent="0.25">
      <c r="A5238" s="92"/>
      <c r="B5238" s="93"/>
      <c r="C5238" s="93"/>
      <c r="D5238" s="92"/>
      <c r="E5238" s="92"/>
      <c r="F5238" s="92"/>
      <c r="G5238" s="92"/>
      <c r="H5238" s="92"/>
      <c r="I5238" s="92"/>
      <c r="J5238" s="92"/>
      <c r="K5238" s="92"/>
      <c r="L5238" s="92"/>
      <c r="M5238" s="92"/>
      <c r="N5238" s="94"/>
      <c r="AG5238" s="107"/>
      <c r="AH5238" s="107"/>
      <c r="AI5238" s="107"/>
      <c r="AJ5238" s="107"/>
      <c r="AK5238" s="107"/>
      <c r="AL5238" s="107"/>
      <c r="AM5238" s="107"/>
      <c r="AN5238" s="107"/>
      <c r="AO5238" s="107"/>
      <c r="AP5238" s="107"/>
      <c r="AQ5238" s="107"/>
      <c r="AR5238" s="107"/>
      <c r="AS5238" s="107"/>
      <c r="AT5238" s="107"/>
    </row>
    <row r="5239" spans="1:63" x14ac:dyDescent="0.25">
      <c r="A5239" s="92"/>
      <c r="B5239" s="93"/>
      <c r="C5239" s="93"/>
      <c r="D5239" s="92"/>
      <c r="E5239" s="92"/>
      <c r="F5239" s="92"/>
      <c r="G5239" s="92"/>
      <c r="H5239" s="92"/>
      <c r="I5239" s="92"/>
      <c r="J5239" s="92"/>
      <c r="K5239" s="92"/>
      <c r="L5239" s="92"/>
      <c r="M5239" s="92"/>
      <c r="N5239" s="94"/>
      <c r="AG5239" s="107"/>
      <c r="AH5239" s="107"/>
      <c r="AI5239" s="107"/>
      <c r="AJ5239" s="107"/>
      <c r="AK5239" s="107"/>
      <c r="AL5239" s="107"/>
      <c r="AM5239" s="107"/>
      <c r="AN5239" s="107"/>
      <c r="AO5239" s="107"/>
      <c r="AP5239" s="107"/>
      <c r="AQ5239" s="107"/>
      <c r="AR5239" s="107"/>
      <c r="AS5239" s="107"/>
      <c r="AT5239" s="107"/>
    </row>
    <row r="5240" spans="1:63" x14ac:dyDescent="0.25">
      <c r="A5240" s="92"/>
      <c r="B5240" s="93"/>
      <c r="C5240" s="93"/>
      <c r="D5240" s="92"/>
      <c r="E5240" s="92"/>
      <c r="F5240" s="92"/>
      <c r="G5240" s="92"/>
      <c r="H5240" s="92"/>
      <c r="I5240" s="92"/>
      <c r="J5240" s="92"/>
      <c r="K5240" s="92"/>
      <c r="L5240" s="92"/>
      <c r="M5240" s="92"/>
      <c r="N5240" s="94"/>
      <c r="AG5240" s="107"/>
      <c r="AH5240" s="107"/>
      <c r="AI5240" s="107"/>
      <c r="AJ5240" s="107"/>
      <c r="AK5240" s="107"/>
      <c r="AL5240" s="107"/>
      <c r="AM5240" s="107"/>
      <c r="AN5240" s="107"/>
      <c r="AO5240" s="107"/>
      <c r="AP5240" s="107"/>
      <c r="AQ5240" s="107"/>
      <c r="AR5240" s="107"/>
      <c r="AS5240" s="107"/>
      <c r="AT5240" s="107"/>
    </row>
    <row r="5241" spans="1:63" x14ac:dyDescent="0.25">
      <c r="A5241" s="92"/>
      <c r="B5241" s="93"/>
      <c r="C5241" s="93"/>
      <c r="D5241" s="92"/>
      <c r="E5241" s="92"/>
      <c r="F5241" s="92"/>
      <c r="G5241" s="92"/>
      <c r="H5241" s="92"/>
      <c r="I5241" s="92"/>
      <c r="J5241" s="92"/>
      <c r="K5241" s="92"/>
      <c r="L5241" s="92"/>
      <c r="M5241" s="92"/>
      <c r="N5241" s="94"/>
      <c r="AG5241" s="107"/>
      <c r="AH5241" s="117"/>
      <c r="AI5241" s="107"/>
      <c r="AJ5241" s="117"/>
      <c r="AK5241" s="107"/>
      <c r="AL5241" s="107"/>
      <c r="AM5241" s="107"/>
      <c r="AN5241" s="107"/>
      <c r="AO5241" s="107"/>
      <c r="AP5241" s="107"/>
      <c r="AQ5241" s="107"/>
      <c r="AR5241" s="107"/>
      <c r="AS5241" s="107"/>
      <c r="AT5241" s="39"/>
    </row>
    <row r="5242" spans="1:63" x14ac:dyDescent="0.25">
      <c r="A5242" s="92"/>
      <c r="B5242" s="93"/>
      <c r="C5242" s="93"/>
      <c r="D5242" s="92"/>
      <c r="E5242" s="92"/>
      <c r="F5242" s="92"/>
      <c r="G5242" s="92"/>
      <c r="H5242" s="92"/>
      <c r="I5242" s="92"/>
      <c r="J5242" s="92"/>
      <c r="K5242" s="92"/>
      <c r="L5242" s="92"/>
      <c r="M5242" s="92"/>
      <c r="N5242" s="94"/>
      <c r="AG5242" s="107"/>
      <c r="AH5242" s="117"/>
      <c r="AI5242" s="107"/>
      <c r="AJ5242" s="117"/>
      <c r="AK5242" s="107"/>
      <c r="AL5242" s="107"/>
      <c r="AM5242" s="107"/>
      <c r="AN5242" s="107"/>
      <c r="AO5242" s="107"/>
      <c r="AP5242" s="107"/>
      <c r="AQ5242" s="107"/>
      <c r="AR5242" s="107"/>
      <c r="AS5242" s="107"/>
      <c r="AT5242" s="39"/>
    </row>
    <row r="5243" spans="1:63" x14ac:dyDescent="0.25">
      <c r="A5243" s="92"/>
      <c r="B5243" s="93"/>
      <c r="C5243" s="93"/>
      <c r="D5243" s="93"/>
      <c r="E5243" s="92"/>
      <c r="F5243" s="92"/>
      <c r="G5243" s="92"/>
      <c r="H5243" s="92"/>
      <c r="I5243" s="92"/>
      <c r="J5243" s="92"/>
      <c r="K5243" s="92"/>
      <c r="L5243" s="92"/>
      <c r="M5243" s="92"/>
      <c r="N5243" s="94"/>
      <c r="AG5243" s="107"/>
      <c r="AH5243" s="107"/>
      <c r="AI5243" s="107"/>
      <c r="AJ5243" s="107"/>
      <c r="AK5243" s="107"/>
      <c r="AL5243" s="107"/>
      <c r="AM5243" s="107"/>
      <c r="AN5243" s="107"/>
      <c r="AO5243" s="107"/>
      <c r="AP5243" s="107"/>
      <c r="AQ5243" s="107"/>
      <c r="AR5243" s="107"/>
      <c r="AS5243" s="107"/>
      <c r="AT5243" s="107"/>
    </row>
    <row r="5244" spans="1:63" x14ac:dyDescent="0.25">
      <c r="A5244" s="92"/>
      <c r="B5244" s="93"/>
      <c r="C5244" s="93"/>
      <c r="D5244" s="92"/>
      <c r="E5244" s="92"/>
      <c r="F5244" s="92"/>
      <c r="G5244" s="92"/>
      <c r="H5244" s="92"/>
      <c r="I5244" s="92"/>
      <c r="J5244" s="92"/>
      <c r="K5244" s="92"/>
      <c r="L5244" s="92"/>
      <c r="M5244" s="92"/>
      <c r="N5244" s="94"/>
      <c r="AG5244" s="107"/>
      <c r="AH5244" s="107"/>
      <c r="AI5244" s="107"/>
      <c r="AJ5244" s="107"/>
      <c r="AK5244" s="107"/>
      <c r="AL5244" s="107"/>
      <c r="AM5244" s="107"/>
      <c r="AN5244" s="107"/>
      <c r="AO5244" s="107"/>
      <c r="AP5244" s="107"/>
      <c r="AQ5244" s="107"/>
      <c r="AR5244" s="107"/>
      <c r="AS5244" s="107"/>
      <c r="AT5244" s="107"/>
    </row>
    <row r="5245" spans="1:63" x14ac:dyDescent="0.25">
      <c r="A5245" s="92"/>
      <c r="B5245" s="93"/>
      <c r="C5245" s="93"/>
      <c r="D5245" s="92"/>
      <c r="E5245" s="92"/>
      <c r="F5245" s="92"/>
      <c r="G5245" s="92"/>
      <c r="H5245" s="92"/>
      <c r="I5245" s="92"/>
      <c r="J5245" s="92"/>
      <c r="K5245" s="92"/>
      <c r="L5245" s="92"/>
      <c r="M5245" s="92"/>
      <c r="N5245" s="94"/>
      <c r="AG5245" s="107"/>
      <c r="AH5245" s="107"/>
      <c r="AI5245" s="107"/>
      <c r="AJ5245" s="107"/>
      <c r="AK5245" s="107"/>
      <c r="AL5245" s="107"/>
      <c r="AM5245" s="107"/>
      <c r="AN5245" s="107"/>
      <c r="AO5245" s="107"/>
      <c r="AP5245" s="107"/>
      <c r="AQ5245" s="107"/>
      <c r="AR5245" s="107"/>
      <c r="AS5245" s="107"/>
      <c r="AT5245" s="107"/>
    </row>
    <row r="5246" spans="1:63" x14ac:dyDescent="0.25">
      <c r="A5246" s="92"/>
      <c r="B5246" s="93"/>
      <c r="C5246" s="93"/>
      <c r="D5246" s="92"/>
      <c r="E5246" s="92"/>
      <c r="F5246" s="92"/>
      <c r="G5246" s="92"/>
      <c r="H5246" s="92"/>
      <c r="I5246" s="92"/>
      <c r="J5246" s="92"/>
      <c r="K5246" s="92"/>
      <c r="L5246" s="92"/>
      <c r="M5246" s="92"/>
      <c r="N5246" s="94"/>
      <c r="AG5246" s="107"/>
      <c r="AH5246" s="107"/>
      <c r="AI5246" s="107"/>
      <c r="AJ5246" s="107"/>
      <c r="AK5246" s="107"/>
      <c r="AL5246" s="107"/>
      <c r="AM5246" s="107"/>
      <c r="AN5246" s="107"/>
      <c r="AO5246" s="107"/>
      <c r="AP5246" s="107"/>
      <c r="AQ5246" s="107"/>
      <c r="AR5246" s="107"/>
      <c r="AS5246" s="107"/>
      <c r="AT5246" s="107"/>
    </row>
    <row r="5247" spans="1:63" x14ac:dyDescent="0.25">
      <c r="A5247" s="92"/>
      <c r="B5247" s="93"/>
      <c r="C5247" s="93"/>
      <c r="D5247" s="92"/>
      <c r="E5247" s="92"/>
      <c r="F5247" s="92"/>
      <c r="G5247" s="92"/>
      <c r="H5247" s="92"/>
      <c r="I5247" s="92"/>
      <c r="J5247" s="92"/>
      <c r="K5247" s="92"/>
      <c r="L5247" s="92"/>
      <c r="M5247" s="92"/>
      <c r="N5247" s="94"/>
      <c r="AG5247" s="107"/>
      <c r="AH5247" s="107"/>
      <c r="AI5247" s="107"/>
      <c r="AJ5247" s="107"/>
      <c r="AK5247" s="107"/>
      <c r="AL5247" s="107"/>
      <c r="AM5247" s="107"/>
      <c r="AN5247" s="107"/>
      <c r="AO5247" s="107"/>
      <c r="AP5247" s="107"/>
      <c r="AQ5247" s="107"/>
      <c r="AR5247" s="107"/>
      <c r="AS5247" s="107"/>
      <c r="AT5247" s="107"/>
      <c r="BA5247" s="117"/>
      <c r="BK5247" s="39"/>
    </row>
    <row r="5248" spans="1:63" x14ac:dyDescent="0.25">
      <c r="A5248" s="92"/>
      <c r="B5248" s="93"/>
      <c r="C5248" s="93"/>
      <c r="D5248" s="92"/>
      <c r="E5248" s="92"/>
      <c r="F5248" s="92"/>
      <c r="G5248" s="92"/>
      <c r="H5248" s="92"/>
      <c r="I5248" s="92"/>
      <c r="J5248" s="92"/>
      <c r="K5248" s="92"/>
      <c r="L5248" s="92"/>
      <c r="M5248" s="92"/>
      <c r="N5248" s="94"/>
      <c r="AG5248" s="107"/>
      <c r="AH5248" s="107"/>
      <c r="AI5248" s="107"/>
      <c r="AJ5248" s="107"/>
      <c r="AK5248" s="107"/>
      <c r="AL5248" s="107"/>
      <c r="AM5248" s="107"/>
      <c r="AN5248" s="107"/>
      <c r="AO5248" s="107"/>
      <c r="AP5248" s="107"/>
      <c r="AQ5248" s="107"/>
      <c r="AR5248" s="107"/>
      <c r="AS5248" s="107"/>
      <c r="AT5248" s="107"/>
      <c r="BA5248" s="117"/>
      <c r="BK5248" s="39"/>
    </row>
    <row r="5249" spans="1:63" x14ac:dyDescent="0.25">
      <c r="A5249" s="92"/>
      <c r="B5249" s="93"/>
      <c r="C5249" s="93"/>
      <c r="D5249" s="92"/>
      <c r="E5249" s="92"/>
      <c r="F5249" s="92"/>
      <c r="G5249" s="92"/>
      <c r="H5249" s="92"/>
      <c r="I5249" s="92"/>
      <c r="J5249" s="92"/>
      <c r="K5249" s="92"/>
      <c r="L5249" s="92"/>
      <c r="M5249" s="92"/>
      <c r="N5249" s="94"/>
      <c r="AG5249" s="107"/>
      <c r="AH5249" s="107"/>
      <c r="AI5249" s="107"/>
      <c r="AJ5249" s="107"/>
      <c r="AK5249" s="107"/>
      <c r="AL5249" s="107"/>
      <c r="AM5249" s="107"/>
      <c r="AN5249" s="107"/>
      <c r="AO5249" s="107"/>
      <c r="AP5249" s="107"/>
      <c r="AQ5249" s="107"/>
      <c r="AR5249" s="107"/>
      <c r="AS5249" s="107"/>
      <c r="AT5249" s="107"/>
      <c r="AZ5249" s="117"/>
      <c r="BA5249" s="117"/>
      <c r="BK5249" s="39"/>
    </row>
    <row r="5250" spans="1:63" x14ac:dyDescent="0.25">
      <c r="A5250" s="92"/>
      <c r="B5250" s="93"/>
      <c r="C5250" s="93"/>
      <c r="D5250" s="92"/>
      <c r="E5250" s="92"/>
      <c r="F5250" s="92"/>
      <c r="G5250" s="92"/>
      <c r="H5250" s="92"/>
      <c r="I5250" s="92"/>
      <c r="J5250" s="92"/>
      <c r="K5250" s="92"/>
      <c r="L5250" s="92"/>
      <c r="M5250" s="92"/>
      <c r="N5250" s="94"/>
      <c r="AG5250" s="107"/>
      <c r="AH5250" s="107"/>
      <c r="AI5250" s="107"/>
      <c r="AJ5250" s="107"/>
      <c r="AK5250" s="107"/>
      <c r="AL5250" s="107"/>
      <c r="AM5250" s="107"/>
      <c r="AN5250" s="107"/>
      <c r="AO5250" s="107"/>
      <c r="AP5250" s="107"/>
      <c r="AQ5250" s="107"/>
      <c r="AR5250" s="107"/>
      <c r="AS5250" s="107"/>
      <c r="AT5250" s="107"/>
      <c r="BA5250" s="117"/>
    </row>
    <row r="5251" spans="1:63" x14ac:dyDescent="0.25">
      <c r="A5251" s="92"/>
      <c r="B5251" s="93"/>
      <c r="C5251" s="93"/>
      <c r="D5251" s="93"/>
      <c r="E5251" s="92"/>
      <c r="F5251" s="92"/>
      <c r="G5251" s="92"/>
      <c r="H5251" s="92"/>
      <c r="I5251" s="92"/>
      <c r="J5251" s="92"/>
      <c r="K5251" s="92"/>
      <c r="L5251" s="92"/>
      <c r="M5251" s="92"/>
      <c r="N5251" s="94"/>
      <c r="AG5251" s="107"/>
      <c r="AH5251" s="107"/>
      <c r="AI5251" s="107"/>
      <c r="AJ5251" s="107"/>
      <c r="AK5251" s="107"/>
      <c r="AL5251" s="107"/>
      <c r="AM5251" s="107"/>
      <c r="AN5251" s="107"/>
      <c r="AO5251" s="107"/>
      <c r="AP5251" s="107"/>
      <c r="AQ5251" s="107"/>
      <c r="AR5251" s="107"/>
      <c r="AS5251" s="107"/>
      <c r="AT5251" s="107"/>
    </row>
    <row r="5252" spans="1:63" x14ac:dyDescent="0.25">
      <c r="A5252" s="92"/>
      <c r="B5252" s="93"/>
      <c r="C5252" s="93"/>
      <c r="D5252" s="92"/>
      <c r="E5252" s="92"/>
      <c r="F5252" s="92"/>
      <c r="G5252" s="92"/>
      <c r="H5252" s="92"/>
      <c r="I5252" s="92"/>
      <c r="J5252" s="92"/>
      <c r="K5252" s="92"/>
      <c r="L5252" s="92"/>
      <c r="M5252" s="92"/>
      <c r="N5252" s="94"/>
      <c r="AG5252" s="107"/>
      <c r="AH5252" s="107"/>
      <c r="AI5252" s="107"/>
      <c r="AJ5252" s="107"/>
      <c r="AK5252" s="107"/>
      <c r="AL5252" s="107"/>
      <c r="AM5252" s="107"/>
      <c r="AN5252" s="107"/>
      <c r="AO5252" s="107"/>
      <c r="AP5252" s="107"/>
      <c r="AQ5252" s="107"/>
      <c r="AR5252" s="107"/>
      <c r="AS5252" s="107"/>
      <c r="AT5252" s="107"/>
    </row>
    <row r="5253" spans="1:63" x14ac:dyDescent="0.25">
      <c r="A5253" s="92"/>
      <c r="B5253" s="93"/>
      <c r="C5253" s="93"/>
      <c r="D5253" s="92"/>
      <c r="E5253" s="92"/>
      <c r="F5253" s="92"/>
      <c r="G5253" s="92"/>
      <c r="H5253" s="92"/>
      <c r="I5253" s="92"/>
      <c r="J5253" s="92"/>
      <c r="K5253" s="92"/>
      <c r="L5253" s="92"/>
      <c r="M5253" s="92"/>
      <c r="N5253" s="94"/>
      <c r="AG5253" s="107"/>
      <c r="AH5253" s="107"/>
      <c r="AI5253" s="107"/>
      <c r="AJ5253" s="107"/>
      <c r="AK5253" s="107"/>
      <c r="AL5253" s="107"/>
      <c r="AM5253" s="107"/>
      <c r="AN5253" s="107"/>
      <c r="AO5253" s="107"/>
      <c r="AP5253" s="107"/>
      <c r="AQ5253" s="107"/>
      <c r="AR5253" s="107"/>
      <c r="AS5253" s="107"/>
      <c r="AT5253" s="107"/>
    </row>
    <row r="5254" spans="1:63" x14ac:dyDescent="0.25">
      <c r="A5254" s="92"/>
      <c r="B5254" s="92"/>
      <c r="C5254" s="92"/>
      <c r="D5254" s="92"/>
      <c r="E5254" s="92"/>
      <c r="F5254" s="92"/>
      <c r="G5254" s="92"/>
      <c r="H5254" s="92"/>
      <c r="I5254" s="92"/>
      <c r="J5254" s="92"/>
      <c r="K5254" s="92"/>
      <c r="L5254" s="92"/>
      <c r="M5254" s="92"/>
      <c r="N5254" s="92"/>
      <c r="AG5254" s="107"/>
      <c r="AH5254" s="107"/>
      <c r="AI5254" s="107"/>
      <c r="AJ5254" s="107"/>
      <c r="AK5254" s="107"/>
      <c r="AL5254" s="107"/>
      <c r="AM5254" s="107"/>
      <c r="AN5254" s="107"/>
      <c r="AO5254" s="107"/>
      <c r="AP5254" s="107"/>
      <c r="AQ5254" s="107"/>
      <c r="AR5254" s="107"/>
      <c r="AS5254" s="107"/>
      <c r="AT5254" s="107"/>
    </row>
    <row r="5255" spans="1:63" x14ac:dyDescent="0.25">
      <c r="A5255" s="92"/>
      <c r="B5255" s="93"/>
      <c r="C5255" s="93"/>
      <c r="D5255" s="92"/>
      <c r="E5255" s="92"/>
      <c r="F5255" s="92"/>
      <c r="G5255" s="92"/>
      <c r="H5255" s="92"/>
      <c r="I5255" s="92"/>
      <c r="J5255" s="92"/>
      <c r="K5255" s="92"/>
      <c r="L5255" s="92"/>
      <c r="M5255" s="92"/>
      <c r="N5255" s="94"/>
      <c r="AG5255" s="107"/>
      <c r="AH5255" s="107"/>
      <c r="AI5255" s="107"/>
      <c r="AJ5255" s="107"/>
      <c r="AK5255" s="107"/>
      <c r="AL5255" s="107"/>
      <c r="AM5255" s="107"/>
      <c r="AN5255" s="107"/>
      <c r="AO5255" s="107"/>
      <c r="AP5255" s="107"/>
      <c r="AQ5255" s="107"/>
      <c r="AR5255" s="107"/>
      <c r="AS5255" s="107"/>
      <c r="AT5255" s="107"/>
      <c r="BA5255" s="117"/>
      <c r="BK5255" s="39"/>
    </row>
    <row r="5256" spans="1:63" x14ac:dyDescent="0.25">
      <c r="A5256" s="92"/>
      <c r="B5256" s="93"/>
      <c r="C5256" s="93"/>
      <c r="D5256" s="92"/>
      <c r="E5256" s="92"/>
      <c r="F5256" s="92"/>
      <c r="G5256" s="92"/>
      <c r="H5256" s="92"/>
      <c r="I5256" s="92"/>
      <c r="J5256" s="92"/>
      <c r="K5256" s="92"/>
      <c r="L5256" s="92"/>
      <c r="M5256" s="92"/>
      <c r="N5256" s="94"/>
      <c r="AG5256" s="107"/>
      <c r="AH5256" s="107"/>
      <c r="AI5256" s="107"/>
      <c r="AJ5256" s="107"/>
      <c r="AK5256" s="107"/>
      <c r="AL5256" s="107"/>
      <c r="AM5256" s="107"/>
      <c r="AN5256" s="107"/>
      <c r="AO5256" s="107"/>
      <c r="AP5256" s="107"/>
      <c r="AQ5256" s="107"/>
      <c r="AR5256" s="107"/>
      <c r="AS5256" s="107"/>
      <c r="AT5256" s="107"/>
      <c r="BA5256" s="117"/>
    </row>
    <row r="5257" spans="1:63" x14ac:dyDescent="0.25">
      <c r="A5257" s="92"/>
      <c r="B5257" s="93"/>
      <c r="C5257" s="93"/>
      <c r="D5257" s="92"/>
      <c r="E5257" s="92"/>
      <c r="F5257" s="92"/>
      <c r="G5257" s="92"/>
      <c r="H5257" s="92"/>
      <c r="I5257" s="92"/>
      <c r="J5257" s="92"/>
      <c r="K5257" s="92"/>
      <c r="L5257" s="92"/>
      <c r="M5257" s="92"/>
      <c r="N5257" s="94"/>
      <c r="AG5257" s="107"/>
      <c r="AH5257" s="117"/>
      <c r="AI5257" s="107"/>
      <c r="AJ5257" s="117"/>
      <c r="AK5257" s="107"/>
      <c r="AL5257" s="107"/>
      <c r="AM5257" s="107"/>
      <c r="AN5257" s="107"/>
      <c r="AO5257" s="107"/>
      <c r="AP5257" s="107"/>
      <c r="AQ5257" s="107"/>
      <c r="AR5257" s="107"/>
      <c r="AS5257" s="107"/>
      <c r="AT5257" s="39"/>
      <c r="BA5257" s="117"/>
      <c r="BK5257" s="39"/>
    </row>
    <row r="5258" spans="1:63" x14ac:dyDescent="0.25">
      <c r="A5258" s="92"/>
      <c r="B5258" s="93"/>
      <c r="C5258" s="93"/>
      <c r="D5258" s="92"/>
      <c r="E5258" s="92"/>
      <c r="F5258" s="92"/>
      <c r="G5258" s="92"/>
      <c r="H5258" s="92"/>
      <c r="I5258" s="92"/>
      <c r="J5258" s="92"/>
      <c r="K5258" s="92"/>
      <c r="L5258" s="92"/>
      <c r="M5258" s="92"/>
      <c r="N5258" s="94"/>
      <c r="AG5258" s="107"/>
      <c r="AH5258" s="107"/>
      <c r="AI5258" s="107"/>
      <c r="AJ5258" s="117"/>
      <c r="AK5258" s="107"/>
      <c r="AL5258" s="107"/>
      <c r="AM5258" s="107"/>
      <c r="AN5258" s="107"/>
      <c r="AO5258" s="107"/>
      <c r="AP5258" s="107"/>
      <c r="AQ5258" s="107"/>
      <c r="AR5258" s="107"/>
      <c r="AS5258" s="107"/>
      <c r="AT5258" s="107"/>
      <c r="BA5258" s="117"/>
      <c r="BK5258" s="39"/>
    </row>
    <row r="5259" spans="1:63" x14ac:dyDescent="0.25">
      <c r="A5259" s="92"/>
      <c r="B5259" s="92"/>
      <c r="C5259" s="92"/>
      <c r="D5259" s="92"/>
      <c r="E5259" s="92"/>
      <c r="F5259" s="92"/>
      <c r="G5259" s="92"/>
      <c r="H5259" s="92"/>
      <c r="I5259" s="92"/>
      <c r="J5259" s="92"/>
      <c r="K5259" s="92"/>
      <c r="L5259" s="92"/>
      <c r="M5259" s="92"/>
      <c r="N5259" s="92"/>
      <c r="AG5259" s="107"/>
      <c r="AH5259" s="107"/>
      <c r="AI5259" s="107"/>
      <c r="AJ5259" s="107"/>
      <c r="AK5259" s="107"/>
      <c r="AL5259" s="107"/>
      <c r="AM5259" s="107"/>
      <c r="AN5259" s="107"/>
      <c r="AO5259" s="107"/>
      <c r="AP5259" s="107"/>
      <c r="AQ5259" s="107"/>
      <c r="AR5259" s="107"/>
      <c r="AS5259" s="107"/>
      <c r="AT5259" s="107"/>
      <c r="BA5259" s="117"/>
    </row>
    <row r="5260" spans="1:63" x14ac:dyDescent="0.25">
      <c r="A5260" s="92"/>
      <c r="B5260" s="93"/>
      <c r="C5260" s="93"/>
      <c r="D5260" s="92"/>
      <c r="E5260" s="92"/>
      <c r="F5260" s="92"/>
      <c r="G5260" s="92"/>
      <c r="H5260" s="92"/>
      <c r="I5260" s="92"/>
      <c r="J5260" s="92"/>
      <c r="K5260" s="92"/>
      <c r="L5260" s="92"/>
      <c r="M5260" s="92"/>
      <c r="N5260" s="94"/>
      <c r="AG5260" s="107"/>
      <c r="AH5260" s="107"/>
      <c r="AI5260" s="107"/>
      <c r="AJ5260" s="107"/>
      <c r="AK5260" s="107"/>
      <c r="AL5260" s="107"/>
      <c r="AM5260" s="107"/>
      <c r="AN5260" s="107"/>
      <c r="AO5260" s="107"/>
      <c r="AP5260" s="107"/>
      <c r="AQ5260" s="107"/>
      <c r="AR5260" s="107"/>
      <c r="AS5260" s="107"/>
      <c r="AT5260" s="107"/>
    </row>
    <row r="5261" spans="1:63" x14ac:dyDescent="0.25">
      <c r="A5261" s="92"/>
      <c r="B5261" s="93"/>
      <c r="C5261" s="93"/>
      <c r="D5261" s="92"/>
      <c r="E5261" s="92"/>
      <c r="F5261" s="92"/>
      <c r="G5261" s="92"/>
      <c r="H5261" s="92"/>
      <c r="I5261" s="92"/>
      <c r="J5261" s="92"/>
      <c r="K5261" s="92"/>
      <c r="L5261" s="92"/>
      <c r="M5261" s="92"/>
      <c r="N5261" s="94"/>
      <c r="AG5261" s="107"/>
      <c r="AH5261" s="107"/>
      <c r="AI5261" s="107"/>
      <c r="AJ5261" s="107"/>
      <c r="AK5261" s="107"/>
      <c r="AL5261" s="107"/>
      <c r="AM5261" s="107"/>
      <c r="AN5261" s="107"/>
      <c r="AO5261" s="107"/>
      <c r="AP5261" s="107"/>
      <c r="AQ5261" s="107"/>
      <c r="AR5261" s="107"/>
      <c r="AS5261" s="107"/>
      <c r="AT5261" s="107"/>
    </row>
    <row r="5262" spans="1:63" x14ac:dyDescent="0.25">
      <c r="A5262" s="92"/>
      <c r="B5262" s="92"/>
      <c r="C5262" s="92"/>
      <c r="D5262" s="92"/>
      <c r="E5262" s="92"/>
      <c r="F5262" s="92"/>
      <c r="G5262" s="92"/>
      <c r="H5262" s="92"/>
      <c r="I5262" s="92"/>
      <c r="J5262" s="92"/>
      <c r="K5262" s="92"/>
      <c r="L5262" s="92"/>
      <c r="M5262" s="92"/>
      <c r="N5262" s="92"/>
      <c r="AG5262" s="107"/>
      <c r="AH5262" s="107"/>
      <c r="AI5262" s="107"/>
      <c r="AJ5262" s="107"/>
      <c r="AK5262" s="107"/>
      <c r="AL5262" s="107"/>
      <c r="AM5262" s="107"/>
      <c r="AN5262" s="107"/>
      <c r="AO5262" s="107"/>
      <c r="AP5262" s="107"/>
      <c r="AQ5262" s="107"/>
      <c r="AR5262" s="107"/>
      <c r="AS5262" s="107"/>
      <c r="AT5262" s="107"/>
    </row>
    <row r="5263" spans="1:63" x14ac:dyDescent="0.25">
      <c r="A5263" s="92"/>
      <c r="B5263" s="92"/>
      <c r="C5263" s="92"/>
      <c r="D5263" s="92"/>
      <c r="E5263" s="92"/>
      <c r="F5263" s="92"/>
      <c r="G5263" s="92"/>
      <c r="H5263" s="92"/>
      <c r="I5263" s="92"/>
      <c r="J5263" s="92"/>
      <c r="K5263" s="92"/>
      <c r="L5263" s="92"/>
      <c r="M5263" s="92"/>
      <c r="N5263" s="92"/>
      <c r="AG5263" s="107"/>
      <c r="AH5263" s="117"/>
      <c r="AI5263" s="107"/>
      <c r="AJ5263" s="117"/>
      <c r="AK5263" s="107"/>
      <c r="AL5263" s="107"/>
      <c r="AM5263" s="107"/>
      <c r="AN5263" s="107"/>
      <c r="AO5263" s="107"/>
      <c r="AP5263" s="107"/>
      <c r="AQ5263" s="107"/>
      <c r="AR5263" s="107"/>
      <c r="AS5263" s="107"/>
      <c r="AT5263" s="39"/>
    </row>
    <row r="5264" spans="1:63" x14ac:dyDescent="0.25">
      <c r="A5264" s="92"/>
      <c r="B5264" s="92"/>
      <c r="C5264" s="92"/>
      <c r="D5264" s="92"/>
      <c r="E5264" s="92"/>
      <c r="F5264" s="92"/>
      <c r="G5264" s="92"/>
      <c r="H5264" s="92"/>
      <c r="I5264" s="92"/>
      <c r="J5264" s="92"/>
      <c r="K5264" s="92"/>
      <c r="L5264" s="92"/>
      <c r="M5264" s="92"/>
      <c r="N5264" s="92"/>
      <c r="AG5264" s="107"/>
      <c r="AH5264" s="117"/>
      <c r="AI5264" s="107"/>
      <c r="AJ5264" s="107"/>
      <c r="AK5264" s="107"/>
      <c r="AL5264" s="107"/>
      <c r="AM5264" s="107"/>
      <c r="AN5264" s="107"/>
      <c r="AO5264" s="107"/>
      <c r="AP5264" s="107"/>
      <c r="AQ5264" s="107"/>
      <c r="AR5264" s="107"/>
      <c r="AS5264" s="107"/>
      <c r="AT5264" s="39"/>
      <c r="AZ5264" s="117"/>
      <c r="BK5264" s="39"/>
    </row>
    <row r="5265" spans="1:63" x14ac:dyDescent="0.25">
      <c r="A5265" s="92"/>
      <c r="B5265" s="92"/>
      <c r="C5265" s="92"/>
      <c r="D5265" s="92"/>
      <c r="E5265" s="92"/>
      <c r="F5265" s="92"/>
      <c r="G5265" s="92"/>
      <c r="H5265" s="92"/>
      <c r="I5265" s="92"/>
      <c r="J5265" s="92"/>
      <c r="K5265" s="92"/>
      <c r="L5265" s="92"/>
      <c r="M5265" s="92"/>
      <c r="N5265" s="92"/>
      <c r="AG5265" s="107"/>
      <c r="AH5265" s="107"/>
      <c r="AI5265" s="107"/>
      <c r="AJ5265" s="107"/>
      <c r="AK5265" s="107"/>
      <c r="AL5265" s="107"/>
      <c r="AM5265" s="107"/>
      <c r="AN5265" s="107"/>
      <c r="AO5265" s="107"/>
      <c r="AP5265" s="107"/>
      <c r="AQ5265" s="107"/>
      <c r="AR5265" s="107"/>
      <c r="AS5265" s="107"/>
      <c r="AT5265" s="107"/>
    </row>
    <row r="5266" spans="1:63" x14ac:dyDescent="0.25">
      <c r="A5266" s="92"/>
      <c r="B5266" s="92"/>
      <c r="C5266" s="92"/>
      <c r="D5266" s="92"/>
      <c r="E5266" s="92"/>
      <c r="F5266" s="92"/>
      <c r="G5266" s="92"/>
      <c r="H5266" s="92"/>
      <c r="I5266" s="92"/>
      <c r="J5266" s="92"/>
      <c r="K5266" s="92"/>
      <c r="L5266" s="92"/>
      <c r="M5266" s="92"/>
      <c r="N5266" s="92"/>
      <c r="AG5266" s="107"/>
      <c r="AH5266" s="117"/>
      <c r="AI5266" s="107"/>
      <c r="AJ5266" s="117"/>
      <c r="AK5266" s="107"/>
      <c r="AL5266" s="107"/>
      <c r="AM5266" s="107"/>
      <c r="AN5266" s="107"/>
      <c r="AO5266" s="107"/>
      <c r="AP5266" s="107"/>
      <c r="AQ5266" s="107"/>
      <c r="AR5266" s="107"/>
      <c r="AS5266" s="107"/>
      <c r="AT5266" s="39"/>
      <c r="BA5266" s="117"/>
      <c r="BK5266" s="39"/>
    </row>
    <row r="5267" spans="1:63" x14ac:dyDescent="0.25">
      <c r="A5267" s="92"/>
      <c r="B5267" s="92"/>
      <c r="C5267" s="92"/>
      <c r="D5267" s="92"/>
      <c r="E5267" s="92"/>
      <c r="F5267" s="92"/>
      <c r="G5267" s="92"/>
      <c r="H5267" s="92"/>
      <c r="I5267" s="92"/>
      <c r="J5267" s="92"/>
      <c r="K5267" s="92"/>
      <c r="L5267" s="92"/>
      <c r="M5267" s="92"/>
      <c r="N5267" s="92"/>
      <c r="AG5267" s="107"/>
      <c r="AH5267" s="117"/>
      <c r="AI5267" s="107"/>
      <c r="AJ5267" s="117"/>
      <c r="AK5267" s="107"/>
      <c r="AL5267" s="107"/>
      <c r="AM5267" s="107"/>
      <c r="AN5267" s="107"/>
      <c r="AO5267" s="107"/>
      <c r="AP5267" s="107"/>
      <c r="AQ5267" s="107"/>
      <c r="AR5267" s="107"/>
      <c r="AS5267" s="107"/>
      <c r="AT5267" s="39"/>
    </row>
    <row r="5268" spans="1:63" x14ac:dyDescent="0.25">
      <c r="A5268" s="92"/>
      <c r="B5268" s="92"/>
      <c r="C5268" s="92"/>
      <c r="D5268" s="92"/>
      <c r="E5268" s="92"/>
      <c r="F5268" s="92"/>
      <c r="G5268" s="92"/>
      <c r="H5268" s="92"/>
      <c r="I5268" s="92"/>
      <c r="J5268" s="92"/>
      <c r="K5268" s="92"/>
      <c r="L5268" s="92"/>
      <c r="M5268" s="92"/>
      <c r="N5268" s="92"/>
      <c r="AG5268" s="107"/>
      <c r="AH5268" s="117"/>
      <c r="AI5268" s="107"/>
      <c r="AJ5268" s="117"/>
      <c r="AK5268" s="107"/>
      <c r="AL5268" s="107"/>
      <c r="AM5268" s="107"/>
      <c r="AN5268" s="107"/>
      <c r="AO5268" s="107"/>
      <c r="AP5268" s="107"/>
      <c r="AQ5268" s="107"/>
      <c r="AR5268" s="107"/>
      <c r="AS5268" s="107"/>
      <c r="AT5268" s="39"/>
    </row>
    <row r="5269" spans="1:63" x14ac:dyDescent="0.25">
      <c r="A5269" s="92"/>
      <c r="B5269" s="92"/>
      <c r="C5269" s="92"/>
      <c r="D5269" s="92"/>
      <c r="E5269" s="92"/>
      <c r="F5269" s="92"/>
      <c r="G5269" s="92"/>
      <c r="H5269" s="92"/>
      <c r="I5269" s="92"/>
      <c r="J5269" s="92"/>
      <c r="K5269" s="92"/>
      <c r="L5269" s="92"/>
      <c r="M5269" s="92"/>
      <c r="N5269" s="92"/>
      <c r="AG5269" s="107"/>
      <c r="AH5269" s="107"/>
      <c r="AI5269" s="107"/>
      <c r="AJ5269" s="107"/>
      <c r="AK5269" s="107"/>
      <c r="AL5269" s="107"/>
      <c r="AM5269" s="107"/>
      <c r="AN5269" s="107"/>
      <c r="AO5269" s="107"/>
      <c r="AP5269" s="107"/>
      <c r="AQ5269" s="107"/>
      <c r="AR5269" s="107"/>
      <c r="AS5269" s="107"/>
      <c r="AT5269" s="107"/>
    </row>
    <row r="5270" spans="1:63" x14ac:dyDescent="0.25">
      <c r="A5270" s="92"/>
      <c r="B5270" s="92"/>
      <c r="C5270" s="92"/>
      <c r="D5270" s="92"/>
      <c r="E5270" s="92"/>
      <c r="F5270" s="92"/>
      <c r="G5270" s="92"/>
      <c r="H5270" s="92"/>
      <c r="I5270" s="92"/>
      <c r="J5270" s="92"/>
      <c r="K5270" s="92"/>
      <c r="L5270" s="92"/>
      <c r="M5270" s="92"/>
      <c r="N5270" s="92"/>
      <c r="AG5270" s="107"/>
      <c r="AH5270" s="107"/>
      <c r="AI5270" s="107"/>
      <c r="AJ5270" s="107"/>
      <c r="AK5270" s="107"/>
      <c r="AL5270" s="107"/>
      <c r="AM5270" s="107"/>
      <c r="AN5270" s="107"/>
      <c r="AO5270" s="107"/>
      <c r="AP5270" s="107"/>
      <c r="AQ5270" s="107"/>
      <c r="AR5270" s="107"/>
      <c r="AS5270" s="107"/>
      <c r="AT5270" s="107"/>
    </row>
    <row r="5271" spans="1:63" x14ac:dyDescent="0.25">
      <c r="A5271" s="92"/>
      <c r="B5271" s="92"/>
      <c r="C5271" s="92"/>
      <c r="D5271" s="92"/>
      <c r="E5271" s="92"/>
      <c r="F5271" s="92"/>
      <c r="G5271" s="92"/>
      <c r="H5271" s="92"/>
      <c r="I5271" s="92"/>
      <c r="J5271" s="92"/>
      <c r="K5271" s="92"/>
      <c r="L5271" s="92"/>
      <c r="M5271" s="92"/>
      <c r="N5271" s="92"/>
      <c r="AG5271" s="107"/>
      <c r="AH5271" s="107"/>
      <c r="AI5271" s="107"/>
      <c r="AJ5271" s="107"/>
      <c r="AK5271" s="107"/>
      <c r="AL5271" s="107"/>
      <c r="AM5271" s="107"/>
      <c r="AN5271" s="107"/>
      <c r="AO5271" s="107"/>
      <c r="AP5271" s="107"/>
      <c r="AQ5271" s="107"/>
      <c r="AR5271" s="107"/>
      <c r="AS5271" s="107"/>
      <c r="AT5271" s="107"/>
    </row>
    <row r="5272" spans="1:63" x14ac:dyDescent="0.25">
      <c r="A5272" s="92"/>
      <c r="B5272" s="92"/>
      <c r="C5272" s="92"/>
      <c r="D5272" s="92"/>
      <c r="E5272" s="92"/>
      <c r="F5272" s="92"/>
      <c r="G5272" s="92"/>
      <c r="H5272" s="92"/>
      <c r="I5272" s="92"/>
      <c r="J5272" s="92"/>
      <c r="K5272" s="92"/>
      <c r="L5272" s="92"/>
      <c r="M5272" s="92"/>
      <c r="N5272" s="92"/>
      <c r="AG5272" s="107"/>
      <c r="AH5272" s="107"/>
      <c r="AI5272" s="107"/>
      <c r="AJ5272" s="107"/>
      <c r="AK5272" s="107"/>
      <c r="AL5272" s="107"/>
      <c r="AM5272" s="107"/>
      <c r="AN5272" s="107"/>
      <c r="AO5272" s="107"/>
      <c r="AP5272" s="107"/>
      <c r="AQ5272" s="107"/>
      <c r="AR5272" s="107"/>
      <c r="AS5272" s="107"/>
      <c r="AT5272" s="107"/>
      <c r="BA5272" s="117"/>
      <c r="BK5272" s="39"/>
    </row>
    <row r="5273" spans="1:63" x14ac:dyDescent="0.25">
      <c r="A5273" s="92"/>
      <c r="B5273" s="92"/>
      <c r="C5273" s="92"/>
      <c r="D5273" s="92"/>
      <c r="E5273" s="92"/>
      <c r="F5273" s="92"/>
      <c r="G5273" s="92"/>
      <c r="H5273" s="92"/>
      <c r="I5273" s="92"/>
      <c r="J5273" s="92"/>
      <c r="K5273" s="92"/>
      <c r="L5273" s="92"/>
      <c r="M5273" s="92"/>
      <c r="N5273" s="92"/>
      <c r="AG5273" s="107"/>
      <c r="AH5273" s="107"/>
      <c r="AI5273" s="107"/>
      <c r="AJ5273" s="107"/>
      <c r="AK5273" s="107"/>
      <c r="AL5273" s="107"/>
      <c r="AM5273" s="107"/>
      <c r="AN5273" s="107"/>
      <c r="AO5273" s="107"/>
      <c r="AP5273" s="107"/>
      <c r="AQ5273" s="107"/>
      <c r="AR5273" s="107"/>
      <c r="AS5273" s="107"/>
      <c r="AT5273" s="107"/>
    </row>
    <row r="5274" spans="1:63" x14ac:dyDescent="0.25">
      <c r="A5274" s="92"/>
      <c r="B5274" s="92"/>
      <c r="C5274" s="92"/>
      <c r="D5274" s="92"/>
      <c r="E5274" s="92"/>
      <c r="F5274" s="92"/>
      <c r="G5274" s="92"/>
      <c r="H5274" s="92"/>
      <c r="I5274" s="92"/>
      <c r="J5274" s="92"/>
      <c r="K5274" s="92"/>
      <c r="L5274" s="92"/>
      <c r="M5274" s="92"/>
      <c r="N5274" s="92"/>
      <c r="AG5274" s="107"/>
      <c r="AH5274" s="107"/>
      <c r="AI5274" s="107"/>
      <c r="AJ5274" s="107"/>
      <c r="AK5274" s="107"/>
      <c r="AL5274" s="107"/>
      <c r="AM5274" s="107"/>
      <c r="AN5274" s="107"/>
      <c r="AO5274" s="107"/>
      <c r="AP5274" s="107"/>
      <c r="AQ5274" s="107"/>
      <c r="AR5274" s="107"/>
      <c r="AS5274" s="107"/>
      <c r="AT5274" s="107"/>
      <c r="BA5274" s="117"/>
      <c r="BK5274" s="39"/>
    </row>
    <row r="5275" spans="1:63" x14ac:dyDescent="0.25">
      <c r="A5275" s="92"/>
      <c r="B5275" s="92"/>
      <c r="C5275" s="92"/>
      <c r="D5275" s="92"/>
      <c r="E5275" s="92"/>
      <c r="F5275" s="92"/>
      <c r="G5275" s="92"/>
      <c r="H5275" s="92"/>
      <c r="I5275" s="92"/>
      <c r="J5275" s="92"/>
      <c r="K5275" s="92"/>
      <c r="L5275" s="92"/>
      <c r="M5275" s="92"/>
      <c r="N5275" s="92"/>
      <c r="AG5275" s="107"/>
      <c r="AH5275" s="107"/>
      <c r="AI5275" s="107"/>
      <c r="AJ5275" s="107"/>
      <c r="AK5275" s="107"/>
      <c r="AL5275" s="107"/>
      <c r="AM5275" s="107"/>
      <c r="AN5275" s="107"/>
      <c r="AO5275" s="107"/>
      <c r="AP5275" s="107"/>
      <c r="AQ5275" s="107"/>
      <c r="AR5275" s="107"/>
      <c r="AS5275" s="107"/>
      <c r="AT5275" s="107"/>
      <c r="BA5275" s="117"/>
      <c r="BK5275" s="39"/>
    </row>
    <row r="5276" spans="1:63" x14ac:dyDescent="0.25">
      <c r="A5276" s="92"/>
      <c r="B5276" s="92"/>
      <c r="C5276" s="92"/>
      <c r="D5276" s="92"/>
      <c r="E5276" s="92"/>
      <c r="F5276" s="92"/>
      <c r="G5276" s="92"/>
      <c r="H5276" s="92"/>
      <c r="I5276" s="92"/>
      <c r="J5276" s="92"/>
      <c r="K5276" s="92"/>
      <c r="L5276" s="92"/>
      <c r="M5276" s="92"/>
      <c r="N5276" s="92"/>
      <c r="AG5276" s="107"/>
      <c r="AH5276" s="117"/>
      <c r="AI5276" s="107"/>
      <c r="AJ5276" s="107"/>
      <c r="AK5276" s="107"/>
      <c r="AL5276" s="107"/>
      <c r="AM5276" s="107"/>
      <c r="AN5276" s="107"/>
      <c r="AO5276" s="107"/>
      <c r="AP5276" s="107"/>
      <c r="AQ5276" s="107"/>
      <c r="AR5276" s="107"/>
      <c r="AS5276" s="107"/>
      <c r="AT5276" s="39"/>
      <c r="BA5276" s="117"/>
    </row>
    <row r="5277" spans="1:63" x14ac:dyDescent="0.25">
      <c r="A5277" s="92"/>
      <c r="B5277" s="93"/>
      <c r="C5277" s="93"/>
      <c r="D5277" s="92"/>
      <c r="E5277" s="92"/>
      <c r="F5277" s="92"/>
      <c r="G5277" s="92"/>
      <c r="H5277" s="92"/>
      <c r="I5277" s="92"/>
      <c r="J5277" s="92"/>
      <c r="K5277" s="92"/>
      <c r="L5277" s="92"/>
      <c r="M5277" s="92"/>
      <c r="N5277" s="94"/>
      <c r="AG5277" s="107"/>
      <c r="AH5277" s="117"/>
      <c r="AI5277" s="107"/>
      <c r="AJ5277" s="117"/>
      <c r="AK5277" s="107"/>
      <c r="AL5277" s="107"/>
      <c r="AM5277" s="107"/>
      <c r="AN5277" s="107"/>
      <c r="AO5277" s="107"/>
      <c r="AP5277" s="107"/>
      <c r="AQ5277" s="107"/>
      <c r="AR5277" s="107"/>
      <c r="AS5277" s="107"/>
      <c r="AT5277" s="39"/>
    </row>
    <row r="5278" spans="1:63" x14ac:dyDescent="0.25">
      <c r="A5278" s="92"/>
      <c r="B5278" s="93"/>
      <c r="C5278" s="93"/>
      <c r="D5278" s="92"/>
      <c r="E5278" s="92"/>
      <c r="F5278" s="92"/>
      <c r="G5278" s="92"/>
      <c r="H5278" s="92"/>
      <c r="I5278" s="92"/>
      <c r="J5278" s="92"/>
      <c r="K5278" s="92"/>
      <c r="L5278" s="92"/>
      <c r="M5278" s="92"/>
      <c r="N5278" s="94"/>
      <c r="AG5278" s="107"/>
      <c r="AH5278" s="107"/>
      <c r="AI5278" s="107"/>
      <c r="AJ5278" s="107"/>
      <c r="AK5278" s="107"/>
      <c r="AL5278" s="107"/>
      <c r="AM5278" s="107"/>
      <c r="AN5278" s="107"/>
      <c r="AO5278" s="107"/>
      <c r="AP5278" s="107"/>
      <c r="AQ5278" s="107"/>
      <c r="AR5278" s="107"/>
      <c r="AS5278" s="107"/>
      <c r="AT5278" s="107"/>
      <c r="BA5278" s="117"/>
      <c r="BK5278" s="39"/>
    </row>
    <row r="5279" spans="1:63" x14ac:dyDescent="0.25">
      <c r="A5279" s="92"/>
      <c r="B5279" s="93"/>
      <c r="C5279" s="93"/>
      <c r="D5279" s="92"/>
      <c r="E5279" s="92"/>
      <c r="F5279" s="92"/>
      <c r="G5279" s="92"/>
      <c r="H5279" s="92"/>
      <c r="I5279" s="92"/>
      <c r="J5279" s="92"/>
      <c r="K5279" s="92"/>
      <c r="L5279" s="92"/>
      <c r="M5279" s="92"/>
      <c r="N5279" s="94"/>
      <c r="AG5279" s="107"/>
      <c r="AH5279" s="107"/>
      <c r="AI5279" s="107"/>
      <c r="AJ5279" s="107"/>
      <c r="AK5279" s="107"/>
      <c r="AL5279" s="107"/>
      <c r="AM5279" s="107"/>
      <c r="AN5279" s="107"/>
      <c r="AO5279" s="107"/>
      <c r="AP5279" s="107"/>
      <c r="AQ5279" s="107"/>
      <c r="AR5279" s="107"/>
      <c r="AS5279" s="107"/>
      <c r="AT5279" s="107"/>
    </row>
    <row r="5280" spans="1:63" x14ac:dyDescent="0.25">
      <c r="A5280" s="92"/>
      <c r="B5280" s="93"/>
      <c r="C5280" s="93"/>
      <c r="D5280" s="92"/>
      <c r="E5280" s="92"/>
      <c r="F5280" s="92"/>
      <c r="G5280" s="92"/>
      <c r="H5280" s="92"/>
      <c r="I5280" s="92"/>
      <c r="J5280" s="92"/>
      <c r="K5280" s="92"/>
      <c r="L5280" s="92"/>
      <c r="M5280" s="92"/>
      <c r="N5280" s="94"/>
      <c r="AG5280" s="107"/>
      <c r="AH5280" s="107"/>
      <c r="AI5280" s="107"/>
      <c r="AJ5280" s="107"/>
      <c r="AK5280" s="107"/>
      <c r="AL5280" s="107"/>
      <c r="AM5280" s="107"/>
      <c r="AN5280" s="107"/>
      <c r="AO5280" s="107"/>
      <c r="AP5280" s="107"/>
      <c r="AQ5280" s="107"/>
      <c r="AR5280" s="107"/>
      <c r="AS5280" s="107"/>
      <c r="AT5280" s="107"/>
    </row>
    <row r="5281" spans="1:63" x14ac:dyDescent="0.25">
      <c r="A5281" s="92"/>
      <c r="B5281" s="93"/>
      <c r="C5281" s="93"/>
      <c r="D5281" s="92"/>
      <c r="E5281" s="92"/>
      <c r="F5281" s="92"/>
      <c r="G5281" s="92"/>
      <c r="H5281" s="92"/>
      <c r="I5281" s="92"/>
      <c r="J5281" s="92"/>
      <c r="K5281" s="92"/>
      <c r="L5281" s="92"/>
      <c r="M5281" s="92"/>
      <c r="N5281" s="94"/>
      <c r="AG5281" s="107"/>
      <c r="AH5281" s="117"/>
      <c r="AI5281" s="107"/>
      <c r="AJ5281" s="107"/>
      <c r="AK5281" s="107"/>
      <c r="AL5281" s="107"/>
      <c r="AM5281" s="107"/>
      <c r="AN5281" s="107"/>
      <c r="AO5281" s="107"/>
      <c r="AP5281" s="107"/>
      <c r="AQ5281" s="107"/>
      <c r="AR5281" s="107"/>
      <c r="AS5281" s="107"/>
      <c r="AT5281" s="39"/>
    </row>
    <row r="5282" spans="1:63" x14ac:dyDescent="0.25">
      <c r="A5282" s="92"/>
      <c r="B5282" s="93"/>
      <c r="C5282" s="93"/>
      <c r="D5282" s="92"/>
      <c r="E5282" s="92"/>
      <c r="F5282" s="92"/>
      <c r="G5282" s="92"/>
      <c r="H5282" s="92"/>
      <c r="I5282" s="92"/>
      <c r="J5282" s="92"/>
      <c r="K5282" s="92"/>
      <c r="L5282" s="92"/>
      <c r="M5282" s="92"/>
      <c r="N5282" s="94"/>
      <c r="AG5282" s="107"/>
      <c r="AH5282" s="117"/>
      <c r="AI5282" s="107"/>
      <c r="AJ5282" s="117"/>
      <c r="AK5282" s="107"/>
      <c r="AL5282" s="107"/>
      <c r="AM5282" s="107"/>
      <c r="AN5282" s="107"/>
      <c r="AO5282" s="107"/>
      <c r="AP5282" s="107"/>
      <c r="AQ5282" s="107"/>
      <c r="AR5282" s="107"/>
      <c r="AS5282" s="107"/>
      <c r="AT5282" s="39"/>
    </row>
    <row r="5283" spans="1:63" x14ac:dyDescent="0.25">
      <c r="A5283" s="92"/>
      <c r="B5283" s="93"/>
      <c r="C5283" s="93"/>
      <c r="D5283" s="92"/>
      <c r="E5283" s="92"/>
      <c r="F5283" s="92"/>
      <c r="G5283" s="92"/>
      <c r="H5283" s="92"/>
      <c r="I5283" s="92"/>
      <c r="J5283" s="92"/>
      <c r="K5283" s="92"/>
      <c r="L5283" s="92"/>
      <c r="M5283" s="92"/>
      <c r="N5283" s="94"/>
      <c r="AG5283" s="107"/>
      <c r="AH5283" s="107"/>
      <c r="AI5283" s="107"/>
      <c r="AJ5283" s="107"/>
      <c r="AK5283" s="107"/>
      <c r="AL5283" s="107"/>
      <c r="AM5283" s="107"/>
      <c r="AN5283" s="107"/>
      <c r="AO5283" s="107"/>
      <c r="AP5283" s="107"/>
      <c r="AQ5283" s="107"/>
      <c r="AR5283" s="107"/>
      <c r="AS5283" s="107"/>
      <c r="AT5283" s="107"/>
    </row>
    <row r="5284" spans="1:63" x14ac:dyDescent="0.25">
      <c r="A5284" s="92"/>
      <c r="B5284" s="93"/>
      <c r="C5284" s="93"/>
      <c r="D5284" s="92"/>
      <c r="E5284" s="92"/>
      <c r="F5284" s="92"/>
      <c r="G5284" s="92"/>
      <c r="H5284" s="92"/>
      <c r="I5284" s="92"/>
      <c r="J5284" s="92"/>
      <c r="K5284" s="92"/>
      <c r="L5284" s="92"/>
      <c r="M5284" s="92"/>
      <c r="N5284" s="94"/>
      <c r="AG5284" s="107"/>
      <c r="AH5284" s="117"/>
      <c r="AI5284" s="107"/>
      <c r="AJ5284" s="107"/>
      <c r="AK5284" s="107"/>
      <c r="AL5284" s="107"/>
      <c r="AM5284" s="107"/>
      <c r="AN5284" s="107"/>
      <c r="AO5284" s="107"/>
      <c r="AP5284" s="107"/>
      <c r="AQ5284" s="107"/>
      <c r="AR5284" s="107"/>
      <c r="AS5284" s="107"/>
      <c r="AT5284" s="39"/>
      <c r="BA5284" s="117"/>
      <c r="BK5284" s="39"/>
    </row>
    <row r="5285" spans="1:63" x14ac:dyDescent="0.25">
      <c r="A5285" s="92"/>
      <c r="B5285" s="93"/>
      <c r="C5285" s="93"/>
      <c r="D5285" s="92"/>
      <c r="E5285" s="92"/>
      <c r="F5285" s="92"/>
      <c r="G5285" s="92"/>
      <c r="H5285" s="92"/>
      <c r="I5285" s="92"/>
      <c r="J5285" s="92"/>
      <c r="K5285" s="92"/>
      <c r="L5285" s="92"/>
      <c r="M5285" s="92"/>
      <c r="N5285" s="94"/>
      <c r="AG5285" s="107"/>
      <c r="AH5285" s="117"/>
      <c r="AI5285" s="107"/>
      <c r="AJ5285" s="117"/>
      <c r="AK5285" s="107"/>
      <c r="AL5285" s="107"/>
      <c r="AM5285" s="107"/>
      <c r="AN5285" s="107"/>
      <c r="AO5285" s="107"/>
      <c r="AP5285" s="107"/>
      <c r="AQ5285" s="107"/>
      <c r="AR5285" s="107"/>
      <c r="AS5285" s="107"/>
      <c r="AT5285" s="39"/>
      <c r="BA5285" s="117"/>
      <c r="BK5285" s="39"/>
    </row>
    <row r="5286" spans="1:63" x14ac:dyDescent="0.25">
      <c r="A5286" s="92"/>
      <c r="B5286" s="93"/>
      <c r="C5286" s="93"/>
      <c r="D5286" s="93"/>
      <c r="E5286" s="92"/>
      <c r="F5286" s="92"/>
      <c r="G5286" s="92"/>
      <c r="H5286" s="92"/>
      <c r="I5286" s="92"/>
      <c r="J5286" s="92"/>
      <c r="K5286" s="92"/>
      <c r="L5286" s="92"/>
      <c r="M5286" s="92"/>
      <c r="N5286" s="94"/>
      <c r="AG5286" s="107"/>
      <c r="AH5286" s="107"/>
      <c r="AI5286" s="107"/>
      <c r="AJ5286" s="107"/>
      <c r="AK5286" s="107"/>
      <c r="AL5286" s="107"/>
      <c r="AM5286" s="107"/>
      <c r="AN5286" s="107"/>
      <c r="AO5286" s="107"/>
      <c r="AP5286" s="107"/>
      <c r="AQ5286" s="107"/>
      <c r="AR5286" s="107"/>
      <c r="AS5286" s="107"/>
      <c r="AT5286" s="107"/>
      <c r="BA5286" s="117"/>
    </row>
    <row r="5287" spans="1:63" x14ac:dyDescent="0.25">
      <c r="A5287" s="92"/>
      <c r="B5287" s="93"/>
      <c r="C5287" s="93"/>
      <c r="D5287" s="92"/>
      <c r="E5287" s="92"/>
      <c r="F5287" s="92"/>
      <c r="G5287" s="92"/>
      <c r="H5287" s="92"/>
      <c r="I5287" s="92"/>
      <c r="J5287" s="92"/>
      <c r="K5287" s="92"/>
      <c r="L5287" s="92"/>
      <c r="M5287" s="92"/>
      <c r="N5287" s="94"/>
      <c r="AG5287" s="107"/>
      <c r="AH5287" s="107"/>
      <c r="AI5287" s="107"/>
      <c r="AJ5287" s="107"/>
      <c r="AK5287" s="107"/>
      <c r="AL5287" s="107"/>
      <c r="AM5287" s="107"/>
      <c r="AN5287" s="107"/>
      <c r="AO5287" s="107"/>
      <c r="AP5287" s="107"/>
      <c r="AQ5287" s="107"/>
      <c r="AR5287" s="107"/>
      <c r="AS5287" s="107"/>
      <c r="AT5287" s="107"/>
    </row>
    <row r="5288" spans="1:63" x14ac:dyDescent="0.25">
      <c r="A5288" s="92"/>
      <c r="B5288" s="93"/>
      <c r="C5288" s="93"/>
      <c r="D5288" s="92"/>
      <c r="E5288" s="92"/>
      <c r="F5288" s="92"/>
      <c r="G5288" s="92"/>
      <c r="H5288" s="92"/>
      <c r="I5288" s="92"/>
      <c r="J5288" s="92"/>
      <c r="K5288" s="92"/>
      <c r="L5288" s="92"/>
      <c r="M5288" s="92"/>
      <c r="N5288" s="94"/>
      <c r="AG5288" s="107"/>
      <c r="AH5288" s="107"/>
      <c r="AI5288" s="107"/>
      <c r="AJ5288" s="107"/>
      <c r="AK5288" s="107"/>
      <c r="AL5288" s="107"/>
      <c r="AM5288" s="107"/>
      <c r="AN5288" s="107"/>
      <c r="AO5288" s="107"/>
      <c r="AP5288" s="107"/>
      <c r="AQ5288" s="107"/>
      <c r="AR5288" s="107"/>
      <c r="AS5288" s="107"/>
      <c r="AT5288" s="107"/>
    </row>
    <row r="5289" spans="1:63" x14ac:dyDescent="0.25">
      <c r="A5289" s="92"/>
      <c r="B5289" s="92"/>
      <c r="C5289" s="92"/>
      <c r="D5289" s="92"/>
      <c r="E5289" s="92"/>
      <c r="F5289" s="92"/>
      <c r="G5289" s="92"/>
      <c r="H5289" s="92"/>
      <c r="I5289" s="92"/>
      <c r="J5289" s="92"/>
      <c r="K5289" s="92"/>
      <c r="L5289" s="92"/>
      <c r="M5289" s="92"/>
      <c r="N5289" s="92"/>
      <c r="AG5289" s="107"/>
      <c r="AH5289" s="107"/>
      <c r="AI5289" s="107"/>
      <c r="AJ5289" s="107"/>
      <c r="AK5289" s="107"/>
      <c r="AL5289" s="107"/>
      <c r="AM5289" s="107"/>
      <c r="AN5289" s="107"/>
      <c r="AO5289" s="107"/>
      <c r="AP5289" s="107"/>
      <c r="AQ5289" s="107"/>
      <c r="AR5289" s="107"/>
      <c r="AS5289" s="107"/>
      <c r="AT5289" s="107"/>
    </row>
    <row r="5290" spans="1:63" x14ac:dyDescent="0.25">
      <c r="A5290" s="92"/>
      <c r="B5290" s="93"/>
      <c r="C5290" s="93"/>
      <c r="D5290" s="93"/>
      <c r="E5290" s="92"/>
      <c r="F5290" s="92"/>
      <c r="G5290" s="92"/>
      <c r="H5290" s="92"/>
      <c r="I5290" s="92"/>
      <c r="J5290" s="92"/>
      <c r="K5290" s="92"/>
      <c r="L5290" s="92"/>
      <c r="M5290" s="92"/>
      <c r="N5290" s="94"/>
      <c r="AG5290" s="107"/>
      <c r="AH5290" s="107"/>
      <c r="AI5290" s="107"/>
      <c r="AJ5290" s="107"/>
      <c r="AK5290" s="107"/>
      <c r="AL5290" s="107"/>
      <c r="AM5290" s="107"/>
      <c r="AN5290" s="107"/>
      <c r="AO5290" s="107"/>
      <c r="AP5290" s="107"/>
      <c r="AQ5290" s="107"/>
      <c r="AR5290" s="107"/>
      <c r="AS5290" s="107"/>
      <c r="AT5290" s="107"/>
    </row>
    <row r="5291" spans="1:63" x14ac:dyDescent="0.25">
      <c r="A5291" s="92"/>
      <c r="B5291" s="92"/>
      <c r="C5291" s="92"/>
      <c r="D5291" s="93"/>
      <c r="E5291" s="92"/>
      <c r="F5291" s="92"/>
      <c r="G5291" s="92"/>
      <c r="H5291" s="92"/>
      <c r="I5291" s="92"/>
      <c r="J5291" s="92"/>
      <c r="K5291" s="92"/>
      <c r="L5291" s="92"/>
      <c r="M5291" s="92"/>
      <c r="N5291" s="92"/>
      <c r="AG5291" s="107"/>
      <c r="AH5291" s="11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39"/>
      <c r="BA5291" s="117"/>
      <c r="BK5291" s="39"/>
    </row>
    <row r="5292" spans="1:63" x14ac:dyDescent="0.25">
      <c r="A5292" s="92"/>
      <c r="B5292" s="92"/>
      <c r="C5292" s="92"/>
      <c r="D5292" s="93"/>
      <c r="E5292" s="92"/>
      <c r="F5292" s="92"/>
      <c r="G5292" s="92"/>
      <c r="H5292" s="92"/>
      <c r="I5292" s="92"/>
      <c r="J5292" s="92"/>
      <c r="K5292" s="92"/>
      <c r="L5292" s="92"/>
      <c r="M5292" s="92"/>
      <c r="N5292" s="92"/>
      <c r="AG5292" s="107"/>
      <c r="AH5292" s="117"/>
      <c r="AI5292" s="107"/>
      <c r="AJ5292" s="107"/>
      <c r="AK5292" s="107"/>
      <c r="AL5292" s="107"/>
      <c r="AM5292" s="107"/>
      <c r="AN5292" s="107"/>
      <c r="AO5292" s="107"/>
      <c r="AP5292" s="107"/>
      <c r="AQ5292" s="107"/>
      <c r="AR5292" s="107"/>
      <c r="AS5292" s="107"/>
      <c r="AT5292" s="39"/>
    </row>
    <row r="5293" spans="1:63" x14ac:dyDescent="0.25">
      <c r="A5293" s="92"/>
      <c r="B5293" s="92"/>
      <c r="C5293" s="92"/>
      <c r="D5293" s="93"/>
      <c r="E5293" s="92"/>
      <c r="F5293" s="92"/>
      <c r="G5293" s="92"/>
      <c r="H5293" s="92"/>
      <c r="I5293" s="92"/>
      <c r="J5293" s="92"/>
      <c r="K5293" s="92"/>
      <c r="L5293" s="92"/>
      <c r="M5293" s="92"/>
      <c r="N5293" s="92"/>
      <c r="AG5293" s="107"/>
      <c r="AH5293" s="117"/>
      <c r="AI5293" s="117"/>
      <c r="AJ5293" s="107"/>
      <c r="AK5293" s="107"/>
      <c r="AL5293" s="107"/>
      <c r="AM5293" s="107"/>
      <c r="AN5293" s="107"/>
      <c r="AO5293" s="107"/>
      <c r="AP5293" s="107"/>
      <c r="AQ5293" s="107"/>
      <c r="AR5293" s="107"/>
      <c r="AS5293" s="107"/>
      <c r="AT5293" s="39"/>
    </row>
    <row r="5294" spans="1:63" x14ac:dyDescent="0.25">
      <c r="A5294" s="92"/>
      <c r="B5294" s="92"/>
      <c r="C5294" s="92"/>
      <c r="D5294" s="93"/>
      <c r="E5294" s="92"/>
      <c r="F5294" s="92"/>
      <c r="G5294" s="92"/>
      <c r="H5294" s="92"/>
      <c r="I5294" s="92"/>
      <c r="J5294" s="92"/>
      <c r="K5294" s="92"/>
      <c r="L5294" s="92"/>
      <c r="M5294" s="92"/>
      <c r="N5294" s="92"/>
      <c r="AG5294" s="107"/>
      <c r="AH5294" s="107"/>
      <c r="AI5294" s="107"/>
      <c r="AJ5294" s="107"/>
      <c r="AK5294" s="107"/>
      <c r="AL5294" s="107"/>
      <c r="AM5294" s="107"/>
      <c r="AN5294" s="107"/>
      <c r="AO5294" s="107"/>
      <c r="AP5294" s="107"/>
      <c r="AQ5294" s="107"/>
      <c r="AR5294" s="107"/>
      <c r="AS5294" s="107"/>
      <c r="AT5294" s="107"/>
    </row>
    <row r="5295" spans="1:63" x14ac:dyDescent="0.25">
      <c r="A5295" s="92"/>
      <c r="B5295" s="92"/>
      <c r="C5295" s="92"/>
      <c r="D5295" s="92"/>
      <c r="E5295" s="92"/>
      <c r="F5295" s="92"/>
      <c r="G5295" s="92"/>
      <c r="H5295" s="92"/>
      <c r="I5295" s="92"/>
      <c r="J5295" s="92"/>
      <c r="K5295" s="92"/>
      <c r="L5295" s="92"/>
      <c r="M5295" s="92"/>
      <c r="N5295" s="92"/>
      <c r="AG5295" s="107"/>
      <c r="AH5295" s="107"/>
      <c r="AI5295" s="107"/>
      <c r="AJ5295" s="107"/>
      <c r="AK5295" s="107"/>
      <c r="AL5295" s="107"/>
      <c r="AM5295" s="107"/>
      <c r="AN5295" s="107"/>
      <c r="AO5295" s="107"/>
      <c r="AP5295" s="107"/>
      <c r="AQ5295" s="107"/>
      <c r="AR5295" s="107"/>
      <c r="AS5295" s="107"/>
      <c r="AT5295" s="107"/>
    </row>
    <row r="5296" spans="1:63" x14ac:dyDescent="0.25">
      <c r="A5296" s="92"/>
      <c r="B5296" s="92"/>
      <c r="C5296" s="92"/>
      <c r="D5296" s="92"/>
      <c r="E5296" s="92"/>
      <c r="F5296" s="92"/>
      <c r="G5296" s="92"/>
      <c r="H5296" s="92"/>
      <c r="I5296" s="92"/>
      <c r="J5296" s="92"/>
      <c r="K5296" s="92"/>
      <c r="L5296" s="92"/>
      <c r="M5296" s="92"/>
      <c r="N5296" s="92"/>
      <c r="AG5296" s="107"/>
      <c r="AH5296" s="107"/>
      <c r="AI5296" s="107"/>
      <c r="AJ5296" s="107"/>
      <c r="AK5296" s="107"/>
      <c r="AL5296" s="107"/>
      <c r="AM5296" s="107"/>
      <c r="AN5296" s="107"/>
      <c r="AO5296" s="107"/>
      <c r="AP5296" s="107"/>
      <c r="AQ5296" s="107"/>
      <c r="AR5296" s="107"/>
      <c r="AS5296" s="107"/>
      <c r="AT5296" s="107"/>
    </row>
    <row r="5297" spans="1:63" x14ac:dyDescent="0.25">
      <c r="A5297" s="92"/>
      <c r="B5297" s="92"/>
      <c r="C5297" s="92"/>
      <c r="D5297" s="92"/>
      <c r="E5297" s="92"/>
      <c r="F5297" s="92"/>
      <c r="G5297" s="92"/>
      <c r="H5297" s="92"/>
      <c r="I5297" s="92"/>
      <c r="J5297" s="92"/>
      <c r="K5297" s="92"/>
      <c r="L5297" s="92"/>
      <c r="M5297" s="92"/>
      <c r="N5297" s="92"/>
      <c r="AG5297" s="107"/>
      <c r="AH5297" s="117"/>
      <c r="AI5297" s="107"/>
      <c r="AJ5297" s="107"/>
      <c r="AK5297" s="107"/>
      <c r="AL5297" s="107"/>
      <c r="AM5297" s="107"/>
      <c r="AN5297" s="107"/>
      <c r="AO5297" s="107"/>
      <c r="AP5297" s="107"/>
      <c r="AQ5297" s="107"/>
      <c r="AR5297" s="107"/>
      <c r="AS5297" s="107"/>
      <c r="AT5297" s="39"/>
      <c r="BA5297" s="117"/>
      <c r="BK5297" s="39"/>
    </row>
    <row r="5298" spans="1:63" x14ac:dyDescent="0.25">
      <c r="A5298" s="92"/>
      <c r="B5298" s="92"/>
      <c r="C5298" s="92"/>
      <c r="D5298" s="92"/>
      <c r="E5298" s="92"/>
      <c r="F5298" s="92"/>
      <c r="G5298" s="92"/>
      <c r="H5298" s="92"/>
      <c r="I5298" s="92"/>
      <c r="J5298" s="92"/>
      <c r="K5298" s="92"/>
      <c r="L5298" s="92"/>
      <c r="M5298" s="92"/>
      <c r="N5298" s="92"/>
      <c r="AG5298" s="107"/>
      <c r="AH5298" s="117"/>
      <c r="AI5298" s="107"/>
      <c r="AJ5298" s="117"/>
      <c r="AK5298" s="107"/>
      <c r="AL5298" s="107"/>
      <c r="AM5298" s="107"/>
      <c r="AN5298" s="107"/>
      <c r="AO5298" s="107"/>
      <c r="AP5298" s="107"/>
      <c r="AQ5298" s="107"/>
      <c r="AR5298" s="107"/>
      <c r="AS5298" s="107"/>
      <c r="AT5298" s="39"/>
      <c r="BA5298" s="117"/>
      <c r="BK5298" s="39"/>
    </row>
    <row r="5299" spans="1:63" x14ac:dyDescent="0.25">
      <c r="A5299" s="92"/>
      <c r="B5299" s="92"/>
      <c r="C5299" s="92"/>
      <c r="D5299" s="92"/>
      <c r="E5299" s="92"/>
      <c r="F5299" s="92"/>
      <c r="G5299" s="92"/>
      <c r="H5299" s="92"/>
      <c r="I5299" s="92"/>
      <c r="J5299" s="92"/>
      <c r="K5299" s="92"/>
      <c r="L5299" s="92"/>
      <c r="M5299" s="92"/>
      <c r="N5299" s="92"/>
      <c r="AG5299" s="107"/>
      <c r="AH5299" s="107"/>
      <c r="AI5299" s="107"/>
      <c r="AJ5299" s="107"/>
      <c r="AK5299" s="107"/>
      <c r="AL5299" s="107"/>
      <c r="AM5299" s="107"/>
      <c r="AN5299" s="107"/>
      <c r="AO5299" s="107"/>
      <c r="AP5299" s="107"/>
      <c r="AQ5299" s="107"/>
      <c r="AR5299" s="107"/>
      <c r="AS5299" s="107"/>
      <c r="AT5299" s="107"/>
    </row>
    <row r="5300" spans="1:63" x14ac:dyDescent="0.25">
      <c r="A5300" s="92"/>
      <c r="B5300" s="92"/>
      <c r="C5300" s="92"/>
      <c r="D5300" s="92"/>
      <c r="E5300" s="92"/>
      <c r="F5300" s="92"/>
      <c r="G5300" s="92"/>
      <c r="H5300" s="92"/>
      <c r="I5300" s="92"/>
      <c r="J5300" s="92"/>
      <c r="K5300" s="92"/>
      <c r="L5300" s="92"/>
      <c r="M5300" s="92"/>
      <c r="N5300" s="92"/>
      <c r="AG5300" s="107"/>
      <c r="AH5300" s="107"/>
      <c r="AI5300" s="107"/>
      <c r="AJ5300" s="107"/>
      <c r="AK5300" s="107"/>
      <c r="AL5300" s="107"/>
      <c r="AM5300" s="107"/>
      <c r="AN5300" s="107"/>
      <c r="AO5300" s="107"/>
      <c r="AP5300" s="107"/>
      <c r="AQ5300" s="107"/>
      <c r="AR5300" s="107"/>
      <c r="AS5300" s="107"/>
      <c r="AT5300" s="107"/>
    </row>
    <row r="5301" spans="1:63" x14ac:dyDescent="0.25">
      <c r="A5301" s="92"/>
      <c r="B5301" s="93"/>
      <c r="C5301" s="93"/>
      <c r="D5301" s="92"/>
      <c r="E5301" s="92"/>
      <c r="F5301" s="92"/>
      <c r="G5301" s="92"/>
      <c r="H5301" s="92"/>
      <c r="I5301" s="92"/>
      <c r="J5301" s="92"/>
      <c r="K5301" s="92"/>
      <c r="L5301" s="92"/>
      <c r="M5301" s="92"/>
      <c r="N5301" s="94"/>
      <c r="AG5301" s="107"/>
      <c r="AH5301" s="107"/>
      <c r="AI5301" s="107"/>
      <c r="AJ5301" s="107"/>
      <c r="AK5301" s="107"/>
      <c r="AL5301" s="107"/>
      <c r="AM5301" s="107"/>
      <c r="AN5301" s="107"/>
      <c r="AO5301" s="107"/>
      <c r="AP5301" s="107"/>
      <c r="AQ5301" s="107"/>
      <c r="AR5301" s="107"/>
      <c r="AS5301" s="107"/>
      <c r="AT5301" s="107"/>
    </row>
    <row r="5302" spans="1:63" x14ac:dyDescent="0.25">
      <c r="A5302" s="92"/>
      <c r="B5302" s="93"/>
      <c r="C5302" s="93"/>
      <c r="D5302" s="92"/>
      <c r="E5302" s="92"/>
      <c r="F5302" s="92"/>
      <c r="G5302" s="92"/>
      <c r="H5302" s="92"/>
      <c r="I5302" s="92"/>
      <c r="J5302" s="92"/>
      <c r="K5302" s="92"/>
      <c r="L5302" s="92"/>
      <c r="M5302" s="92"/>
      <c r="N5302" s="94"/>
      <c r="AG5302" s="107"/>
      <c r="AH5302" s="117"/>
      <c r="AI5302" s="107"/>
      <c r="AJ5302" s="107"/>
      <c r="AK5302" s="107"/>
      <c r="AL5302" s="107"/>
      <c r="AM5302" s="107"/>
      <c r="AN5302" s="107"/>
      <c r="AO5302" s="107"/>
      <c r="AP5302" s="107"/>
      <c r="AQ5302" s="107"/>
      <c r="AR5302" s="107"/>
      <c r="AS5302" s="107"/>
      <c r="AT5302" s="39"/>
    </row>
    <row r="5303" spans="1:63" x14ac:dyDescent="0.25">
      <c r="A5303" s="92"/>
      <c r="B5303" s="93"/>
      <c r="C5303" s="93"/>
      <c r="D5303" s="92"/>
      <c r="E5303" s="92"/>
      <c r="F5303" s="92"/>
      <c r="G5303" s="92"/>
      <c r="H5303" s="92"/>
      <c r="I5303" s="92"/>
      <c r="J5303" s="92"/>
      <c r="K5303" s="92"/>
      <c r="L5303" s="92"/>
      <c r="M5303" s="92"/>
      <c r="N5303" s="94"/>
      <c r="AG5303" s="107"/>
      <c r="AH5303" s="107"/>
      <c r="AI5303" s="107"/>
      <c r="AJ5303" s="107"/>
      <c r="AK5303" s="107"/>
      <c r="AL5303" s="107"/>
      <c r="AM5303" s="107"/>
      <c r="AN5303" s="107"/>
      <c r="AO5303" s="107"/>
      <c r="AP5303" s="107"/>
      <c r="AQ5303" s="107"/>
      <c r="AR5303" s="107"/>
      <c r="AS5303" s="107"/>
      <c r="AT5303" s="107"/>
    </row>
    <row r="5304" spans="1:63" x14ac:dyDescent="0.25">
      <c r="A5304" s="92"/>
      <c r="B5304" s="93"/>
      <c r="C5304" s="93"/>
      <c r="D5304" s="93"/>
      <c r="E5304" s="92"/>
      <c r="F5304" s="92"/>
      <c r="G5304" s="92"/>
      <c r="H5304" s="92"/>
      <c r="I5304" s="92"/>
      <c r="J5304" s="92"/>
      <c r="K5304" s="92"/>
      <c r="L5304" s="92"/>
      <c r="M5304" s="92"/>
      <c r="N5304" s="94"/>
      <c r="AG5304" s="107"/>
      <c r="AH5304" s="117"/>
      <c r="AI5304" s="107"/>
      <c r="AJ5304" s="117"/>
      <c r="AK5304" s="107"/>
      <c r="AL5304" s="107"/>
      <c r="AM5304" s="107"/>
      <c r="AN5304" s="107"/>
      <c r="AO5304" s="107"/>
      <c r="AP5304" s="107"/>
      <c r="AQ5304" s="107"/>
      <c r="AR5304" s="107"/>
      <c r="AS5304" s="107"/>
      <c r="AT5304" s="39"/>
    </row>
    <row r="5305" spans="1:63" x14ac:dyDescent="0.25">
      <c r="A5305" s="92"/>
      <c r="B5305" s="93"/>
      <c r="C5305" s="93"/>
      <c r="D5305" s="92"/>
      <c r="E5305" s="92"/>
      <c r="F5305" s="92"/>
      <c r="G5305" s="92"/>
      <c r="H5305" s="92"/>
      <c r="I5305" s="92"/>
      <c r="J5305" s="92"/>
      <c r="K5305" s="92"/>
      <c r="L5305" s="92"/>
      <c r="M5305" s="92"/>
      <c r="N5305" s="94"/>
      <c r="AG5305" s="107"/>
      <c r="AH5305" s="117"/>
      <c r="AI5305" s="107"/>
      <c r="AJ5305" s="117"/>
      <c r="AK5305" s="107"/>
      <c r="AL5305" s="107"/>
      <c r="AM5305" s="107"/>
      <c r="AN5305" s="107"/>
      <c r="AO5305" s="107"/>
      <c r="AP5305" s="107"/>
      <c r="AQ5305" s="107"/>
      <c r="AR5305" s="107"/>
      <c r="AS5305" s="107"/>
      <c r="AT5305" s="39"/>
    </row>
    <row r="5306" spans="1:63" x14ac:dyDescent="0.25">
      <c r="A5306" s="92"/>
      <c r="B5306" s="93"/>
      <c r="C5306" s="93"/>
      <c r="D5306" s="92"/>
      <c r="E5306" s="92"/>
      <c r="F5306" s="92"/>
      <c r="G5306" s="92"/>
      <c r="H5306" s="92"/>
      <c r="I5306" s="92"/>
      <c r="J5306" s="92"/>
      <c r="K5306" s="92"/>
      <c r="L5306" s="92"/>
      <c r="M5306" s="92"/>
      <c r="N5306" s="94"/>
      <c r="AG5306" s="107"/>
      <c r="AH5306" s="107"/>
      <c r="AI5306" s="107"/>
      <c r="AJ5306" s="107"/>
      <c r="AK5306" s="107"/>
      <c r="AL5306" s="107"/>
      <c r="AM5306" s="107"/>
      <c r="AN5306" s="107"/>
      <c r="AO5306" s="107"/>
      <c r="AP5306" s="107"/>
      <c r="AQ5306" s="107"/>
      <c r="AR5306" s="107"/>
      <c r="AS5306" s="107"/>
      <c r="AT5306" s="107"/>
      <c r="BA5306" s="117"/>
      <c r="BK5306" s="39"/>
    </row>
    <row r="5307" spans="1:63" x14ac:dyDescent="0.25">
      <c r="A5307" s="92"/>
      <c r="B5307" s="92"/>
      <c r="C5307" s="92"/>
      <c r="D5307" s="92"/>
      <c r="E5307" s="92"/>
      <c r="F5307" s="92"/>
      <c r="G5307" s="92"/>
      <c r="H5307" s="92"/>
      <c r="I5307" s="92"/>
      <c r="J5307" s="92"/>
      <c r="K5307" s="92"/>
      <c r="L5307" s="92"/>
      <c r="M5307" s="92"/>
      <c r="N5307" s="92"/>
      <c r="AG5307" s="107"/>
      <c r="AH5307" s="117"/>
      <c r="AI5307" s="117"/>
      <c r="AJ5307" s="107"/>
      <c r="AK5307" s="107"/>
      <c r="AL5307" s="107"/>
      <c r="AM5307" s="107"/>
      <c r="AN5307" s="107"/>
      <c r="AO5307" s="107"/>
      <c r="AP5307" s="107"/>
      <c r="AQ5307" s="107"/>
      <c r="AR5307" s="107"/>
      <c r="AS5307" s="107"/>
      <c r="AT5307" s="39"/>
    </row>
    <row r="5308" spans="1:63" x14ac:dyDescent="0.25">
      <c r="A5308" s="92"/>
      <c r="B5308" s="93"/>
      <c r="C5308" s="93"/>
      <c r="D5308" s="92"/>
      <c r="E5308" s="92"/>
      <c r="F5308" s="92"/>
      <c r="G5308" s="92"/>
      <c r="H5308" s="92"/>
      <c r="I5308" s="92"/>
      <c r="J5308" s="92"/>
      <c r="K5308" s="92"/>
      <c r="L5308" s="92"/>
      <c r="M5308" s="92"/>
      <c r="N5308" s="94"/>
      <c r="AG5308" s="107"/>
      <c r="AH5308" s="107"/>
      <c r="AI5308" s="107"/>
      <c r="AJ5308" s="107"/>
      <c r="AK5308" s="107"/>
      <c r="AL5308" s="107"/>
      <c r="AM5308" s="107"/>
      <c r="AN5308" s="107"/>
      <c r="AO5308" s="107"/>
      <c r="AP5308" s="107"/>
      <c r="AQ5308" s="107"/>
      <c r="AR5308" s="107"/>
      <c r="AS5308" s="107"/>
      <c r="AT5308" s="107"/>
    </row>
    <row r="5309" spans="1:63" x14ac:dyDescent="0.25">
      <c r="A5309" s="92"/>
      <c r="B5309" s="93"/>
      <c r="C5309" s="93"/>
      <c r="D5309" s="92"/>
      <c r="E5309" s="92"/>
      <c r="F5309" s="92"/>
      <c r="G5309" s="92"/>
      <c r="H5309" s="92"/>
      <c r="I5309" s="92"/>
      <c r="J5309" s="92"/>
      <c r="K5309" s="92"/>
      <c r="L5309" s="92"/>
      <c r="M5309" s="92"/>
      <c r="N5309" s="94"/>
      <c r="AG5309" s="107"/>
      <c r="AH5309" s="107"/>
      <c r="AI5309" s="107"/>
      <c r="AJ5309" s="107"/>
      <c r="AK5309" s="107"/>
      <c r="AL5309" s="107"/>
      <c r="AM5309" s="107"/>
      <c r="AN5309" s="107"/>
      <c r="AO5309" s="107"/>
      <c r="AP5309" s="107"/>
      <c r="AQ5309" s="107"/>
      <c r="AR5309" s="107"/>
      <c r="AS5309" s="107"/>
      <c r="AT5309" s="107"/>
    </row>
    <row r="5310" spans="1:63" x14ac:dyDescent="0.25">
      <c r="A5310" s="92"/>
      <c r="B5310" s="93"/>
      <c r="C5310" s="93"/>
      <c r="D5310" s="92"/>
      <c r="E5310" s="92"/>
      <c r="F5310" s="92"/>
      <c r="G5310" s="92"/>
      <c r="H5310" s="92"/>
      <c r="I5310" s="92"/>
      <c r="J5310" s="92"/>
      <c r="K5310" s="92"/>
      <c r="L5310" s="92"/>
      <c r="M5310" s="92"/>
      <c r="N5310" s="94"/>
      <c r="AG5310" s="107"/>
      <c r="AH5310" s="117"/>
      <c r="AI5310" s="107"/>
      <c r="AJ5310" s="117"/>
      <c r="AK5310" s="107"/>
      <c r="AL5310" s="107"/>
      <c r="AM5310" s="107"/>
      <c r="AN5310" s="107"/>
      <c r="AO5310" s="107"/>
      <c r="AP5310" s="107"/>
      <c r="AQ5310" s="107"/>
      <c r="AR5310" s="107"/>
      <c r="AS5310" s="107"/>
      <c r="AT5310" s="39"/>
    </row>
    <row r="5311" spans="1:63" x14ac:dyDescent="0.25">
      <c r="A5311" s="92"/>
      <c r="B5311" s="93"/>
      <c r="C5311" s="93"/>
      <c r="D5311" s="93"/>
      <c r="E5311" s="92"/>
      <c r="F5311" s="92"/>
      <c r="G5311" s="92"/>
      <c r="H5311" s="92"/>
      <c r="I5311" s="92"/>
      <c r="J5311" s="92"/>
      <c r="K5311" s="92"/>
      <c r="L5311" s="92"/>
      <c r="M5311" s="92"/>
      <c r="N5311" s="94"/>
      <c r="AG5311" s="107"/>
      <c r="AH5311" s="117"/>
      <c r="AI5311" s="107"/>
      <c r="AJ5311" s="117"/>
      <c r="AK5311" s="107"/>
      <c r="AL5311" s="107"/>
      <c r="AM5311" s="107"/>
      <c r="AN5311" s="107"/>
      <c r="AO5311" s="107"/>
      <c r="AP5311" s="107"/>
      <c r="AQ5311" s="107"/>
      <c r="AR5311" s="107"/>
      <c r="AS5311" s="107"/>
      <c r="AT5311" s="39"/>
    </row>
    <row r="5312" spans="1:63" x14ac:dyDescent="0.25">
      <c r="A5312" s="92"/>
      <c r="B5312" s="93"/>
      <c r="C5312" s="93"/>
      <c r="D5312" s="92"/>
      <c r="E5312" s="92"/>
      <c r="F5312" s="92"/>
      <c r="G5312" s="92"/>
      <c r="H5312" s="92"/>
      <c r="I5312" s="92"/>
      <c r="J5312" s="92"/>
      <c r="K5312" s="92"/>
      <c r="L5312" s="92"/>
      <c r="M5312" s="92"/>
      <c r="N5312" s="94"/>
      <c r="AG5312" s="107"/>
      <c r="AH5312" s="107"/>
      <c r="AI5312" s="107"/>
      <c r="AJ5312" s="117"/>
      <c r="AK5312" s="107"/>
      <c r="AL5312" s="107"/>
      <c r="AM5312" s="107"/>
      <c r="AN5312" s="107"/>
      <c r="AO5312" s="107"/>
      <c r="AP5312" s="107"/>
      <c r="AQ5312" s="107"/>
      <c r="AR5312" s="107"/>
      <c r="AS5312" s="107"/>
      <c r="AT5312" s="107"/>
    </row>
    <row r="5313" spans="1:63" x14ac:dyDescent="0.25">
      <c r="A5313" s="92"/>
      <c r="B5313" s="92"/>
      <c r="C5313" s="92"/>
      <c r="D5313" s="92"/>
      <c r="E5313" s="92"/>
      <c r="F5313" s="92"/>
      <c r="G5313" s="92"/>
      <c r="H5313" s="92"/>
      <c r="I5313" s="92"/>
      <c r="J5313" s="92"/>
      <c r="K5313" s="92"/>
      <c r="L5313" s="92"/>
      <c r="M5313" s="92"/>
      <c r="N5313" s="92"/>
      <c r="AG5313" s="107"/>
      <c r="AH5313" s="117"/>
      <c r="AI5313" s="107"/>
      <c r="AJ5313" s="117"/>
      <c r="AK5313" s="107"/>
      <c r="AL5313" s="107"/>
      <c r="AM5313" s="107"/>
      <c r="AN5313" s="107"/>
      <c r="AO5313" s="107"/>
      <c r="AP5313" s="107"/>
      <c r="AQ5313" s="107"/>
      <c r="AR5313" s="107"/>
      <c r="AS5313" s="107"/>
      <c r="AT5313" s="39"/>
    </row>
    <row r="5314" spans="1:63" x14ac:dyDescent="0.25">
      <c r="A5314" s="92"/>
      <c r="B5314" s="92"/>
      <c r="C5314" s="92"/>
      <c r="D5314" s="92"/>
      <c r="E5314" s="92"/>
      <c r="F5314" s="92"/>
      <c r="G5314" s="92"/>
      <c r="H5314" s="92"/>
      <c r="I5314" s="92"/>
      <c r="J5314" s="92"/>
      <c r="K5314" s="92"/>
      <c r="L5314" s="92"/>
      <c r="M5314" s="92"/>
      <c r="N5314" s="92"/>
      <c r="AG5314" s="107"/>
      <c r="AH5314" s="117"/>
      <c r="AI5314" s="107"/>
      <c r="AJ5314" s="117"/>
      <c r="AK5314" s="107"/>
      <c r="AL5314" s="107"/>
      <c r="AM5314" s="107"/>
      <c r="AN5314" s="107"/>
      <c r="AO5314" s="107"/>
      <c r="AP5314" s="107"/>
      <c r="AQ5314" s="107"/>
      <c r="AR5314" s="107"/>
      <c r="AS5314" s="107"/>
      <c r="AT5314" s="39"/>
    </row>
    <row r="5315" spans="1:63" x14ac:dyDescent="0.25">
      <c r="A5315" s="92"/>
      <c r="B5315" s="92"/>
      <c r="C5315" s="92"/>
      <c r="D5315" s="92"/>
      <c r="E5315" s="92"/>
      <c r="F5315" s="92"/>
      <c r="G5315" s="92"/>
      <c r="H5315" s="92"/>
      <c r="I5315" s="92"/>
      <c r="J5315" s="92"/>
      <c r="K5315" s="92"/>
      <c r="L5315" s="92"/>
      <c r="M5315" s="92"/>
      <c r="N5315" s="92"/>
      <c r="AG5315" s="107"/>
      <c r="AH5315" s="107"/>
      <c r="AI5315" s="107"/>
      <c r="AJ5315" s="107"/>
      <c r="AK5315" s="107"/>
      <c r="AL5315" s="107"/>
      <c r="AM5315" s="107"/>
      <c r="AN5315" s="107"/>
      <c r="AO5315" s="107"/>
      <c r="AP5315" s="107"/>
      <c r="AQ5315" s="107"/>
      <c r="AR5315" s="107"/>
      <c r="AS5315" s="107"/>
      <c r="AT5315" s="107"/>
    </row>
    <row r="5316" spans="1:63" x14ac:dyDescent="0.25">
      <c r="A5316" s="92"/>
      <c r="B5316" s="93"/>
      <c r="C5316" s="93"/>
      <c r="D5316" s="92"/>
      <c r="E5316" s="92"/>
      <c r="F5316" s="92"/>
      <c r="G5316" s="92"/>
      <c r="H5316" s="92"/>
      <c r="I5316" s="92"/>
      <c r="J5316" s="92"/>
      <c r="K5316" s="92"/>
      <c r="L5316" s="92"/>
      <c r="M5316" s="92"/>
      <c r="N5316" s="94"/>
      <c r="AG5316" s="107"/>
      <c r="AH5316" s="107"/>
      <c r="AI5316" s="107"/>
      <c r="AJ5316" s="107"/>
      <c r="AK5316" s="107"/>
      <c r="AL5316" s="107"/>
      <c r="AM5316" s="107"/>
      <c r="AN5316" s="107"/>
      <c r="AO5316" s="107"/>
      <c r="AP5316" s="107"/>
      <c r="AQ5316" s="107"/>
      <c r="AR5316" s="107"/>
      <c r="AS5316" s="107"/>
      <c r="AT5316" s="107"/>
    </row>
    <row r="5317" spans="1:63" x14ac:dyDescent="0.25">
      <c r="A5317" s="92"/>
      <c r="B5317" s="93"/>
      <c r="C5317" s="93"/>
      <c r="D5317" s="93"/>
      <c r="E5317" s="92"/>
      <c r="F5317" s="92"/>
      <c r="G5317" s="92"/>
      <c r="H5317" s="92"/>
      <c r="I5317" s="92"/>
      <c r="J5317" s="92"/>
      <c r="K5317" s="92"/>
      <c r="L5317" s="92"/>
      <c r="M5317" s="92"/>
      <c r="N5317" s="94"/>
      <c r="AG5317" s="107"/>
      <c r="AH5317" s="107"/>
      <c r="AI5317" s="107"/>
      <c r="AJ5317" s="107"/>
      <c r="AK5317" s="107"/>
      <c r="AL5317" s="107"/>
      <c r="AM5317" s="107"/>
      <c r="AN5317" s="107"/>
      <c r="AO5317" s="107"/>
      <c r="AP5317" s="107"/>
      <c r="AQ5317" s="107"/>
      <c r="AR5317" s="107"/>
      <c r="AS5317" s="107"/>
      <c r="AT5317" s="107"/>
    </row>
    <row r="5318" spans="1:63" x14ac:dyDescent="0.25">
      <c r="A5318" s="92"/>
      <c r="B5318" s="93"/>
      <c r="C5318" s="93"/>
      <c r="D5318" s="92"/>
      <c r="E5318" s="92"/>
      <c r="F5318" s="92"/>
      <c r="G5318" s="92"/>
      <c r="H5318" s="92"/>
      <c r="I5318" s="92"/>
      <c r="J5318" s="92"/>
      <c r="K5318" s="92"/>
      <c r="L5318" s="92"/>
      <c r="M5318" s="92"/>
      <c r="N5318" s="94"/>
      <c r="AG5318" s="107"/>
      <c r="AH5318" s="107"/>
      <c r="AI5318" s="107"/>
      <c r="AJ5318" s="107"/>
      <c r="AK5318" s="107"/>
      <c r="AL5318" s="107"/>
      <c r="AM5318" s="107"/>
      <c r="AN5318" s="107"/>
      <c r="AO5318" s="107"/>
      <c r="AP5318" s="107"/>
      <c r="AQ5318" s="107"/>
      <c r="AR5318" s="107"/>
      <c r="AS5318" s="107"/>
      <c r="AT5318" s="107"/>
    </row>
    <row r="5319" spans="1:63" x14ac:dyDescent="0.25">
      <c r="A5319" s="92"/>
      <c r="B5319" s="93"/>
      <c r="C5319" s="93"/>
      <c r="D5319" s="92"/>
      <c r="E5319" s="92"/>
      <c r="F5319" s="92"/>
      <c r="G5319" s="92"/>
      <c r="H5319" s="92"/>
      <c r="I5319" s="92"/>
      <c r="J5319" s="92"/>
      <c r="K5319" s="92"/>
      <c r="L5319" s="92"/>
      <c r="M5319" s="92"/>
      <c r="N5319" s="94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</row>
    <row r="5320" spans="1:63" x14ac:dyDescent="0.25">
      <c r="A5320" s="92"/>
      <c r="B5320" s="93"/>
      <c r="C5320" s="93"/>
      <c r="D5320" s="92"/>
      <c r="E5320" s="92"/>
      <c r="F5320" s="92"/>
      <c r="G5320" s="92"/>
      <c r="H5320" s="92"/>
      <c r="I5320" s="92"/>
      <c r="J5320" s="92"/>
      <c r="K5320" s="92"/>
      <c r="L5320" s="92"/>
      <c r="M5320" s="92"/>
      <c r="N5320" s="94"/>
      <c r="AG5320" s="107"/>
      <c r="AH5320" s="107"/>
      <c r="AI5320" s="107"/>
      <c r="AJ5320" s="107"/>
      <c r="AK5320" s="107"/>
      <c r="AL5320" s="107"/>
      <c r="AM5320" s="107"/>
      <c r="AN5320" s="107"/>
      <c r="AO5320" s="107"/>
      <c r="AP5320" s="107"/>
      <c r="AQ5320" s="107"/>
      <c r="AR5320" s="107"/>
      <c r="AS5320" s="107"/>
      <c r="AT5320" s="107"/>
    </row>
    <row r="5321" spans="1:63" x14ac:dyDescent="0.25">
      <c r="A5321" s="92"/>
      <c r="B5321" s="93"/>
      <c r="C5321" s="93"/>
      <c r="D5321" s="92"/>
      <c r="E5321" s="92"/>
      <c r="F5321" s="92"/>
      <c r="G5321" s="92"/>
      <c r="H5321" s="92"/>
      <c r="I5321" s="92"/>
      <c r="J5321" s="92"/>
      <c r="K5321" s="92"/>
      <c r="L5321" s="92"/>
      <c r="M5321" s="92"/>
      <c r="N5321" s="94"/>
      <c r="AG5321" s="107"/>
      <c r="AH5321" s="107"/>
      <c r="AI5321" s="107"/>
      <c r="AJ5321" s="107"/>
      <c r="AK5321" s="107"/>
      <c r="AL5321" s="107"/>
      <c r="AM5321" s="107"/>
      <c r="AN5321" s="107"/>
      <c r="AO5321" s="107"/>
      <c r="AP5321" s="107"/>
      <c r="AQ5321" s="107"/>
      <c r="AR5321" s="107"/>
      <c r="AS5321" s="107"/>
      <c r="AT5321" s="107"/>
    </row>
    <row r="5322" spans="1:63" x14ac:dyDescent="0.25">
      <c r="A5322" s="92"/>
      <c r="B5322" s="93"/>
      <c r="C5322" s="93"/>
      <c r="D5322" s="92"/>
      <c r="E5322" s="92"/>
      <c r="F5322" s="92"/>
      <c r="G5322" s="92"/>
      <c r="H5322" s="92"/>
      <c r="I5322" s="92"/>
      <c r="J5322" s="92"/>
      <c r="K5322" s="92"/>
      <c r="L5322" s="92"/>
      <c r="M5322" s="92"/>
      <c r="N5322" s="94"/>
      <c r="AG5322" s="107"/>
      <c r="AH5322" s="107"/>
      <c r="AI5322" s="107"/>
      <c r="AJ5322" s="107"/>
      <c r="AK5322" s="107"/>
      <c r="AL5322" s="107"/>
      <c r="AM5322" s="107"/>
      <c r="AN5322" s="107"/>
      <c r="AO5322" s="107"/>
      <c r="AP5322" s="107"/>
      <c r="AQ5322" s="107"/>
      <c r="AR5322" s="107"/>
      <c r="AS5322" s="107"/>
      <c r="AT5322" s="107"/>
    </row>
    <row r="5323" spans="1:63" x14ac:dyDescent="0.25">
      <c r="A5323" s="92"/>
      <c r="B5323" s="92"/>
      <c r="C5323" s="92"/>
      <c r="D5323" s="92"/>
      <c r="E5323" s="92"/>
      <c r="F5323" s="92"/>
      <c r="G5323" s="92"/>
      <c r="H5323" s="92"/>
      <c r="I5323" s="92"/>
      <c r="J5323" s="92"/>
      <c r="K5323" s="92"/>
      <c r="L5323" s="92"/>
      <c r="M5323" s="92"/>
      <c r="N5323" s="92"/>
      <c r="AG5323" s="107"/>
      <c r="AH5323" s="107"/>
      <c r="AI5323" s="107"/>
      <c r="AJ5323" s="107"/>
      <c r="AK5323" s="107"/>
      <c r="AL5323" s="107"/>
      <c r="AM5323" s="107"/>
      <c r="AN5323" s="107"/>
      <c r="AO5323" s="107"/>
      <c r="AP5323" s="107"/>
      <c r="AQ5323" s="107"/>
      <c r="AR5323" s="107"/>
      <c r="AS5323" s="107"/>
      <c r="AT5323" s="107"/>
    </row>
    <row r="5324" spans="1:63" x14ac:dyDescent="0.25">
      <c r="A5324" s="92"/>
      <c r="B5324" s="92"/>
      <c r="C5324" s="92"/>
      <c r="D5324" s="92"/>
      <c r="E5324" s="92"/>
      <c r="F5324" s="92"/>
      <c r="G5324" s="92"/>
      <c r="H5324" s="92"/>
      <c r="I5324" s="92"/>
      <c r="J5324" s="92"/>
      <c r="K5324" s="92"/>
      <c r="L5324" s="92"/>
      <c r="M5324" s="92"/>
      <c r="N5324" s="92"/>
      <c r="AG5324" s="107"/>
      <c r="AH5324" s="117"/>
      <c r="AI5324" s="107"/>
      <c r="AJ5324" s="107"/>
      <c r="AK5324" s="107"/>
      <c r="AL5324" s="107"/>
      <c r="AM5324" s="107"/>
      <c r="AN5324" s="107"/>
      <c r="AO5324" s="107"/>
      <c r="AP5324" s="107"/>
      <c r="AQ5324" s="107"/>
      <c r="AR5324" s="107"/>
      <c r="AS5324" s="107"/>
      <c r="AT5324" s="39"/>
      <c r="BA5324" s="117"/>
      <c r="BK5324" s="39"/>
    </row>
    <row r="5325" spans="1:63" x14ac:dyDescent="0.25">
      <c r="A5325" s="92"/>
      <c r="B5325" s="92"/>
      <c r="C5325" s="92"/>
      <c r="D5325" s="92"/>
      <c r="E5325" s="92"/>
      <c r="F5325" s="92"/>
      <c r="G5325" s="92"/>
      <c r="H5325" s="92"/>
      <c r="I5325" s="92"/>
      <c r="J5325" s="92"/>
      <c r="K5325" s="92"/>
      <c r="L5325" s="92"/>
      <c r="M5325" s="92"/>
      <c r="N5325" s="92"/>
      <c r="AG5325" s="107"/>
      <c r="AH5325" s="117"/>
      <c r="AI5325" s="107"/>
      <c r="AJ5325" s="117"/>
      <c r="AK5325" s="107"/>
      <c r="AL5325" s="107"/>
      <c r="AM5325" s="107"/>
      <c r="AN5325" s="107"/>
      <c r="AO5325" s="107"/>
      <c r="AP5325" s="107"/>
      <c r="AQ5325" s="107"/>
      <c r="AR5325" s="107"/>
      <c r="AS5325" s="107"/>
      <c r="AT5325" s="39"/>
    </row>
    <row r="5326" spans="1:63" x14ac:dyDescent="0.25">
      <c r="A5326" s="92"/>
      <c r="B5326" s="92"/>
      <c r="C5326" s="92"/>
      <c r="D5326" s="92"/>
      <c r="E5326" s="92"/>
      <c r="F5326" s="92"/>
      <c r="G5326" s="92"/>
      <c r="H5326" s="92"/>
      <c r="I5326" s="92"/>
      <c r="J5326" s="92"/>
      <c r="K5326" s="92"/>
      <c r="L5326" s="92"/>
      <c r="M5326" s="92"/>
      <c r="N5326" s="92"/>
      <c r="AG5326" s="107"/>
      <c r="AH5326" s="107"/>
      <c r="AI5326" s="107"/>
      <c r="AJ5326" s="107"/>
      <c r="AK5326" s="107"/>
      <c r="AL5326" s="107"/>
      <c r="AM5326" s="107"/>
      <c r="AN5326" s="107"/>
      <c r="AO5326" s="107"/>
      <c r="AP5326" s="107"/>
      <c r="AQ5326" s="107"/>
      <c r="AR5326" s="107"/>
      <c r="AS5326" s="107"/>
      <c r="AT5326" s="107"/>
    </row>
    <row r="5327" spans="1:63" x14ac:dyDescent="0.25">
      <c r="A5327" s="92"/>
      <c r="B5327" s="92"/>
      <c r="C5327" s="92"/>
      <c r="D5327" s="92"/>
      <c r="E5327" s="92"/>
      <c r="F5327" s="92"/>
      <c r="G5327" s="92"/>
      <c r="H5327" s="92"/>
      <c r="I5327" s="92"/>
      <c r="J5327" s="92"/>
      <c r="K5327" s="92"/>
      <c r="L5327" s="92"/>
      <c r="M5327" s="92"/>
      <c r="N5327" s="92"/>
      <c r="AG5327" s="107"/>
      <c r="AH5327" s="107"/>
      <c r="AI5327" s="107"/>
      <c r="AJ5327" s="107"/>
      <c r="AK5327" s="107"/>
      <c r="AL5327" s="107"/>
      <c r="AM5327" s="107"/>
      <c r="AN5327" s="107"/>
      <c r="AO5327" s="107"/>
      <c r="AP5327" s="107"/>
      <c r="AQ5327" s="107"/>
      <c r="AR5327" s="107"/>
      <c r="AS5327" s="107"/>
      <c r="AT5327" s="107"/>
      <c r="BA5327" s="117"/>
      <c r="BK5327" s="39"/>
    </row>
    <row r="5328" spans="1:63" x14ac:dyDescent="0.25">
      <c r="A5328" s="92"/>
      <c r="B5328" s="92"/>
      <c r="C5328" s="92"/>
      <c r="D5328" s="92"/>
      <c r="E5328" s="92"/>
      <c r="F5328" s="92"/>
      <c r="G5328" s="92"/>
      <c r="H5328" s="92"/>
      <c r="I5328" s="92"/>
      <c r="J5328" s="92"/>
      <c r="K5328" s="92"/>
      <c r="L5328" s="92"/>
      <c r="M5328" s="92"/>
      <c r="N5328" s="92"/>
      <c r="AG5328" s="107"/>
      <c r="AH5328" s="117"/>
      <c r="AI5328" s="107"/>
      <c r="AJ5328" s="117"/>
      <c r="AK5328" s="107"/>
      <c r="AL5328" s="107"/>
      <c r="AM5328" s="107"/>
      <c r="AN5328" s="107"/>
      <c r="AO5328" s="107"/>
      <c r="AP5328" s="107"/>
      <c r="AQ5328" s="107"/>
      <c r="AR5328" s="107"/>
      <c r="AS5328" s="107"/>
      <c r="AT5328" s="39"/>
    </row>
    <row r="5329" spans="1:63" x14ac:dyDescent="0.25">
      <c r="A5329" s="92"/>
      <c r="B5329" s="92"/>
      <c r="C5329" s="92"/>
      <c r="D5329" s="92"/>
      <c r="E5329" s="92"/>
      <c r="F5329" s="92"/>
      <c r="G5329" s="92"/>
      <c r="H5329" s="92"/>
      <c r="I5329" s="92"/>
      <c r="J5329" s="92"/>
      <c r="K5329" s="92"/>
      <c r="L5329" s="92"/>
      <c r="M5329" s="92"/>
      <c r="N5329" s="92"/>
      <c r="AG5329" s="107"/>
      <c r="AH5329" s="117"/>
      <c r="AI5329" s="117"/>
      <c r="AJ5329" s="117"/>
      <c r="AK5329" s="107"/>
      <c r="AL5329" s="107"/>
      <c r="AM5329" s="107"/>
      <c r="AN5329" s="107"/>
      <c r="AO5329" s="107"/>
      <c r="AP5329" s="107"/>
      <c r="AQ5329" s="107"/>
      <c r="AR5329" s="107"/>
      <c r="AS5329" s="107"/>
      <c r="AT5329" s="39"/>
      <c r="BA5329" s="117"/>
      <c r="BK5329" s="39"/>
    </row>
    <row r="5330" spans="1:63" x14ac:dyDescent="0.25">
      <c r="A5330" s="92"/>
      <c r="B5330" s="93"/>
      <c r="C5330" s="93"/>
      <c r="D5330" s="93"/>
      <c r="E5330" s="92"/>
      <c r="F5330" s="92"/>
      <c r="G5330" s="92"/>
      <c r="H5330" s="92"/>
      <c r="I5330" s="92"/>
      <c r="J5330" s="92"/>
      <c r="K5330" s="92"/>
      <c r="L5330" s="92"/>
      <c r="M5330" s="92"/>
      <c r="N5330" s="94"/>
      <c r="AG5330" s="107"/>
      <c r="AH5330" s="107"/>
      <c r="AI5330" s="107"/>
      <c r="AJ5330" s="117"/>
      <c r="AK5330" s="107"/>
      <c r="AL5330" s="107"/>
      <c r="AM5330" s="107"/>
      <c r="AN5330" s="107"/>
      <c r="AO5330" s="107"/>
      <c r="AP5330" s="107"/>
      <c r="AQ5330" s="107"/>
      <c r="AR5330" s="107"/>
      <c r="AS5330" s="107"/>
      <c r="AT5330" s="107"/>
      <c r="BA5330" s="117"/>
      <c r="BK5330" s="39"/>
    </row>
    <row r="5331" spans="1:63" x14ac:dyDescent="0.25">
      <c r="A5331" s="92"/>
      <c r="B5331" s="93"/>
      <c r="C5331" s="93"/>
      <c r="D5331" s="92"/>
      <c r="E5331" s="92"/>
      <c r="F5331" s="92"/>
      <c r="G5331" s="92"/>
      <c r="H5331" s="92"/>
      <c r="I5331" s="92"/>
      <c r="J5331" s="92"/>
      <c r="K5331" s="92"/>
      <c r="L5331" s="92"/>
      <c r="M5331" s="92"/>
      <c r="N5331" s="94"/>
      <c r="AG5331" s="107"/>
      <c r="AH5331" s="107"/>
      <c r="AI5331" s="107"/>
      <c r="AJ5331" s="107"/>
      <c r="AK5331" s="107"/>
      <c r="AL5331" s="107"/>
      <c r="AM5331" s="107"/>
      <c r="AN5331" s="107"/>
      <c r="AO5331" s="107"/>
      <c r="AP5331" s="107"/>
      <c r="AQ5331" s="107"/>
      <c r="AR5331" s="107"/>
      <c r="AS5331" s="107"/>
      <c r="AT5331" s="107"/>
      <c r="BA5331" s="117"/>
      <c r="BK5331" s="39"/>
    </row>
    <row r="5332" spans="1:63" x14ac:dyDescent="0.25">
      <c r="A5332" s="92"/>
      <c r="B5332" s="93"/>
      <c r="C5332" s="93"/>
      <c r="D5332" s="92"/>
      <c r="E5332" s="92"/>
      <c r="F5332" s="92"/>
      <c r="G5332" s="92"/>
      <c r="H5332" s="92"/>
      <c r="I5332" s="92"/>
      <c r="J5332" s="92"/>
      <c r="K5332" s="92"/>
      <c r="L5332" s="92"/>
      <c r="M5332" s="92"/>
      <c r="N5332" s="94"/>
      <c r="AG5332" s="107"/>
      <c r="AH5332" s="117"/>
      <c r="AI5332" s="107"/>
      <c r="AJ5332" s="117"/>
      <c r="AK5332" s="107"/>
      <c r="AL5332" s="107"/>
      <c r="AM5332" s="107"/>
      <c r="AN5332" s="107"/>
      <c r="AO5332" s="107"/>
      <c r="AP5332" s="107"/>
      <c r="AQ5332" s="107"/>
      <c r="AR5332" s="107"/>
      <c r="AS5332" s="107"/>
      <c r="AT5332" s="39"/>
    </row>
    <row r="5333" spans="1:63" x14ac:dyDescent="0.25">
      <c r="A5333" s="92"/>
      <c r="B5333" s="93"/>
      <c r="C5333" s="93"/>
      <c r="D5333" s="92"/>
      <c r="E5333" s="92"/>
      <c r="F5333" s="92"/>
      <c r="G5333" s="92"/>
      <c r="H5333" s="92"/>
      <c r="I5333" s="92"/>
      <c r="J5333" s="92"/>
      <c r="K5333" s="92"/>
      <c r="L5333" s="92"/>
      <c r="M5333" s="92"/>
      <c r="N5333" s="94"/>
      <c r="AG5333" s="107"/>
      <c r="AH5333" s="107"/>
      <c r="AI5333" s="107"/>
      <c r="AJ5333" s="107"/>
      <c r="AK5333" s="107"/>
      <c r="AL5333" s="107"/>
      <c r="AM5333" s="107"/>
      <c r="AN5333" s="107"/>
      <c r="AO5333" s="107"/>
      <c r="AP5333" s="107"/>
      <c r="AQ5333" s="107"/>
      <c r="AR5333" s="107"/>
      <c r="AS5333" s="107"/>
      <c r="AT5333" s="107"/>
      <c r="BA5333" s="117"/>
      <c r="BK5333" s="39"/>
    </row>
    <row r="5334" spans="1:63" x14ac:dyDescent="0.25">
      <c r="A5334" s="92"/>
      <c r="B5334" s="93"/>
      <c r="C5334" s="93"/>
      <c r="D5334" s="92"/>
      <c r="E5334" s="92"/>
      <c r="F5334" s="92"/>
      <c r="G5334" s="92"/>
      <c r="H5334" s="92"/>
      <c r="I5334" s="92"/>
      <c r="J5334" s="92"/>
      <c r="K5334" s="92"/>
      <c r="L5334" s="92"/>
      <c r="M5334" s="92"/>
      <c r="N5334" s="94"/>
      <c r="AG5334" s="107"/>
      <c r="AH5334" s="107"/>
      <c r="AI5334" s="107"/>
      <c r="AJ5334" s="107"/>
      <c r="AK5334" s="107"/>
      <c r="AL5334" s="107"/>
      <c r="AM5334" s="107"/>
      <c r="AN5334" s="107"/>
      <c r="AO5334" s="107"/>
      <c r="AP5334" s="107"/>
      <c r="AQ5334" s="107"/>
      <c r="AR5334" s="107"/>
      <c r="AS5334" s="107"/>
      <c r="AT5334" s="107"/>
    </row>
    <row r="5335" spans="1:63" x14ac:dyDescent="0.25">
      <c r="A5335" s="92"/>
      <c r="B5335" s="93"/>
      <c r="C5335" s="93"/>
      <c r="D5335" s="93"/>
      <c r="E5335" s="92"/>
      <c r="F5335" s="92"/>
      <c r="G5335" s="92"/>
      <c r="H5335" s="92"/>
      <c r="I5335" s="92"/>
      <c r="J5335" s="92"/>
      <c r="K5335" s="92"/>
      <c r="L5335" s="92"/>
      <c r="M5335" s="92"/>
      <c r="N5335" s="94"/>
      <c r="AG5335" s="107"/>
      <c r="AH5335" s="107"/>
      <c r="AI5335" s="107"/>
      <c r="AJ5335" s="107"/>
      <c r="AK5335" s="107"/>
      <c r="AL5335" s="107"/>
      <c r="AM5335" s="107"/>
      <c r="AN5335" s="107"/>
      <c r="AO5335" s="107"/>
      <c r="AP5335" s="107"/>
      <c r="AQ5335" s="107"/>
      <c r="AR5335" s="107"/>
      <c r="AS5335" s="107"/>
      <c r="AT5335" s="107"/>
      <c r="BA5335" s="117"/>
      <c r="BK5335" s="39"/>
    </row>
    <row r="5336" spans="1:63" x14ac:dyDescent="0.25">
      <c r="A5336" s="92"/>
      <c r="B5336" s="93"/>
      <c r="C5336" s="93"/>
      <c r="D5336" s="92"/>
      <c r="E5336" s="92"/>
      <c r="F5336" s="92"/>
      <c r="G5336" s="92"/>
      <c r="H5336" s="92"/>
      <c r="I5336" s="92"/>
      <c r="J5336" s="92"/>
      <c r="K5336" s="92"/>
      <c r="L5336" s="92"/>
      <c r="M5336" s="92"/>
      <c r="N5336" s="94"/>
      <c r="AG5336" s="107"/>
      <c r="AH5336" s="107"/>
      <c r="AI5336" s="107"/>
      <c r="AJ5336" s="107"/>
      <c r="AK5336" s="107"/>
      <c r="AL5336" s="107"/>
      <c r="AM5336" s="107"/>
      <c r="AN5336" s="107"/>
      <c r="AO5336" s="107"/>
      <c r="AP5336" s="107"/>
      <c r="AQ5336" s="107"/>
      <c r="AR5336" s="107"/>
      <c r="AS5336" s="107"/>
      <c r="AT5336" s="107"/>
      <c r="AZ5336" s="117"/>
      <c r="BK5336" s="39"/>
    </row>
    <row r="5337" spans="1:63" x14ac:dyDescent="0.25">
      <c r="A5337" s="92"/>
      <c r="B5337" s="92"/>
      <c r="C5337" s="92"/>
      <c r="D5337" s="92"/>
      <c r="E5337" s="92"/>
      <c r="F5337" s="92"/>
      <c r="G5337" s="92"/>
      <c r="H5337" s="92"/>
      <c r="I5337" s="92"/>
      <c r="J5337" s="92"/>
      <c r="K5337" s="92"/>
      <c r="L5337" s="92"/>
      <c r="M5337" s="92"/>
      <c r="N5337" s="92"/>
      <c r="AG5337" s="107"/>
      <c r="AH5337" s="107"/>
      <c r="AI5337" s="107"/>
      <c r="AJ5337" s="107"/>
      <c r="AK5337" s="107"/>
      <c r="AL5337" s="107"/>
      <c r="AM5337" s="107"/>
      <c r="AN5337" s="107"/>
      <c r="AO5337" s="107"/>
      <c r="AP5337" s="107"/>
      <c r="AQ5337" s="107"/>
      <c r="AR5337" s="107"/>
      <c r="AS5337" s="107"/>
      <c r="AT5337" s="107"/>
    </row>
    <row r="5338" spans="1:63" x14ac:dyDescent="0.25">
      <c r="A5338" s="92"/>
      <c r="B5338" s="92"/>
      <c r="C5338" s="92"/>
      <c r="D5338" s="92"/>
      <c r="E5338" s="92"/>
      <c r="F5338" s="92"/>
      <c r="G5338" s="92"/>
      <c r="H5338" s="92"/>
      <c r="I5338" s="92"/>
      <c r="J5338" s="92"/>
      <c r="K5338" s="92"/>
      <c r="L5338" s="92"/>
      <c r="M5338" s="92"/>
      <c r="N5338" s="92"/>
      <c r="AG5338" s="107"/>
      <c r="AH5338" s="107"/>
      <c r="AI5338" s="107"/>
      <c r="AJ5338" s="107"/>
      <c r="AK5338" s="107"/>
      <c r="AL5338" s="107"/>
      <c r="AM5338" s="107"/>
      <c r="AN5338" s="107"/>
      <c r="AO5338" s="107"/>
      <c r="AP5338" s="107"/>
      <c r="AQ5338" s="107"/>
      <c r="AR5338" s="107"/>
      <c r="AS5338" s="107"/>
      <c r="AT5338" s="107"/>
    </row>
    <row r="5339" spans="1:63" x14ac:dyDescent="0.25">
      <c r="A5339" s="92"/>
      <c r="B5339" s="92"/>
      <c r="C5339" s="92"/>
      <c r="D5339" s="92"/>
      <c r="E5339" s="92"/>
      <c r="F5339" s="92"/>
      <c r="G5339" s="92"/>
      <c r="H5339" s="92"/>
      <c r="I5339" s="92"/>
      <c r="J5339" s="92"/>
      <c r="K5339" s="92"/>
      <c r="L5339" s="92"/>
      <c r="M5339" s="92"/>
      <c r="N5339" s="92"/>
      <c r="AG5339" s="107"/>
      <c r="AH5339" s="117"/>
      <c r="AI5339" s="107"/>
      <c r="AJ5339" s="117"/>
      <c r="AK5339" s="107"/>
      <c r="AL5339" s="107"/>
      <c r="AM5339" s="107"/>
      <c r="AN5339" s="107"/>
      <c r="AO5339" s="107"/>
      <c r="AP5339" s="107"/>
      <c r="AQ5339" s="107"/>
      <c r="AR5339" s="107"/>
      <c r="AS5339" s="107"/>
      <c r="AT5339" s="39"/>
      <c r="BA5339" s="117"/>
      <c r="BK5339" s="39"/>
    </row>
    <row r="5340" spans="1:63" x14ac:dyDescent="0.25">
      <c r="A5340" s="92"/>
      <c r="B5340" s="92"/>
      <c r="C5340" s="92"/>
      <c r="D5340" s="92"/>
      <c r="E5340" s="92"/>
      <c r="F5340" s="92"/>
      <c r="G5340" s="92"/>
      <c r="H5340" s="92"/>
      <c r="I5340" s="92"/>
      <c r="J5340" s="92"/>
      <c r="K5340" s="92"/>
      <c r="L5340" s="92"/>
      <c r="M5340" s="92"/>
      <c r="N5340" s="92"/>
      <c r="AG5340" s="107"/>
      <c r="AH5340" s="107"/>
      <c r="AI5340" s="107"/>
      <c r="AJ5340" s="107"/>
      <c r="AK5340" s="107"/>
      <c r="AL5340" s="107"/>
      <c r="AM5340" s="107"/>
      <c r="AN5340" s="107"/>
      <c r="AO5340" s="107"/>
      <c r="AP5340" s="107"/>
      <c r="AQ5340" s="107"/>
      <c r="AR5340" s="107"/>
      <c r="AS5340" s="107"/>
      <c r="AT5340" s="107"/>
    </row>
    <row r="5341" spans="1:63" x14ac:dyDescent="0.25">
      <c r="A5341" s="92"/>
      <c r="B5341" s="92"/>
      <c r="C5341" s="92"/>
      <c r="D5341" s="92"/>
      <c r="E5341" s="92"/>
      <c r="F5341" s="92"/>
      <c r="G5341" s="92"/>
      <c r="H5341" s="92"/>
      <c r="I5341" s="92"/>
      <c r="J5341" s="92"/>
      <c r="K5341" s="92"/>
      <c r="L5341" s="92"/>
      <c r="M5341" s="92"/>
      <c r="N5341" s="92"/>
      <c r="AG5341" s="107"/>
      <c r="AH5341" s="117"/>
      <c r="AI5341" s="107"/>
      <c r="AJ5341" s="107"/>
      <c r="AK5341" s="107"/>
      <c r="AL5341" s="107"/>
      <c r="AM5341" s="107"/>
      <c r="AN5341" s="107"/>
      <c r="AO5341" s="107"/>
      <c r="AP5341" s="107"/>
      <c r="AQ5341" s="107"/>
      <c r="AR5341" s="107"/>
      <c r="AS5341" s="107"/>
      <c r="AT5341" s="39"/>
    </row>
    <row r="5342" spans="1:63" x14ac:dyDescent="0.25">
      <c r="A5342" s="92"/>
      <c r="B5342" s="92"/>
      <c r="C5342" s="92"/>
      <c r="D5342" s="92"/>
      <c r="E5342" s="92"/>
      <c r="F5342" s="92"/>
      <c r="G5342" s="92"/>
      <c r="H5342" s="92"/>
      <c r="I5342" s="92"/>
      <c r="J5342" s="92"/>
      <c r="K5342" s="92"/>
      <c r="L5342" s="92"/>
      <c r="M5342" s="92"/>
      <c r="N5342" s="92"/>
      <c r="AG5342" s="107"/>
      <c r="AH5342" s="117"/>
      <c r="AI5342" s="117"/>
      <c r="AJ5342" s="117"/>
      <c r="AK5342" s="107"/>
      <c r="AL5342" s="107"/>
      <c r="AM5342" s="107"/>
      <c r="AN5342" s="107"/>
      <c r="AO5342" s="107"/>
      <c r="AP5342" s="107"/>
      <c r="AQ5342" s="107"/>
      <c r="AR5342" s="107"/>
      <c r="AS5342" s="107"/>
      <c r="AT5342" s="39"/>
      <c r="BA5342" s="117"/>
      <c r="BK5342" s="39"/>
    </row>
    <row r="5343" spans="1:63" x14ac:dyDescent="0.25">
      <c r="A5343" s="92"/>
      <c r="B5343" s="92"/>
      <c r="C5343" s="92"/>
      <c r="D5343" s="92"/>
      <c r="E5343" s="92"/>
      <c r="F5343" s="92"/>
      <c r="G5343" s="92"/>
      <c r="H5343" s="92"/>
      <c r="I5343" s="92"/>
      <c r="J5343" s="92"/>
      <c r="K5343" s="92"/>
      <c r="L5343" s="92"/>
      <c r="M5343" s="92"/>
      <c r="N5343" s="92"/>
      <c r="AG5343" s="107"/>
      <c r="AH5343" s="107"/>
      <c r="AI5343" s="107"/>
      <c r="AJ5343" s="117"/>
      <c r="AK5343" s="107"/>
      <c r="AL5343" s="107"/>
      <c r="AM5343" s="107"/>
      <c r="AN5343" s="107"/>
      <c r="AO5343" s="107"/>
      <c r="AP5343" s="107"/>
      <c r="AQ5343" s="107"/>
      <c r="AR5343" s="107"/>
      <c r="AS5343" s="107"/>
      <c r="AT5343" s="107"/>
    </row>
    <row r="5344" spans="1:63" x14ac:dyDescent="0.25">
      <c r="A5344" s="92"/>
      <c r="B5344" s="92"/>
      <c r="C5344" s="92"/>
      <c r="D5344" s="92"/>
      <c r="E5344" s="92"/>
      <c r="F5344" s="92"/>
      <c r="G5344" s="92"/>
      <c r="H5344" s="92"/>
      <c r="I5344" s="92"/>
      <c r="J5344" s="92"/>
      <c r="K5344" s="92"/>
      <c r="L5344" s="92"/>
      <c r="M5344" s="92"/>
      <c r="N5344" s="92"/>
      <c r="AG5344" s="107"/>
      <c r="AH5344" s="107"/>
      <c r="AI5344" s="107"/>
      <c r="AJ5344" s="107"/>
      <c r="AK5344" s="107"/>
      <c r="AL5344" s="107"/>
      <c r="AM5344" s="107"/>
      <c r="AN5344" s="107"/>
      <c r="AO5344" s="107"/>
      <c r="AP5344" s="107"/>
      <c r="AQ5344" s="107"/>
      <c r="AR5344" s="107"/>
      <c r="AS5344" s="107"/>
      <c r="AT5344" s="107"/>
    </row>
    <row r="5345" spans="1:63" x14ac:dyDescent="0.25">
      <c r="A5345" s="92"/>
      <c r="B5345" s="93"/>
      <c r="C5345" s="93"/>
      <c r="D5345" s="92"/>
      <c r="E5345" s="92"/>
      <c r="F5345" s="92"/>
      <c r="G5345" s="92"/>
      <c r="H5345" s="92"/>
      <c r="I5345" s="92"/>
      <c r="J5345" s="92"/>
      <c r="K5345" s="92"/>
      <c r="L5345" s="92"/>
      <c r="M5345" s="92"/>
      <c r="N5345" s="94"/>
      <c r="AG5345" s="107"/>
      <c r="AH5345" s="117"/>
      <c r="AI5345" s="107"/>
      <c r="AJ5345" s="117"/>
      <c r="AK5345" s="107"/>
      <c r="AL5345" s="107"/>
      <c r="AM5345" s="107"/>
      <c r="AN5345" s="107"/>
      <c r="AO5345" s="107"/>
      <c r="AP5345" s="107"/>
      <c r="AQ5345" s="107"/>
      <c r="AR5345" s="107"/>
      <c r="AS5345" s="107"/>
      <c r="AT5345" s="39"/>
      <c r="BA5345" s="117"/>
      <c r="BK5345" s="39"/>
    </row>
    <row r="5346" spans="1:63" x14ac:dyDescent="0.25">
      <c r="A5346" s="92"/>
      <c r="B5346" s="92"/>
      <c r="C5346" s="92"/>
      <c r="D5346" s="92"/>
      <c r="E5346" s="92"/>
      <c r="F5346" s="92"/>
      <c r="G5346" s="92"/>
      <c r="H5346" s="92"/>
      <c r="I5346" s="92"/>
      <c r="J5346" s="92"/>
      <c r="K5346" s="92"/>
      <c r="L5346" s="92"/>
      <c r="M5346" s="92"/>
      <c r="N5346" s="92"/>
      <c r="AG5346" s="107"/>
      <c r="AH5346" s="117"/>
      <c r="AI5346" s="107"/>
      <c r="AJ5346" s="117"/>
      <c r="AK5346" s="107"/>
      <c r="AL5346" s="107"/>
      <c r="AM5346" s="107"/>
      <c r="AN5346" s="107"/>
      <c r="AO5346" s="107"/>
      <c r="AP5346" s="107"/>
      <c r="AQ5346" s="107"/>
      <c r="AR5346" s="107"/>
      <c r="AS5346" s="107"/>
      <c r="AT5346" s="39"/>
      <c r="BA5346" s="117"/>
      <c r="BK5346" s="39"/>
    </row>
    <row r="5347" spans="1:63" x14ac:dyDescent="0.25">
      <c r="A5347" s="92"/>
      <c r="B5347" s="92"/>
      <c r="C5347" s="92"/>
      <c r="D5347" s="92"/>
      <c r="E5347" s="92"/>
      <c r="F5347" s="92"/>
      <c r="G5347" s="92"/>
      <c r="H5347" s="92"/>
      <c r="I5347" s="92"/>
      <c r="J5347" s="92"/>
      <c r="K5347" s="92"/>
      <c r="L5347" s="92"/>
      <c r="M5347" s="92"/>
      <c r="N5347" s="92"/>
      <c r="AG5347" s="107"/>
      <c r="AH5347" s="117"/>
      <c r="AI5347" s="107"/>
      <c r="AJ5347" s="117"/>
      <c r="AK5347" s="107"/>
      <c r="AL5347" s="107"/>
      <c r="AM5347" s="107"/>
      <c r="AN5347" s="107"/>
      <c r="AO5347" s="107"/>
      <c r="AP5347" s="107"/>
      <c r="AQ5347" s="107"/>
      <c r="AR5347" s="107"/>
      <c r="AS5347" s="107"/>
      <c r="AT5347" s="39"/>
    </row>
    <row r="5348" spans="1:63" x14ac:dyDescent="0.25">
      <c r="A5348" s="92"/>
      <c r="B5348" s="92"/>
      <c r="C5348" s="92"/>
      <c r="D5348" s="92"/>
      <c r="E5348" s="92"/>
      <c r="F5348" s="92"/>
      <c r="G5348" s="92"/>
      <c r="H5348" s="92"/>
      <c r="I5348" s="92"/>
      <c r="J5348" s="92"/>
      <c r="K5348" s="92"/>
      <c r="L5348" s="92"/>
      <c r="M5348" s="92"/>
      <c r="N5348" s="92"/>
      <c r="AG5348" s="107"/>
      <c r="AH5348" s="117"/>
      <c r="AI5348" s="117"/>
      <c r="AJ5348" s="117"/>
      <c r="AK5348" s="107"/>
      <c r="AL5348" s="107"/>
      <c r="AM5348" s="107"/>
      <c r="AN5348" s="107"/>
      <c r="AO5348" s="107"/>
      <c r="AP5348" s="107"/>
      <c r="AQ5348" s="107"/>
      <c r="AR5348" s="107"/>
      <c r="AS5348" s="107"/>
      <c r="AT5348" s="39"/>
      <c r="BA5348" s="117"/>
      <c r="BK5348" s="39"/>
    </row>
    <row r="5349" spans="1:63" x14ac:dyDescent="0.25">
      <c r="A5349" s="92"/>
      <c r="B5349" s="93"/>
      <c r="C5349" s="92"/>
      <c r="D5349" s="93"/>
      <c r="E5349" s="92"/>
      <c r="F5349" s="92"/>
      <c r="G5349" s="92"/>
      <c r="H5349" s="92"/>
      <c r="I5349" s="92"/>
      <c r="J5349" s="92"/>
      <c r="K5349" s="92"/>
      <c r="L5349" s="92"/>
      <c r="M5349" s="92"/>
      <c r="N5349" s="94"/>
      <c r="AG5349" s="107"/>
      <c r="AH5349" s="107"/>
      <c r="AI5349" s="107"/>
      <c r="AJ5349" s="117"/>
      <c r="AK5349" s="107"/>
      <c r="AL5349" s="107"/>
      <c r="AM5349" s="107"/>
      <c r="AN5349" s="107"/>
      <c r="AO5349" s="107"/>
      <c r="AP5349" s="107"/>
      <c r="AQ5349" s="107"/>
      <c r="AR5349" s="107"/>
      <c r="AS5349" s="107"/>
      <c r="AT5349" s="107"/>
    </row>
    <row r="5350" spans="1:63" x14ac:dyDescent="0.25">
      <c r="A5350" s="92"/>
      <c r="B5350" s="93"/>
      <c r="C5350" s="92"/>
      <c r="D5350" s="93"/>
      <c r="E5350" s="92"/>
      <c r="F5350" s="92"/>
      <c r="G5350" s="92"/>
      <c r="H5350" s="92"/>
      <c r="I5350" s="92"/>
      <c r="J5350" s="92"/>
      <c r="K5350" s="92"/>
      <c r="L5350" s="92"/>
      <c r="M5350" s="92"/>
      <c r="N5350" s="94"/>
      <c r="AG5350" s="107"/>
      <c r="AH5350" s="107"/>
      <c r="AI5350" s="107"/>
      <c r="AJ5350" s="117"/>
      <c r="AK5350" s="107"/>
      <c r="AL5350" s="107"/>
      <c r="AM5350" s="107"/>
      <c r="AN5350" s="107"/>
      <c r="AO5350" s="107"/>
      <c r="AP5350" s="107"/>
      <c r="AQ5350" s="107"/>
      <c r="AR5350" s="107"/>
      <c r="AS5350" s="107"/>
      <c r="AT5350" s="107"/>
      <c r="BA5350" s="117"/>
      <c r="BK5350" s="39"/>
    </row>
    <row r="5351" spans="1:63" x14ac:dyDescent="0.25">
      <c r="A5351" s="92"/>
      <c r="B5351" s="92"/>
      <c r="C5351" s="92"/>
      <c r="D5351" s="93"/>
      <c r="E5351" s="92"/>
      <c r="F5351" s="92"/>
      <c r="G5351" s="92"/>
      <c r="H5351" s="92"/>
      <c r="I5351" s="92"/>
      <c r="J5351" s="92"/>
      <c r="K5351" s="92"/>
      <c r="L5351" s="92"/>
      <c r="M5351" s="92"/>
      <c r="N5351" s="92"/>
      <c r="AG5351" s="107"/>
      <c r="AH5351" s="107"/>
      <c r="AI5351" s="107"/>
      <c r="AJ5351" s="117"/>
      <c r="AK5351" s="107"/>
      <c r="AL5351" s="107"/>
      <c r="AM5351" s="107"/>
      <c r="AN5351" s="107"/>
      <c r="AO5351" s="107"/>
      <c r="AP5351" s="107"/>
      <c r="AQ5351" s="107"/>
      <c r="AR5351" s="107"/>
      <c r="AS5351" s="107"/>
      <c r="AT5351" s="107"/>
    </row>
    <row r="5352" spans="1:63" x14ac:dyDescent="0.25">
      <c r="A5352" s="92"/>
      <c r="B5352" s="92"/>
      <c r="C5352" s="92"/>
      <c r="D5352" s="92"/>
      <c r="E5352" s="92"/>
      <c r="F5352" s="92"/>
      <c r="G5352" s="92"/>
      <c r="H5352" s="92"/>
      <c r="I5352" s="92"/>
      <c r="J5352" s="92"/>
      <c r="K5352" s="92"/>
      <c r="L5352" s="92"/>
      <c r="M5352" s="92"/>
      <c r="N5352" s="92"/>
      <c r="AG5352" s="107"/>
      <c r="AH5352" s="117"/>
      <c r="AI5352" s="107"/>
      <c r="AJ5352" s="117"/>
      <c r="AK5352" s="107"/>
      <c r="AL5352" s="107"/>
      <c r="AM5352" s="107"/>
      <c r="AN5352" s="107"/>
      <c r="AO5352" s="107"/>
      <c r="AP5352" s="107"/>
      <c r="AQ5352" s="107"/>
      <c r="AR5352" s="107"/>
      <c r="AS5352" s="107"/>
      <c r="AT5352" s="39"/>
      <c r="BA5352" s="117"/>
      <c r="BK5352" s="39"/>
    </row>
    <row r="5353" spans="1:63" x14ac:dyDescent="0.25">
      <c r="A5353" s="92"/>
      <c r="B5353" s="92"/>
      <c r="C5353" s="92"/>
      <c r="D5353" s="92"/>
      <c r="E5353" s="92"/>
      <c r="F5353" s="92"/>
      <c r="G5353" s="92"/>
      <c r="H5353" s="92"/>
      <c r="I5353" s="92"/>
      <c r="J5353" s="92"/>
      <c r="K5353" s="92"/>
      <c r="L5353" s="92"/>
      <c r="M5353" s="92"/>
      <c r="N5353" s="92"/>
      <c r="AG5353" s="107"/>
      <c r="AH5353" s="117"/>
      <c r="AI5353" s="107"/>
      <c r="AJ5353" s="117"/>
      <c r="AK5353" s="107"/>
      <c r="AL5353" s="107"/>
      <c r="AM5353" s="107"/>
      <c r="AN5353" s="107"/>
      <c r="AO5353" s="107"/>
      <c r="AP5353" s="107"/>
      <c r="AQ5353" s="107"/>
      <c r="AR5353" s="107"/>
      <c r="AS5353" s="107"/>
      <c r="AT5353" s="39"/>
    </row>
    <row r="5354" spans="1:63" x14ac:dyDescent="0.25">
      <c r="A5354" s="92"/>
      <c r="B5354" s="93"/>
      <c r="C5354" s="93"/>
      <c r="D5354" s="92"/>
      <c r="E5354" s="92"/>
      <c r="F5354" s="92"/>
      <c r="G5354" s="92"/>
      <c r="H5354" s="92"/>
      <c r="I5354" s="92"/>
      <c r="J5354" s="92"/>
      <c r="K5354" s="92"/>
      <c r="L5354" s="92"/>
      <c r="M5354" s="92"/>
      <c r="N5354" s="94"/>
      <c r="AG5354" s="107"/>
      <c r="AH5354" s="107"/>
      <c r="AI5354" s="107"/>
      <c r="AJ5354" s="107"/>
      <c r="AK5354" s="107"/>
      <c r="AL5354" s="107"/>
      <c r="AM5354" s="107"/>
      <c r="AN5354" s="107"/>
      <c r="AO5354" s="107"/>
      <c r="AP5354" s="107"/>
      <c r="AQ5354" s="107"/>
      <c r="AR5354" s="107"/>
      <c r="AS5354" s="107"/>
      <c r="AT5354" s="107"/>
      <c r="BA5354" s="117"/>
      <c r="BK5354" s="39"/>
    </row>
    <row r="5355" spans="1:63" x14ac:dyDescent="0.25">
      <c r="A5355" s="92"/>
      <c r="B5355" s="93"/>
      <c r="C5355" s="92"/>
      <c r="D5355" s="93"/>
      <c r="E5355" s="92"/>
      <c r="F5355" s="92"/>
      <c r="G5355" s="92"/>
      <c r="H5355" s="92"/>
      <c r="I5355" s="92"/>
      <c r="J5355" s="92"/>
      <c r="K5355" s="92"/>
      <c r="L5355" s="92"/>
      <c r="M5355" s="92"/>
      <c r="N5355" s="94"/>
      <c r="AG5355" s="107"/>
      <c r="AH5355" s="107"/>
      <c r="AI5355" s="107"/>
      <c r="AJ5355" s="107"/>
      <c r="AK5355" s="107"/>
      <c r="AL5355" s="107"/>
      <c r="AM5355" s="107"/>
      <c r="AN5355" s="107"/>
      <c r="AO5355" s="107"/>
      <c r="AP5355" s="107"/>
      <c r="AQ5355" s="107"/>
      <c r="AR5355" s="107"/>
      <c r="AS5355" s="107"/>
      <c r="AT5355" s="107"/>
      <c r="AZ5355" s="117"/>
      <c r="BK5355" s="39"/>
    </row>
    <row r="5356" spans="1:63" x14ac:dyDescent="0.25">
      <c r="A5356" s="92"/>
      <c r="B5356" s="93"/>
      <c r="C5356" s="92"/>
      <c r="D5356" s="93"/>
      <c r="E5356" s="92"/>
      <c r="F5356" s="92"/>
      <c r="G5356" s="92"/>
      <c r="H5356" s="92"/>
      <c r="I5356" s="92"/>
      <c r="J5356" s="92"/>
      <c r="K5356" s="92"/>
      <c r="L5356" s="92"/>
      <c r="M5356" s="92"/>
      <c r="N5356" s="94"/>
      <c r="AG5356" s="107"/>
      <c r="AH5356" s="107"/>
      <c r="AI5356" s="107"/>
      <c r="AJ5356" s="107"/>
      <c r="AK5356" s="107"/>
      <c r="AL5356" s="107"/>
      <c r="AM5356" s="107"/>
      <c r="AN5356" s="107"/>
      <c r="AO5356" s="107"/>
      <c r="AP5356" s="107"/>
      <c r="AQ5356" s="107"/>
      <c r="AR5356" s="107"/>
      <c r="AS5356" s="107"/>
      <c r="AT5356" s="107"/>
    </row>
    <row r="5357" spans="1:63" x14ac:dyDescent="0.25">
      <c r="A5357" s="92"/>
      <c r="B5357" s="92"/>
      <c r="C5357" s="92"/>
      <c r="D5357" s="92"/>
      <c r="E5357" s="92"/>
      <c r="F5357" s="92"/>
      <c r="G5357" s="92"/>
      <c r="H5357" s="92"/>
      <c r="I5357" s="92"/>
      <c r="J5357" s="92"/>
      <c r="K5357" s="92"/>
      <c r="L5357" s="92"/>
      <c r="M5357" s="92"/>
      <c r="N5357" s="92"/>
      <c r="AG5357" s="107"/>
      <c r="AH5357" s="107"/>
      <c r="AI5357" s="107"/>
      <c r="AJ5357" s="107"/>
      <c r="AK5357" s="107"/>
      <c r="AL5357" s="107"/>
      <c r="AM5357" s="107"/>
      <c r="AN5357" s="107"/>
      <c r="AO5357" s="107"/>
      <c r="AP5357" s="107"/>
      <c r="AQ5357" s="107"/>
      <c r="AR5357" s="107"/>
      <c r="AS5357" s="107"/>
      <c r="AT5357" s="107"/>
      <c r="BA5357" s="117"/>
      <c r="BK5357" s="39"/>
    </row>
    <row r="5358" spans="1:63" x14ac:dyDescent="0.25">
      <c r="A5358" s="92"/>
      <c r="B5358" s="93"/>
      <c r="C5358" s="92"/>
      <c r="D5358" s="93"/>
      <c r="E5358" s="92"/>
      <c r="F5358" s="92"/>
      <c r="G5358" s="92"/>
      <c r="H5358" s="92"/>
      <c r="I5358" s="92"/>
      <c r="J5358" s="92"/>
      <c r="K5358" s="92"/>
      <c r="L5358" s="92"/>
      <c r="M5358" s="92"/>
      <c r="N5358" s="94"/>
      <c r="AG5358" s="107"/>
      <c r="AH5358" s="107"/>
      <c r="AI5358" s="107"/>
      <c r="AJ5358" s="107"/>
      <c r="AK5358" s="107"/>
      <c r="AL5358" s="107"/>
      <c r="AM5358" s="107"/>
      <c r="AN5358" s="107"/>
      <c r="AO5358" s="107"/>
      <c r="AP5358" s="107"/>
      <c r="AQ5358" s="107"/>
      <c r="AR5358" s="107"/>
      <c r="AS5358" s="107"/>
      <c r="AT5358" s="107"/>
      <c r="BA5358" s="117"/>
      <c r="BK5358" s="39"/>
    </row>
    <row r="5359" spans="1:63" x14ac:dyDescent="0.25">
      <c r="A5359" s="92"/>
      <c r="B5359" s="92"/>
      <c r="C5359" s="92"/>
      <c r="D5359" s="92"/>
      <c r="E5359" s="92"/>
      <c r="F5359" s="92"/>
      <c r="G5359" s="92"/>
      <c r="H5359" s="92"/>
      <c r="I5359" s="92"/>
      <c r="J5359" s="92"/>
      <c r="K5359" s="92"/>
      <c r="L5359" s="92"/>
      <c r="M5359" s="92"/>
      <c r="N5359" s="92"/>
      <c r="AG5359" s="107"/>
      <c r="AH5359" s="117"/>
      <c r="AI5359" s="107"/>
      <c r="AJ5359" s="117"/>
      <c r="AK5359" s="107"/>
      <c r="AL5359" s="107"/>
      <c r="AM5359" s="107"/>
      <c r="AN5359" s="107"/>
      <c r="AO5359" s="107"/>
      <c r="AP5359" s="107"/>
      <c r="AQ5359" s="107"/>
      <c r="AR5359" s="107"/>
      <c r="AS5359" s="107"/>
      <c r="AT5359" s="39"/>
    </row>
    <row r="5360" spans="1:63" x14ac:dyDescent="0.25">
      <c r="A5360" s="92"/>
      <c r="B5360" s="92"/>
      <c r="C5360" s="92"/>
      <c r="D5360" s="92"/>
      <c r="E5360" s="92"/>
      <c r="F5360" s="92"/>
      <c r="G5360" s="92"/>
      <c r="H5360" s="92"/>
      <c r="I5360" s="92"/>
      <c r="J5360" s="92"/>
      <c r="K5360" s="92"/>
      <c r="L5360" s="92"/>
      <c r="M5360" s="92"/>
      <c r="N5360" s="92"/>
      <c r="AG5360" s="107"/>
      <c r="AH5360" s="117"/>
      <c r="AI5360" s="117"/>
      <c r="AJ5360" s="117"/>
      <c r="AK5360" s="107"/>
      <c r="AL5360" s="107"/>
      <c r="AM5360" s="107"/>
      <c r="AN5360" s="107"/>
      <c r="AO5360" s="107"/>
      <c r="AP5360" s="107"/>
      <c r="AQ5360" s="107"/>
      <c r="AR5360" s="107"/>
      <c r="AS5360" s="107"/>
      <c r="AT5360" s="39"/>
    </row>
    <row r="5361" spans="1:63" x14ac:dyDescent="0.25">
      <c r="A5361" s="92"/>
      <c r="B5361" s="92"/>
      <c r="C5361" s="92"/>
      <c r="D5361" s="92"/>
      <c r="E5361" s="92"/>
      <c r="F5361" s="92"/>
      <c r="G5361" s="92"/>
      <c r="H5361" s="92"/>
      <c r="I5361" s="92"/>
      <c r="J5361" s="92"/>
      <c r="K5361" s="92"/>
      <c r="L5361" s="92"/>
      <c r="M5361" s="92"/>
      <c r="N5361" s="92"/>
      <c r="AG5361" s="107"/>
      <c r="AH5361" s="107"/>
      <c r="AI5361" s="107"/>
      <c r="AJ5361" s="117"/>
      <c r="AK5361" s="107"/>
      <c r="AL5361" s="107"/>
      <c r="AM5361" s="107"/>
      <c r="AN5361" s="107"/>
      <c r="AO5361" s="107"/>
      <c r="AP5361" s="107"/>
      <c r="AQ5361" s="107"/>
      <c r="AR5361" s="107"/>
      <c r="AS5361" s="107"/>
      <c r="AT5361" s="107"/>
    </row>
    <row r="5362" spans="1:63" x14ac:dyDescent="0.25">
      <c r="A5362" s="92"/>
      <c r="B5362" s="93"/>
      <c r="C5362" s="92"/>
      <c r="D5362" s="93"/>
      <c r="E5362" s="92"/>
      <c r="F5362" s="92"/>
      <c r="G5362" s="92"/>
      <c r="H5362" s="92"/>
      <c r="I5362" s="92"/>
      <c r="J5362" s="92"/>
      <c r="K5362" s="92"/>
      <c r="L5362" s="92"/>
      <c r="M5362" s="92"/>
      <c r="N5362" s="94"/>
      <c r="AG5362" s="107"/>
      <c r="AH5362" s="107"/>
      <c r="AI5362" s="107"/>
      <c r="AJ5362" s="117"/>
      <c r="AK5362" s="107"/>
      <c r="AL5362" s="107"/>
      <c r="AM5362" s="107"/>
      <c r="AN5362" s="107"/>
      <c r="AO5362" s="107"/>
      <c r="AP5362" s="107"/>
      <c r="AQ5362" s="107"/>
      <c r="AR5362" s="107"/>
      <c r="AS5362" s="107"/>
      <c r="AT5362" s="107"/>
    </row>
    <row r="5363" spans="1:63" x14ac:dyDescent="0.25">
      <c r="A5363" s="92"/>
      <c r="B5363" s="92"/>
      <c r="C5363" s="92"/>
      <c r="D5363" s="92"/>
      <c r="E5363" s="92"/>
      <c r="F5363" s="92"/>
      <c r="G5363" s="92"/>
      <c r="H5363" s="92"/>
      <c r="I5363" s="92"/>
      <c r="J5363" s="92"/>
      <c r="K5363" s="92"/>
      <c r="L5363" s="92"/>
      <c r="M5363" s="92"/>
      <c r="N5363" s="92"/>
      <c r="AG5363" s="107"/>
      <c r="AH5363" s="107"/>
      <c r="AI5363" s="107"/>
      <c r="AJ5363" s="117"/>
      <c r="AK5363" s="107"/>
      <c r="AL5363" s="107"/>
      <c r="AM5363" s="107"/>
      <c r="AN5363" s="107"/>
      <c r="AO5363" s="107"/>
      <c r="AP5363" s="107"/>
      <c r="AQ5363" s="107"/>
      <c r="AR5363" s="107"/>
      <c r="AS5363" s="107"/>
      <c r="AT5363" s="107"/>
    </row>
    <row r="5364" spans="1:63" x14ac:dyDescent="0.25">
      <c r="A5364" s="92"/>
      <c r="B5364" s="92"/>
      <c r="C5364" s="92"/>
      <c r="D5364" s="92"/>
      <c r="E5364" s="92"/>
      <c r="F5364" s="92"/>
      <c r="G5364" s="92"/>
      <c r="H5364" s="92"/>
      <c r="I5364" s="92"/>
      <c r="J5364" s="92"/>
      <c r="K5364" s="92"/>
      <c r="L5364" s="92"/>
      <c r="M5364" s="92"/>
      <c r="N5364" s="92"/>
      <c r="AG5364" s="107"/>
      <c r="AH5364" s="107"/>
      <c r="AI5364" s="107"/>
      <c r="AJ5364" s="117"/>
      <c r="AK5364" s="107"/>
      <c r="AL5364" s="107"/>
      <c r="AM5364" s="107"/>
      <c r="AN5364" s="107"/>
      <c r="AO5364" s="107"/>
      <c r="AP5364" s="107"/>
      <c r="AQ5364" s="107"/>
      <c r="AR5364" s="107"/>
      <c r="AS5364" s="107"/>
      <c r="AT5364" s="107"/>
      <c r="BA5364" s="117"/>
      <c r="BK5364" s="39"/>
    </row>
    <row r="5365" spans="1:63" x14ac:dyDescent="0.25">
      <c r="A5365" s="92"/>
      <c r="B5365" s="92"/>
      <c r="C5365" s="92"/>
      <c r="D5365" s="92"/>
      <c r="E5365" s="92"/>
      <c r="F5365" s="92"/>
      <c r="G5365" s="92"/>
      <c r="H5365" s="92"/>
      <c r="I5365" s="92"/>
      <c r="J5365" s="92"/>
      <c r="K5365" s="92"/>
      <c r="L5365" s="92"/>
      <c r="M5365" s="92"/>
      <c r="N5365" s="92"/>
      <c r="AG5365" s="107"/>
      <c r="AH5365" s="117"/>
      <c r="AI5365" s="107"/>
      <c r="AJ5365" s="107"/>
      <c r="AK5365" s="107"/>
      <c r="AL5365" s="107"/>
      <c r="AM5365" s="107"/>
      <c r="AN5365" s="107"/>
      <c r="AO5365" s="107"/>
      <c r="AP5365" s="107"/>
      <c r="AQ5365" s="107"/>
      <c r="AR5365" s="107"/>
      <c r="AS5365" s="107"/>
      <c r="AT5365" s="39"/>
    </row>
    <row r="5366" spans="1:63" x14ac:dyDescent="0.25">
      <c r="A5366" s="92"/>
      <c r="B5366" s="92"/>
      <c r="C5366" s="92"/>
      <c r="D5366" s="92"/>
      <c r="E5366" s="92"/>
      <c r="F5366" s="92"/>
      <c r="G5366" s="92"/>
      <c r="H5366" s="92"/>
      <c r="I5366" s="92"/>
      <c r="J5366" s="92"/>
      <c r="K5366" s="92"/>
      <c r="L5366" s="92"/>
      <c r="M5366" s="92"/>
      <c r="N5366" s="92"/>
      <c r="AG5366" s="107"/>
      <c r="AH5366" s="117"/>
      <c r="AI5366" s="107"/>
      <c r="AJ5366" s="117"/>
      <c r="AK5366" s="107"/>
      <c r="AL5366" s="107"/>
      <c r="AM5366" s="107"/>
      <c r="AN5366" s="107"/>
      <c r="AO5366" s="107"/>
      <c r="AP5366" s="107"/>
      <c r="AQ5366" s="107"/>
      <c r="AR5366" s="107"/>
      <c r="AS5366" s="107"/>
      <c r="AT5366" s="39"/>
      <c r="BA5366" s="117"/>
      <c r="BK5366" s="39"/>
    </row>
    <row r="5367" spans="1:63" x14ac:dyDescent="0.25">
      <c r="A5367" s="92"/>
      <c r="B5367" s="92"/>
      <c r="C5367" s="92"/>
      <c r="D5367" s="92"/>
      <c r="E5367" s="92"/>
      <c r="F5367" s="92"/>
      <c r="G5367" s="92"/>
      <c r="H5367" s="92"/>
      <c r="I5367" s="92"/>
      <c r="J5367" s="92"/>
      <c r="K5367" s="92"/>
      <c r="L5367" s="92"/>
      <c r="M5367" s="92"/>
      <c r="N5367" s="92"/>
      <c r="AG5367" s="107"/>
      <c r="AH5367" s="117"/>
      <c r="AI5367" s="107"/>
      <c r="AJ5367" s="117"/>
      <c r="AK5367" s="107"/>
      <c r="AL5367" s="107"/>
      <c r="AM5367" s="107"/>
      <c r="AN5367" s="107"/>
      <c r="AO5367" s="107"/>
      <c r="AP5367" s="107"/>
      <c r="AQ5367" s="107"/>
      <c r="AR5367" s="107"/>
      <c r="AS5367" s="107"/>
      <c r="AT5367" s="39"/>
    </row>
    <row r="5368" spans="1:63" x14ac:dyDescent="0.25">
      <c r="A5368" s="92"/>
      <c r="B5368" s="92"/>
      <c r="C5368" s="92"/>
      <c r="D5368" s="92"/>
      <c r="E5368" s="92"/>
      <c r="F5368" s="92"/>
      <c r="G5368" s="92"/>
      <c r="H5368" s="92"/>
      <c r="I5368" s="92"/>
      <c r="J5368" s="92"/>
      <c r="K5368" s="92"/>
      <c r="L5368" s="92"/>
      <c r="M5368" s="92"/>
      <c r="N5368" s="92"/>
      <c r="AG5368" s="107"/>
      <c r="AH5368" s="117"/>
      <c r="AI5368" s="107"/>
      <c r="AJ5368" s="117"/>
      <c r="AK5368" s="107"/>
      <c r="AL5368" s="107"/>
      <c r="AM5368" s="107"/>
      <c r="AN5368" s="107"/>
      <c r="AO5368" s="107"/>
      <c r="AP5368" s="107"/>
      <c r="AQ5368" s="107"/>
      <c r="AR5368" s="107"/>
      <c r="AS5368" s="107"/>
      <c r="AT5368" s="39"/>
    </row>
    <row r="5369" spans="1:63" x14ac:dyDescent="0.25">
      <c r="A5369" s="92"/>
      <c r="B5369" s="92"/>
      <c r="C5369" s="92"/>
      <c r="D5369" s="92"/>
      <c r="E5369" s="92"/>
      <c r="F5369" s="92"/>
      <c r="G5369" s="92"/>
      <c r="H5369" s="92"/>
      <c r="I5369" s="92"/>
      <c r="J5369" s="92"/>
      <c r="K5369" s="92"/>
      <c r="L5369" s="92"/>
      <c r="M5369" s="92"/>
      <c r="N5369" s="92"/>
      <c r="AG5369" s="107"/>
      <c r="AH5369" s="117"/>
      <c r="AI5369" s="107"/>
      <c r="AJ5369" s="117"/>
      <c r="AK5369" s="107"/>
      <c r="AL5369" s="107"/>
      <c r="AM5369" s="107"/>
      <c r="AN5369" s="107"/>
      <c r="AO5369" s="107"/>
      <c r="AP5369" s="107"/>
      <c r="AQ5369" s="107"/>
      <c r="AR5369" s="107"/>
      <c r="AS5369" s="107"/>
      <c r="AT5369" s="39"/>
      <c r="BA5369" s="117"/>
      <c r="BK5369" s="39"/>
    </row>
    <row r="5370" spans="1:63" x14ac:dyDescent="0.25">
      <c r="A5370" s="92"/>
      <c r="B5370" s="92"/>
      <c r="C5370" s="92"/>
      <c r="D5370" s="92"/>
      <c r="E5370" s="92"/>
      <c r="F5370" s="92"/>
      <c r="G5370" s="92"/>
      <c r="H5370" s="92"/>
      <c r="I5370" s="92"/>
      <c r="J5370" s="92"/>
      <c r="K5370" s="92"/>
      <c r="L5370" s="92"/>
      <c r="M5370" s="92"/>
      <c r="N5370" s="92"/>
      <c r="AG5370" s="107"/>
      <c r="AH5370" s="107"/>
      <c r="AI5370" s="107"/>
      <c r="AJ5370" s="117"/>
      <c r="AK5370" s="107"/>
      <c r="AL5370" s="107"/>
      <c r="AM5370" s="107"/>
      <c r="AN5370" s="107"/>
      <c r="AO5370" s="107"/>
      <c r="AP5370" s="107"/>
      <c r="AQ5370" s="107"/>
      <c r="AR5370" s="107"/>
      <c r="AS5370" s="107"/>
      <c r="AT5370" s="107"/>
      <c r="BA5370" s="117"/>
      <c r="BK5370" s="39"/>
    </row>
    <row r="5371" spans="1:63" x14ac:dyDescent="0.25">
      <c r="A5371" s="92"/>
      <c r="B5371" s="93"/>
      <c r="C5371" s="92"/>
      <c r="D5371" s="93"/>
      <c r="E5371" s="92"/>
      <c r="F5371" s="92"/>
      <c r="G5371" s="92"/>
      <c r="H5371" s="92"/>
      <c r="I5371" s="92"/>
      <c r="J5371" s="92"/>
      <c r="K5371" s="92"/>
      <c r="L5371" s="92"/>
      <c r="M5371" s="92"/>
      <c r="N5371" s="94"/>
      <c r="AG5371" s="107"/>
      <c r="AH5371" s="107"/>
      <c r="AI5371" s="107"/>
      <c r="AJ5371" s="107"/>
      <c r="AK5371" s="107"/>
      <c r="AL5371" s="107"/>
      <c r="AM5371" s="107"/>
      <c r="AN5371" s="107"/>
      <c r="AO5371" s="107"/>
      <c r="AP5371" s="107"/>
      <c r="AQ5371" s="107"/>
      <c r="AR5371" s="107"/>
      <c r="AS5371" s="107"/>
      <c r="AT5371" s="107"/>
      <c r="BA5371" s="117"/>
    </row>
    <row r="5372" spans="1:63" x14ac:dyDescent="0.25">
      <c r="A5372" s="92"/>
      <c r="B5372" s="93"/>
      <c r="C5372" s="92"/>
      <c r="D5372" s="93"/>
      <c r="E5372" s="92"/>
      <c r="F5372" s="92"/>
      <c r="G5372" s="92"/>
      <c r="H5372" s="92"/>
      <c r="I5372" s="92"/>
      <c r="J5372" s="92"/>
      <c r="K5372" s="92"/>
      <c r="L5372" s="92"/>
      <c r="M5372" s="92"/>
      <c r="N5372" s="94"/>
      <c r="AG5372" s="107"/>
      <c r="AH5372" s="107"/>
      <c r="AI5372" s="107"/>
      <c r="AJ5372" s="107"/>
      <c r="AK5372" s="107"/>
      <c r="AL5372" s="107"/>
      <c r="AM5372" s="107"/>
      <c r="AN5372" s="107"/>
      <c r="AO5372" s="107"/>
      <c r="AP5372" s="107"/>
      <c r="AQ5372" s="107"/>
      <c r="AR5372" s="107"/>
      <c r="AS5372" s="107"/>
      <c r="AT5372" s="107"/>
      <c r="BA5372" s="117"/>
      <c r="BK5372" s="39"/>
    </row>
    <row r="5373" spans="1:63" x14ac:dyDescent="0.25">
      <c r="A5373" s="92"/>
      <c r="B5373" s="92"/>
      <c r="C5373" s="92"/>
      <c r="D5373" s="92"/>
      <c r="E5373" s="92"/>
      <c r="F5373" s="92"/>
      <c r="G5373" s="92"/>
      <c r="H5373" s="92"/>
      <c r="I5373" s="92"/>
      <c r="J5373" s="92"/>
      <c r="K5373" s="92"/>
      <c r="L5373" s="92"/>
      <c r="M5373" s="92"/>
      <c r="N5373" s="92"/>
      <c r="AG5373" s="107"/>
      <c r="AH5373" s="107"/>
      <c r="AI5373" s="107"/>
      <c r="AJ5373" s="107"/>
      <c r="AK5373" s="107"/>
      <c r="AL5373" s="107"/>
      <c r="AM5373" s="107"/>
      <c r="AN5373" s="107"/>
      <c r="AO5373" s="107"/>
      <c r="AP5373" s="107"/>
      <c r="AQ5373" s="107"/>
      <c r="AR5373" s="107"/>
      <c r="AS5373" s="107"/>
      <c r="AT5373" s="107"/>
    </row>
    <row r="5374" spans="1:63" x14ac:dyDescent="0.25">
      <c r="A5374" s="92"/>
      <c r="B5374" s="92"/>
      <c r="C5374" s="92"/>
      <c r="D5374" s="92"/>
      <c r="E5374" s="92"/>
      <c r="F5374" s="92"/>
      <c r="G5374" s="92"/>
      <c r="H5374" s="92"/>
      <c r="I5374" s="92"/>
      <c r="J5374" s="92"/>
      <c r="K5374" s="92"/>
      <c r="L5374" s="92"/>
      <c r="M5374" s="92"/>
      <c r="N5374" s="92"/>
      <c r="AG5374" s="107"/>
      <c r="AH5374" s="117"/>
      <c r="AI5374" s="107"/>
      <c r="AJ5374" s="107"/>
      <c r="AK5374" s="107"/>
      <c r="AL5374" s="107"/>
      <c r="AM5374" s="107"/>
      <c r="AN5374" s="107"/>
      <c r="AO5374" s="107"/>
      <c r="AP5374" s="107"/>
      <c r="AQ5374" s="107"/>
      <c r="AR5374" s="107"/>
      <c r="AS5374" s="107"/>
      <c r="AT5374" s="39"/>
    </row>
    <row r="5375" spans="1:63" x14ac:dyDescent="0.25">
      <c r="A5375" s="92"/>
      <c r="B5375" s="92"/>
      <c r="C5375" s="92"/>
      <c r="D5375" s="92"/>
      <c r="E5375" s="92"/>
      <c r="F5375" s="92"/>
      <c r="G5375" s="92"/>
      <c r="H5375" s="92"/>
      <c r="I5375" s="92"/>
      <c r="J5375" s="92"/>
      <c r="K5375" s="92"/>
      <c r="L5375" s="92"/>
      <c r="M5375" s="92"/>
      <c r="N5375" s="92"/>
      <c r="AG5375" s="107"/>
      <c r="AH5375" s="117"/>
      <c r="AI5375" s="117"/>
      <c r="AJ5375" s="107"/>
      <c r="AK5375" s="107"/>
      <c r="AL5375" s="107"/>
      <c r="AM5375" s="107"/>
      <c r="AN5375" s="107"/>
      <c r="AO5375" s="107"/>
      <c r="AP5375" s="107"/>
      <c r="AQ5375" s="107"/>
      <c r="AR5375" s="107"/>
      <c r="AS5375" s="107"/>
      <c r="AT5375" s="39"/>
    </row>
    <row r="5376" spans="1:63" x14ac:dyDescent="0.25">
      <c r="A5376" s="92"/>
      <c r="B5376" s="92"/>
      <c r="C5376" s="92"/>
      <c r="D5376" s="92"/>
      <c r="E5376" s="92"/>
      <c r="F5376" s="92"/>
      <c r="G5376" s="92"/>
      <c r="H5376" s="92"/>
      <c r="I5376" s="92"/>
      <c r="J5376" s="92"/>
      <c r="K5376" s="92"/>
      <c r="L5376" s="92"/>
      <c r="M5376" s="92"/>
      <c r="N5376" s="92"/>
      <c r="AG5376" s="107"/>
      <c r="AH5376" s="107"/>
      <c r="AI5376" s="107"/>
      <c r="AJ5376" s="107"/>
      <c r="AK5376" s="107"/>
      <c r="AL5376" s="107"/>
      <c r="AM5376" s="107"/>
      <c r="AN5376" s="107"/>
      <c r="AO5376" s="107"/>
      <c r="AP5376" s="107"/>
      <c r="AQ5376" s="107"/>
      <c r="AR5376" s="107"/>
      <c r="AS5376" s="107"/>
      <c r="AT5376" s="107"/>
    </row>
    <row r="5377" spans="1:63" x14ac:dyDescent="0.25">
      <c r="A5377" s="92"/>
      <c r="B5377" s="92"/>
      <c r="C5377" s="92"/>
      <c r="D5377" s="92"/>
      <c r="E5377" s="92"/>
      <c r="F5377" s="92"/>
      <c r="G5377" s="92"/>
      <c r="H5377" s="92"/>
      <c r="I5377" s="92"/>
      <c r="J5377" s="92"/>
      <c r="K5377" s="92"/>
      <c r="L5377" s="92"/>
      <c r="M5377" s="92"/>
      <c r="N5377" s="92"/>
      <c r="AG5377" s="107"/>
      <c r="AH5377" s="107"/>
      <c r="AI5377" s="107"/>
      <c r="AJ5377" s="107"/>
      <c r="AK5377" s="107"/>
      <c r="AL5377" s="107"/>
      <c r="AM5377" s="107"/>
      <c r="AN5377" s="107"/>
      <c r="AO5377" s="107"/>
      <c r="AP5377" s="107"/>
      <c r="AQ5377" s="107"/>
      <c r="AR5377" s="107"/>
      <c r="AS5377" s="107"/>
      <c r="AT5377" s="107"/>
    </row>
    <row r="5378" spans="1:63" x14ac:dyDescent="0.25">
      <c r="A5378" s="92"/>
      <c r="B5378" s="92"/>
      <c r="C5378" s="92"/>
      <c r="D5378" s="92"/>
      <c r="E5378" s="92"/>
      <c r="F5378" s="92"/>
      <c r="G5378" s="92"/>
      <c r="H5378" s="92"/>
      <c r="I5378" s="92"/>
      <c r="J5378" s="92"/>
      <c r="K5378" s="92"/>
      <c r="L5378" s="92"/>
      <c r="M5378" s="92"/>
      <c r="N5378" s="92"/>
      <c r="AG5378" s="107"/>
      <c r="AH5378" s="107"/>
      <c r="AI5378" s="107"/>
      <c r="AJ5378" s="107"/>
      <c r="AK5378" s="107"/>
      <c r="AL5378" s="107"/>
      <c r="AM5378" s="107"/>
      <c r="AN5378" s="107"/>
      <c r="AO5378" s="107"/>
      <c r="AP5378" s="107"/>
      <c r="AQ5378" s="107"/>
      <c r="AR5378" s="107"/>
      <c r="AS5378" s="107"/>
      <c r="AT5378" s="107"/>
    </row>
    <row r="5379" spans="1:63" x14ac:dyDescent="0.25">
      <c r="A5379" s="92"/>
      <c r="B5379" s="93"/>
      <c r="C5379" s="93"/>
      <c r="D5379" s="92"/>
      <c r="E5379" s="92"/>
      <c r="F5379" s="92"/>
      <c r="G5379" s="92"/>
      <c r="H5379" s="92"/>
      <c r="I5379" s="92"/>
      <c r="J5379" s="92"/>
      <c r="K5379" s="92"/>
      <c r="L5379" s="92"/>
      <c r="M5379" s="92"/>
      <c r="N5379" s="94"/>
      <c r="AG5379" s="107"/>
      <c r="AH5379" s="107"/>
      <c r="AI5379" s="107"/>
      <c r="AJ5379" s="107"/>
      <c r="AK5379" s="107"/>
      <c r="AL5379" s="107"/>
      <c r="AM5379" s="107"/>
      <c r="AN5379" s="107"/>
      <c r="AO5379" s="107"/>
      <c r="AP5379" s="107"/>
      <c r="AQ5379" s="107"/>
      <c r="AR5379" s="107"/>
      <c r="AS5379" s="107"/>
      <c r="AT5379" s="107"/>
    </row>
    <row r="5380" spans="1:63" x14ac:dyDescent="0.25">
      <c r="A5380" s="92"/>
      <c r="B5380" s="93"/>
      <c r="C5380" s="93"/>
      <c r="D5380" s="92"/>
      <c r="E5380" s="92"/>
      <c r="F5380" s="92"/>
      <c r="G5380" s="92"/>
      <c r="H5380" s="92"/>
      <c r="I5380" s="92"/>
      <c r="J5380" s="92"/>
      <c r="K5380" s="92"/>
      <c r="L5380" s="92"/>
      <c r="M5380" s="92"/>
      <c r="N5380" s="94"/>
      <c r="AG5380" s="107"/>
      <c r="AH5380" s="117"/>
      <c r="AI5380" s="117"/>
      <c r="AJ5380" s="107"/>
      <c r="AK5380" s="107"/>
      <c r="AL5380" s="107"/>
      <c r="AM5380" s="107"/>
      <c r="AN5380" s="107"/>
      <c r="AO5380" s="107"/>
      <c r="AP5380" s="107"/>
      <c r="AQ5380" s="107"/>
      <c r="AR5380" s="107"/>
      <c r="AS5380" s="107"/>
      <c r="AT5380" s="39"/>
    </row>
    <row r="5381" spans="1:63" x14ac:dyDescent="0.25">
      <c r="A5381" s="92"/>
      <c r="B5381" s="93"/>
      <c r="C5381" s="92"/>
      <c r="D5381" s="93"/>
      <c r="E5381" s="92"/>
      <c r="F5381" s="92"/>
      <c r="G5381" s="92"/>
      <c r="H5381" s="92"/>
      <c r="I5381" s="92"/>
      <c r="J5381" s="92"/>
      <c r="K5381" s="92"/>
      <c r="L5381" s="92"/>
      <c r="M5381" s="92"/>
      <c r="N5381" s="94"/>
      <c r="AG5381" s="107"/>
      <c r="AH5381" s="117"/>
      <c r="AI5381" s="107"/>
      <c r="AJ5381" s="117"/>
      <c r="AK5381" s="107"/>
      <c r="AL5381" s="107"/>
      <c r="AM5381" s="107"/>
      <c r="AN5381" s="107"/>
      <c r="AO5381" s="107"/>
      <c r="AP5381" s="107"/>
      <c r="AQ5381" s="107"/>
      <c r="AR5381" s="107"/>
      <c r="AS5381" s="107"/>
      <c r="AT5381" s="39"/>
    </row>
    <row r="5382" spans="1:63" x14ac:dyDescent="0.25">
      <c r="A5382" s="92"/>
      <c r="B5382" s="92"/>
      <c r="C5382" s="92"/>
      <c r="D5382" s="93"/>
      <c r="E5382" s="92"/>
      <c r="F5382" s="92"/>
      <c r="G5382" s="92"/>
      <c r="H5382" s="92"/>
      <c r="I5382" s="92"/>
      <c r="J5382" s="92"/>
      <c r="K5382" s="92"/>
      <c r="L5382" s="92"/>
      <c r="M5382" s="92"/>
      <c r="N5382" s="92"/>
      <c r="AG5382" s="107"/>
      <c r="AH5382" s="107"/>
      <c r="AI5382" s="107"/>
      <c r="AJ5382" s="117"/>
      <c r="AK5382" s="107"/>
      <c r="AL5382" s="107"/>
      <c r="AM5382" s="107"/>
      <c r="AN5382" s="107"/>
      <c r="AO5382" s="107"/>
      <c r="AP5382" s="107"/>
      <c r="AQ5382" s="107"/>
      <c r="AR5382" s="107"/>
      <c r="AS5382" s="107"/>
      <c r="AT5382" s="107"/>
    </row>
    <row r="5383" spans="1:63" x14ac:dyDescent="0.25">
      <c r="A5383" s="92"/>
      <c r="B5383" s="92"/>
      <c r="C5383" s="92"/>
      <c r="D5383" s="92"/>
      <c r="E5383" s="92"/>
      <c r="F5383" s="92"/>
      <c r="G5383" s="92"/>
      <c r="H5383" s="92"/>
      <c r="I5383" s="92"/>
      <c r="J5383" s="92"/>
      <c r="K5383" s="92"/>
      <c r="L5383" s="92"/>
      <c r="M5383" s="92"/>
      <c r="N5383" s="92"/>
      <c r="AG5383" s="107"/>
      <c r="AH5383" s="107"/>
      <c r="AI5383" s="107"/>
      <c r="AJ5383" s="107"/>
      <c r="AK5383" s="107"/>
      <c r="AL5383" s="107"/>
      <c r="AM5383" s="107"/>
      <c r="AN5383" s="107"/>
      <c r="AO5383" s="107"/>
      <c r="AP5383" s="107"/>
      <c r="AQ5383" s="107"/>
      <c r="AR5383" s="107"/>
      <c r="AS5383" s="107"/>
      <c r="AT5383" s="107"/>
      <c r="BA5383" s="117"/>
      <c r="BK5383" s="39"/>
    </row>
    <row r="5384" spans="1:63" x14ac:dyDescent="0.25">
      <c r="A5384" s="92"/>
      <c r="B5384" s="92"/>
      <c r="C5384" s="92"/>
      <c r="D5384" s="92"/>
      <c r="E5384" s="92"/>
      <c r="F5384" s="92"/>
      <c r="G5384" s="92"/>
      <c r="H5384" s="92"/>
      <c r="I5384" s="92"/>
      <c r="J5384" s="92"/>
      <c r="K5384" s="92"/>
      <c r="L5384" s="92"/>
      <c r="M5384" s="92"/>
      <c r="N5384" s="92"/>
      <c r="AG5384" s="107"/>
      <c r="AH5384" s="107"/>
      <c r="AI5384" s="107"/>
      <c r="AJ5384" s="107"/>
      <c r="AK5384" s="107"/>
      <c r="AL5384" s="107"/>
      <c r="AM5384" s="107"/>
      <c r="AN5384" s="107"/>
      <c r="AO5384" s="107"/>
      <c r="AP5384" s="107"/>
      <c r="AQ5384" s="107"/>
      <c r="AR5384" s="107"/>
      <c r="AS5384" s="107"/>
      <c r="AT5384" s="107"/>
      <c r="BA5384" s="117"/>
    </row>
    <row r="5385" spans="1:63" x14ac:dyDescent="0.25">
      <c r="A5385" s="92"/>
      <c r="B5385" s="92"/>
      <c r="C5385" s="92"/>
      <c r="D5385" s="92"/>
      <c r="E5385" s="92"/>
      <c r="F5385" s="92"/>
      <c r="G5385" s="92"/>
      <c r="H5385" s="92"/>
      <c r="I5385" s="92"/>
      <c r="J5385" s="92"/>
      <c r="K5385" s="92"/>
      <c r="L5385" s="92"/>
      <c r="M5385" s="92"/>
      <c r="N5385" s="92"/>
      <c r="AG5385" s="107"/>
      <c r="AH5385" s="107"/>
      <c r="AI5385" s="107"/>
      <c r="AJ5385" s="107"/>
      <c r="AK5385" s="107"/>
      <c r="AL5385" s="107"/>
      <c r="AM5385" s="107"/>
      <c r="AN5385" s="107"/>
      <c r="AO5385" s="107"/>
      <c r="AP5385" s="107"/>
      <c r="AQ5385" s="107"/>
      <c r="AR5385" s="107"/>
      <c r="AS5385" s="107"/>
      <c r="AT5385" s="107"/>
      <c r="BA5385" s="117"/>
      <c r="BK5385" s="39"/>
    </row>
    <row r="5386" spans="1:63" x14ac:dyDescent="0.25">
      <c r="A5386" s="92"/>
      <c r="B5386" s="92"/>
      <c r="C5386" s="92"/>
      <c r="D5386" s="92"/>
      <c r="E5386" s="92"/>
      <c r="F5386" s="92"/>
      <c r="G5386" s="92"/>
      <c r="H5386" s="92"/>
      <c r="I5386" s="92"/>
      <c r="J5386" s="92"/>
      <c r="K5386" s="92"/>
      <c r="L5386" s="92"/>
      <c r="M5386" s="92"/>
      <c r="N5386" s="92"/>
      <c r="AG5386" s="107"/>
      <c r="AH5386" s="107"/>
      <c r="AI5386" s="107"/>
      <c r="AJ5386" s="107"/>
      <c r="AK5386" s="107"/>
      <c r="AL5386" s="107"/>
      <c r="AM5386" s="107"/>
      <c r="AN5386" s="107"/>
      <c r="AO5386" s="107"/>
      <c r="AP5386" s="107"/>
      <c r="AQ5386" s="107"/>
      <c r="AR5386" s="107"/>
      <c r="AS5386" s="107"/>
      <c r="AT5386" s="107"/>
      <c r="BA5386" s="117"/>
    </row>
    <row r="5387" spans="1:63" x14ac:dyDescent="0.25">
      <c r="A5387" s="92"/>
      <c r="B5387" s="92"/>
      <c r="C5387" s="92"/>
      <c r="D5387" s="92"/>
      <c r="E5387" s="92"/>
      <c r="F5387" s="92"/>
      <c r="G5387" s="92"/>
      <c r="H5387" s="92"/>
      <c r="I5387" s="92"/>
      <c r="J5387" s="92"/>
      <c r="K5387" s="92"/>
      <c r="L5387" s="92"/>
      <c r="M5387" s="92"/>
      <c r="N5387" s="92"/>
      <c r="AG5387" s="107"/>
      <c r="AH5387" s="107"/>
      <c r="AI5387" s="107"/>
      <c r="AJ5387" s="107"/>
      <c r="AK5387" s="107"/>
      <c r="AL5387" s="107"/>
      <c r="AM5387" s="107"/>
      <c r="AN5387" s="107"/>
      <c r="AO5387" s="107"/>
      <c r="AP5387" s="107"/>
      <c r="AQ5387" s="107"/>
      <c r="AR5387" s="107"/>
      <c r="AS5387" s="107"/>
      <c r="AT5387" s="107"/>
    </row>
    <row r="5388" spans="1:63" x14ac:dyDescent="0.25">
      <c r="A5388" s="92"/>
      <c r="B5388" s="92"/>
      <c r="C5388" s="92"/>
      <c r="D5388" s="92"/>
      <c r="E5388" s="92"/>
      <c r="F5388" s="92"/>
      <c r="G5388" s="92"/>
      <c r="H5388" s="92"/>
      <c r="I5388" s="92"/>
      <c r="J5388" s="92"/>
      <c r="K5388" s="92"/>
      <c r="L5388" s="92"/>
      <c r="M5388" s="92"/>
      <c r="N5388" s="92"/>
      <c r="AG5388" s="107"/>
      <c r="AH5388" s="107"/>
      <c r="AI5388" s="107"/>
      <c r="AJ5388" s="107"/>
      <c r="AK5388" s="107"/>
      <c r="AL5388" s="107"/>
      <c r="AM5388" s="107"/>
      <c r="AN5388" s="107"/>
      <c r="AO5388" s="107"/>
      <c r="AP5388" s="107"/>
      <c r="AQ5388" s="107"/>
      <c r="AR5388" s="107"/>
      <c r="AS5388" s="107"/>
      <c r="AT5388" s="107"/>
    </row>
    <row r="5389" spans="1:63" x14ac:dyDescent="0.25">
      <c r="A5389" s="92"/>
      <c r="B5389" s="92"/>
      <c r="C5389" s="92"/>
      <c r="D5389" s="92"/>
      <c r="E5389" s="92"/>
      <c r="F5389" s="92"/>
      <c r="G5389" s="92"/>
      <c r="H5389" s="92"/>
      <c r="I5389" s="92"/>
      <c r="J5389" s="92"/>
      <c r="K5389" s="92"/>
      <c r="L5389" s="92"/>
      <c r="M5389" s="92"/>
      <c r="N5389" s="92"/>
      <c r="AG5389" s="107"/>
      <c r="AH5389" s="107"/>
      <c r="AI5389" s="107"/>
      <c r="AJ5389" s="107"/>
      <c r="AK5389" s="107"/>
      <c r="AL5389" s="107"/>
      <c r="AM5389" s="107"/>
      <c r="AN5389" s="107"/>
      <c r="AO5389" s="107"/>
      <c r="AP5389" s="107"/>
      <c r="AQ5389" s="107"/>
      <c r="AR5389" s="107"/>
      <c r="AS5389" s="107"/>
      <c r="AT5389" s="107"/>
    </row>
    <row r="5390" spans="1:63" x14ac:dyDescent="0.25">
      <c r="A5390" s="92"/>
      <c r="B5390" s="92"/>
      <c r="C5390" s="92"/>
      <c r="D5390" s="92"/>
      <c r="E5390" s="92"/>
      <c r="F5390" s="92"/>
      <c r="G5390" s="92"/>
      <c r="H5390" s="92"/>
      <c r="I5390" s="92"/>
      <c r="J5390" s="92"/>
      <c r="K5390" s="92"/>
      <c r="L5390" s="92"/>
      <c r="M5390" s="92"/>
      <c r="N5390" s="92"/>
      <c r="AG5390" s="107"/>
      <c r="AH5390" s="107"/>
      <c r="AI5390" s="107"/>
      <c r="AJ5390" s="107"/>
      <c r="AK5390" s="107"/>
      <c r="AL5390" s="107"/>
      <c r="AM5390" s="107"/>
      <c r="AN5390" s="107"/>
      <c r="AO5390" s="107"/>
      <c r="AP5390" s="107"/>
      <c r="AQ5390" s="107"/>
      <c r="AR5390" s="107"/>
      <c r="AS5390" s="107"/>
      <c r="AT5390" s="107"/>
    </row>
    <row r="5391" spans="1:63" x14ac:dyDescent="0.25">
      <c r="A5391" s="92"/>
      <c r="B5391" s="92"/>
      <c r="C5391" s="92"/>
      <c r="D5391" s="92"/>
      <c r="E5391" s="92"/>
      <c r="F5391" s="92"/>
      <c r="G5391" s="92"/>
      <c r="H5391" s="92"/>
      <c r="I5391" s="92"/>
      <c r="J5391" s="92"/>
      <c r="K5391" s="92"/>
      <c r="L5391" s="92"/>
      <c r="M5391" s="92"/>
      <c r="N5391" s="92"/>
      <c r="AG5391" s="107"/>
      <c r="AH5391" s="117"/>
      <c r="AI5391" s="107"/>
      <c r="AJ5391" s="117"/>
      <c r="AK5391" s="107"/>
      <c r="AL5391" s="107"/>
      <c r="AM5391" s="107"/>
      <c r="AN5391" s="107"/>
      <c r="AO5391" s="107"/>
      <c r="AP5391" s="107"/>
      <c r="AQ5391" s="107"/>
      <c r="AR5391" s="107"/>
      <c r="AS5391" s="107"/>
      <c r="AT5391" s="39"/>
    </row>
    <row r="5392" spans="1:63" x14ac:dyDescent="0.25">
      <c r="A5392" s="92"/>
      <c r="B5392" s="93"/>
      <c r="C5392" s="92"/>
      <c r="D5392" s="93"/>
      <c r="E5392" s="92"/>
      <c r="F5392" s="92"/>
      <c r="G5392" s="92"/>
      <c r="H5392" s="92"/>
      <c r="I5392" s="92"/>
      <c r="J5392" s="92"/>
      <c r="K5392" s="92"/>
      <c r="L5392" s="92"/>
      <c r="M5392" s="92"/>
      <c r="N5392" s="94"/>
      <c r="AG5392" s="107"/>
      <c r="AH5392" s="107"/>
      <c r="AI5392" s="107"/>
      <c r="AJ5392" s="107"/>
      <c r="AK5392" s="107"/>
      <c r="AL5392" s="107"/>
      <c r="AM5392" s="107"/>
      <c r="AN5392" s="107"/>
      <c r="AO5392" s="107"/>
      <c r="AP5392" s="107"/>
      <c r="AQ5392" s="107"/>
      <c r="AR5392" s="107"/>
      <c r="AS5392" s="107"/>
      <c r="AT5392" s="107"/>
      <c r="BA5392" s="117"/>
      <c r="BK5392" s="39"/>
    </row>
    <row r="5393" spans="1:63" x14ac:dyDescent="0.25">
      <c r="A5393" s="92"/>
      <c r="B5393" s="93"/>
      <c r="C5393" s="92"/>
      <c r="D5393" s="93"/>
      <c r="E5393" s="92"/>
      <c r="F5393" s="92"/>
      <c r="G5393" s="92"/>
      <c r="H5393" s="92"/>
      <c r="I5393" s="92"/>
      <c r="J5393" s="92"/>
      <c r="K5393" s="92"/>
      <c r="L5393" s="92"/>
      <c r="M5393" s="92"/>
      <c r="N5393" s="94"/>
      <c r="AG5393" s="107"/>
      <c r="AH5393" s="107"/>
      <c r="AI5393" s="107"/>
      <c r="AJ5393" s="107"/>
      <c r="AK5393" s="107"/>
      <c r="AL5393" s="107"/>
      <c r="AM5393" s="107"/>
      <c r="AN5393" s="107"/>
      <c r="AO5393" s="107"/>
      <c r="AP5393" s="107"/>
      <c r="AQ5393" s="107"/>
      <c r="AR5393" s="107"/>
      <c r="AS5393" s="107"/>
      <c r="AT5393" s="107"/>
      <c r="BA5393" s="117"/>
      <c r="BK5393" s="39"/>
    </row>
    <row r="5394" spans="1:63" x14ac:dyDescent="0.25">
      <c r="A5394" s="92"/>
      <c r="B5394" s="93"/>
      <c r="C5394" s="93"/>
      <c r="D5394" s="93"/>
      <c r="E5394" s="92"/>
      <c r="F5394" s="92"/>
      <c r="G5394" s="92"/>
      <c r="H5394" s="92"/>
      <c r="I5394" s="92"/>
      <c r="J5394" s="92"/>
      <c r="K5394" s="92"/>
      <c r="L5394" s="92"/>
      <c r="M5394" s="92"/>
      <c r="N5394" s="94"/>
      <c r="AG5394" s="107"/>
      <c r="AH5394" s="107"/>
      <c r="AI5394" s="107"/>
      <c r="AJ5394" s="107"/>
      <c r="AK5394" s="107"/>
      <c r="AL5394" s="107"/>
      <c r="AM5394" s="107"/>
      <c r="AN5394" s="107"/>
      <c r="AO5394" s="107"/>
      <c r="AP5394" s="107"/>
      <c r="AQ5394" s="107"/>
      <c r="AR5394" s="107"/>
      <c r="AS5394" s="107"/>
      <c r="AT5394" s="107"/>
    </row>
    <row r="5395" spans="1:63" x14ac:dyDescent="0.25">
      <c r="A5395" s="92"/>
      <c r="B5395" s="92"/>
      <c r="C5395" s="92"/>
      <c r="D5395" s="93"/>
      <c r="E5395" s="92"/>
      <c r="F5395" s="92"/>
      <c r="G5395" s="92"/>
      <c r="H5395" s="92"/>
      <c r="I5395" s="92"/>
      <c r="J5395" s="92"/>
      <c r="K5395" s="92"/>
      <c r="L5395" s="92"/>
      <c r="M5395" s="92"/>
      <c r="N5395" s="92"/>
      <c r="AG5395" s="107"/>
      <c r="AH5395" s="107"/>
      <c r="AI5395" s="107"/>
      <c r="AJ5395" s="107"/>
      <c r="AK5395" s="107"/>
      <c r="AL5395" s="107"/>
      <c r="AM5395" s="107"/>
      <c r="AN5395" s="107"/>
      <c r="AO5395" s="107"/>
      <c r="AP5395" s="107"/>
      <c r="AQ5395" s="107"/>
      <c r="AR5395" s="107"/>
      <c r="AS5395" s="107"/>
      <c r="AT5395" s="107"/>
      <c r="BA5395" s="117"/>
      <c r="BK5395" s="39"/>
    </row>
    <row r="5396" spans="1:63" x14ac:dyDescent="0.25">
      <c r="A5396" s="92"/>
      <c r="B5396" s="92"/>
      <c r="C5396" s="92"/>
      <c r="D5396" s="92"/>
      <c r="E5396" s="92"/>
      <c r="F5396" s="92"/>
      <c r="G5396" s="92"/>
      <c r="H5396" s="92"/>
      <c r="I5396" s="92"/>
      <c r="J5396" s="92"/>
      <c r="K5396" s="92"/>
      <c r="L5396" s="92"/>
      <c r="M5396" s="92"/>
      <c r="N5396" s="92"/>
      <c r="AG5396" s="107"/>
      <c r="AH5396" s="117"/>
      <c r="AI5396" s="107"/>
      <c r="AJ5396" s="117"/>
      <c r="AK5396" s="107"/>
      <c r="AL5396" s="107"/>
      <c r="AM5396" s="107"/>
      <c r="AN5396" s="107"/>
      <c r="AO5396" s="107"/>
      <c r="AP5396" s="107"/>
      <c r="AQ5396" s="107"/>
      <c r="AR5396" s="107"/>
      <c r="AS5396" s="107"/>
      <c r="AT5396" s="39"/>
      <c r="BA5396" s="117"/>
      <c r="BK5396" s="39"/>
    </row>
    <row r="5397" spans="1:63" x14ac:dyDescent="0.25">
      <c r="A5397" s="92"/>
      <c r="B5397" s="92"/>
      <c r="C5397" s="92"/>
      <c r="D5397" s="92"/>
      <c r="E5397" s="92"/>
      <c r="F5397" s="92"/>
      <c r="G5397" s="92"/>
      <c r="H5397" s="92"/>
      <c r="I5397" s="92"/>
      <c r="J5397" s="92"/>
      <c r="K5397" s="92"/>
      <c r="L5397" s="92"/>
      <c r="M5397" s="92"/>
      <c r="N5397" s="92"/>
      <c r="AG5397" s="107"/>
      <c r="AH5397" s="117"/>
      <c r="AI5397" s="107"/>
      <c r="AJ5397" s="107"/>
      <c r="AK5397" s="107"/>
      <c r="AL5397" s="107"/>
      <c r="AM5397" s="107"/>
      <c r="AN5397" s="107"/>
      <c r="AO5397" s="107"/>
      <c r="AP5397" s="107"/>
      <c r="AQ5397" s="107"/>
      <c r="AR5397" s="107"/>
      <c r="AS5397" s="107"/>
      <c r="AT5397" s="39"/>
      <c r="BA5397" s="117"/>
      <c r="BK5397" s="39"/>
    </row>
    <row r="5398" spans="1:63" x14ac:dyDescent="0.25">
      <c r="A5398" s="92"/>
      <c r="B5398" s="92"/>
      <c r="C5398" s="92"/>
      <c r="D5398" s="92"/>
      <c r="E5398" s="92"/>
      <c r="F5398" s="92"/>
      <c r="G5398" s="92"/>
      <c r="H5398" s="92"/>
      <c r="I5398" s="92"/>
      <c r="J5398" s="92"/>
      <c r="K5398" s="92"/>
      <c r="L5398" s="92"/>
      <c r="M5398" s="92"/>
      <c r="N5398" s="92"/>
      <c r="AG5398" s="107"/>
      <c r="AH5398" s="107"/>
      <c r="AI5398" s="107"/>
      <c r="AJ5398" s="107"/>
      <c r="AK5398" s="107"/>
      <c r="AL5398" s="107"/>
      <c r="AM5398" s="107"/>
      <c r="AN5398" s="107"/>
      <c r="AO5398" s="107"/>
      <c r="AP5398" s="107"/>
      <c r="AQ5398" s="107"/>
      <c r="AR5398" s="107"/>
      <c r="AS5398" s="107"/>
      <c r="AT5398" s="107"/>
      <c r="BA5398" s="117"/>
      <c r="BK5398" s="39"/>
    </row>
    <row r="5399" spans="1:63" x14ac:dyDescent="0.25">
      <c r="A5399" s="92"/>
      <c r="B5399" s="92"/>
      <c r="C5399" s="92"/>
      <c r="D5399" s="92"/>
      <c r="E5399" s="92"/>
      <c r="F5399" s="92"/>
      <c r="G5399" s="92"/>
      <c r="H5399" s="92"/>
      <c r="I5399" s="92"/>
      <c r="J5399" s="92"/>
      <c r="K5399" s="92"/>
      <c r="L5399" s="92"/>
      <c r="M5399" s="92"/>
      <c r="N5399" s="92"/>
      <c r="AG5399" s="107"/>
      <c r="AH5399" s="117"/>
      <c r="AI5399" s="107"/>
      <c r="AJ5399" s="117"/>
      <c r="AK5399" s="107"/>
      <c r="AL5399" s="107"/>
      <c r="AM5399" s="107"/>
      <c r="AN5399" s="107"/>
      <c r="AO5399" s="107"/>
      <c r="AP5399" s="107"/>
      <c r="AQ5399" s="107"/>
      <c r="AR5399" s="107"/>
      <c r="AS5399" s="107"/>
      <c r="AT5399" s="39"/>
    </row>
    <row r="5400" spans="1:63" x14ac:dyDescent="0.25">
      <c r="A5400" s="92"/>
      <c r="B5400" s="93"/>
      <c r="C5400" s="92"/>
      <c r="D5400" s="93"/>
      <c r="E5400" s="92"/>
      <c r="F5400" s="92"/>
      <c r="G5400" s="92"/>
      <c r="H5400" s="92"/>
      <c r="I5400" s="92"/>
      <c r="J5400" s="92"/>
      <c r="K5400" s="92"/>
      <c r="L5400" s="92"/>
      <c r="M5400" s="92"/>
      <c r="N5400" s="94"/>
      <c r="AG5400" s="107"/>
      <c r="AH5400" s="107"/>
      <c r="AI5400" s="107"/>
      <c r="AJ5400" s="107"/>
      <c r="AK5400" s="107"/>
      <c r="AL5400" s="107"/>
      <c r="AM5400" s="107"/>
      <c r="AN5400" s="107"/>
      <c r="AO5400" s="107"/>
      <c r="AP5400" s="107"/>
      <c r="AQ5400" s="107"/>
      <c r="AR5400" s="107"/>
      <c r="AS5400" s="107"/>
      <c r="AT5400" s="107"/>
    </row>
    <row r="5401" spans="1:63" x14ac:dyDescent="0.25">
      <c r="A5401" s="92"/>
      <c r="B5401" s="92"/>
      <c r="C5401" s="92"/>
      <c r="D5401" s="93"/>
      <c r="E5401" s="92"/>
      <c r="F5401" s="92"/>
      <c r="G5401" s="92"/>
      <c r="H5401" s="92"/>
      <c r="I5401" s="92"/>
      <c r="J5401" s="92"/>
      <c r="K5401" s="92"/>
      <c r="L5401" s="92"/>
      <c r="M5401" s="92"/>
      <c r="N5401" s="92"/>
      <c r="AG5401" s="107"/>
      <c r="AH5401" s="107"/>
      <c r="AI5401" s="107"/>
      <c r="AJ5401" s="107"/>
      <c r="AK5401" s="107"/>
      <c r="AL5401" s="107"/>
      <c r="AM5401" s="107"/>
      <c r="AN5401" s="107"/>
      <c r="AO5401" s="107"/>
      <c r="AP5401" s="107"/>
      <c r="AQ5401" s="107"/>
      <c r="AR5401" s="107"/>
      <c r="AS5401" s="107"/>
      <c r="AT5401" s="107"/>
    </row>
    <row r="5402" spans="1:63" x14ac:dyDescent="0.25">
      <c r="A5402" s="92"/>
      <c r="B5402" s="93"/>
      <c r="C5402" s="92"/>
      <c r="D5402" s="93"/>
      <c r="E5402" s="92"/>
      <c r="F5402" s="92"/>
      <c r="G5402" s="92"/>
      <c r="H5402" s="92"/>
      <c r="I5402" s="92"/>
      <c r="J5402" s="92"/>
      <c r="K5402" s="92"/>
      <c r="L5402" s="92"/>
      <c r="M5402" s="92"/>
      <c r="N5402" s="94"/>
      <c r="AG5402" s="107"/>
      <c r="AH5402" s="117"/>
      <c r="AI5402" s="107"/>
      <c r="AJ5402" s="107"/>
      <c r="AK5402" s="107"/>
      <c r="AL5402" s="107"/>
      <c r="AM5402" s="107"/>
      <c r="AN5402" s="107"/>
      <c r="AO5402" s="107"/>
      <c r="AP5402" s="107"/>
      <c r="AQ5402" s="107"/>
      <c r="AR5402" s="107"/>
      <c r="AS5402" s="107"/>
      <c r="AT5402" s="39"/>
    </row>
    <row r="5403" spans="1:63" x14ac:dyDescent="0.25">
      <c r="A5403" s="92"/>
      <c r="B5403" s="93"/>
      <c r="C5403" s="92"/>
      <c r="D5403" s="93"/>
      <c r="E5403" s="92"/>
      <c r="F5403" s="92"/>
      <c r="G5403" s="92"/>
      <c r="H5403" s="92"/>
      <c r="I5403" s="92"/>
      <c r="J5403" s="92"/>
      <c r="K5403" s="92"/>
      <c r="L5403" s="92"/>
      <c r="M5403" s="92"/>
      <c r="N5403" s="94"/>
      <c r="AG5403" s="107"/>
      <c r="AH5403" s="117"/>
      <c r="AI5403" s="107"/>
      <c r="AJ5403" s="117"/>
      <c r="AK5403" s="107"/>
      <c r="AL5403" s="107"/>
      <c r="AM5403" s="107"/>
      <c r="AN5403" s="107"/>
      <c r="AO5403" s="107"/>
      <c r="AP5403" s="107"/>
      <c r="AQ5403" s="107"/>
      <c r="AR5403" s="107"/>
      <c r="AS5403" s="107"/>
      <c r="AT5403" s="39"/>
      <c r="BA5403" s="117"/>
      <c r="BK5403" s="39"/>
    </row>
    <row r="5404" spans="1:63" x14ac:dyDescent="0.25">
      <c r="A5404" s="92"/>
      <c r="B5404" s="92"/>
      <c r="C5404" s="92"/>
      <c r="D5404" s="93"/>
      <c r="E5404" s="92"/>
      <c r="F5404" s="92"/>
      <c r="G5404" s="92"/>
      <c r="H5404" s="92"/>
      <c r="I5404" s="92"/>
      <c r="J5404" s="92"/>
      <c r="K5404" s="92"/>
      <c r="L5404" s="92"/>
      <c r="M5404" s="92"/>
      <c r="N5404" s="92"/>
      <c r="AG5404" s="107"/>
      <c r="AH5404" s="107"/>
      <c r="AI5404" s="107"/>
      <c r="AJ5404" s="107"/>
      <c r="AK5404" s="107"/>
      <c r="AL5404" s="107"/>
      <c r="AM5404" s="107"/>
      <c r="AN5404" s="107"/>
      <c r="AO5404" s="107"/>
      <c r="AP5404" s="107"/>
      <c r="AQ5404" s="107"/>
      <c r="AR5404" s="107"/>
      <c r="AS5404" s="107"/>
      <c r="AT5404" s="107"/>
      <c r="BA5404" s="117"/>
      <c r="BK5404" s="39"/>
    </row>
    <row r="5405" spans="1:63" x14ac:dyDescent="0.25">
      <c r="A5405" s="92"/>
      <c r="B5405" s="92"/>
      <c r="C5405" s="92"/>
      <c r="D5405" s="92"/>
      <c r="E5405" s="92"/>
      <c r="F5405" s="92"/>
      <c r="G5405" s="92"/>
      <c r="H5405" s="92"/>
      <c r="I5405" s="92"/>
      <c r="J5405" s="92"/>
      <c r="K5405" s="92"/>
      <c r="L5405" s="92"/>
      <c r="M5405" s="92"/>
      <c r="N5405" s="92"/>
      <c r="AG5405" s="107"/>
      <c r="AH5405" s="107"/>
      <c r="AI5405" s="107"/>
      <c r="AJ5405" s="107"/>
      <c r="AK5405" s="107"/>
      <c r="AL5405" s="107"/>
      <c r="AM5405" s="107"/>
      <c r="AN5405" s="107"/>
      <c r="AO5405" s="107"/>
      <c r="AP5405" s="107"/>
      <c r="AQ5405" s="107"/>
      <c r="AR5405" s="107"/>
      <c r="AS5405" s="107"/>
      <c r="AT5405" s="107"/>
    </row>
    <row r="5406" spans="1:63" x14ac:dyDescent="0.25">
      <c r="A5406" s="92"/>
      <c r="B5406" s="92"/>
      <c r="C5406" s="92"/>
      <c r="D5406" s="92"/>
      <c r="E5406" s="92"/>
      <c r="F5406" s="92"/>
      <c r="G5406" s="92"/>
      <c r="H5406" s="92"/>
      <c r="I5406" s="92"/>
      <c r="J5406" s="92"/>
      <c r="K5406" s="92"/>
      <c r="L5406" s="92"/>
      <c r="M5406" s="92"/>
      <c r="N5406" s="92"/>
      <c r="AG5406" s="107"/>
      <c r="AH5406" s="107"/>
      <c r="AI5406" s="107"/>
      <c r="AJ5406" s="107"/>
      <c r="AK5406" s="107"/>
      <c r="AL5406" s="107"/>
      <c r="AM5406" s="107"/>
      <c r="AN5406" s="107"/>
      <c r="AO5406" s="107"/>
      <c r="AP5406" s="107"/>
      <c r="AQ5406" s="107"/>
      <c r="AR5406" s="107"/>
      <c r="AS5406" s="107"/>
      <c r="AT5406" s="107"/>
    </row>
    <row r="5407" spans="1:63" x14ac:dyDescent="0.25">
      <c r="A5407" s="92"/>
      <c r="B5407" s="92"/>
      <c r="C5407" s="92"/>
      <c r="D5407" s="92"/>
      <c r="E5407" s="92"/>
      <c r="F5407" s="92"/>
      <c r="G5407" s="92"/>
      <c r="H5407" s="92"/>
      <c r="I5407" s="92"/>
      <c r="J5407" s="92"/>
      <c r="K5407" s="92"/>
      <c r="L5407" s="92"/>
      <c r="M5407" s="92"/>
      <c r="N5407" s="92"/>
      <c r="AG5407" s="107"/>
      <c r="AH5407" s="117"/>
      <c r="AI5407" s="107"/>
      <c r="AJ5407" s="107"/>
      <c r="AK5407" s="107"/>
      <c r="AL5407" s="107"/>
      <c r="AM5407" s="107"/>
      <c r="AN5407" s="107"/>
      <c r="AO5407" s="107"/>
      <c r="AP5407" s="107"/>
      <c r="AQ5407" s="107"/>
      <c r="AR5407" s="107"/>
      <c r="AS5407" s="107"/>
      <c r="AT5407" s="39"/>
    </row>
    <row r="5408" spans="1:63" x14ac:dyDescent="0.25">
      <c r="A5408" s="92"/>
      <c r="B5408" s="92"/>
      <c r="C5408" s="92"/>
      <c r="D5408" s="92"/>
      <c r="E5408" s="92"/>
      <c r="F5408" s="92"/>
      <c r="G5408" s="92"/>
      <c r="H5408" s="92"/>
      <c r="I5408" s="92"/>
      <c r="J5408" s="92"/>
      <c r="K5408" s="92"/>
      <c r="L5408" s="92"/>
      <c r="M5408" s="92"/>
      <c r="N5408" s="92"/>
      <c r="AG5408" s="107"/>
      <c r="AH5408" s="117"/>
      <c r="AI5408" s="107"/>
      <c r="AJ5408" s="117"/>
      <c r="AK5408" s="107"/>
      <c r="AL5408" s="107"/>
      <c r="AM5408" s="107"/>
      <c r="AN5408" s="107"/>
      <c r="AO5408" s="107"/>
      <c r="AP5408" s="107"/>
      <c r="AQ5408" s="107"/>
      <c r="AR5408" s="107"/>
      <c r="AS5408" s="107"/>
      <c r="AT5408" s="39"/>
    </row>
    <row r="5409" spans="1:63" x14ac:dyDescent="0.25">
      <c r="A5409" s="92"/>
      <c r="B5409" s="93"/>
      <c r="C5409" s="93"/>
      <c r="D5409" s="92"/>
      <c r="E5409" s="92"/>
      <c r="F5409" s="92"/>
      <c r="G5409" s="92"/>
      <c r="H5409" s="92"/>
      <c r="I5409" s="92"/>
      <c r="J5409" s="92"/>
      <c r="K5409" s="92"/>
      <c r="L5409" s="92"/>
      <c r="M5409" s="92"/>
      <c r="N5409" s="94"/>
      <c r="AG5409" s="107"/>
      <c r="AH5409" s="117"/>
      <c r="AI5409" s="107"/>
      <c r="AJ5409" s="107"/>
      <c r="AK5409" s="107"/>
      <c r="AL5409" s="107"/>
      <c r="AM5409" s="107"/>
      <c r="AN5409" s="107"/>
      <c r="AO5409" s="107"/>
      <c r="AP5409" s="107"/>
      <c r="AQ5409" s="107"/>
      <c r="AR5409" s="107"/>
      <c r="AS5409" s="107"/>
      <c r="AT5409" s="39"/>
    </row>
    <row r="5410" spans="1:63" x14ac:dyDescent="0.25">
      <c r="A5410" s="92"/>
      <c r="B5410" s="92"/>
      <c r="C5410" s="92"/>
      <c r="D5410" s="92"/>
      <c r="E5410" s="92"/>
      <c r="F5410" s="92"/>
      <c r="G5410" s="92"/>
      <c r="H5410" s="92"/>
      <c r="I5410" s="92"/>
      <c r="J5410" s="92"/>
      <c r="K5410" s="92"/>
      <c r="L5410" s="92"/>
      <c r="M5410" s="92"/>
      <c r="N5410" s="92"/>
      <c r="AG5410" s="107"/>
      <c r="AH5410" s="117"/>
      <c r="AI5410" s="107"/>
      <c r="AJ5410" s="117"/>
      <c r="AK5410" s="107"/>
      <c r="AL5410" s="107"/>
      <c r="AM5410" s="107"/>
      <c r="AN5410" s="107"/>
      <c r="AO5410" s="107"/>
      <c r="AP5410" s="107"/>
      <c r="AQ5410" s="107"/>
      <c r="AR5410" s="107"/>
      <c r="AS5410" s="107"/>
      <c r="AT5410" s="39"/>
    </row>
    <row r="5411" spans="1:63" x14ac:dyDescent="0.25">
      <c r="A5411" s="92"/>
      <c r="B5411" s="93"/>
      <c r="C5411" s="92"/>
      <c r="D5411" s="93"/>
      <c r="E5411" s="92"/>
      <c r="F5411" s="92"/>
      <c r="G5411" s="92"/>
      <c r="H5411" s="92"/>
      <c r="I5411" s="92"/>
      <c r="J5411" s="92"/>
      <c r="K5411" s="92"/>
      <c r="L5411" s="92"/>
      <c r="M5411" s="92"/>
      <c r="N5411" s="94"/>
      <c r="AG5411" s="107"/>
      <c r="AH5411" s="107"/>
      <c r="AI5411" s="107"/>
      <c r="AJ5411" s="107"/>
      <c r="AK5411" s="107"/>
      <c r="AL5411" s="107"/>
      <c r="AM5411" s="107"/>
      <c r="AN5411" s="107"/>
      <c r="AO5411" s="107"/>
      <c r="AP5411" s="107"/>
      <c r="AQ5411" s="107"/>
      <c r="AR5411" s="107"/>
      <c r="AS5411" s="107"/>
      <c r="AT5411" s="107"/>
    </row>
    <row r="5412" spans="1:63" x14ac:dyDescent="0.25">
      <c r="A5412" s="92"/>
      <c r="B5412" s="92"/>
      <c r="C5412" s="92"/>
      <c r="D5412" s="92"/>
      <c r="E5412" s="92"/>
      <c r="F5412" s="92"/>
      <c r="G5412" s="92"/>
      <c r="H5412" s="92"/>
      <c r="I5412" s="92"/>
      <c r="J5412" s="92"/>
      <c r="K5412" s="92"/>
      <c r="L5412" s="92"/>
      <c r="M5412" s="92"/>
      <c r="N5412" s="92"/>
      <c r="AG5412" s="107"/>
      <c r="AH5412" s="107"/>
      <c r="AI5412" s="107"/>
      <c r="AJ5412" s="107"/>
      <c r="AK5412" s="107"/>
      <c r="AL5412" s="107"/>
      <c r="AM5412" s="107"/>
      <c r="AN5412" s="107"/>
      <c r="AO5412" s="107"/>
      <c r="AP5412" s="107"/>
      <c r="AQ5412" s="107"/>
      <c r="AR5412" s="107"/>
      <c r="AS5412" s="107"/>
      <c r="AT5412" s="107"/>
    </row>
    <row r="5413" spans="1:63" x14ac:dyDescent="0.25">
      <c r="A5413" s="92"/>
      <c r="B5413" s="92"/>
      <c r="C5413" s="92"/>
      <c r="D5413" s="92"/>
      <c r="E5413" s="92"/>
      <c r="F5413" s="92"/>
      <c r="G5413" s="92"/>
      <c r="H5413" s="92"/>
      <c r="I5413" s="92"/>
      <c r="J5413" s="92"/>
      <c r="K5413" s="92"/>
      <c r="L5413" s="92"/>
      <c r="M5413" s="92"/>
      <c r="N5413" s="92"/>
      <c r="AG5413" s="107"/>
      <c r="AH5413" s="107"/>
      <c r="AI5413" s="107"/>
      <c r="AJ5413" s="107"/>
      <c r="AK5413" s="107"/>
      <c r="AL5413" s="107"/>
      <c r="AM5413" s="107"/>
      <c r="AN5413" s="107"/>
      <c r="AO5413" s="107"/>
      <c r="AP5413" s="107"/>
      <c r="AQ5413" s="107"/>
      <c r="AR5413" s="107"/>
      <c r="AS5413" s="107"/>
      <c r="AT5413" s="107"/>
    </row>
    <row r="5414" spans="1:63" x14ac:dyDescent="0.25">
      <c r="A5414" s="92"/>
      <c r="B5414" s="92"/>
      <c r="C5414" s="92"/>
      <c r="D5414" s="92"/>
      <c r="E5414" s="92"/>
      <c r="F5414" s="92"/>
      <c r="G5414" s="92"/>
      <c r="H5414" s="92"/>
      <c r="I5414" s="92"/>
      <c r="J5414" s="92"/>
      <c r="K5414" s="92"/>
      <c r="L5414" s="92"/>
      <c r="M5414" s="92"/>
      <c r="N5414" s="92"/>
      <c r="AG5414" s="107"/>
      <c r="AH5414" s="107"/>
      <c r="AI5414" s="107"/>
      <c r="AJ5414" s="107"/>
      <c r="AK5414" s="107"/>
      <c r="AL5414" s="107"/>
      <c r="AM5414" s="107"/>
      <c r="AN5414" s="107"/>
      <c r="AO5414" s="107"/>
      <c r="AP5414" s="107"/>
      <c r="AQ5414" s="107"/>
      <c r="AR5414" s="107"/>
      <c r="AS5414" s="107"/>
      <c r="AT5414" s="107"/>
    </row>
    <row r="5415" spans="1:63" x14ac:dyDescent="0.25">
      <c r="A5415" s="92"/>
      <c r="B5415" s="92"/>
      <c r="C5415" s="92"/>
      <c r="D5415" s="92"/>
      <c r="E5415" s="92"/>
      <c r="F5415" s="92"/>
      <c r="G5415" s="92"/>
      <c r="H5415" s="92"/>
      <c r="I5415" s="92"/>
      <c r="J5415" s="92"/>
      <c r="K5415" s="92"/>
      <c r="L5415" s="92"/>
      <c r="M5415" s="92"/>
      <c r="N5415" s="92"/>
      <c r="AG5415" s="107"/>
      <c r="AH5415" s="107"/>
      <c r="AI5415" s="107"/>
      <c r="AJ5415" s="107"/>
      <c r="AK5415" s="107"/>
      <c r="AL5415" s="107"/>
      <c r="AM5415" s="107"/>
      <c r="AN5415" s="107"/>
      <c r="AO5415" s="107"/>
      <c r="AP5415" s="107"/>
      <c r="AQ5415" s="107"/>
      <c r="AR5415" s="107"/>
      <c r="AS5415" s="107"/>
      <c r="AT5415" s="107"/>
    </row>
    <row r="5416" spans="1:63" x14ac:dyDescent="0.25">
      <c r="A5416" s="92"/>
      <c r="B5416" s="92"/>
      <c r="C5416" s="92"/>
      <c r="D5416" s="92"/>
      <c r="E5416" s="92"/>
      <c r="F5416" s="92"/>
      <c r="G5416" s="92"/>
      <c r="H5416" s="92"/>
      <c r="I5416" s="92"/>
      <c r="J5416" s="92"/>
      <c r="K5416" s="92"/>
      <c r="L5416" s="92"/>
      <c r="M5416" s="92"/>
      <c r="N5416" s="92"/>
      <c r="AG5416" s="107"/>
      <c r="AH5416" s="107"/>
      <c r="AI5416" s="107"/>
      <c r="AJ5416" s="107"/>
      <c r="AK5416" s="107"/>
      <c r="AL5416" s="107"/>
      <c r="AM5416" s="107"/>
      <c r="AN5416" s="107"/>
      <c r="AO5416" s="107"/>
      <c r="AP5416" s="107"/>
      <c r="AQ5416" s="107"/>
      <c r="AR5416" s="107"/>
      <c r="AS5416" s="107"/>
      <c r="AT5416" s="107"/>
    </row>
    <row r="5417" spans="1:63" x14ac:dyDescent="0.25">
      <c r="A5417" s="92"/>
      <c r="B5417" s="93"/>
      <c r="C5417" s="92"/>
      <c r="D5417" s="93"/>
      <c r="E5417" s="92"/>
      <c r="F5417" s="92"/>
      <c r="G5417" s="92"/>
      <c r="H5417" s="92"/>
      <c r="I5417" s="92"/>
      <c r="J5417" s="92"/>
      <c r="K5417" s="92"/>
      <c r="L5417" s="92"/>
      <c r="M5417" s="92"/>
      <c r="N5417" s="94"/>
      <c r="AG5417" s="107"/>
      <c r="AH5417" s="107"/>
      <c r="AI5417" s="107"/>
      <c r="AJ5417" s="107"/>
      <c r="AK5417" s="107"/>
      <c r="AL5417" s="107"/>
      <c r="AM5417" s="107"/>
      <c r="AN5417" s="107"/>
      <c r="AO5417" s="107"/>
      <c r="AP5417" s="107"/>
      <c r="AQ5417" s="107"/>
      <c r="AR5417" s="107"/>
      <c r="AS5417" s="107"/>
      <c r="AT5417" s="107"/>
    </row>
    <row r="5418" spans="1:63" x14ac:dyDescent="0.25">
      <c r="A5418" s="92"/>
      <c r="B5418" s="92"/>
      <c r="C5418" s="92"/>
      <c r="D5418" s="92"/>
      <c r="E5418" s="92"/>
      <c r="F5418" s="92"/>
      <c r="G5418" s="92"/>
      <c r="H5418" s="92"/>
      <c r="I5418" s="92"/>
      <c r="J5418" s="92"/>
      <c r="K5418" s="92"/>
      <c r="L5418" s="92"/>
      <c r="M5418" s="92"/>
      <c r="N5418" s="92"/>
      <c r="AG5418" s="107"/>
      <c r="AH5418" s="117"/>
      <c r="AI5418" s="107"/>
      <c r="AJ5418" s="107"/>
      <c r="AK5418" s="107"/>
      <c r="AL5418" s="107"/>
      <c r="AM5418" s="107"/>
      <c r="AN5418" s="107"/>
      <c r="AO5418" s="107"/>
      <c r="AP5418" s="107"/>
      <c r="AQ5418" s="107"/>
      <c r="AR5418" s="107"/>
      <c r="AS5418" s="107"/>
      <c r="AT5418" s="39"/>
    </row>
    <row r="5419" spans="1:63" x14ac:dyDescent="0.25">
      <c r="A5419" s="92"/>
      <c r="B5419" s="93"/>
      <c r="C5419" s="92"/>
      <c r="D5419" s="93"/>
      <c r="E5419" s="92"/>
      <c r="F5419" s="92"/>
      <c r="G5419" s="92"/>
      <c r="H5419" s="92"/>
      <c r="I5419" s="92"/>
      <c r="J5419" s="92"/>
      <c r="K5419" s="92"/>
      <c r="L5419" s="92"/>
      <c r="M5419" s="92"/>
      <c r="N5419" s="94"/>
      <c r="AG5419" s="107"/>
      <c r="AH5419" s="117"/>
      <c r="AI5419" s="117"/>
      <c r="AJ5419" s="107"/>
      <c r="AK5419" s="107"/>
      <c r="AL5419" s="107"/>
      <c r="AM5419" s="107"/>
      <c r="AN5419" s="107"/>
      <c r="AO5419" s="107"/>
      <c r="AP5419" s="107"/>
      <c r="AQ5419" s="107"/>
      <c r="AR5419" s="107"/>
      <c r="AS5419" s="107"/>
      <c r="AT5419" s="39"/>
      <c r="BA5419" s="117"/>
      <c r="BK5419" s="39"/>
    </row>
    <row r="5420" spans="1:63" x14ac:dyDescent="0.25">
      <c r="A5420" s="92"/>
      <c r="B5420" s="93"/>
      <c r="C5420" s="92"/>
      <c r="D5420" s="93"/>
      <c r="E5420" s="92"/>
      <c r="F5420" s="92"/>
      <c r="G5420" s="92"/>
      <c r="H5420" s="92"/>
      <c r="I5420" s="92"/>
      <c r="J5420" s="92"/>
      <c r="K5420" s="92"/>
      <c r="L5420" s="92"/>
      <c r="M5420" s="92"/>
      <c r="N5420" s="94"/>
      <c r="AG5420" s="107"/>
      <c r="AH5420" s="107"/>
      <c r="AI5420" s="107"/>
      <c r="AJ5420" s="107"/>
      <c r="AK5420" s="107"/>
      <c r="AL5420" s="107"/>
      <c r="AM5420" s="107"/>
      <c r="AN5420" s="107"/>
      <c r="AO5420" s="107"/>
      <c r="AP5420" s="107"/>
      <c r="AQ5420" s="107"/>
      <c r="AR5420" s="107"/>
      <c r="AS5420" s="107"/>
      <c r="AT5420" s="107"/>
      <c r="BA5420" s="117"/>
    </row>
    <row r="5421" spans="1:63" x14ac:dyDescent="0.25">
      <c r="A5421" s="92"/>
      <c r="B5421" s="92"/>
      <c r="C5421" s="92"/>
      <c r="D5421" s="93"/>
      <c r="E5421" s="92"/>
      <c r="F5421" s="92"/>
      <c r="G5421" s="92"/>
      <c r="H5421" s="92"/>
      <c r="I5421" s="92"/>
      <c r="J5421" s="92"/>
      <c r="K5421" s="92"/>
      <c r="L5421" s="92"/>
      <c r="M5421" s="92"/>
      <c r="N5421" s="92"/>
      <c r="AG5421" s="107"/>
      <c r="AH5421" s="107"/>
      <c r="AI5421" s="107"/>
      <c r="AJ5421" s="107"/>
      <c r="AK5421" s="107"/>
      <c r="AL5421" s="107"/>
      <c r="AM5421" s="107"/>
      <c r="AN5421" s="107"/>
      <c r="AO5421" s="107"/>
      <c r="AP5421" s="107"/>
      <c r="AQ5421" s="107"/>
      <c r="AR5421" s="107"/>
      <c r="AS5421" s="107"/>
      <c r="AT5421" s="107"/>
    </row>
    <row r="5422" spans="1:63" x14ac:dyDescent="0.25">
      <c r="A5422" s="92"/>
      <c r="B5422" s="92"/>
      <c r="C5422" s="92"/>
      <c r="D5422" s="92"/>
      <c r="E5422" s="92"/>
      <c r="F5422" s="92"/>
      <c r="G5422" s="92"/>
      <c r="H5422" s="92"/>
      <c r="I5422" s="92"/>
      <c r="J5422" s="92"/>
      <c r="K5422" s="92"/>
      <c r="L5422" s="92"/>
      <c r="M5422" s="92"/>
      <c r="N5422" s="92"/>
      <c r="AG5422" s="107"/>
      <c r="AH5422" s="107"/>
      <c r="AI5422" s="107"/>
      <c r="AJ5422" s="107"/>
      <c r="AK5422" s="107"/>
      <c r="AL5422" s="107"/>
      <c r="AM5422" s="107"/>
      <c r="AN5422" s="107"/>
      <c r="AO5422" s="107"/>
      <c r="AP5422" s="107"/>
      <c r="AQ5422" s="107"/>
      <c r="AR5422" s="107"/>
      <c r="AS5422" s="107"/>
      <c r="AT5422" s="107"/>
    </row>
    <row r="5423" spans="1:63" x14ac:dyDescent="0.25">
      <c r="A5423" s="92"/>
      <c r="B5423" s="93"/>
      <c r="C5423" s="92"/>
      <c r="D5423" s="93"/>
      <c r="E5423" s="92"/>
      <c r="F5423" s="92"/>
      <c r="G5423" s="92"/>
      <c r="H5423" s="92"/>
      <c r="I5423" s="92"/>
      <c r="J5423" s="92"/>
      <c r="K5423" s="92"/>
      <c r="L5423" s="92"/>
      <c r="M5423" s="92"/>
      <c r="N5423" s="94"/>
      <c r="AG5423" s="107"/>
      <c r="AH5423" s="107"/>
      <c r="AI5423" s="107"/>
      <c r="AJ5423" s="107"/>
      <c r="AK5423" s="107"/>
      <c r="AL5423" s="107"/>
      <c r="AM5423" s="107"/>
      <c r="AN5423" s="107"/>
      <c r="AO5423" s="107"/>
      <c r="AP5423" s="107"/>
      <c r="AQ5423" s="107"/>
      <c r="AR5423" s="107"/>
      <c r="AS5423" s="107"/>
      <c r="AT5423" s="107"/>
    </row>
    <row r="5424" spans="1:63" x14ac:dyDescent="0.25">
      <c r="A5424" s="92"/>
      <c r="B5424" s="92"/>
      <c r="C5424" s="92"/>
      <c r="D5424" s="92"/>
      <c r="E5424" s="92"/>
      <c r="F5424" s="92"/>
      <c r="G5424" s="92"/>
      <c r="H5424" s="92"/>
      <c r="I5424" s="92"/>
      <c r="J5424" s="92"/>
      <c r="K5424" s="92"/>
      <c r="L5424" s="92"/>
      <c r="M5424" s="92"/>
      <c r="N5424" s="92"/>
      <c r="AG5424" s="107"/>
      <c r="AH5424" s="107"/>
      <c r="AI5424" s="107"/>
      <c r="AJ5424" s="107"/>
      <c r="AK5424" s="107"/>
      <c r="AL5424" s="107"/>
      <c r="AM5424" s="107"/>
      <c r="AN5424" s="107"/>
      <c r="AO5424" s="107"/>
      <c r="AP5424" s="107"/>
      <c r="AQ5424" s="107"/>
      <c r="AR5424" s="107"/>
      <c r="AS5424" s="107"/>
      <c r="AT5424" s="107"/>
    </row>
    <row r="5425" spans="1:63" x14ac:dyDescent="0.25">
      <c r="A5425" s="92"/>
      <c r="B5425" s="92"/>
      <c r="C5425" s="92"/>
      <c r="D5425" s="92"/>
      <c r="E5425" s="92"/>
      <c r="F5425" s="92"/>
      <c r="G5425" s="92"/>
      <c r="H5425" s="92"/>
      <c r="I5425" s="92"/>
      <c r="J5425" s="92"/>
      <c r="K5425" s="92"/>
      <c r="L5425" s="92"/>
      <c r="M5425" s="92"/>
      <c r="N5425" s="92"/>
      <c r="AG5425" s="107"/>
      <c r="AH5425" s="107"/>
      <c r="AI5425" s="107"/>
      <c r="AJ5425" s="107"/>
      <c r="AK5425" s="107"/>
      <c r="AL5425" s="107"/>
      <c r="AM5425" s="107"/>
      <c r="AN5425" s="107"/>
      <c r="AO5425" s="107"/>
      <c r="AP5425" s="107"/>
      <c r="AQ5425" s="107"/>
      <c r="AR5425" s="107"/>
      <c r="AS5425" s="107"/>
      <c r="AT5425" s="107"/>
      <c r="BA5425" s="117"/>
      <c r="BK5425" s="39"/>
    </row>
    <row r="5426" spans="1:63" x14ac:dyDescent="0.25">
      <c r="A5426" s="92"/>
      <c r="B5426" s="92"/>
      <c r="C5426" s="92"/>
      <c r="D5426" s="92"/>
      <c r="E5426" s="92"/>
      <c r="F5426" s="92"/>
      <c r="G5426" s="92"/>
      <c r="H5426" s="92"/>
      <c r="I5426" s="92"/>
      <c r="J5426" s="92"/>
      <c r="K5426" s="92"/>
      <c r="L5426" s="92"/>
      <c r="M5426" s="92"/>
      <c r="N5426" s="92"/>
      <c r="AG5426" s="107"/>
      <c r="AH5426" s="107"/>
      <c r="AI5426" s="107"/>
      <c r="AJ5426" s="107"/>
      <c r="AK5426" s="107"/>
      <c r="AL5426" s="107"/>
      <c r="AM5426" s="107"/>
      <c r="AN5426" s="107"/>
      <c r="AO5426" s="107"/>
      <c r="AP5426" s="107"/>
      <c r="AQ5426" s="107"/>
      <c r="AR5426" s="107"/>
      <c r="AS5426" s="107"/>
      <c r="AT5426" s="107"/>
      <c r="BK5426" s="39"/>
    </row>
    <row r="5427" spans="1:63" x14ac:dyDescent="0.25">
      <c r="A5427" s="92"/>
      <c r="B5427" s="92"/>
      <c r="C5427" s="92"/>
      <c r="D5427" s="92"/>
      <c r="E5427" s="92"/>
      <c r="F5427" s="92"/>
      <c r="G5427" s="92"/>
      <c r="H5427" s="92"/>
      <c r="I5427" s="92"/>
      <c r="J5427" s="92"/>
      <c r="K5427" s="92"/>
      <c r="L5427" s="92"/>
      <c r="M5427" s="92"/>
      <c r="N5427" s="92"/>
      <c r="AG5427" s="107"/>
      <c r="AH5427" s="107"/>
      <c r="AI5427" s="107"/>
      <c r="AJ5427" s="107"/>
      <c r="AK5427" s="107"/>
      <c r="AL5427" s="107"/>
      <c r="AM5427" s="107"/>
      <c r="AN5427" s="107"/>
      <c r="AO5427" s="107"/>
      <c r="AP5427" s="107"/>
      <c r="AQ5427" s="107"/>
      <c r="AR5427" s="107"/>
      <c r="AS5427" s="107"/>
      <c r="AT5427" s="107"/>
    </row>
    <row r="5428" spans="1:63" x14ac:dyDescent="0.25">
      <c r="A5428" s="92"/>
      <c r="B5428" s="92"/>
      <c r="C5428" s="92"/>
      <c r="D5428" s="92"/>
      <c r="E5428" s="92"/>
      <c r="F5428" s="92"/>
      <c r="G5428" s="92"/>
      <c r="H5428" s="92"/>
      <c r="I5428" s="92"/>
      <c r="J5428" s="92"/>
      <c r="K5428" s="92"/>
      <c r="L5428" s="92"/>
      <c r="M5428" s="92"/>
      <c r="N5428" s="92"/>
      <c r="AG5428" s="107"/>
      <c r="AH5428" s="107"/>
      <c r="AI5428" s="107"/>
      <c r="AJ5428" s="107"/>
      <c r="AK5428" s="107"/>
      <c r="AL5428" s="107"/>
      <c r="AM5428" s="107"/>
      <c r="AN5428" s="107"/>
      <c r="AO5428" s="107"/>
      <c r="AP5428" s="107"/>
      <c r="AQ5428" s="107"/>
      <c r="AR5428" s="107"/>
      <c r="AS5428" s="107"/>
      <c r="AT5428" s="107"/>
      <c r="BA5428" s="117"/>
      <c r="BK5428" s="39"/>
    </row>
    <row r="5429" spans="1:63" x14ac:dyDescent="0.25">
      <c r="A5429" s="92"/>
      <c r="B5429" s="93"/>
      <c r="C5429" s="92"/>
      <c r="D5429" s="93"/>
      <c r="E5429" s="92"/>
      <c r="F5429" s="92"/>
      <c r="G5429" s="92"/>
      <c r="H5429" s="92"/>
      <c r="I5429" s="92"/>
      <c r="J5429" s="92"/>
      <c r="K5429" s="92"/>
      <c r="L5429" s="92"/>
      <c r="M5429" s="92"/>
      <c r="N5429" s="94"/>
      <c r="AG5429" s="107"/>
      <c r="AH5429" s="107"/>
      <c r="AI5429" s="107"/>
      <c r="AJ5429" s="107"/>
      <c r="AK5429" s="107"/>
      <c r="AL5429" s="107"/>
      <c r="AM5429" s="107"/>
      <c r="AN5429" s="107"/>
      <c r="AO5429" s="107"/>
      <c r="AP5429" s="107"/>
      <c r="AQ5429" s="107"/>
      <c r="AR5429" s="107"/>
      <c r="AS5429" s="107"/>
      <c r="AT5429" s="107"/>
      <c r="BA5429" s="117"/>
      <c r="BK5429" s="39"/>
    </row>
    <row r="5430" spans="1:63" x14ac:dyDescent="0.25">
      <c r="A5430" s="92"/>
      <c r="B5430" s="93"/>
      <c r="C5430" s="92"/>
      <c r="D5430" s="93"/>
      <c r="E5430" s="92"/>
      <c r="F5430" s="92"/>
      <c r="G5430" s="92"/>
      <c r="H5430" s="92"/>
      <c r="I5430" s="92"/>
      <c r="J5430" s="92"/>
      <c r="K5430" s="92"/>
      <c r="L5430" s="92"/>
      <c r="M5430" s="92"/>
      <c r="N5430" s="94"/>
      <c r="AG5430" s="107"/>
      <c r="AH5430" s="107"/>
      <c r="AI5430" s="107"/>
      <c r="AJ5430" s="107"/>
      <c r="AK5430" s="107"/>
      <c r="AL5430" s="107"/>
      <c r="AM5430" s="107"/>
      <c r="AN5430" s="107"/>
      <c r="AO5430" s="107"/>
      <c r="AP5430" s="107"/>
      <c r="AQ5430" s="107"/>
      <c r="AR5430" s="107"/>
      <c r="AS5430" s="107"/>
      <c r="AT5430" s="107"/>
      <c r="BA5430" s="117"/>
      <c r="BK5430" s="39"/>
    </row>
    <row r="5431" spans="1:63" x14ac:dyDescent="0.25">
      <c r="A5431" s="92"/>
      <c r="B5431" s="92"/>
      <c r="C5431" s="92"/>
      <c r="D5431" s="93"/>
      <c r="E5431" s="92"/>
      <c r="F5431" s="92"/>
      <c r="G5431" s="92"/>
      <c r="H5431" s="92"/>
      <c r="I5431" s="92"/>
      <c r="J5431" s="92"/>
      <c r="K5431" s="92"/>
      <c r="L5431" s="92"/>
      <c r="M5431" s="92"/>
      <c r="N5431" s="92"/>
      <c r="AG5431" s="107"/>
      <c r="AH5431" s="107"/>
      <c r="AI5431" s="107"/>
      <c r="AJ5431" s="107"/>
      <c r="AK5431" s="107"/>
      <c r="AL5431" s="107"/>
      <c r="AM5431" s="107"/>
      <c r="AN5431" s="107"/>
      <c r="AO5431" s="107"/>
      <c r="AP5431" s="107"/>
      <c r="AQ5431" s="107"/>
      <c r="AR5431" s="107"/>
      <c r="AS5431" s="107"/>
      <c r="AT5431" s="107"/>
    </row>
    <row r="5432" spans="1:63" x14ac:dyDescent="0.25">
      <c r="A5432" s="92"/>
      <c r="B5432" s="92"/>
      <c r="C5432" s="92"/>
      <c r="D5432" s="92"/>
      <c r="E5432" s="92"/>
      <c r="F5432" s="92"/>
      <c r="G5432" s="92"/>
      <c r="H5432" s="92"/>
      <c r="I5432" s="92"/>
      <c r="J5432" s="92"/>
      <c r="K5432" s="92"/>
      <c r="L5432" s="92"/>
      <c r="M5432" s="92"/>
      <c r="N5432" s="92"/>
      <c r="AG5432" s="107"/>
      <c r="AH5432" s="107"/>
      <c r="AI5432" s="107"/>
      <c r="AJ5432" s="107"/>
      <c r="AK5432" s="107"/>
      <c r="AL5432" s="107"/>
      <c r="AM5432" s="107"/>
      <c r="AN5432" s="107"/>
      <c r="AO5432" s="107"/>
      <c r="AP5432" s="107"/>
      <c r="AQ5432" s="107"/>
      <c r="AR5432" s="107"/>
      <c r="AS5432" s="107"/>
      <c r="AT5432" s="107"/>
    </row>
    <row r="5433" spans="1:63" x14ac:dyDescent="0.25">
      <c r="A5433" s="92"/>
      <c r="B5433" s="92"/>
      <c r="C5433" s="92"/>
      <c r="D5433" s="92"/>
      <c r="E5433" s="92"/>
      <c r="F5433" s="92"/>
      <c r="G5433" s="92"/>
      <c r="H5433" s="92"/>
      <c r="I5433" s="92"/>
      <c r="J5433" s="92"/>
      <c r="K5433" s="92"/>
      <c r="L5433" s="92"/>
      <c r="M5433" s="92"/>
      <c r="N5433" s="92"/>
      <c r="AG5433" s="107"/>
      <c r="AH5433" s="107"/>
      <c r="AI5433" s="107"/>
      <c r="AJ5433" s="107"/>
      <c r="AK5433" s="107"/>
      <c r="AL5433" s="107"/>
      <c r="AM5433" s="107"/>
      <c r="AN5433" s="107"/>
      <c r="AO5433" s="107"/>
      <c r="AP5433" s="107"/>
      <c r="AQ5433" s="107"/>
      <c r="AR5433" s="107"/>
      <c r="AS5433" s="107"/>
      <c r="AT5433" s="107"/>
    </row>
    <row r="5434" spans="1:63" x14ac:dyDescent="0.25">
      <c r="A5434" s="92"/>
      <c r="B5434" s="92"/>
      <c r="C5434" s="92"/>
      <c r="D5434" s="92"/>
      <c r="E5434" s="92"/>
      <c r="F5434" s="92"/>
      <c r="G5434" s="92"/>
      <c r="H5434" s="92"/>
      <c r="I5434" s="92"/>
      <c r="J5434" s="92"/>
      <c r="K5434" s="92"/>
      <c r="L5434" s="92"/>
      <c r="M5434" s="92"/>
      <c r="N5434" s="92"/>
      <c r="AG5434" s="107"/>
      <c r="AH5434" s="107"/>
      <c r="AI5434" s="107"/>
      <c r="AJ5434" s="107"/>
      <c r="AK5434" s="107"/>
      <c r="AL5434" s="107"/>
      <c r="AM5434" s="107"/>
      <c r="AN5434" s="107"/>
      <c r="AO5434" s="107"/>
      <c r="AP5434" s="107"/>
      <c r="AQ5434" s="107"/>
      <c r="AR5434" s="107"/>
      <c r="AS5434" s="107"/>
      <c r="AT5434" s="107"/>
    </row>
    <row r="5435" spans="1:63" x14ac:dyDescent="0.25">
      <c r="A5435" s="92"/>
      <c r="B5435" s="92"/>
      <c r="C5435" s="92"/>
      <c r="D5435" s="92"/>
      <c r="E5435" s="92"/>
      <c r="F5435" s="92"/>
      <c r="G5435" s="92"/>
      <c r="H5435" s="92"/>
      <c r="I5435" s="92"/>
      <c r="J5435" s="92"/>
      <c r="K5435" s="92"/>
      <c r="L5435" s="92"/>
      <c r="M5435" s="92"/>
      <c r="N5435" s="92"/>
      <c r="AG5435" s="107"/>
      <c r="AH5435" s="107"/>
      <c r="AI5435" s="107"/>
      <c r="AJ5435" s="107"/>
      <c r="AK5435" s="107"/>
      <c r="AL5435" s="107"/>
      <c r="AM5435" s="107"/>
      <c r="AN5435" s="107"/>
      <c r="AO5435" s="107"/>
      <c r="AP5435" s="107"/>
      <c r="AQ5435" s="107"/>
      <c r="AR5435" s="107"/>
      <c r="AS5435" s="107"/>
      <c r="AT5435" s="107"/>
    </row>
    <row r="5436" spans="1:63" x14ac:dyDescent="0.25">
      <c r="A5436" s="92"/>
      <c r="B5436" s="93"/>
      <c r="C5436" s="92"/>
      <c r="D5436" s="93"/>
      <c r="E5436" s="92"/>
      <c r="F5436" s="92"/>
      <c r="G5436" s="92"/>
      <c r="H5436" s="92"/>
      <c r="I5436" s="92"/>
      <c r="J5436" s="92"/>
      <c r="K5436" s="92"/>
      <c r="L5436" s="92"/>
      <c r="M5436" s="92"/>
      <c r="N5436" s="94"/>
      <c r="AG5436" s="107"/>
      <c r="AH5436" s="107"/>
      <c r="AI5436" s="107"/>
      <c r="AJ5436" s="107"/>
      <c r="AK5436" s="107"/>
      <c r="AL5436" s="107"/>
      <c r="AM5436" s="107"/>
      <c r="AN5436" s="107"/>
      <c r="AO5436" s="107"/>
      <c r="AP5436" s="107"/>
      <c r="AQ5436" s="107"/>
      <c r="AR5436" s="107"/>
      <c r="AS5436" s="107"/>
      <c r="AT5436" s="107"/>
    </row>
    <row r="5437" spans="1:63" x14ac:dyDescent="0.25">
      <c r="A5437" s="92"/>
      <c r="B5437" s="92"/>
      <c r="C5437" s="92"/>
      <c r="D5437" s="92"/>
      <c r="E5437" s="92"/>
      <c r="F5437" s="92"/>
      <c r="G5437" s="92"/>
      <c r="H5437" s="92"/>
      <c r="I5437" s="92"/>
      <c r="J5437" s="92"/>
      <c r="K5437" s="92"/>
      <c r="L5437" s="92"/>
      <c r="M5437" s="92"/>
      <c r="N5437" s="92"/>
      <c r="AG5437" s="107"/>
      <c r="AH5437" s="117"/>
      <c r="AI5437" s="117"/>
      <c r="AJ5437" s="107"/>
      <c r="AK5437" s="107"/>
      <c r="AL5437" s="107"/>
      <c r="AM5437" s="107"/>
      <c r="AN5437" s="107"/>
      <c r="AO5437" s="107"/>
      <c r="AP5437" s="107"/>
      <c r="AQ5437" s="107"/>
      <c r="AR5437" s="107"/>
      <c r="AS5437" s="107"/>
      <c r="AT5437" s="39"/>
    </row>
    <row r="5438" spans="1:63" x14ac:dyDescent="0.25">
      <c r="A5438" s="92"/>
      <c r="B5438" s="92"/>
      <c r="C5438" s="92"/>
      <c r="D5438" s="92"/>
      <c r="E5438" s="92"/>
      <c r="F5438" s="92"/>
      <c r="G5438" s="92"/>
      <c r="H5438" s="92"/>
      <c r="I5438" s="92"/>
      <c r="J5438" s="92"/>
      <c r="K5438" s="92"/>
      <c r="L5438" s="92"/>
      <c r="M5438" s="92"/>
      <c r="N5438" s="92"/>
      <c r="AG5438" s="107"/>
      <c r="AH5438" s="117"/>
      <c r="AI5438" s="107"/>
      <c r="AJ5438" s="117"/>
      <c r="AK5438" s="107"/>
      <c r="AL5438" s="107"/>
      <c r="AM5438" s="107"/>
      <c r="AN5438" s="107"/>
      <c r="AO5438" s="107"/>
      <c r="AP5438" s="107"/>
      <c r="AQ5438" s="107"/>
      <c r="AR5438" s="107"/>
      <c r="AS5438" s="107"/>
      <c r="AT5438" s="39"/>
      <c r="BK5438" s="39"/>
    </row>
    <row r="5439" spans="1:63" x14ac:dyDescent="0.25">
      <c r="A5439" s="92"/>
      <c r="B5439" s="92"/>
      <c r="C5439" s="92"/>
      <c r="D5439" s="92"/>
      <c r="E5439" s="92"/>
      <c r="F5439" s="92"/>
      <c r="G5439" s="92"/>
      <c r="H5439" s="92"/>
      <c r="I5439" s="92"/>
      <c r="J5439" s="92"/>
      <c r="K5439" s="92"/>
      <c r="L5439" s="92"/>
      <c r="M5439" s="92"/>
      <c r="N5439" s="92"/>
      <c r="AG5439" s="107"/>
      <c r="AH5439" s="117"/>
      <c r="AI5439" s="107"/>
      <c r="AJ5439" s="117"/>
      <c r="AK5439" s="107"/>
      <c r="AL5439" s="107"/>
      <c r="AM5439" s="107"/>
      <c r="AN5439" s="107"/>
      <c r="AO5439" s="107"/>
      <c r="AP5439" s="107"/>
      <c r="AQ5439" s="107"/>
      <c r="AR5439" s="107"/>
      <c r="AS5439" s="107"/>
      <c r="AT5439" s="39"/>
      <c r="BA5439" s="117"/>
      <c r="BK5439" s="39"/>
    </row>
    <row r="5440" spans="1:63" x14ac:dyDescent="0.25">
      <c r="A5440" s="92"/>
      <c r="B5440" s="92"/>
      <c r="C5440" s="92"/>
      <c r="D5440" s="92"/>
      <c r="E5440" s="92"/>
      <c r="F5440" s="92"/>
      <c r="G5440" s="92"/>
      <c r="H5440" s="92"/>
      <c r="I5440" s="92"/>
      <c r="J5440" s="92"/>
      <c r="K5440" s="92"/>
      <c r="L5440" s="92"/>
      <c r="M5440" s="92"/>
      <c r="N5440" s="92"/>
      <c r="AG5440" s="107"/>
      <c r="AH5440" s="107"/>
      <c r="AI5440" s="107"/>
      <c r="AJ5440" s="107"/>
      <c r="AK5440" s="107"/>
      <c r="AL5440" s="107"/>
      <c r="AM5440" s="107"/>
      <c r="AN5440" s="107"/>
      <c r="AO5440" s="107"/>
      <c r="AP5440" s="107"/>
      <c r="AQ5440" s="107"/>
      <c r="AR5440" s="107"/>
      <c r="AS5440" s="107"/>
      <c r="AT5440" s="107"/>
    </row>
    <row r="5441" spans="1:63" x14ac:dyDescent="0.25">
      <c r="A5441" s="92"/>
      <c r="B5441" s="92"/>
      <c r="C5441" s="92"/>
      <c r="D5441" s="92"/>
      <c r="E5441" s="92"/>
      <c r="F5441" s="92"/>
      <c r="G5441" s="92"/>
      <c r="H5441" s="92"/>
      <c r="I5441" s="92"/>
      <c r="J5441" s="92"/>
      <c r="K5441" s="92"/>
      <c r="L5441" s="92"/>
      <c r="M5441" s="92"/>
      <c r="N5441" s="92"/>
      <c r="AG5441" s="107"/>
      <c r="AH5441" s="107"/>
      <c r="AI5441" s="107"/>
      <c r="AJ5441" s="107"/>
      <c r="AK5441" s="107"/>
      <c r="AL5441" s="107"/>
      <c r="AM5441" s="107"/>
      <c r="AN5441" s="107"/>
      <c r="AO5441" s="107"/>
      <c r="AP5441" s="107"/>
      <c r="AQ5441" s="107"/>
      <c r="AR5441" s="107"/>
      <c r="AS5441" s="107"/>
      <c r="AT5441" s="107"/>
    </row>
    <row r="5442" spans="1:63" x14ac:dyDescent="0.25">
      <c r="A5442" s="92"/>
      <c r="B5442" s="93"/>
      <c r="C5442" s="92"/>
      <c r="D5442" s="93"/>
      <c r="E5442" s="92"/>
      <c r="F5442" s="92"/>
      <c r="G5442" s="92"/>
      <c r="H5442" s="92"/>
      <c r="I5442" s="92"/>
      <c r="J5442" s="92"/>
      <c r="K5442" s="92"/>
      <c r="L5442" s="92"/>
      <c r="M5442" s="92"/>
      <c r="N5442" s="94"/>
      <c r="AG5442" s="107"/>
      <c r="AH5442" s="107"/>
      <c r="AI5442" s="107"/>
      <c r="AJ5442" s="107"/>
      <c r="AK5442" s="107"/>
      <c r="AL5442" s="107"/>
      <c r="AM5442" s="107"/>
      <c r="AN5442" s="107"/>
      <c r="AO5442" s="107"/>
      <c r="AP5442" s="107"/>
      <c r="AQ5442" s="107"/>
      <c r="AR5442" s="107"/>
      <c r="AS5442" s="107"/>
      <c r="AT5442" s="107"/>
    </row>
    <row r="5443" spans="1:63" x14ac:dyDescent="0.25">
      <c r="A5443" s="92"/>
      <c r="B5443" s="93"/>
      <c r="C5443" s="92"/>
      <c r="D5443" s="93"/>
      <c r="E5443" s="92"/>
      <c r="F5443" s="92"/>
      <c r="G5443" s="92"/>
      <c r="H5443" s="92"/>
      <c r="I5443" s="92"/>
      <c r="J5443" s="92"/>
      <c r="K5443" s="92"/>
      <c r="L5443" s="92"/>
      <c r="M5443" s="92"/>
      <c r="N5443" s="94"/>
      <c r="AG5443" s="107"/>
      <c r="AH5443" s="107"/>
      <c r="AI5443" s="107"/>
      <c r="AJ5443" s="107"/>
      <c r="AK5443" s="107"/>
      <c r="AL5443" s="107"/>
      <c r="AM5443" s="107"/>
      <c r="AN5443" s="107"/>
      <c r="AO5443" s="107"/>
      <c r="AP5443" s="107"/>
      <c r="AQ5443" s="107"/>
      <c r="AR5443" s="107"/>
      <c r="AS5443" s="107"/>
      <c r="AT5443" s="107"/>
      <c r="BK5443" s="39"/>
    </row>
    <row r="5444" spans="1:63" x14ac:dyDescent="0.25">
      <c r="A5444" s="92"/>
      <c r="B5444" s="92"/>
      <c r="C5444" s="92"/>
      <c r="D5444" s="92"/>
      <c r="E5444" s="92"/>
      <c r="F5444" s="92"/>
      <c r="G5444" s="92"/>
      <c r="H5444" s="92"/>
      <c r="I5444" s="92"/>
      <c r="J5444" s="92"/>
      <c r="K5444" s="92"/>
      <c r="L5444" s="92"/>
      <c r="M5444" s="92"/>
      <c r="N5444" s="92"/>
      <c r="AG5444" s="107"/>
      <c r="AH5444" s="117"/>
      <c r="AI5444" s="107"/>
      <c r="AJ5444" s="117"/>
      <c r="AK5444" s="107"/>
      <c r="AL5444" s="107"/>
      <c r="AM5444" s="107"/>
      <c r="AN5444" s="107"/>
      <c r="AO5444" s="107"/>
      <c r="AP5444" s="107"/>
      <c r="AQ5444" s="107"/>
      <c r="AR5444" s="107"/>
      <c r="AS5444" s="107"/>
      <c r="AT5444" s="39"/>
      <c r="BA5444" s="117"/>
      <c r="BK5444" s="39"/>
    </row>
    <row r="5445" spans="1:63" x14ac:dyDescent="0.25">
      <c r="A5445" s="92"/>
      <c r="B5445" s="92"/>
      <c r="C5445" s="92"/>
      <c r="D5445" s="92"/>
      <c r="E5445" s="92"/>
      <c r="F5445" s="92"/>
      <c r="G5445" s="92"/>
      <c r="H5445" s="92"/>
      <c r="I5445" s="92"/>
      <c r="J5445" s="92"/>
      <c r="K5445" s="92"/>
      <c r="L5445" s="92"/>
      <c r="M5445" s="92"/>
      <c r="N5445" s="92"/>
      <c r="AG5445" s="107"/>
      <c r="AH5445" s="107"/>
      <c r="AI5445" s="107"/>
      <c r="AJ5445" s="107"/>
      <c r="AK5445" s="107"/>
      <c r="AL5445" s="107"/>
      <c r="AM5445" s="107"/>
      <c r="AN5445" s="107"/>
      <c r="AO5445" s="107"/>
      <c r="AP5445" s="107"/>
      <c r="AQ5445" s="107"/>
      <c r="AR5445" s="107"/>
      <c r="AS5445" s="107"/>
      <c r="AT5445" s="107"/>
    </row>
    <row r="5446" spans="1:63" x14ac:dyDescent="0.25">
      <c r="A5446" s="92"/>
      <c r="B5446" s="92"/>
      <c r="C5446" s="92"/>
      <c r="D5446" s="92"/>
      <c r="E5446" s="92"/>
      <c r="F5446" s="92"/>
      <c r="G5446" s="92"/>
      <c r="H5446" s="92"/>
      <c r="I5446" s="92"/>
      <c r="J5446" s="92"/>
      <c r="K5446" s="92"/>
      <c r="L5446" s="92"/>
      <c r="M5446" s="92"/>
      <c r="N5446" s="92"/>
      <c r="AG5446" s="107"/>
      <c r="AH5446" s="107"/>
      <c r="AI5446" s="107"/>
      <c r="AJ5446" s="107"/>
      <c r="AK5446" s="107"/>
      <c r="AL5446" s="107"/>
      <c r="AM5446" s="107"/>
      <c r="AN5446" s="107"/>
      <c r="AO5446" s="107"/>
      <c r="AP5446" s="107"/>
      <c r="AQ5446" s="107"/>
      <c r="AR5446" s="107"/>
      <c r="AS5446" s="107"/>
      <c r="AT5446" s="107"/>
      <c r="BK5446" s="39"/>
    </row>
    <row r="5447" spans="1:63" x14ac:dyDescent="0.25">
      <c r="A5447" s="92"/>
      <c r="B5447" s="92"/>
      <c r="C5447" s="92"/>
      <c r="D5447" s="92"/>
      <c r="E5447" s="92"/>
      <c r="F5447" s="92"/>
      <c r="G5447" s="92"/>
      <c r="H5447" s="92"/>
      <c r="I5447" s="92"/>
      <c r="J5447" s="92"/>
      <c r="K5447" s="92"/>
      <c r="L5447" s="92"/>
      <c r="M5447" s="92"/>
      <c r="N5447" s="92"/>
      <c r="AG5447" s="107"/>
      <c r="AH5447" s="107"/>
      <c r="AI5447" s="107"/>
      <c r="AJ5447" s="107"/>
      <c r="AK5447" s="107"/>
      <c r="AL5447" s="107"/>
      <c r="AM5447" s="107"/>
      <c r="AN5447" s="107"/>
      <c r="AO5447" s="107"/>
      <c r="AP5447" s="107"/>
      <c r="AQ5447" s="107"/>
      <c r="AR5447" s="107"/>
      <c r="AS5447" s="107"/>
      <c r="AT5447" s="107"/>
      <c r="BA5447" s="117"/>
      <c r="BK5447" s="39"/>
    </row>
    <row r="5448" spans="1:63" x14ac:dyDescent="0.25">
      <c r="A5448" s="92"/>
      <c r="B5448" s="92"/>
      <c r="C5448" s="92"/>
      <c r="D5448" s="92"/>
      <c r="E5448" s="92"/>
      <c r="F5448" s="92"/>
      <c r="G5448" s="92"/>
      <c r="H5448" s="92"/>
      <c r="I5448" s="92"/>
      <c r="J5448" s="92"/>
      <c r="K5448" s="92"/>
      <c r="L5448" s="92"/>
      <c r="M5448" s="92"/>
      <c r="N5448" s="92"/>
      <c r="AG5448" s="107"/>
      <c r="AH5448" s="107"/>
      <c r="AI5448" s="107"/>
      <c r="AJ5448" s="107"/>
      <c r="AK5448" s="107"/>
      <c r="AL5448" s="107"/>
      <c r="AM5448" s="107"/>
      <c r="AN5448" s="107"/>
      <c r="AO5448" s="107"/>
      <c r="AP5448" s="107"/>
      <c r="AQ5448" s="107"/>
      <c r="AR5448" s="107"/>
      <c r="AS5448" s="107"/>
      <c r="AT5448" s="107"/>
    </row>
    <row r="5449" spans="1:63" x14ac:dyDescent="0.25">
      <c r="A5449" s="92"/>
      <c r="B5449" s="92"/>
      <c r="C5449" s="92"/>
      <c r="D5449" s="92"/>
      <c r="E5449" s="92"/>
      <c r="F5449" s="92"/>
      <c r="G5449" s="92"/>
      <c r="H5449" s="92"/>
      <c r="I5449" s="92"/>
      <c r="J5449" s="92"/>
      <c r="K5449" s="92"/>
      <c r="L5449" s="92"/>
      <c r="M5449" s="92"/>
      <c r="N5449" s="92"/>
      <c r="AG5449" s="107"/>
      <c r="AH5449" s="107"/>
      <c r="AI5449" s="107"/>
      <c r="AJ5449" s="107"/>
      <c r="AK5449" s="107"/>
      <c r="AL5449" s="107"/>
      <c r="AM5449" s="107"/>
      <c r="AN5449" s="107"/>
      <c r="AO5449" s="107"/>
      <c r="AP5449" s="107"/>
      <c r="AQ5449" s="107"/>
      <c r="AR5449" s="107"/>
      <c r="AS5449" s="107"/>
      <c r="AT5449" s="107"/>
    </row>
    <row r="5450" spans="1:63" x14ac:dyDescent="0.25">
      <c r="A5450" s="92"/>
      <c r="B5450" s="92"/>
      <c r="C5450" s="92"/>
      <c r="D5450" s="92"/>
      <c r="E5450" s="92"/>
      <c r="F5450" s="92"/>
      <c r="G5450" s="92"/>
      <c r="H5450" s="92"/>
      <c r="I5450" s="92"/>
      <c r="J5450" s="92"/>
      <c r="K5450" s="92"/>
      <c r="L5450" s="92"/>
      <c r="M5450" s="92"/>
      <c r="N5450" s="92"/>
      <c r="AG5450" s="107"/>
      <c r="AH5450" s="107"/>
      <c r="AI5450" s="107"/>
      <c r="AJ5450" s="107"/>
      <c r="AK5450" s="107"/>
      <c r="AL5450" s="107"/>
      <c r="AM5450" s="107"/>
      <c r="AN5450" s="107"/>
      <c r="AO5450" s="107"/>
      <c r="AP5450" s="107"/>
      <c r="AQ5450" s="107"/>
      <c r="AR5450" s="107"/>
      <c r="AS5450" s="107"/>
      <c r="AT5450" s="107"/>
    </row>
    <row r="5451" spans="1:63" x14ac:dyDescent="0.25">
      <c r="A5451" s="92"/>
      <c r="B5451" s="93"/>
      <c r="C5451" s="92"/>
      <c r="D5451" s="93"/>
      <c r="E5451" s="92"/>
      <c r="F5451" s="92"/>
      <c r="G5451" s="92"/>
      <c r="H5451" s="92"/>
      <c r="I5451" s="92"/>
      <c r="J5451" s="92"/>
      <c r="K5451" s="92"/>
      <c r="L5451" s="92"/>
      <c r="M5451" s="92"/>
      <c r="N5451" s="94"/>
      <c r="AG5451" s="107"/>
      <c r="AH5451" s="107"/>
      <c r="AI5451" s="107"/>
      <c r="AJ5451" s="107"/>
      <c r="AK5451" s="107"/>
      <c r="AL5451" s="107"/>
      <c r="AM5451" s="107"/>
      <c r="AN5451" s="107"/>
      <c r="AO5451" s="107"/>
      <c r="AP5451" s="107"/>
      <c r="AQ5451" s="107"/>
      <c r="AR5451" s="107"/>
      <c r="AS5451" s="107"/>
      <c r="AT5451" s="107"/>
    </row>
    <row r="5452" spans="1:63" x14ac:dyDescent="0.25">
      <c r="A5452" s="92"/>
      <c r="B5452" s="92"/>
      <c r="C5452" s="92"/>
      <c r="D5452" s="92"/>
      <c r="E5452" s="92"/>
      <c r="F5452" s="92"/>
      <c r="G5452" s="92"/>
      <c r="H5452" s="92"/>
      <c r="I5452" s="92"/>
      <c r="J5452" s="92"/>
      <c r="K5452" s="92"/>
      <c r="L5452" s="92"/>
      <c r="M5452" s="92"/>
      <c r="N5452" s="92"/>
      <c r="AG5452" s="107"/>
      <c r="AH5452" s="107"/>
      <c r="AI5452" s="107"/>
      <c r="AJ5452" s="107"/>
      <c r="AK5452" s="107"/>
      <c r="AL5452" s="107"/>
      <c r="AM5452" s="107"/>
      <c r="AN5452" s="107"/>
      <c r="AO5452" s="107"/>
      <c r="AP5452" s="107"/>
      <c r="AQ5452" s="107"/>
      <c r="AR5452" s="107"/>
      <c r="AS5452" s="107"/>
      <c r="AT5452" s="107"/>
    </row>
    <row r="5453" spans="1:63" x14ac:dyDescent="0.25">
      <c r="A5453" s="92"/>
      <c r="B5453" s="92"/>
      <c r="C5453" s="92"/>
      <c r="D5453" s="92"/>
      <c r="E5453" s="92"/>
      <c r="F5453" s="92"/>
      <c r="G5453" s="92"/>
      <c r="H5453" s="92"/>
      <c r="I5453" s="92"/>
      <c r="J5453" s="92"/>
      <c r="K5453" s="92"/>
      <c r="L5453" s="92"/>
      <c r="M5453" s="92"/>
      <c r="N5453" s="92"/>
      <c r="AG5453" s="107"/>
      <c r="AH5453" s="107"/>
      <c r="AI5453" s="107"/>
      <c r="AJ5453" s="107"/>
      <c r="AK5453" s="107"/>
      <c r="AL5453" s="107"/>
      <c r="AM5453" s="107"/>
      <c r="AN5453" s="107"/>
      <c r="AO5453" s="107"/>
      <c r="AP5453" s="107"/>
      <c r="AQ5453" s="107"/>
      <c r="AR5453" s="107"/>
      <c r="AS5453" s="107"/>
      <c r="AT5453" s="107"/>
      <c r="BK5453" s="39"/>
    </row>
    <row r="5454" spans="1:63" x14ac:dyDescent="0.25">
      <c r="A5454" s="92"/>
      <c r="B5454" s="92"/>
      <c r="C5454" s="92"/>
      <c r="D5454" s="92"/>
      <c r="E5454" s="92"/>
      <c r="F5454" s="92"/>
      <c r="G5454" s="92"/>
      <c r="H5454" s="92"/>
      <c r="I5454" s="92"/>
      <c r="J5454" s="92"/>
      <c r="K5454" s="92"/>
      <c r="L5454" s="92"/>
      <c r="M5454" s="92"/>
      <c r="N5454" s="92"/>
      <c r="AG5454" s="107"/>
      <c r="AH5454" s="107"/>
      <c r="AI5454" s="107"/>
      <c r="AJ5454" s="107"/>
      <c r="AK5454" s="107"/>
      <c r="AL5454" s="107"/>
      <c r="AM5454" s="107"/>
      <c r="AN5454" s="107"/>
      <c r="AO5454" s="107"/>
      <c r="AP5454" s="107"/>
      <c r="AQ5454" s="107"/>
      <c r="AR5454" s="107"/>
      <c r="AS5454" s="107"/>
      <c r="AT5454" s="107"/>
      <c r="BK5454" s="39"/>
    </row>
    <row r="5455" spans="1:63" x14ac:dyDescent="0.25">
      <c r="A5455" s="92"/>
      <c r="B5455" s="92"/>
      <c r="C5455" s="92"/>
      <c r="D5455" s="92"/>
      <c r="E5455" s="92"/>
      <c r="F5455" s="92"/>
      <c r="G5455" s="92"/>
      <c r="H5455" s="92"/>
      <c r="I5455" s="92"/>
      <c r="J5455" s="92"/>
      <c r="K5455" s="92"/>
      <c r="L5455" s="92"/>
      <c r="M5455" s="92"/>
      <c r="N5455" s="92"/>
      <c r="AG5455" s="107"/>
      <c r="AH5455" s="107"/>
      <c r="AI5455" s="107"/>
      <c r="AJ5455" s="107"/>
      <c r="AK5455" s="107"/>
      <c r="AL5455" s="107"/>
      <c r="AM5455" s="107"/>
      <c r="AN5455" s="107"/>
      <c r="AO5455" s="107"/>
      <c r="AP5455" s="107"/>
      <c r="AQ5455" s="107"/>
      <c r="AR5455" s="107"/>
      <c r="AS5455" s="107"/>
      <c r="AT5455" s="107"/>
      <c r="AZ5455" s="117"/>
      <c r="BK5455" s="39"/>
    </row>
    <row r="5456" spans="1:63" x14ac:dyDescent="0.25">
      <c r="A5456" s="92"/>
      <c r="B5456" s="92"/>
      <c r="C5456" s="92"/>
      <c r="D5456" s="92"/>
      <c r="E5456" s="92"/>
      <c r="F5456" s="92"/>
      <c r="G5456" s="92"/>
      <c r="H5456" s="92"/>
      <c r="I5456" s="92"/>
      <c r="J5456" s="92"/>
      <c r="K5456" s="92"/>
      <c r="L5456" s="92"/>
      <c r="M5456" s="92"/>
      <c r="N5456" s="92"/>
      <c r="AG5456" s="107"/>
      <c r="AH5456" s="107"/>
      <c r="AI5456" s="107"/>
      <c r="AJ5456" s="107"/>
      <c r="AK5456" s="107"/>
      <c r="AL5456" s="107"/>
      <c r="AM5456" s="107"/>
      <c r="AN5456" s="107"/>
      <c r="AO5456" s="107"/>
      <c r="AP5456" s="107"/>
      <c r="AQ5456" s="107"/>
      <c r="AR5456" s="107"/>
      <c r="AS5456" s="107"/>
      <c r="AT5456" s="107"/>
    </row>
    <row r="5457" spans="1:63" x14ac:dyDescent="0.25">
      <c r="A5457" s="92"/>
      <c r="B5457" s="92"/>
      <c r="C5457" s="92"/>
      <c r="D5457" s="92"/>
      <c r="E5457" s="92"/>
      <c r="F5457" s="92"/>
      <c r="G5457" s="92"/>
      <c r="H5457" s="92"/>
      <c r="I5457" s="92"/>
      <c r="J5457" s="92"/>
      <c r="K5457" s="92"/>
      <c r="L5457" s="92"/>
      <c r="M5457" s="92"/>
      <c r="N5457" s="92"/>
      <c r="AG5457" s="107"/>
      <c r="AH5457" s="107"/>
      <c r="AI5457" s="107"/>
      <c r="AJ5457" s="107"/>
      <c r="AK5457" s="107"/>
      <c r="AL5457" s="107"/>
      <c r="AM5457" s="107"/>
      <c r="AN5457" s="107"/>
      <c r="AO5457" s="107"/>
      <c r="AP5457" s="107"/>
      <c r="AQ5457" s="107"/>
      <c r="AR5457" s="107"/>
      <c r="AS5457" s="107"/>
      <c r="AT5457" s="107"/>
    </row>
    <row r="5458" spans="1:63" x14ac:dyDescent="0.25">
      <c r="A5458" s="92"/>
      <c r="B5458" s="92"/>
      <c r="C5458" s="92"/>
      <c r="D5458" s="92"/>
      <c r="E5458" s="92"/>
      <c r="F5458" s="92"/>
      <c r="G5458" s="92"/>
      <c r="H5458" s="92"/>
      <c r="I5458" s="92"/>
      <c r="J5458" s="92"/>
      <c r="K5458" s="92"/>
      <c r="L5458" s="92"/>
      <c r="M5458" s="92"/>
      <c r="N5458" s="92"/>
      <c r="AG5458" s="107"/>
      <c r="AH5458" s="117"/>
      <c r="AI5458" s="107"/>
      <c r="AJ5458" s="117"/>
      <c r="AK5458" s="107"/>
      <c r="AL5458" s="107"/>
      <c r="AM5458" s="107"/>
      <c r="AN5458" s="107"/>
      <c r="AO5458" s="107"/>
      <c r="AP5458" s="107"/>
      <c r="AQ5458" s="107"/>
      <c r="AR5458" s="107"/>
      <c r="AS5458" s="107"/>
      <c r="AT5458" s="39"/>
    </row>
    <row r="5459" spans="1:63" x14ac:dyDescent="0.25">
      <c r="A5459" s="92"/>
      <c r="B5459" s="92"/>
      <c r="C5459" s="92"/>
      <c r="D5459" s="92"/>
      <c r="E5459" s="92"/>
      <c r="F5459" s="92"/>
      <c r="G5459" s="92"/>
      <c r="H5459" s="92"/>
      <c r="I5459" s="92"/>
      <c r="J5459" s="92"/>
      <c r="K5459" s="92"/>
      <c r="L5459" s="92"/>
      <c r="M5459" s="92"/>
      <c r="N5459" s="92"/>
      <c r="AG5459" s="107"/>
      <c r="AH5459" s="117"/>
      <c r="AI5459" s="107"/>
      <c r="AJ5459" s="117"/>
      <c r="AK5459" s="107"/>
      <c r="AL5459" s="107"/>
      <c r="AM5459" s="107"/>
      <c r="AN5459" s="107"/>
      <c r="AO5459" s="107"/>
      <c r="AP5459" s="107"/>
      <c r="AQ5459" s="107"/>
      <c r="AR5459" s="107"/>
      <c r="AS5459" s="107"/>
      <c r="AT5459" s="39"/>
      <c r="BK5459" s="39"/>
    </row>
    <row r="5460" spans="1:63" x14ac:dyDescent="0.25">
      <c r="A5460" s="92"/>
      <c r="B5460" s="92"/>
      <c r="C5460" s="92"/>
      <c r="D5460" s="92"/>
      <c r="E5460" s="92"/>
      <c r="F5460" s="92"/>
      <c r="G5460" s="92"/>
      <c r="H5460" s="92"/>
      <c r="I5460" s="92"/>
      <c r="J5460" s="92"/>
      <c r="K5460" s="92"/>
      <c r="L5460" s="92"/>
      <c r="M5460" s="92"/>
      <c r="N5460" s="92"/>
      <c r="AG5460" s="107"/>
      <c r="AH5460" s="107"/>
      <c r="AI5460" s="107"/>
      <c r="AJ5460" s="107"/>
      <c r="AK5460" s="107"/>
      <c r="AL5460" s="107"/>
      <c r="AM5460" s="107"/>
      <c r="AN5460" s="107"/>
      <c r="AO5460" s="107"/>
      <c r="AP5460" s="107"/>
      <c r="AQ5460" s="107"/>
      <c r="AR5460" s="107"/>
      <c r="AS5460" s="107"/>
      <c r="AT5460" s="107"/>
      <c r="BA5460" s="117"/>
      <c r="BK5460" s="39"/>
    </row>
    <row r="5461" spans="1:63" x14ac:dyDescent="0.25">
      <c r="A5461" s="92"/>
      <c r="B5461" s="92"/>
      <c r="C5461" s="92"/>
      <c r="D5461" s="92"/>
      <c r="E5461" s="92"/>
      <c r="F5461" s="92"/>
      <c r="G5461" s="92"/>
      <c r="H5461" s="92"/>
      <c r="I5461" s="92"/>
      <c r="J5461" s="92"/>
      <c r="K5461" s="92"/>
      <c r="L5461" s="92"/>
      <c r="M5461" s="92"/>
      <c r="N5461" s="92"/>
      <c r="AG5461" s="107"/>
      <c r="AH5461" s="107"/>
      <c r="AI5461" s="107"/>
      <c r="AJ5461" s="107"/>
      <c r="AK5461" s="107"/>
      <c r="AL5461" s="107"/>
      <c r="AM5461" s="107"/>
      <c r="AN5461" s="107"/>
      <c r="AO5461" s="107"/>
      <c r="AP5461" s="107"/>
      <c r="AQ5461" s="107"/>
      <c r="AR5461" s="107"/>
      <c r="AS5461" s="107"/>
      <c r="AT5461" s="107"/>
    </row>
    <row r="5462" spans="1:63" x14ac:dyDescent="0.25">
      <c r="A5462" s="92"/>
      <c r="B5462" s="92"/>
      <c r="C5462" s="92"/>
      <c r="D5462" s="92"/>
      <c r="E5462" s="92"/>
      <c r="F5462" s="92"/>
      <c r="G5462" s="92"/>
      <c r="H5462" s="92"/>
      <c r="I5462" s="92"/>
      <c r="J5462" s="92"/>
      <c r="K5462" s="92"/>
      <c r="L5462" s="92"/>
      <c r="M5462" s="92"/>
      <c r="N5462" s="92"/>
      <c r="AG5462" s="107"/>
      <c r="AH5462" s="107"/>
      <c r="AI5462" s="107"/>
      <c r="AJ5462" s="107"/>
      <c r="AK5462" s="107"/>
      <c r="AL5462" s="107"/>
      <c r="AM5462" s="107"/>
      <c r="AN5462" s="107"/>
      <c r="AO5462" s="107"/>
      <c r="AP5462" s="107"/>
      <c r="AQ5462" s="107"/>
      <c r="AR5462" s="107"/>
      <c r="AS5462" s="107"/>
      <c r="AT5462" s="107"/>
    </row>
    <row r="5463" spans="1:63" x14ac:dyDescent="0.25">
      <c r="A5463" s="92"/>
      <c r="B5463" s="92"/>
      <c r="C5463" s="92"/>
      <c r="D5463" s="92"/>
      <c r="E5463" s="92"/>
      <c r="F5463" s="92"/>
      <c r="G5463" s="92"/>
      <c r="H5463" s="92"/>
      <c r="I5463" s="92"/>
      <c r="J5463" s="92"/>
      <c r="K5463" s="92"/>
      <c r="L5463" s="92"/>
      <c r="M5463" s="92"/>
      <c r="N5463" s="92"/>
      <c r="AG5463" s="107"/>
      <c r="AH5463" s="107"/>
      <c r="AI5463" s="107"/>
      <c r="AJ5463" s="107"/>
      <c r="AK5463" s="107"/>
      <c r="AL5463" s="107"/>
      <c r="AM5463" s="107"/>
      <c r="AN5463" s="107"/>
      <c r="AO5463" s="107"/>
      <c r="AP5463" s="107"/>
      <c r="AQ5463" s="107"/>
      <c r="AR5463" s="107"/>
      <c r="AS5463" s="107"/>
      <c r="AT5463" s="107"/>
    </row>
    <row r="5464" spans="1:63" x14ac:dyDescent="0.25">
      <c r="A5464" s="92"/>
      <c r="B5464" s="92"/>
      <c r="C5464" s="92"/>
      <c r="D5464" s="92"/>
      <c r="E5464" s="92"/>
      <c r="F5464" s="92"/>
      <c r="G5464" s="92"/>
      <c r="H5464" s="92"/>
      <c r="I5464" s="92"/>
      <c r="J5464" s="92"/>
      <c r="K5464" s="92"/>
      <c r="L5464" s="92"/>
      <c r="M5464" s="92"/>
      <c r="N5464" s="92"/>
      <c r="AG5464" s="107"/>
      <c r="AH5464" s="107"/>
      <c r="AI5464" s="107"/>
      <c r="AJ5464" s="107"/>
      <c r="AK5464" s="107"/>
      <c r="AL5464" s="107"/>
      <c r="AM5464" s="107"/>
      <c r="AN5464" s="107"/>
      <c r="AO5464" s="107"/>
      <c r="AP5464" s="107"/>
      <c r="AQ5464" s="107"/>
      <c r="AR5464" s="107"/>
      <c r="AS5464" s="107"/>
      <c r="AT5464" s="107"/>
      <c r="BK5464" s="39"/>
    </row>
    <row r="5465" spans="1:63" x14ac:dyDescent="0.25">
      <c r="A5465" s="92"/>
      <c r="B5465" s="92"/>
      <c r="C5465" s="92"/>
      <c r="D5465" s="92"/>
      <c r="E5465" s="92"/>
      <c r="F5465" s="92"/>
      <c r="G5465" s="92"/>
      <c r="H5465" s="92"/>
      <c r="I5465" s="92"/>
      <c r="J5465" s="92"/>
      <c r="K5465" s="92"/>
      <c r="L5465" s="92"/>
      <c r="M5465" s="92"/>
      <c r="N5465" s="92"/>
      <c r="AG5465" s="107"/>
      <c r="AH5465" s="117"/>
      <c r="AI5465" s="107"/>
      <c r="AJ5465" s="117"/>
      <c r="AK5465" s="107"/>
      <c r="AL5465" s="107"/>
      <c r="AM5465" s="107"/>
      <c r="AN5465" s="107"/>
      <c r="AO5465" s="107"/>
      <c r="AP5465" s="107"/>
      <c r="AQ5465" s="107"/>
      <c r="AR5465" s="107"/>
      <c r="AS5465" s="107"/>
      <c r="AT5465" s="39"/>
    </row>
    <row r="5466" spans="1:63" x14ac:dyDescent="0.25">
      <c r="A5466" s="92"/>
      <c r="B5466" s="92"/>
      <c r="C5466" s="92"/>
      <c r="D5466" s="92"/>
      <c r="E5466" s="92"/>
      <c r="F5466" s="92"/>
      <c r="G5466" s="92"/>
      <c r="H5466" s="92"/>
      <c r="I5466" s="92"/>
      <c r="J5466" s="92"/>
      <c r="K5466" s="92"/>
      <c r="L5466" s="92"/>
      <c r="M5466" s="92"/>
      <c r="N5466" s="92"/>
      <c r="AG5466" s="107"/>
      <c r="AH5466" s="117"/>
      <c r="AI5466" s="107"/>
      <c r="AJ5466" s="117"/>
      <c r="AK5466" s="107"/>
      <c r="AL5466" s="107"/>
      <c r="AM5466" s="107"/>
      <c r="AN5466" s="107"/>
      <c r="AO5466" s="107"/>
      <c r="AP5466" s="107"/>
      <c r="AQ5466" s="107"/>
      <c r="AR5466" s="107"/>
      <c r="AS5466" s="107"/>
      <c r="AT5466" s="39"/>
      <c r="BA5466" s="117"/>
      <c r="BK5466" s="39"/>
    </row>
    <row r="5467" spans="1:63" x14ac:dyDescent="0.25">
      <c r="A5467" s="92"/>
      <c r="B5467" s="92"/>
      <c r="C5467" s="92"/>
      <c r="D5467" s="92"/>
      <c r="E5467" s="92"/>
      <c r="F5467" s="92"/>
      <c r="G5467" s="92"/>
      <c r="H5467" s="92"/>
      <c r="I5467" s="92"/>
      <c r="J5467" s="92"/>
      <c r="K5467" s="92"/>
      <c r="L5467" s="92"/>
      <c r="M5467" s="92"/>
      <c r="N5467" s="92"/>
      <c r="AG5467" s="107"/>
      <c r="AH5467" s="117"/>
      <c r="AI5467" s="107"/>
      <c r="AJ5467" s="117"/>
      <c r="AK5467" s="107"/>
      <c r="AL5467" s="107"/>
      <c r="AM5467" s="107"/>
      <c r="AN5467" s="107"/>
      <c r="AO5467" s="107"/>
      <c r="AP5467" s="107"/>
      <c r="AQ5467" s="107"/>
      <c r="AR5467" s="107"/>
      <c r="AS5467" s="107"/>
      <c r="AT5467" s="39"/>
      <c r="BA5467" s="117"/>
      <c r="BK5467" s="39"/>
    </row>
    <row r="5468" spans="1:63" x14ac:dyDescent="0.25">
      <c r="A5468" s="92"/>
      <c r="B5468" s="92"/>
      <c r="C5468" s="92"/>
      <c r="D5468" s="92"/>
      <c r="E5468" s="92"/>
      <c r="F5468" s="92"/>
      <c r="G5468" s="92"/>
      <c r="H5468" s="92"/>
      <c r="I5468" s="92"/>
      <c r="J5468" s="92"/>
      <c r="K5468" s="92"/>
      <c r="L5468" s="92"/>
      <c r="M5468" s="92"/>
      <c r="N5468" s="92"/>
      <c r="AG5468" s="107"/>
      <c r="AH5468" s="117"/>
      <c r="AI5468" s="107"/>
      <c r="AJ5468" s="117"/>
      <c r="AK5468" s="107"/>
      <c r="AL5468" s="107"/>
      <c r="AM5468" s="107"/>
      <c r="AN5468" s="107"/>
      <c r="AO5468" s="107"/>
      <c r="AP5468" s="107"/>
      <c r="AQ5468" s="107"/>
      <c r="AR5468" s="107"/>
      <c r="AS5468" s="107"/>
      <c r="AT5468" s="39"/>
    </row>
    <row r="5469" spans="1:63" x14ac:dyDescent="0.25">
      <c r="A5469" s="92"/>
      <c r="B5469" s="93"/>
      <c r="C5469" s="92"/>
      <c r="D5469" s="93"/>
      <c r="E5469" s="92"/>
      <c r="F5469" s="92"/>
      <c r="G5469" s="92"/>
      <c r="H5469" s="92"/>
      <c r="I5469" s="92"/>
      <c r="J5469" s="92"/>
      <c r="K5469" s="92"/>
      <c r="L5469" s="92"/>
      <c r="M5469" s="92"/>
      <c r="N5469" s="94"/>
      <c r="AG5469" s="107"/>
      <c r="AH5469" s="107"/>
      <c r="AI5469" s="107"/>
      <c r="AJ5469" s="107"/>
      <c r="AK5469" s="107"/>
      <c r="AL5469" s="107"/>
      <c r="AM5469" s="107"/>
      <c r="AN5469" s="107"/>
      <c r="AO5469" s="107"/>
      <c r="AP5469" s="107"/>
      <c r="AQ5469" s="107"/>
      <c r="AR5469" s="107"/>
      <c r="AS5469" s="107"/>
      <c r="AT5469" s="107"/>
      <c r="AZ5469" s="117"/>
      <c r="BK5469" s="39"/>
    </row>
    <row r="5470" spans="1:63" x14ac:dyDescent="0.25">
      <c r="A5470" s="92"/>
      <c r="B5470" s="92"/>
      <c r="C5470" s="92"/>
      <c r="D5470" s="92"/>
      <c r="E5470" s="92"/>
      <c r="F5470" s="92"/>
      <c r="G5470" s="92"/>
      <c r="H5470" s="92"/>
      <c r="I5470" s="92"/>
      <c r="J5470" s="92"/>
      <c r="K5470" s="92"/>
      <c r="L5470" s="92"/>
      <c r="M5470" s="92"/>
      <c r="N5470" s="92"/>
      <c r="AG5470" s="107"/>
      <c r="AH5470" s="107"/>
      <c r="AI5470" s="107"/>
      <c r="AJ5470" s="107"/>
      <c r="AK5470" s="107"/>
      <c r="AL5470" s="107"/>
      <c r="AM5470" s="107"/>
      <c r="AN5470" s="107"/>
      <c r="AO5470" s="107"/>
      <c r="AP5470" s="107"/>
      <c r="AQ5470" s="107"/>
      <c r="AR5470" s="107"/>
      <c r="AS5470" s="107"/>
      <c r="AT5470" s="107"/>
    </row>
    <row r="5471" spans="1:63" x14ac:dyDescent="0.25">
      <c r="A5471" s="92"/>
      <c r="B5471" s="92"/>
      <c r="C5471" s="92"/>
      <c r="D5471" s="92"/>
      <c r="E5471" s="92"/>
      <c r="F5471" s="92"/>
      <c r="G5471" s="92"/>
      <c r="H5471" s="92"/>
      <c r="I5471" s="92"/>
      <c r="J5471" s="92"/>
      <c r="K5471" s="92"/>
      <c r="L5471" s="92"/>
      <c r="M5471" s="92"/>
      <c r="N5471" s="92"/>
      <c r="AG5471" s="107"/>
      <c r="AH5471" s="107"/>
      <c r="AI5471" s="107"/>
      <c r="AJ5471" s="107"/>
      <c r="AK5471" s="107"/>
      <c r="AL5471" s="107"/>
      <c r="AM5471" s="107"/>
      <c r="AN5471" s="107"/>
      <c r="AO5471" s="107"/>
      <c r="AP5471" s="107"/>
      <c r="AQ5471" s="107"/>
      <c r="AR5471" s="107"/>
      <c r="AS5471" s="107"/>
      <c r="AT5471" s="107"/>
    </row>
    <row r="5472" spans="1:63" x14ac:dyDescent="0.25">
      <c r="A5472" s="92"/>
      <c r="B5472" s="93"/>
      <c r="C5472" s="92"/>
      <c r="D5472" s="93"/>
      <c r="E5472" s="92"/>
      <c r="F5472" s="92"/>
      <c r="G5472" s="92"/>
      <c r="H5472" s="92"/>
      <c r="I5472" s="92"/>
      <c r="J5472" s="92"/>
      <c r="K5472" s="92"/>
      <c r="L5472" s="92"/>
      <c r="M5472" s="92"/>
      <c r="N5472" s="94"/>
      <c r="AG5472" s="107"/>
      <c r="AH5472" s="107"/>
      <c r="AI5472" s="107"/>
      <c r="AJ5472" s="107"/>
      <c r="AK5472" s="107"/>
      <c r="AL5472" s="107"/>
      <c r="AM5472" s="107"/>
      <c r="AN5472" s="107"/>
      <c r="AO5472" s="107"/>
      <c r="AP5472" s="107"/>
      <c r="AQ5472" s="107"/>
      <c r="AR5472" s="107"/>
      <c r="AS5472" s="107"/>
      <c r="AT5472" s="107"/>
      <c r="BA5472" s="117"/>
      <c r="BK5472" s="39"/>
    </row>
    <row r="5473" spans="1:63" x14ac:dyDescent="0.25">
      <c r="A5473" s="92"/>
      <c r="B5473" s="92"/>
      <c r="C5473" s="92"/>
      <c r="D5473" s="92"/>
      <c r="E5473" s="92"/>
      <c r="F5473" s="92"/>
      <c r="G5473" s="92"/>
      <c r="H5473" s="92"/>
      <c r="I5473" s="92"/>
      <c r="J5473" s="92"/>
      <c r="K5473" s="92"/>
      <c r="L5473" s="92"/>
      <c r="M5473" s="92"/>
      <c r="N5473" s="92"/>
      <c r="AG5473" s="107"/>
      <c r="AH5473" s="117"/>
      <c r="AI5473" s="107"/>
      <c r="AJ5473" s="117"/>
      <c r="AK5473" s="107"/>
      <c r="AL5473" s="107"/>
      <c r="AM5473" s="107"/>
      <c r="AN5473" s="107"/>
      <c r="AO5473" s="107"/>
      <c r="AP5473" s="107"/>
      <c r="AQ5473" s="107"/>
      <c r="AR5473" s="107"/>
      <c r="AS5473" s="107"/>
      <c r="AT5473" s="39"/>
      <c r="BA5473" s="117"/>
      <c r="BK5473" s="39"/>
    </row>
    <row r="5474" spans="1:63" x14ac:dyDescent="0.25">
      <c r="A5474" s="92"/>
      <c r="B5474" s="93"/>
      <c r="C5474" s="92"/>
      <c r="D5474" s="93"/>
      <c r="E5474" s="92"/>
      <c r="F5474" s="92"/>
      <c r="G5474" s="92"/>
      <c r="H5474" s="92"/>
      <c r="I5474" s="92"/>
      <c r="J5474" s="92"/>
      <c r="K5474" s="92"/>
      <c r="L5474" s="92"/>
      <c r="M5474" s="92"/>
      <c r="N5474" s="94"/>
      <c r="AG5474" s="107"/>
      <c r="AH5474" s="107"/>
      <c r="AI5474" s="107"/>
      <c r="AJ5474" s="107"/>
      <c r="AK5474" s="107"/>
      <c r="AL5474" s="107"/>
      <c r="AM5474" s="107"/>
      <c r="AN5474" s="107"/>
      <c r="AO5474" s="107"/>
      <c r="AP5474" s="107"/>
      <c r="AQ5474" s="107"/>
      <c r="AR5474" s="107"/>
      <c r="AS5474" s="107"/>
      <c r="AT5474" s="107"/>
      <c r="BA5474" s="117"/>
    </row>
    <row r="5475" spans="1:63" x14ac:dyDescent="0.25">
      <c r="A5475" s="92"/>
      <c r="B5475" s="93"/>
      <c r="C5475" s="92"/>
      <c r="D5475" s="93"/>
      <c r="E5475" s="92"/>
      <c r="F5475" s="92"/>
      <c r="G5475" s="92"/>
      <c r="H5475" s="92"/>
      <c r="I5475" s="92"/>
      <c r="J5475" s="92"/>
      <c r="K5475" s="92"/>
      <c r="L5475" s="92"/>
      <c r="M5475" s="92"/>
      <c r="N5475" s="94"/>
      <c r="AG5475" s="107"/>
      <c r="AH5475" s="107"/>
      <c r="AI5475" s="107"/>
      <c r="AJ5475" s="107"/>
      <c r="AK5475" s="107"/>
      <c r="AL5475" s="107"/>
      <c r="AM5475" s="107"/>
      <c r="AN5475" s="107"/>
      <c r="AO5475" s="107"/>
      <c r="AP5475" s="107"/>
      <c r="AQ5475" s="107"/>
      <c r="AR5475" s="107"/>
      <c r="AS5475" s="107"/>
      <c r="AT5475" s="107"/>
      <c r="BA5475" s="117"/>
      <c r="BK5475" s="39"/>
    </row>
    <row r="5476" spans="1:63" x14ac:dyDescent="0.25">
      <c r="A5476" s="92"/>
      <c r="B5476" s="93"/>
      <c r="C5476" s="92"/>
      <c r="D5476" s="93"/>
      <c r="E5476" s="92"/>
      <c r="F5476" s="92"/>
      <c r="G5476" s="92"/>
      <c r="H5476" s="92"/>
      <c r="I5476" s="92"/>
      <c r="J5476" s="92"/>
      <c r="K5476" s="92"/>
      <c r="L5476" s="92"/>
      <c r="M5476" s="92"/>
      <c r="N5476" s="94"/>
      <c r="AG5476" s="107"/>
      <c r="AH5476" s="107"/>
      <c r="AI5476" s="107"/>
      <c r="AJ5476" s="107"/>
      <c r="AK5476" s="107"/>
      <c r="AL5476" s="107"/>
      <c r="AM5476" s="107"/>
      <c r="AN5476" s="107"/>
      <c r="AO5476" s="107"/>
      <c r="AP5476" s="107"/>
      <c r="AQ5476" s="107"/>
      <c r="AR5476" s="107"/>
      <c r="AS5476" s="107"/>
      <c r="AT5476" s="107"/>
      <c r="BA5476" s="117"/>
      <c r="BK5476" s="39"/>
    </row>
    <row r="5477" spans="1:63" x14ac:dyDescent="0.25">
      <c r="A5477" s="92"/>
      <c r="B5477" s="92"/>
      <c r="C5477" s="92"/>
      <c r="D5477" s="92"/>
      <c r="E5477" s="92"/>
      <c r="F5477" s="92"/>
      <c r="G5477" s="92"/>
      <c r="H5477" s="92"/>
      <c r="I5477" s="92"/>
      <c r="J5477" s="92"/>
      <c r="K5477" s="92"/>
      <c r="L5477" s="92"/>
      <c r="M5477" s="92"/>
      <c r="N5477" s="92"/>
      <c r="AG5477" s="107"/>
      <c r="AH5477" s="117"/>
      <c r="AI5477" s="107"/>
      <c r="AJ5477" s="107"/>
      <c r="AK5477" s="107"/>
      <c r="AL5477" s="107"/>
      <c r="AM5477" s="107"/>
      <c r="AN5477" s="107"/>
      <c r="AO5477" s="107"/>
      <c r="AP5477" s="107"/>
      <c r="AQ5477" s="107"/>
      <c r="AR5477" s="107"/>
      <c r="AS5477" s="107"/>
      <c r="AT5477" s="39"/>
    </row>
    <row r="5478" spans="1:63" x14ac:dyDescent="0.25">
      <c r="A5478" s="92"/>
      <c r="B5478" s="93"/>
      <c r="C5478" s="92"/>
      <c r="D5478" s="93"/>
      <c r="E5478" s="92"/>
      <c r="F5478" s="92"/>
      <c r="G5478" s="92"/>
      <c r="H5478" s="92"/>
      <c r="I5478" s="92"/>
      <c r="J5478" s="92"/>
      <c r="K5478" s="92"/>
      <c r="L5478" s="92"/>
      <c r="M5478" s="92"/>
      <c r="N5478" s="94"/>
      <c r="AG5478" s="107"/>
      <c r="AH5478" s="117"/>
      <c r="AI5478" s="107"/>
      <c r="AJ5478" s="117"/>
      <c r="AK5478" s="107"/>
      <c r="AL5478" s="107"/>
      <c r="AM5478" s="107"/>
      <c r="AN5478" s="107"/>
      <c r="AO5478" s="107"/>
      <c r="AP5478" s="107"/>
      <c r="AQ5478" s="107"/>
      <c r="AR5478" s="107"/>
      <c r="AS5478" s="107"/>
      <c r="AT5478" s="39"/>
    </row>
    <row r="5479" spans="1:63" x14ac:dyDescent="0.25">
      <c r="A5479" s="92"/>
      <c r="B5479" s="92"/>
      <c r="C5479" s="92"/>
      <c r="D5479" s="92"/>
      <c r="E5479" s="92"/>
      <c r="F5479" s="92"/>
      <c r="G5479" s="92"/>
      <c r="H5479" s="92"/>
      <c r="I5479" s="92"/>
      <c r="J5479" s="92"/>
      <c r="K5479" s="92"/>
      <c r="L5479" s="92"/>
      <c r="M5479" s="92"/>
      <c r="N5479" s="92"/>
      <c r="AG5479" s="107"/>
      <c r="AH5479" s="107"/>
      <c r="AI5479" s="107"/>
      <c r="AJ5479" s="107"/>
      <c r="AK5479" s="107"/>
      <c r="AL5479" s="107"/>
      <c r="AM5479" s="107"/>
      <c r="AN5479" s="107"/>
      <c r="AO5479" s="107"/>
      <c r="AP5479" s="107"/>
      <c r="AQ5479" s="107"/>
      <c r="AR5479" s="107"/>
      <c r="AS5479" s="107"/>
      <c r="AT5479" s="107"/>
    </row>
    <row r="5480" spans="1:63" x14ac:dyDescent="0.25">
      <c r="A5480" s="92"/>
      <c r="B5480" s="93"/>
      <c r="C5480" s="92"/>
      <c r="D5480" s="93"/>
      <c r="E5480" s="92"/>
      <c r="F5480" s="92"/>
      <c r="G5480" s="92"/>
      <c r="H5480" s="92"/>
      <c r="I5480" s="92"/>
      <c r="J5480" s="92"/>
      <c r="K5480" s="92"/>
      <c r="L5480" s="92"/>
      <c r="M5480" s="92"/>
      <c r="N5480" s="94"/>
      <c r="AG5480" s="107"/>
      <c r="AH5480" s="107"/>
      <c r="AI5480" s="107"/>
      <c r="AJ5480" s="107"/>
      <c r="AK5480" s="107"/>
      <c r="AL5480" s="107"/>
      <c r="AM5480" s="107"/>
      <c r="AN5480" s="107"/>
      <c r="AO5480" s="107"/>
      <c r="AP5480" s="107"/>
      <c r="AQ5480" s="107"/>
      <c r="AR5480" s="107"/>
      <c r="AS5480" s="107"/>
      <c r="AT5480" s="107"/>
    </row>
    <row r="5481" spans="1:63" x14ac:dyDescent="0.25">
      <c r="A5481" s="92"/>
      <c r="B5481" s="93"/>
      <c r="C5481" s="93"/>
      <c r="D5481" s="92"/>
      <c r="E5481" s="92"/>
      <c r="F5481" s="92"/>
      <c r="G5481" s="92"/>
      <c r="H5481" s="92"/>
      <c r="I5481" s="92"/>
      <c r="J5481" s="92"/>
      <c r="K5481" s="92"/>
      <c r="L5481" s="92"/>
      <c r="M5481" s="92"/>
      <c r="N5481" s="94"/>
      <c r="AG5481" s="107"/>
      <c r="AH5481" s="117"/>
      <c r="AI5481" s="107"/>
      <c r="AJ5481" s="117"/>
      <c r="AK5481" s="107"/>
      <c r="AL5481" s="107"/>
      <c r="AM5481" s="107"/>
      <c r="AN5481" s="107"/>
      <c r="AO5481" s="107"/>
      <c r="AP5481" s="107"/>
      <c r="AQ5481" s="107"/>
      <c r="AR5481" s="107"/>
      <c r="AS5481" s="107"/>
      <c r="AT5481" s="39"/>
    </row>
    <row r="5482" spans="1:63" x14ac:dyDescent="0.25">
      <c r="A5482" s="92"/>
      <c r="B5482" s="92"/>
      <c r="C5482" s="92"/>
      <c r="D5482" s="92"/>
      <c r="E5482" s="92"/>
      <c r="F5482" s="92"/>
      <c r="G5482" s="92"/>
      <c r="H5482" s="92"/>
      <c r="I5482" s="92"/>
      <c r="J5482" s="92"/>
      <c r="K5482" s="92"/>
      <c r="L5482" s="92"/>
      <c r="M5482" s="92"/>
      <c r="N5482" s="92"/>
      <c r="AG5482" s="107"/>
      <c r="AH5482" s="107"/>
      <c r="AI5482" s="107"/>
      <c r="AJ5482" s="107"/>
      <c r="AK5482" s="107"/>
      <c r="AL5482" s="107"/>
      <c r="AM5482" s="107"/>
      <c r="AN5482" s="107"/>
      <c r="AO5482" s="107"/>
      <c r="AP5482" s="107"/>
      <c r="AQ5482" s="107"/>
      <c r="AR5482" s="107"/>
      <c r="AS5482" s="107"/>
      <c r="AT5482" s="107"/>
    </row>
    <row r="5483" spans="1:63" x14ac:dyDescent="0.25">
      <c r="A5483" s="92"/>
      <c r="B5483" s="92"/>
      <c r="C5483" s="92"/>
      <c r="D5483" s="92"/>
      <c r="E5483" s="92"/>
      <c r="F5483" s="92"/>
      <c r="G5483" s="92"/>
      <c r="H5483" s="92"/>
      <c r="I5483" s="92"/>
      <c r="J5483" s="92"/>
      <c r="K5483" s="92"/>
      <c r="L5483" s="92"/>
      <c r="M5483" s="92"/>
      <c r="N5483" s="92"/>
      <c r="AG5483" s="107"/>
      <c r="AH5483" s="117"/>
      <c r="AI5483" s="107"/>
      <c r="AJ5483" s="117"/>
      <c r="AK5483" s="107"/>
      <c r="AL5483" s="107"/>
      <c r="AM5483" s="107"/>
      <c r="AN5483" s="107"/>
      <c r="AO5483" s="107"/>
      <c r="AP5483" s="107"/>
      <c r="AQ5483" s="107"/>
      <c r="AR5483" s="107"/>
      <c r="AS5483" s="107"/>
      <c r="AT5483" s="39"/>
    </row>
    <row r="5484" spans="1:63" x14ac:dyDescent="0.25">
      <c r="A5484" s="92"/>
      <c r="B5484" s="93"/>
      <c r="C5484" s="92"/>
      <c r="D5484" s="93"/>
      <c r="E5484" s="92"/>
      <c r="F5484" s="92"/>
      <c r="G5484" s="92"/>
      <c r="H5484" s="92"/>
      <c r="I5484" s="92"/>
      <c r="J5484" s="92"/>
      <c r="K5484" s="92"/>
      <c r="L5484" s="92"/>
      <c r="M5484" s="92"/>
      <c r="N5484" s="94"/>
      <c r="AG5484" s="107"/>
      <c r="AH5484" s="107"/>
      <c r="AI5484" s="107"/>
      <c r="AJ5484" s="117"/>
      <c r="AK5484" s="107"/>
      <c r="AL5484" s="107"/>
      <c r="AM5484" s="107"/>
      <c r="AN5484" s="107"/>
      <c r="AO5484" s="107"/>
      <c r="AP5484" s="107"/>
      <c r="AQ5484" s="107"/>
      <c r="AR5484" s="107"/>
      <c r="AS5484" s="107"/>
      <c r="AT5484" s="107"/>
    </row>
    <row r="5485" spans="1:63" x14ac:dyDescent="0.25">
      <c r="A5485" s="92"/>
      <c r="B5485" s="92"/>
      <c r="C5485" s="92"/>
      <c r="D5485" s="92"/>
      <c r="E5485" s="92"/>
      <c r="F5485" s="92"/>
      <c r="G5485" s="92"/>
      <c r="H5485" s="92"/>
      <c r="I5485" s="92"/>
      <c r="J5485" s="92"/>
      <c r="K5485" s="92"/>
      <c r="L5485" s="92"/>
      <c r="M5485" s="92"/>
      <c r="N5485" s="92"/>
      <c r="AG5485" s="107"/>
      <c r="AH5485" s="117"/>
      <c r="AI5485" s="107"/>
      <c r="AJ5485" s="117"/>
      <c r="AK5485" s="107"/>
      <c r="AL5485" s="107"/>
      <c r="AM5485" s="107"/>
      <c r="AN5485" s="107"/>
      <c r="AO5485" s="107"/>
      <c r="AP5485" s="107"/>
      <c r="AQ5485" s="107"/>
      <c r="AR5485" s="107"/>
      <c r="AS5485" s="107"/>
      <c r="AT5485" s="39"/>
    </row>
    <row r="5486" spans="1:63" x14ac:dyDescent="0.25">
      <c r="A5486" s="92"/>
      <c r="B5486" s="92"/>
      <c r="C5486" s="92"/>
      <c r="D5486" s="92"/>
      <c r="E5486" s="92"/>
      <c r="F5486" s="92"/>
      <c r="G5486" s="92"/>
      <c r="H5486" s="92"/>
      <c r="I5486" s="92"/>
      <c r="J5486" s="92"/>
      <c r="K5486" s="92"/>
      <c r="L5486" s="92"/>
      <c r="M5486" s="92"/>
      <c r="N5486" s="92"/>
      <c r="AG5486" s="107"/>
      <c r="AH5486" s="117"/>
      <c r="AI5486" s="107"/>
      <c r="AJ5486" s="117"/>
      <c r="AK5486" s="107"/>
      <c r="AL5486" s="107"/>
      <c r="AM5486" s="107"/>
      <c r="AN5486" s="107"/>
      <c r="AO5486" s="107"/>
      <c r="AP5486" s="107"/>
      <c r="AQ5486" s="107"/>
      <c r="AR5486" s="107"/>
      <c r="AS5486" s="107"/>
      <c r="AT5486" s="39"/>
      <c r="BK5486" s="39"/>
    </row>
    <row r="5487" spans="1:63" x14ac:dyDescent="0.25">
      <c r="A5487" s="92"/>
      <c r="B5487" s="93"/>
      <c r="C5487" s="92"/>
      <c r="D5487" s="93"/>
      <c r="E5487" s="92"/>
      <c r="F5487" s="92"/>
      <c r="G5487" s="92"/>
      <c r="H5487" s="92"/>
      <c r="I5487" s="92"/>
      <c r="J5487" s="92"/>
      <c r="K5487" s="92"/>
      <c r="L5487" s="92"/>
      <c r="M5487" s="92"/>
      <c r="N5487" s="94"/>
      <c r="AG5487" s="107"/>
      <c r="AH5487" s="117"/>
      <c r="AI5487" s="107"/>
      <c r="AJ5487" s="117"/>
      <c r="AK5487" s="107"/>
      <c r="AL5487" s="107"/>
      <c r="AM5487" s="107"/>
      <c r="AN5487" s="107"/>
      <c r="AO5487" s="107"/>
      <c r="AP5487" s="107"/>
      <c r="AQ5487" s="107"/>
      <c r="AR5487" s="107"/>
      <c r="AS5487" s="107"/>
      <c r="AT5487" s="39"/>
      <c r="BA5487" s="117"/>
      <c r="BK5487" s="39"/>
    </row>
    <row r="5488" spans="1:63" x14ac:dyDescent="0.25">
      <c r="A5488" s="92"/>
      <c r="B5488" s="92"/>
      <c r="C5488" s="92"/>
      <c r="D5488" s="92"/>
      <c r="E5488" s="92"/>
      <c r="F5488" s="92"/>
      <c r="G5488" s="92"/>
      <c r="H5488" s="92"/>
      <c r="I5488" s="92"/>
      <c r="J5488" s="92"/>
      <c r="K5488" s="92"/>
      <c r="L5488" s="92"/>
      <c r="M5488" s="92"/>
      <c r="N5488" s="92"/>
      <c r="AG5488" s="107"/>
      <c r="AH5488" s="107"/>
      <c r="AI5488" s="107"/>
      <c r="AJ5488" s="117"/>
      <c r="AK5488" s="107"/>
      <c r="AL5488" s="107"/>
      <c r="AM5488" s="107"/>
      <c r="AN5488" s="107"/>
      <c r="AO5488" s="107"/>
      <c r="AP5488" s="107"/>
      <c r="AQ5488" s="107"/>
      <c r="AR5488" s="107"/>
      <c r="AS5488" s="107"/>
      <c r="AT5488" s="107"/>
    </row>
    <row r="5489" spans="1:63" x14ac:dyDescent="0.25">
      <c r="A5489" s="92"/>
      <c r="B5489" s="92"/>
      <c r="C5489" s="92"/>
      <c r="D5489" s="92"/>
      <c r="E5489" s="92"/>
      <c r="F5489" s="92"/>
      <c r="G5489" s="92"/>
      <c r="H5489" s="92"/>
      <c r="I5489" s="92"/>
      <c r="J5489" s="92"/>
      <c r="K5489" s="92"/>
      <c r="L5489" s="92"/>
      <c r="M5489" s="92"/>
      <c r="N5489" s="92"/>
      <c r="AG5489" s="107"/>
      <c r="AH5489" s="107"/>
      <c r="AI5489" s="107"/>
      <c r="AJ5489" s="107"/>
      <c r="AK5489" s="107"/>
      <c r="AL5489" s="107"/>
      <c r="AM5489" s="107"/>
      <c r="AN5489" s="107"/>
      <c r="AO5489" s="107"/>
      <c r="AP5489" s="107"/>
      <c r="AQ5489" s="107"/>
      <c r="AR5489" s="107"/>
      <c r="AS5489" s="107"/>
      <c r="AT5489" s="107"/>
    </row>
    <row r="5490" spans="1:63" x14ac:dyDescent="0.25">
      <c r="A5490" s="92"/>
      <c r="B5490" s="93"/>
      <c r="C5490" s="92"/>
      <c r="D5490" s="93"/>
      <c r="E5490" s="92"/>
      <c r="F5490" s="92"/>
      <c r="G5490" s="92"/>
      <c r="H5490" s="92"/>
      <c r="I5490" s="92"/>
      <c r="J5490" s="92"/>
      <c r="K5490" s="92"/>
      <c r="L5490" s="92"/>
      <c r="M5490" s="92"/>
      <c r="N5490" s="94"/>
      <c r="AG5490" s="107"/>
      <c r="AH5490" s="107"/>
      <c r="AI5490" s="107"/>
      <c r="AJ5490" s="107"/>
      <c r="AK5490" s="107"/>
      <c r="AL5490" s="107"/>
      <c r="AM5490" s="107"/>
      <c r="AN5490" s="107"/>
      <c r="AO5490" s="107"/>
      <c r="AP5490" s="107"/>
      <c r="AQ5490" s="107"/>
      <c r="AR5490" s="107"/>
      <c r="AS5490" s="107"/>
      <c r="AT5490" s="107"/>
      <c r="BA5490" s="117"/>
      <c r="BK5490" s="39"/>
    </row>
    <row r="5491" spans="1:63" x14ac:dyDescent="0.25">
      <c r="A5491" s="92"/>
      <c r="B5491" s="93"/>
      <c r="C5491" s="92"/>
      <c r="D5491" s="93"/>
      <c r="E5491" s="92"/>
      <c r="F5491" s="92"/>
      <c r="G5491" s="92"/>
      <c r="H5491" s="92"/>
      <c r="I5491" s="92"/>
      <c r="J5491" s="92"/>
      <c r="K5491" s="92"/>
      <c r="L5491" s="92"/>
      <c r="M5491" s="92"/>
      <c r="N5491" s="94"/>
      <c r="AG5491" s="107"/>
      <c r="AH5491" s="107"/>
      <c r="AI5491" s="107"/>
      <c r="AJ5491" s="107"/>
      <c r="AK5491" s="107"/>
      <c r="AL5491" s="107"/>
      <c r="AM5491" s="107"/>
      <c r="AN5491" s="107"/>
      <c r="AO5491" s="107"/>
      <c r="AP5491" s="107"/>
      <c r="AQ5491" s="107"/>
      <c r="AR5491" s="107"/>
      <c r="AS5491" s="107"/>
      <c r="AT5491" s="107"/>
      <c r="AZ5491" s="117"/>
      <c r="BA5491" s="117"/>
      <c r="BK5491" s="39"/>
    </row>
    <row r="5492" spans="1:63" x14ac:dyDescent="0.25">
      <c r="A5492" s="92"/>
      <c r="B5492" s="92"/>
      <c r="C5492" s="92"/>
      <c r="D5492" s="92"/>
      <c r="E5492" s="92"/>
      <c r="F5492" s="92"/>
      <c r="G5492" s="92"/>
      <c r="H5492" s="92"/>
      <c r="I5492" s="92"/>
      <c r="J5492" s="92"/>
      <c r="K5492" s="92"/>
      <c r="L5492" s="92"/>
      <c r="M5492" s="92"/>
      <c r="N5492" s="92"/>
      <c r="AG5492" s="107"/>
      <c r="AH5492" s="107"/>
      <c r="AI5492" s="107"/>
      <c r="AJ5492" s="107"/>
      <c r="AK5492" s="107"/>
      <c r="AL5492" s="107"/>
      <c r="AM5492" s="107"/>
      <c r="AN5492" s="107"/>
      <c r="AO5492" s="107"/>
      <c r="AP5492" s="107"/>
      <c r="AQ5492" s="107"/>
      <c r="AR5492" s="107"/>
      <c r="AS5492" s="107"/>
      <c r="AT5492" s="107"/>
      <c r="BA5492" s="117"/>
    </row>
    <row r="5493" spans="1:63" x14ac:dyDescent="0.25">
      <c r="A5493" s="92"/>
      <c r="B5493" s="93"/>
      <c r="C5493" s="92"/>
      <c r="D5493" s="93"/>
      <c r="E5493" s="92"/>
      <c r="F5493" s="92"/>
      <c r="G5493" s="92"/>
      <c r="H5493" s="92"/>
      <c r="I5493" s="92"/>
      <c r="J5493" s="92"/>
      <c r="K5493" s="92"/>
      <c r="L5493" s="92"/>
      <c r="M5493" s="92"/>
      <c r="N5493" s="94"/>
      <c r="AG5493" s="107"/>
      <c r="AH5493" s="107"/>
      <c r="AI5493" s="107"/>
      <c r="AJ5493" s="107"/>
      <c r="AK5493" s="107"/>
      <c r="AL5493" s="107"/>
      <c r="AM5493" s="107"/>
      <c r="AN5493" s="107"/>
      <c r="AO5493" s="107"/>
      <c r="AP5493" s="107"/>
      <c r="AQ5493" s="107"/>
      <c r="AR5493" s="107"/>
      <c r="AS5493" s="107"/>
      <c r="AT5493" s="107"/>
    </row>
    <row r="5494" spans="1:63" x14ac:dyDescent="0.25">
      <c r="A5494" s="92"/>
      <c r="B5494" s="92"/>
      <c r="C5494" s="92"/>
      <c r="D5494" s="92"/>
      <c r="E5494" s="92"/>
      <c r="F5494" s="92"/>
      <c r="G5494" s="92"/>
      <c r="H5494" s="92"/>
      <c r="I5494" s="92"/>
      <c r="J5494" s="92"/>
      <c r="K5494" s="92"/>
      <c r="L5494" s="92"/>
      <c r="M5494" s="92"/>
      <c r="N5494" s="92"/>
      <c r="AG5494" s="107"/>
      <c r="AH5494" s="117"/>
      <c r="AI5494" s="107"/>
      <c r="AJ5494" s="117"/>
      <c r="AK5494" s="107"/>
      <c r="AL5494" s="107"/>
      <c r="AM5494" s="107"/>
      <c r="AN5494" s="107"/>
      <c r="AO5494" s="107"/>
      <c r="AP5494" s="107"/>
      <c r="AQ5494" s="107"/>
      <c r="AR5494" s="107"/>
      <c r="AS5494" s="107"/>
      <c r="AT5494" s="39"/>
      <c r="BA5494" s="117"/>
      <c r="BK5494" s="39"/>
    </row>
    <row r="5495" spans="1:63" x14ac:dyDescent="0.25">
      <c r="A5495" s="92"/>
      <c r="B5495" s="93"/>
      <c r="C5495" s="92"/>
      <c r="D5495" s="93"/>
      <c r="E5495" s="92"/>
      <c r="F5495" s="92"/>
      <c r="G5495" s="92"/>
      <c r="H5495" s="92"/>
      <c r="I5495" s="92"/>
      <c r="J5495" s="92"/>
      <c r="K5495" s="92"/>
      <c r="L5495" s="92"/>
      <c r="M5495" s="92"/>
      <c r="N5495" s="94"/>
      <c r="AG5495" s="107"/>
      <c r="AH5495" s="117"/>
      <c r="AI5495" s="107"/>
      <c r="AJ5495" s="117"/>
      <c r="AK5495" s="107"/>
      <c r="AL5495" s="107"/>
      <c r="AM5495" s="107"/>
      <c r="AN5495" s="107"/>
      <c r="AO5495" s="107"/>
      <c r="AP5495" s="107"/>
      <c r="AQ5495" s="107"/>
      <c r="AR5495" s="107"/>
      <c r="AS5495" s="107"/>
      <c r="AT5495" s="39"/>
    </row>
    <row r="5496" spans="1:63" x14ac:dyDescent="0.25">
      <c r="A5496" s="92"/>
      <c r="B5496" s="92"/>
      <c r="C5496" s="92"/>
      <c r="D5496" s="92"/>
      <c r="E5496" s="92"/>
      <c r="F5496" s="92"/>
      <c r="G5496" s="92"/>
      <c r="H5496" s="92"/>
      <c r="I5496" s="92"/>
      <c r="J5496" s="92"/>
      <c r="K5496" s="92"/>
      <c r="L5496" s="92"/>
      <c r="M5496" s="92"/>
      <c r="N5496" s="92"/>
      <c r="AG5496" s="107"/>
      <c r="AH5496" s="107"/>
      <c r="AI5496" s="107"/>
      <c r="AJ5496" s="107"/>
      <c r="AK5496" s="107"/>
      <c r="AL5496" s="107"/>
      <c r="AM5496" s="107"/>
      <c r="AN5496" s="107"/>
      <c r="AO5496" s="107"/>
      <c r="AP5496" s="107"/>
      <c r="AQ5496" s="107"/>
      <c r="AR5496" s="107"/>
      <c r="AS5496" s="107"/>
      <c r="AT5496" s="107"/>
    </row>
    <row r="5497" spans="1:63" x14ac:dyDescent="0.25">
      <c r="A5497" s="92"/>
      <c r="B5497" s="93"/>
      <c r="C5497" s="92"/>
      <c r="D5497" s="93"/>
      <c r="E5497" s="92"/>
      <c r="F5497" s="92"/>
      <c r="G5497" s="92"/>
      <c r="H5497" s="92"/>
      <c r="I5497" s="92"/>
      <c r="J5497" s="92"/>
      <c r="K5497" s="92"/>
      <c r="L5497" s="92"/>
      <c r="M5497" s="92"/>
      <c r="N5497" s="94"/>
      <c r="AG5497" s="107"/>
      <c r="AH5497" s="107"/>
      <c r="AI5497" s="107"/>
      <c r="AJ5497" s="107"/>
      <c r="AK5497" s="107"/>
      <c r="AL5497" s="107"/>
      <c r="AM5497" s="107"/>
      <c r="AN5497" s="107"/>
      <c r="AO5497" s="107"/>
      <c r="AP5497" s="107"/>
      <c r="AQ5497" s="107"/>
      <c r="AR5497" s="107"/>
      <c r="AS5497" s="107"/>
      <c r="AT5497" s="107"/>
    </row>
    <row r="5498" spans="1:63" x14ac:dyDescent="0.25">
      <c r="A5498" s="92"/>
      <c r="B5498" s="92"/>
      <c r="C5498" s="92"/>
      <c r="D5498" s="92"/>
      <c r="E5498" s="92"/>
      <c r="F5498" s="92"/>
      <c r="G5498" s="92"/>
      <c r="H5498" s="92"/>
      <c r="I5498" s="92"/>
      <c r="J5498" s="92"/>
      <c r="K5498" s="92"/>
      <c r="L5498" s="92"/>
      <c r="M5498" s="92"/>
      <c r="N5498" s="92"/>
      <c r="AG5498" s="107"/>
      <c r="AH5498" s="107"/>
      <c r="AI5498" s="107"/>
      <c r="AJ5498" s="107"/>
      <c r="AK5498" s="107"/>
      <c r="AL5498" s="107"/>
      <c r="AM5498" s="107"/>
      <c r="AN5498" s="107"/>
      <c r="AO5498" s="107"/>
      <c r="AP5498" s="107"/>
      <c r="AQ5498" s="107"/>
      <c r="AR5498" s="107"/>
      <c r="AS5498" s="107"/>
      <c r="AT5498" s="107"/>
    </row>
    <row r="5499" spans="1:63" x14ac:dyDescent="0.25">
      <c r="A5499" s="92"/>
      <c r="B5499" s="93"/>
      <c r="C5499" s="92"/>
      <c r="D5499" s="93"/>
      <c r="E5499" s="92"/>
      <c r="F5499" s="92"/>
      <c r="G5499" s="92"/>
      <c r="H5499" s="92"/>
      <c r="I5499" s="92"/>
      <c r="J5499" s="92"/>
      <c r="K5499" s="92"/>
      <c r="L5499" s="92"/>
      <c r="M5499" s="92"/>
      <c r="N5499" s="94"/>
      <c r="AG5499" s="107"/>
      <c r="AH5499" s="107"/>
      <c r="AI5499" s="107"/>
      <c r="AJ5499" s="107"/>
      <c r="AK5499" s="107"/>
      <c r="AL5499" s="107"/>
      <c r="AM5499" s="107"/>
      <c r="AN5499" s="107"/>
      <c r="AO5499" s="107"/>
      <c r="AP5499" s="107"/>
      <c r="AQ5499" s="107"/>
      <c r="AR5499" s="107"/>
      <c r="AS5499" s="107"/>
      <c r="AT5499" s="107"/>
    </row>
    <row r="5500" spans="1:63" x14ac:dyDescent="0.25">
      <c r="A5500" s="92"/>
      <c r="B5500" s="93"/>
      <c r="C5500" s="93"/>
      <c r="D5500" s="92"/>
      <c r="E5500" s="92"/>
      <c r="F5500" s="92"/>
      <c r="G5500" s="92"/>
      <c r="H5500" s="92"/>
      <c r="I5500" s="92"/>
      <c r="J5500" s="92"/>
      <c r="K5500" s="92"/>
      <c r="L5500" s="92"/>
      <c r="M5500" s="92"/>
      <c r="N5500" s="94"/>
      <c r="AG5500" s="107"/>
      <c r="AH5500" s="117"/>
      <c r="AI5500" s="107"/>
      <c r="AJ5500" s="117"/>
      <c r="AK5500" s="107"/>
      <c r="AL5500" s="107"/>
      <c r="AM5500" s="107"/>
      <c r="AN5500" s="107"/>
      <c r="AO5500" s="107"/>
      <c r="AP5500" s="107"/>
      <c r="AQ5500" s="107"/>
      <c r="AR5500" s="107"/>
      <c r="AS5500" s="107"/>
      <c r="AT5500" s="39"/>
    </row>
    <row r="5501" spans="1:63" x14ac:dyDescent="0.25">
      <c r="A5501" s="92"/>
      <c r="B5501" s="92"/>
      <c r="C5501" s="92"/>
      <c r="D5501" s="92"/>
      <c r="E5501" s="92"/>
      <c r="F5501" s="92"/>
      <c r="G5501" s="92"/>
      <c r="H5501" s="92"/>
      <c r="I5501" s="92"/>
      <c r="J5501" s="92"/>
      <c r="K5501" s="92"/>
      <c r="L5501" s="92"/>
      <c r="M5501" s="92"/>
      <c r="N5501" s="92"/>
      <c r="AG5501" s="107"/>
      <c r="AH5501" s="107"/>
      <c r="AI5501" s="107"/>
      <c r="AJ5501" s="107"/>
      <c r="AK5501" s="107"/>
      <c r="AL5501" s="107"/>
      <c r="AM5501" s="107"/>
      <c r="AN5501" s="107"/>
      <c r="AO5501" s="107"/>
      <c r="AP5501" s="107"/>
      <c r="AQ5501" s="107"/>
      <c r="AR5501" s="107"/>
      <c r="AS5501" s="107"/>
      <c r="AT5501" s="107"/>
      <c r="BA5501" s="117"/>
      <c r="BK5501" s="39"/>
    </row>
    <row r="5502" spans="1:63" x14ac:dyDescent="0.25">
      <c r="A5502" s="92"/>
      <c r="B5502" s="93"/>
      <c r="C5502" s="92"/>
      <c r="D5502" s="93"/>
      <c r="E5502" s="92"/>
      <c r="F5502" s="92"/>
      <c r="G5502" s="92"/>
      <c r="H5502" s="92"/>
      <c r="I5502" s="92"/>
      <c r="J5502" s="92"/>
      <c r="K5502" s="92"/>
      <c r="L5502" s="92"/>
      <c r="M5502" s="92"/>
      <c r="N5502" s="94"/>
      <c r="AG5502" s="107"/>
      <c r="AH5502" s="107"/>
      <c r="AI5502" s="107"/>
      <c r="AJ5502" s="107"/>
      <c r="AK5502" s="107"/>
      <c r="AL5502" s="107"/>
      <c r="AM5502" s="107"/>
      <c r="AN5502" s="107"/>
      <c r="AO5502" s="107"/>
      <c r="AP5502" s="107"/>
      <c r="AQ5502" s="107"/>
      <c r="AR5502" s="107"/>
      <c r="AS5502" s="107"/>
      <c r="AT5502" s="107"/>
    </row>
    <row r="5503" spans="1:63" x14ac:dyDescent="0.25">
      <c r="A5503" s="92"/>
      <c r="B5503" s="93"/>
      <c r="C5503" s="92"/>
      <c r="D5503" s="93"/>
      <c r="E5503" s="92"/>
      <c r="F5503" s="92"/>
      <c r="G5503" s="92"/>
      <c r="H5503" s="92"/>
      <c r="I5503" s="92"/>
      <c r="J5503" s="92"/>
      <c r="K5503" s="92"/>
      <c r="L5503" s="92"/>
      <c r="M5503" s="92"/>
      <c r="N5503" s="94"/>
      <c r="AG5503" s="107"/>
      <c r="AH5503" s="107"/>
      <c r="AI5503" s="107"/>
      <c r="AJ5503" s="107"/>
      <c r="AK5503" s="107"/>
      <c r="AL5503" s="107"/>
      <c r="AM5503" s="107"/>
      <c r="AN5503" s="107"/>
      <c r="AO5503" s="107"/>
      <c r="AP5503" s="107"/>
      <c r="AQ5503" s="107"/>
      <c r="AR5503" s="107"/>
      <c r="AS5503" s="107"/>
      <c r="AT5503" s="107"/>
      <c r="BK5503" s="39"/>
    </row>
    <row r="5504" spans="1:63" x14ac:dyDescent="0.25">
      <c r="A5504" s="92"/>
      <c r="B5504" s="92"/>
      <c r="C5504" s="92"/>
      <c r="D5504" s="92"/>
      <c r="E5504" s="92"/>
      <c r="F5504" s="92"/>
      <c r="G5504" s="92"/>
      <c r="H5504" s="92"/>
      <c r="I5504" s="92"/>
      <c r="J5504" s="92"/>
      <c r="K5504" s="92"/>
      <c r="L5504" s="92"/>
      <c r="M5504" s="92"/>
      <c r="N5504" s="92"/>
      <c r="AG5504" s="107"/>
      <c r="AH5504" s="117"/>
      <c r="AI5504" s="107"/>
      <c r="AJ5504" s="117"/>
      <c r="AK5504" s="107"/>
      <c r="AL5504" s="107"/>
      <c r="AM5504" s="107"/>
      <c r="AN5504" s="107"/>
      <c r="AO5504" s="107"/>
      <c r="AP5504" s="107"/>
      <c r="AQ5504" s="107"/>
      <c r="AR5504" s="107"/>
      <c r="AS5504" s="107"/>
      <c r="AT5504" s="39"/>
      <c r="AZ5504" s="117"/>
      <c r="BA5504" s="117"/>
      <c r="BK5504" s="39"/>
    </row>
    <row r="5505" spans="1:63" x14ac:dyDescent="0.25">
      <c r="A5505" s="92"/>
      <c r="B5505" s="92"/>
      <c r="C5505" s="92"/>
      <c r="D5505" s="92"/>
      <c r="E5505" s="92"/>
      <c r="F5505" s="92"/>
      <c r="G5505" s="92"/>
      <c r="H5505" s="92"/>
      <c r="I5505" s="92"/>
      <c r="J5505" s="92"/>
      <c r="K5505" s="92"/>
      <c r="L5505" s="92"/>
      <c r="M5505" s="92"/>
      <c r="N5505" s="92"/>
      <c r="AG5505" s="107"/>
      <c r="AH5505" s="107"/>
      <c r="AI5505" s="107"/>
      <c r="AJ5505" s="117"/>
      <c r="AK5505" s="107"/>
      <c r="AL5505" s="107"/>
      <c r="AM5505" s="107"/>
      <c r="AN5505" s="107"/>
      <c r="AO5505" s="107"/>
      <c r="AP5505" s="107"/>
      <c r="AQ5505" s="107"/>
      <c r="AR5505" s="107"/>
      <c r="AS5505" s="107"/>
      <c r="AT5505" s="107"/>
      <c r="BA5505" s="117"/>
    </row>
    <row r="5506" spans="1:63" x14ac:dyDescent="0.25">
      <c r="A5506" s="92"/>
      <c r="B5506" s="92"/>
      <c r="C5506" s="92"/>
      <c r="D5506" s="92"/>
      <c r="E5506" s="92"/>
      <c r="F5506" s="92"/>
      <c r="G5506" s="92"/>
      <c r="H5506" s="92"/>
      <c r="I5506" s="92"/>
      <c r="J5506" s="92"/>
      <c r="K5506" s="92"/>
      <c r="L5506" s="92"/>
      <c r="M5506" s="92"/>
      <c r="N5506" s="92"/>
      <c r="AG5506" s="107"/>
      <c r="AH5506" s="117"/>
      <c r="AI5506" s="107"/>
      <c r="AJ5506" s="11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39"/>
    </row>
    <row r="5507" spans="1:63" x14ac:dyDescent="0.25">
      <c r="A5507" s="92"/>
      <c r="B5507" s="92"/>
      <c r="C5507" s="92"/>
      <c r="D5507" s="92"/>
      <c r="E5507" s="92"/>
      <c r="F5507" s="92"/>
      <c r="G5507" s="92"/>
      <c r="H5507" s="92"/>
      <c r="I5507" s="92"/>
      <c r="J5507" s="92"/>
      <c r="K5507" s="92"/>
      <c r="L5507" s="92"/>
      <c r="M5507" s="92"/>
      <c r="N5507" s="92"/>
      <c r="AG5507" s="107"/>
      <c r="AH5507" s="117"/>
      <c r="AI5507" s="117"/>
      <c r="AJ5507" s="107"/>
      <c r="AK5507" s="107"/>
      <c r="AL5507" s="107"/>
      <c r="AM5507" s="107"/>
      <c r="AN5507" s="107"/>
      <c r="AO5507" s="107"/>
      <c r="AP5507" s="107"/>
      <c r="AQ5507" s="107"/>
      <c r="AR5507" s="107"/>
      <c r="AS5507" s="107"/>
      <c r="AT5507" s="39"/>
      <c r="BA5507" s="117"/>
      <c r="BK5507" s="39"/>
    </row>
    <row r="5508" spans="1:63" x14ac:dyDescent="0.25">
      <c r="A5508" s="92"/>
      <c r="B5508" s="92"/>
      <c r="C5508" s="92"/>
      <c r="D5508" s="92"/>
      <c r="E5508" s="92"/>
      <c r="F5508" s="92"/>
      <c r="G5508" s="92"/>
      <c r="H5508" s="92"/>
      <c r="I5508" s="92"/>
      <c r="J5508" s="92"/>
      <c r="K5508" s="92"/>
      <c r="L5508" s="92"/>
      <c r="M5508" s="92"/>
      <c r="N5508" s="92"/>
      <c r="AG5508" s="107"/>
      <c r="AH5508" s="107"/>
      <c r="AI5508" s="107"/>
      <c r="AJ5508" s="107"/>
      <c r="AK5508" s="107"/>
      <c r="AL5508" s="107"/>
      <c r="AM5508" s="107"/>
      <c r="AN5508" s="107"/>
      <c r="AO5508" s="107"/>
      <c r="AP5508" s="107"/>
      <c r="AQ5508" s="107"/>
      <c r="AR5508" s="107"/>
      <c r="AS5508" s="107"/>
      <c r="AT5508" s="107"/>
      <c r="BA5508" s="117"/>
      <c r="BK5508" s="39"/>
    </row>
    <row r="5509" spans="1:63" x14ac:dyDescent="0.25">
      <c r="A5509" s="92"/>
      <c r="B5509" s="93"/>
      <c r="C5509" s="92"/>
      <c r="D5509" s="93"/>
      <c r="E5509" s="92"/>
      <c r="F5509" s="92"/>
      <c r="G5509" s="92"/>
      <c r="H5509" s="92"/>
      <c r="I5509" s="92"/>
      <c r="J5509" s="92"/>
      <c r="K5509" s="92"/>
      <c r="L5509" s="92"/>
      <c r="M5509" s="92"/>
      <c r="N5509" s="94"/>
      <c r="AG5509" s="107"/>
      <c r="AH5509" s="107"/>
      <c r="AI5509" s="107"/>
      <c r="AJ5509" s="107"/>
      <c r="AK5509" s="107"/>
      <c r="AL5509" s="107"/>
      <c r="AM5509" s="107"/>
      <c r="AN5509" s="107"/>
      <c r="AO5509" s="107"/>
      <c r="AP5509" s="107"/>
      <c r="AQ5509" s="107"/>
      <c r="AR5509" s="107"/>
      <c r="AS5509" s="107"/>
      <c r="AT5509" s="107"/>
      <c r="BA5509" s="117"/>
      <c r="BK5509" s="39"/>
    </row>
    <row r="5510" spans="1:63" x14ac:dyDescent="0.25">
      <c r="A5510" s="92"/>
      <c r="B5510" s="92"/>
      <c r="C5510" s="92"/>
      <c r="D5510" s="92"/>
      <c r="E5510" s="92"/>
      <c r="F5510" s="92"/>
      <c r="G5510" s="92"/>
      <c r="H5510" s="92"/>
      <c r="I5510" s="92"/>
      <c r="J5510" s="92"/>
      <c r="K5510" s="92"/>
      <c r="L5510" s="92"/>
      <c r="M5510" s="92"/>
      <c r="N5510" s="92"/>
      <c r="AG5510" s="107"/>
      <c r="AH5510" s="107"/>
      <c r="AI5510" s="107"/>
      <c r="AJ5510" s="107"/>
      <c r="AK5510" s="107"/>
      <c r="AL5510" s="107"/>
      <c r="AM5510" s="107"/>
      <c r="AN5510" s="107"/>
      <c r="AO5510" s="107"/>
      <c r="AP5510" s="107"/>
      <c r="AQ5510" s="107"/>
      <c r="AR5510" s="107"/>
      <c r="AS5510" s="107"/>
      <c r="AT5510" s="107"/>
      <c r="AZ5510" s="117"/>
      <c r="BA5510" s="117"/>
      <c r="BK5510" s="39"/>
    </row>
    <row r="5511" spans="1:63" x14ac:dyDescent="0.25">
      <c r="A5511" s="92"/>
      <c r="B5511" s="93"/>
      <c r="C5511" s="92"/>
      <c r="D5511" s="93"/>
      <c r="E5511" s="92"/>
      <c r="F5511" s="92"/>
      <c r="G5511" s="92"/>
      <c r="H5511" s="92"/>
      <c r="I5511" s="92"/>
      <c r="J5511" s="92"/>
      <c r="K5511" s="92"/>
      <c r="L5511" s="92"/>
      <c r="M5511" s="92"/>
      <c r="N5511" s="94"/>
      <c r="AG5511" s="107"/>
      <c r="AH5511" s="107"/>
      <c r="AI5511" s="107"/>
      <c r="AJ5511" s="107"/>
      <c r="AK5511" s="107"/>
      <c r="AL5511" s="107"/>
      <c r="AM5511" s="107"/>
      <c r="AN5511" s="107"/>
      <c r="AO5511" s="107"/>
      <c r="AP5511" s="107"/>
      <c r="AQ5511" s="107"/>
      <c r="AR5511" s="107"/>
      <c r="AS5511" s="107"/>
      <c r="AT5511" s="107"/>
      <c r="BA5511" s="117"/>
    </row>
    <row r="5512" spans="1:63" x14ac:dyDescent="0.25">
      <c r="A5512" s="92"/>
      <c r="B5512" s="92"/>
      <c r="C5512" s="92"/>
      <c r="D5512" s="92"/>
      <c r="E5512" s="92"/>
      <c r="F5512" s="92"/>
      <c r="G5512" s="92"/>
      <c r="H5512" s="92"/>
      <c r="I5512" s="92"/>
      <c r="J5512" s="92"/>
      <c r="K5512" s="92"/>
      <c r="L5512" s="92"/>
      <c r="M5512" s="92"/>
      <c r="N5512" s="92"/>
      <c r="AG5512" s="107"/>
      <c r="AH5512" s="107"/>
      <c r="AI5512" s="107"/>
      <c r="AJ5512" s="107"/>
      <c r="AK5512" s="107"/>
      <c r="AL5512" s="107"/>
      <c r="AM5512" s="107"/>
      <c r="AN5512" s="107"/>
      <c r="AO5512" s="107"/>
      <c r="AP5512" s="107"/>
      <c r="AQ5512" s="107"/>
      <c r="AR5512" s="107"/>
      <c r="AS5512" s="107"/>
      <c r="AT5512" s="107"/>
      <c r="BA5512" s="117"/>
    </row>
    <row r="5513" spans="1:63" x14ac:dyDescent="0.25">
      <c r="A5513" s="92"/>
      <c r="B5513" s="92"/>
      <c r="C5513" s="92"/>
      <c r="D5513" s="92"/>
      <c r="E5513" s="92"/>
      <c r="F5513" s="92"/>
      <c r="G5513" s="92"/>
      <c r="H5513" s="92"/>
      <c r="I5513" s="92"/>
      <c r="J5513" s="92"/>
      <c r="K5513" s="92"/>
      <c r="L5513" s="92"/>
      <c r="M5513" s="92"/>
      <c r="N5513" s="92"/>
      <c r="AG5513" s="107"/>
      <c r="AH5513" s="107"/>
      <c r="AI5513" s="107"/>
      <c r="AJ5513" s="107"/>
      <c r="AK5513" s="107"/>
      <c r="AL5513" s="107"/>
      <c r="AM5513" s="107"/>
      <c r="AN5513" s="107"/>
      <c r="AO5513" s="107"/>
      <c r="AP5513" s="107"/>
      <c r="AQ5513" s="107"/>
      <c r="AR5513" s="107"/>
      <c r="AS5513" s="107"/>
      <c r="AT5513" s="107"/>
      <c r="BA5513" s="117"/>
    </row>
    <row r="5514" spans="1:63" x14ac:dyDescent="0.25">
      <c r="A5514" s="92"/>
      <c r="B5514" s="93"/>
      <c r="C5514" s="92"/>
      <c r="D5514" s="93"/>
      <c r="E5514" s="92"/>
      <c r="F5514" s="92"/>
      <c r="G5514" s="92"/>
      <c r="H5514" s="92"/>
      <c r="I5514" s="92"/>
      <c r="J5514" s="92"/>
      <c r="K5514" s="92"/>
      <c r="L5514" s="92"/>
      <c r="M5514" s="92"/>
      <c r="N5514" s="94"/>
      <c r="AG5514" s="107"/>
      <c r="AH5514" s="107"/>
      <c r="AI5514" s="107"/>
      <c r="AJ5514" s="107"/>
      <c r="AK5514" s="107"/>
      <c r="AL5514" s="107"/>
      <c r="AM5514" s="107"/>
      <c r="AN5514" s="107"/>
      <c r="AO5514" s="107"/>
      <c r="AP5514" s="107"/>
      <c r="AQ5514" s="107"/>
      <c r="AR5514" s="107"/>
      <c r="AS5514" s="107"/>
      <c r="AT5514" s="107"/>
      <c r="BA5514" s="117"/>
      <c r="BK5514" s="39"/>
    </row>
    <row r="5515" spans="1:63" x14ac:dyDescent="0.25">
      <c r="A5515" s="92"/>
      <c r="B5515" s="93"/>
      <c r="C5515" s="92"/>
      <c r="D5515" s="93"/>
      <c r="E5515" s="92"/>
      <c r="F5515" s="92"/>
      <c r="G5515" s="92"/>
      <c r="H5515" s="92"/>
      <c r="I5515" s="92"/>
      <c r="J5515" s="92"/>
      <c r="K5515" s="92"/>
      <c r="L5515" s="92"/>
      <c r="M5515" s="92"/>
      <c r="N5515" s="94"/>
      <c r="AG5515" s="107"/>
      <c r="AH5515" s="107"/>
      <c r="AI5515" s="107"/>
      <c r="AJ5515" s="107"/>
      <c r="AK5515" s="107"/>
      <c r="AL5515" s="107"/>
      <c r="AM5515" s="107"/>
      <c r="AN5515" s="107"/>
      <c r="AO5515" s="107"/>
      <c r="AP5515" s="107"/>
      <c r="AQ5515" s="107"/>
      <c r="AR5515" s="107"/>
      <c r="AS5515" s="107"/>
      <c r="AT5515" s="107"/>
      <c r="BA5515" s="117"/>
      <c r="BK5515" s="39"/>
    </row>
    <row r="5516" spans="1:63" x14ac:dyDescent="0.25">
      <c r="A5516" s="92"/>
      <c r="B5516" s="92"/>
      <c r="C5516" s="92"/>
      <c r="D5516" s="93"/>
      <c r="E5516" s="92"/>
      <c r="F5516" s="92"/>
      <c r="G5516" s="92"/>
      <c r="H5516" s="92"/>
      <c r="I5516" s="92"/>
      <c r="J5516" s="92"/>
      <c r="K5516" s="92"/>
      <c r="L5516" s="92"/>
      <c r="M5516" s="92"/>
      <c r="N5516" s="92"/>
      <c r="AG5516" s="107"/>
      <c r="AH5516" s="107"/>
      <c r="AI5516" s="107"/>
      <c r="AJ5516" s="107"/>
      <c r="AK5516" s="107"/>
      <c r="AL5516" s="107"/>
      <c r="AM5516" s="107"/>
      <c r="AN5516" s="107"/>
      <c r="AO5516" s="107"/>
      <c r="AP5516" s="107"/>
      <c r="AQ5516" s="107"/>
      <c r="AR5516" s="107"/>
      <c r="AS5516" s="107"/>
      <c r="AT5516" s="107"/>
    </row>
    <row r="5517" spans="1:63" x14ac:dyDescent="0.25">
      <c r="A5517" s="92"/>
      <c r="B5517" s="93"/>
      <c r="C5517" s="92"/>
      <c r="D5517" s="93"/>
      <c r="E5517" s="92"/>
      <c r="F5517" s="92"/>
      <c r="G5517" s="92"/>
      <c r="H5517" s="92"/>
      <c r="I5517" s="92"/>
      <c r="J5517" s="92"/>
      <c r="K5517" s="92"/>
      <c r="L5517" s="92"/>
      <c r="M5517" s="92"/>
      <c r="N5517" s="94"/>
      <c r="AG5517" s="107"/>
      <c r="AH5517" s="107"/>
      <c r="AI5517" s="107"/>
      <c r="AJ5517" s="107"/>
      <c r="AK5517" s="107"/>
      <c r="AL5517" s="107"/>
      <c r="AM5517" s="107"/>
      <c r="AN5517" s="107"/>
      <c r="AO5517" s="107"/>
      <c r="AP5517" s="107"/>
      <c r="AQ5517" s="107"/>
      <c r="AR5517" s="107"/>
      <c r="AS5517" s="107"/>
      <c r="AT5517" s="107"/>
    </row>
    <row r="5518" spans="1:63" x14ac:dyDescent="0.25">
      <c r="A5518" s="92"/>
      <c r="B5518" s="92"/>
      <c r="C5518" s="92"/>
      <c r="D5518" s="92"/>
      <c r="E5518" s="92"/>
      <c r="F5518" s="92"/>
      <c r="G5518" s="92"/>
      <c r="H5518" s="92"/>
      <c r="I5518" s="92"/>
      <c r="J5518" s="92"/>
      <c r="K5518" s="92"/>
      <c r="L5518" s="92"/>
      <c r="M5518" s="92"/>
      <c r="N5518" s="92"/>
      <c r="AG5518" s="107"/>
      <c r="AH5518" s="117"/>
      <c r="AI5518" s="107"/>
      <c r="AJ5518" s="117"/>
      <c r="AK5518" s="107"/>
      <c r="AL5518" s="107"/>
      <c r="AM5518" s="107"/>
      <c r="AN5518" s="107"/>
      <c r="AO5518" s="107"/>
      <c r="AP5518" s="107"/>
      <c r="AQ5518" s="107"/>
      <c r="AR5518" s="107"/>
      <c r="AS5518" s="107"/>
      <c r="AT5518" s="39"/>
    </row>
    <row r="5519" spans="1:63" x14ac:dyDescent="0.25">
      <c r="A5519" s="92"/>
      <c r="B5519" s="92"/>
      <c r="C5519" s="92"/>
      <c r="D5519" s="92"/>
      <c r="E5519" s="92"/>
      <c r="F5519" s="92"/>
      <c r="G5519" s="92"/>
      <c r="H5519" s="92"/>
      <c r="I5519" s="92"/>
      <c r="J5519" s="92"/>
      <c r="K5519" s="92"/>
      <c r="L5519" s="92"/>
      <c r="M5519" s="92"/>
      <c r="N5519" s="92"/>
      <c r="AG5519" s="107"/>
      <c r="AH5519" s="117"/>
      <c r="AI5519" s="107"/>
      <c r="AJ5519" s="117"/>
      <c r="AK5519" s="107"/>
      <c r="AL5519" s="107"/>
      <c r="AM5519" s="107"/>
      <c r="AN5519" s="107"/>
      <c r="AO5519" s="107"/>
      <c r="AP5519" s="107"/>
      <c r="AQ5519" s="107"/>
      <c r="AR5519" s="107"/>
      <c r="AS5519" s="107"/>
      <c r="AT5519" s="39"/>
    </row>
    <row r="5520" spans="1:63" x14ac:dyDescent="0.25">
      <c r="A5520" s="92"/>
      <c r="B5520" s="92"/>
      <c r="C5520" s="92"/>
      <c r="D5520" s="92"/>
      <c r="E5520" s="92"/>
      <c r="F5520" s="92"/>
      <c r="G5520" s="92"/>
      <c r="H5520" s="92"/>
      <c r="I5520" s="92"/>
      <c r="J5520" s="92"/>
      <c r="K5520" s="92"/>
      <c r="L5520" s="92"/>
      <c r="M5520" s="92"/>
      <c r="N5520" s="92"/>
      <c r="AG5520" s="107"/>
      <c r="AH5520" s="107"/>
      <c r="AI5520" s="107"/>
      <c r="AJ5520" s="107"/>
      <c r="AK5520" s="107"/>
      <c r="AL5520" s="107"/>
      <c r="AM5520" s="107"/>
      <c r="AN5520" s="107"/>
      <c r="AO5520" s="107"/>
      <c r="AP5520" s="107"/>
      <c r="AQ5520" s="107"/>
      <c r="AR5520" s="107"/>
      <c r="AS5520" s="107"/>
      <c r="AT5520" s="107"/>
    </row>
    <row r="5521" spans="1:63" x14ac:dyDescent="0.25">
      <c r="A5521" s="92"/>
      <c r="B5521" s="92"/>
      <c r="C5521" s="92"/>
      <c r="D5521" s="92"/>
      <c r="E5521" s="92"/>
      <c r="F5521" s="92"/>
      <c r="G5521" s="92"/>
      <c r="H5521" s="92"/>
      <c r="I5521" s="92"/>
      <c r="J5521" s="92"/>
      <c r="K5521" s="92"/>
      <c r="L5521" s="92"/>
      <c r="M5521" s="92"/>
      <c r="N5521" s="92"/>
      <c r="AG5521" s="107"/>
      <c r="AH5521" s="107"/>
      <c r="AI5521" s="107"/>
      <c r="AJ5521" s="107"/>
      <c r="AK5521" s="107"/>
      <c r="AL5521" s="107"/>
      <c r="AM5521" s="107"/>
      <c r="AN5521" s="107"/>
      <c r="AO5521" s="107"/>
      <c r="AP5521" s="107"/>
      <c r="AQ5521" s="107"/>
      <c r="AR5521" s="107"/>
      <c r="AS5521" s="107"/>
      <c r="AT5521" s="107"/>
      <c r="BA5521" s="117"/>
      <c r="BK5521" s="39"/>
    </row>
    <row r="5522" spans="1:63" x14ac:dyDescent="0.25">
      <c r="A5522" s="92"/>
      <c r="B5522" s="92"/>
      <c r="C5522" s="92"/>
      <c r="D5522" s="92"/>
      <c r="E5522" s="92"/>
      <c r="F5522" s="92"/>
      <c r="G5522" s="92"/>
      <c r="H5522" s="92"/>
      <c r="I5522" s="92"/>
      <c r="J5522" s="92"/>
      <c r="K5522" s="92"/>
      <c r="L5522" s="92"/>
      <c r="M5522" s="92"/>
      <c r="N5522" s="92"/>
      <c r="AG5522" s="107"/>
      <c r="AH5522" s="107"/>
      <c r="AI5522" s="107"/>
      <c r="AJ5522" s="107"/>
      <c r="AK5522" s="107"/>
      <c r="AL5522" s="107"/>
      <c r="AM5522" s="107"/>
      <c r="AN5522" s="107"/>
      <c r="AO5522" s="107"/>
      <c r="AP5522" s="107"/>
      <c r="AQ5522" s="107"/>
      <c r="AR5522" s="107"/>
      <c r="AS5522" s="107"/>
      <c r="AT5522" s="107"/>
      <c r="AZ5522" s="117"/>
      <c r="BA5522" s="117"/>
      <c r="BK5522" s="39"/>
    </row>
    <row r="5523" spans="1:63" x14ac:dyDescent="0.25">
      <c r="A5523" s="92"/>
      <c r="B5523" s="92"/>
      <c r="C5523" s="92"/>
      <c r="D5523" s="92"/>
      <c r="E5523" s="92"/>
      <c r="F5523" s="92"/>
      <c r="G5523" s="92"/>
      <c r="H5523" s="92"/>
      <c r="I5523" s="92"/>
      <c r="J5523" s="92"/>
      <c r="K5523" s="92"/>
      <c r="L5523" s="92"/>
      <c r="M5523" s="92"/>
      <c r="N5523" s="92"/>
      <c r="AG5523" s="107"/>
      <c r="AH5523" s="107"/>
      <c r="AI5523" s="107"/>
      <c r="AJ5523" s="107"/>
      <c r="AK5523" s="107"/>
      <c r="AL5523" s="107"/>
      <c r="AM5523" s="107"/>
      <c r="AN5523" s="107"/>
      <c r="AO5523" s="107"/>
      <c r="AP5523" s="107"/>
      <c r="AQ5523" s="107"/>
      <c r="AR5523" s="107"/>
      <c r="AS5523" s="107"/>
      <c r="AT5523" s="107"/>
      <c r="BA5523" s="117"/>
    </row>
    <row r="5524" spans="1:63" x14ac:dyDescent="0.25">
      <c r="A5524" s="92"/>
      <c r="B5524" s="92"/>
      <c r="C5524" s="92"/>
      <c r="D5524" s="92"/>
      <c r="E5524" s="92"/>
      <c r="F5524" s="92"/>
      <c r="G5524" s="92"/>
      <c r="H5524" s="92"/>
      <c r="I5524" s="92"/>
      <c r="J5524" s="92"/>
      <c r="K5524" s="92"/>
      <c r="L5524" s="92"/>
      <c r="M5524" s="92"/>
      <c r="N5524" s="92"/>
      <c r="AG5524" s="107"/>
      <c r="AH5524" s="117"/>
      <c r="AI5524" s="107"/>
      <c r="AJ5524" s="107"/>
      <c r="AK5524" s="107"/>
      <c r="AL5524" s="107"/>
      <c r="AM5524" s="107"/>
      <c r="AN5524" s="107"/>
      <c r="AO5524" s="107"/>
      <c r="AP5524" s="107"/>
      <c r="AQ5524" s="107"/>
      <c r="AR5524" s="107"/>
      <c r="AS5524" s="107"/>
      <c r="AT5524" s="39"/>
      <c r="BA5524" s="117"/>
    </row>
    <row r="5525" spans="1:63" x14ac:dyDescent="0.25">
      <c r="A5525" s="92"/>
      <c r="B5525" s="92"/>
      <c r="C5525" s="92"/>
      <c r="D5525" s="92"/>
      <c r="E5525" s="92"/>
      <c r="F5525" s="92"/>
      <c r="G5525" s="92"/>
      <c r="H5525" s="92"/>
      <c r="I5525" s="92"/>
      <c r="J5525" s="92"/>
      <c r="K5525" s="92"/>
      <c r="L5525" s="92"/>
      <c r="M5525" s="92"/>
      <c r="N5525" s="92"/>
      <c r="AG5525" s="107"/>
      <c r="AH5525" s="117"/>
      <c r="AI5525" s="107"/>
      <c r="AJ5525" s="117"/>
      <c r="AK5525" s="107"/>
      <c r="AL5525" s="107"/>
      <c r="AM5525" s="107"/>
      <c r="AN5525" s="107"/>
      <c r="AO5525" s="107"/>
      <c r="AP5525" s="107"/>
      <c r="AQ5525" s="107"/>
      <c r="AR5525" s="107"/>
      <c r="AS5525" s="107"/>
      <c r="AT5525" s="39"/>
      <c r="BA5525" s="117"/>
    </row>
    <row r="5526" spans="1:63" x14ac:dyDescent="0.25">
      <c r="A5526" s="92"/>
      <c r="B5526" s="92"/>
      <c r="C5526" s="92"/>
      <c r="D5526" s="92"/>
      <c r="E5526" s="92"/>
      <c r="F5526" s="92"/>
      <c r="G5526" s="92"/>
      <c r="H5526" s="92"/>
      <c r="I5526" s="92"/>
      <c r="J5526" s="92"/>
      <c r="K5526" s="92"/>
      <c r="L5526" s="92"/>
      <c r="M5526" s="92"/>
      <c r="N5526" s="92"/>
      <c r="AG5526" s="107"/>
      <c r="AH5526" s="107"/>
      <c r="AI5526" s="107"/>
      <c r="AJ5526" s="107"/>
      <c r="AK5526" s="107"/>
      <c r="AL5526" s="107"/>
      <c r="AM5526" s="107"/>
      <c r="AN5526" s="107"/>
      <c r="AO5526" s="107"/>
      <c r="AP5526" s="107"/>
      <c r="AQ5526" s="107"/>
      <c r="AR5526" s="107"/>
      <c r="AS5526" s="107"/>
      <c r="AT5526" s="107"/>
      <c r="BA5526" s="117"/>
    </row>
    <row r="5527" spans="1:63" x14ac:dyDescent="0.25">
      <c r="A5527" s="92"/>
      <c r="B5527" s="92"/>
      <c r="C5527" s="92"/>
      <c r="D5527" s="92"/>
      <c r="E5527" s="92"/>
      <c r="F5527" s="92"/>
      <c r="G5527" s="92"/>
      <c r="H5527" s="92"/>
      <c r="I5527" s="92"/>
      <c r="J5527" s="92"/>
      <c r="K5527" s="92"/>
      <c r="L5527" s="92"/>
      <c r="M5527" s="92"/>
      <c r="N5527" s="92"/>
      <c r="AG5527" s="107"/>
      <c r="AH5527" s="107"/>
      <c r="AI5527" s="107"/>
      <c r="AJ5527" s="107"/>
      <c r="AK5527" s="107"/>
      <c r="AL5527" s="107"/>
      <c r="AM5527" s="107"/>
      <c r="AN5527" s="107"/>
      <c r="AO5527" s="107"/>
      <c r="AP5527" s="107"/>
      <c r="AQ5527" s="107"/>
      <c r="AR5527" s="107"/>
      <c r="AS5527" s="107"/>
      <c r="AT5527" s="107"/>
      <c r="BK5527" s="39"/>
    </row>
    <row r="5528" spans="1:63" x14ac:dyDescent="0.25">
      <c r="A5528" s="92"/>
      <c r="B5528" s="93"/>
      <c r="C5528" s="92"/>
      <c r="D5528" s="93"/>
      <c r="E5528" s="92"/>
      <c r="F5528" s="92"/>
      <c r="G5528" s="92"/>
      <c r="H5528" s="92"/>
      <c r="I5528" s="92"/>
      <c r="J5528" s="92"/>
      <c r="K5528" s="92"/>
      <c r="L5528" s="92"/>
      <c r="M5528" s="92"/>
      <c r="N5528" s="94"/>
      <c r="AG5528" s="107"/>
      <c r="AH5528" s="107"/>
      <c r="AI5528" s="107"/>
      <c r="AJ5528" s="107"/>
      <c r="AK5528" s="107"/>
      <c r="AL5528" s="107"/>
      <c r="AM5528" s="107"/>
      <c r="AN5528" s="107"/>
      <c r="AO5528" s="107"/>
      <c r="AP5528" s="107"/>
      <c r="AQ5528" s="107"/>
      <c r="AR5528" s="107"/>
      <c r="AS5528" s="107"/>
      <c r="AT5528" s="107"/>
      <c r="BA5528" s="117"/>
      <c r="BK5528" s="39"/>
    </row>
    <row r="5529" spans="1:63" x14ac:dyDescent="0.25">
      <c r="A5529" s="92"/>
      <c r="B5529" s="92"/>
      <c r="C5529" s="92"/>
      <c r="D5529" s="93"/>
      <c r="E5529" s="92"/>
      <c r="F5529" s="92"/>
      <c r="G5529" s="92"/>
      <c r="H5529" s="92"/>
      <c r="I5529" s="92"/>
      <c r="J5529" s="92"/>
      <c r="K5529" s="92"/>
      <c r="L5529" s="92"/>
      <c r="M5529" s="92"/>
      <c r="N5529" s="92"/>
      <c r="AG5529" s="107"/>
      <c r="AH5529" s="107"/>
      <c r="AI5529" s="107"/>
      <c r="AJ5529" s="107"/>
      <c r="AK5529" s="107"/>
      <c r="AL5529" s="107"/>
      <c r="AM5529" s="107"/>
      <c r="AN5529" s="107"/>
      <c r="AO5529" s="107"/>
      <c r="AP5529" s="107"/>
      <c r="AQ5529" s="107"/>
      <c r="AR5529" s="107"/>
      <c r="AS5529" s="107"/>
      <c r="AT5529" s="107"/>
      <c r="BA5529" s="117"/>
      <c r="BK5529" s="39"/>
    </row>
    <row r="5530" spans="1:63" x14ac:dyDescent="0.25">
      <c r="A5530" s="92"/>
      <c r="B5530" s="93"/>
      <c r="C5530" s="92"/>
      <c r="D5530" s="93"/>
      <c r="E5530" s="92"/>
      <c r="F5530" s="92"/>
      <c r="G5530" s="92"/>
      <c r="H5530" s="92"/>
      <c r="I5530" s="92"/>
      <c r="J5530" s="92"/>
      <c r="K5530" s="92"/>
      <c r="L5530" s="92"/>
      <c r="M5530" s="92"/>
      <c r="N5530" s="94"/>
      <c r="AG5530" s="107"/>
      <c r="AH5530" s="107"/>
      <c r="AI5530" s="107"/>
      <c r="AJ5530" s="107"/>
      <c r="AK5530" s="107"/>
      <c r="AL5530" s="107"/>
      <c r="AM5530" s="107"/>
      <c r="AN5530" s="107"/>
      <c r="AO5530" s="107"/>
      <c r="AP5530" s="107"/>
      <c r="AQ5530" s="107"/>
      <c r="AR5530" s="107"/>
      <c r="AS5530" s="107"/>
      <c r="AT5530" s="107"/>
      <c r="BA5530" s="117"/>
      <c r="BK5530" s="39"/>
    </row>
    <row r="5531" spans="1:63" x14ac:dyDescent="0.25">
      <c r="A5531" s="92"/>
      <c r="B5531" s="92"/>
      <c r="C5531" s="92"/>
      <c r="D5531" s="93"/>
      <c r="E5531" s="92"/>
      <c r="F5531" s="92"/>
      <c r="G5531" s="92"/>
      <c r="H5531" s="92"/>
      <c r="I5531" s="92"/>
      <c r="J5531" s="92"/>
      <c r="K5531" s="92"/>
      <c r="L5531" s="92"/>
      <c r="M5531" s="92"/>
      <c r="N5531" s="92"/>
      <c r="AG5531" s="107"/>
      <c r="AH5531" s="107"/>
      <c r="AI5531" s="107"/>
      <c r="AJ5531" s="107"/>
      <c r="AK5531" s="107"/>
      <c r="AL5531" s="107"/>
      <c r="AM5531" s="107"/>
      <c r="AN5531" s="107"/>
      <c r="AO5531" s="107"/>
      <c r="AP5531" s="107"/>
      <c r="AQ5531" s="107"/>
      <c r="AR5531" s="107"/>
      <c r="AS5531" s="107"/>
      <c r="AT5531" s="107"/>
      <c r="BA5531" s="117"/>
      <c r="BK5531" s="39"/>
    </row>
    <row r="5532" spans="1:63" x14ac:dyDescent="0.25">
      <c r="A5532" s="92"/>
      <c r="B5532" s="92"/>
      <c r="C5532" s="92"/>
      <c r="D5532" s="92"/>
      <c r="E5532" s="92"/>
      <c r="F5532" s="92"/>
      <c r="G5532" s="92"/>
      <c r="H5532" s="92"/>
      <c r="I5532" s="92"/>
      <c r="J5532" s="92"/>
      <c r="K5532" s="92"/>
      <c r="L5532" s="92"/>
      <c r="M5532" s="92"/>
      <c r="N5532" s="92"/>
      <c r="AG5532" s="107"/>
      <c r="AH5532" s="117"/>
      <c r="AI5532" s="107"/>
      <c r="AJ5532" s="117"/>
      <c r="AK5532" s="107"/>
      <c r="AL5532" s="107"/>
      <c r="AM5532" s="107"/>
      <c r="AN5532" s="107"/>
      <c r="AO5532" s="107"/>
      <c r="AP5532" s="107"/>
      <c r="AQ5532" s="107"/>
      <c r="AR5532" s="107"/>
      <c r="AS5532" s="107"/>
      <c r="AT5532" s="39"/>
      <c r="BA5532" s="117"/>
    </row>
    <row r="5533" spans="1:63" x14ac:dyDescent="0.25">
      <c r="A5533" s="92"/>
      <c r="B5533" s="92"/>
      <c r="C5533" s="92"/>
      <c r="D5533" s="92"/>
      <c r="E5533" s="92"/>
      <c r="F5533" s="92"/>
      <c r="G5533" s="92"/>
      <c r="H5533" s="92"/>
      <c r="I5533" s="92"/>
      <c r="J5533" s="92"/>
      <c r="K5533" s="92"/>
      <c r="L5533" s="92"/>
      <c r="M5533" s="92"/>
      <c r="N5533" s="92"/>
      <c r="AG5533" s="107"/>
      <c r="AH5533" s="117"/>
      <c r="AI5533" s="107"/>
      <c r="AJ5533" s="107"/>
      <c r="AK5533" s="107"/>
      <c r="AL5533" s="107"/>
      <c r="AM5533" s="107"/>
      <c r="AN5533" s="107"/>
      <c r="AO5533" s="107"/>
      <c r="AP5533" s="107"/>
      <c r="AQ5533" s="107"/>
      <c r="AR5533" s="107"/>
      <c r="AS5533" s="107"/>
      <c r="AT5533" s="39"/>
    </row>
    <row r="5534" spans="1:63" x14ac:dyDescent="0.25">
      <c r="A5534" s="92"/>
      <c r="B5534" s="92"/>
      <c r="C5534" s="92"/>
      <c r="D5534" s="92"/>
      <c r="E5534" s="92"/>
      <c r="F5534" s="92"/>
      <c r="G5534" s="92"/>
      <c r="H5534" s="92"/>
      <c r="I5534" s="92"/>
      <c r="J5534" s="92"/>
      <c r="K5534" s="92"/>
      <c r="L5534" s="92"/>
      <c r="M5534" s="92"/>
      <c r="N5534" s="92"/>
      <c r="AG5534" s="107"/>
      <c r="AH5534" s="117"/>
      <c r="AI5534" s="107"/>
      <c r="AJ5534" s="117"/>
      <c r="AK5534" s="107"/>
      <c r="AL5534" s="107"/>
      <c r="AM5534" s="107"/>
      <c r="AN5534" s="107"/>
      <c r="AO5534" s="107"/>
      <c r="AP5534" s="107"/>
      <c r="AQ5534" s="107"/>
      <c r="AR5534" s="107"/>
      <c r="AS5534" s="107"/>
      <c r="AT5534" s="39"/>
    </row>
    <row r="5535" spans="1:63" x14ac:dyDescent="0.25">
      <c r="A5535" s="92"/>
      <c r="B5535" s="92"/>
      <c r="C5535" s="92"/>
      <c r="D5535" s="92"/>
      <c r="E5535" s="92"/>
      <c r="F5535" s="92"/>
      <c r="G5535" s="92"/>
      <c r="H5535" s="92"/>
      <c r="I5535" s="92"/>
      <c r="J5535" s="92"/>
      <c r="K5535" s="92"/>
      <c r="L5535" s="92"/>
      <c r="M5535" s="92"/>
      <c r="N5535" s="92"/>
      <c r="AG5535" s="107"/>
      <c r="AH5535" s="107"/>
      <c r="AI5535" s="107"/>
      <c r="AJ5535" s="107"/>
      <c r="AK5535" s="107"/>
      <c r="AL5535" s="107"/>
      <c r="AM5535" s="107"/>
      <c r="AN5535" s="107"/>
      <c r="AO5535" s="107"/>
      <c r="AP5535" s="107"/>
      <c r="AQ5535" s="107"/>
      <c r="AR5535" s="107"/>
      <c r="AS5535" s="107"/>
      <c r="AT5535" s="107"/>
    </row>
    <row r="5536" spans="1:63" x14ac:dyDescent="0.25">
      <c r="A5536" s="92"/>
      <c r="B5536" s="92"/>
      <c r="C5536" s="92"/>
      <c r="D5536" s="92"/>
      <c r="E5536" s="92"/>
      <c r="F5536" s="92"/>
      <c r="G5536" s="92"/>
      <c r="H5536" s="92"/>
      <c r="I5536" s="92"/>
      <c r="J5536" s="92"/>
      <c r="K5536" s="92"/>
      <c r="L5536" s="92"/>
      <c r="M5536" s="92"/>
      <c r="N5536" s="92"/>
      <c r="AG5536" s="107"/>
      <c r="AH5536" s="107"/>
      <c r="AI5536" s="107"/>
      <c r="AJ5536" s="107"/>
      <c r="AK5536" s="107"/>
      <c r="AL5536" s="107"/>
      <c r="AM5536" s="107"/>
      <c r="AN5536" s="107"/>
      <c r="AO5536" s="107"/>
      <c r="AP5536" s="107"/>
      <c r="AQ5536" s="107"/>
      <c r="AR5536" s="107"/>
      <c r="AS5536" s="107"/>
      <c r="AT5536" s="107"/>
      <c r="BK5536" s="39"/>
    </row>
    <row r="5537" spans="1:63" x14ac:dyDescent="0.25">
      <c r="A5537" s="92"/>
      <c r="B5537" s="93"/>
      <c r="C5537" s="92"/>
      <c r="D5537" s="93"/>
      <c r="E5537" s="92"/>
      <c r="F5537" s="92"/>
      <c r="G5537" s="92"/>
      <c r="H5537" s="92"/>
      <c r="I5537" s="92"/>
      <c r="J5537" s="92"/>
      <c r="K5537" s="92"/>
      <c r="L5537" s="92"/>
      <c r="M5537" s="92"/>
      <c r="N5537" s="94"/>
      <c r="AG5537" s="107"/>
      <c r="AH5537" s="107"/>
      <c r="AI5537" s="107"/>
      <c r="AJ5537" s="107"/>
      <c r="AK5537" s="107"/>
      <c r="AL5537" s="107"/>
      <c r="AM5537" s="107"/>
      <c r="AN5537" s="107"/>
      <c r="AO5537" s="107"/>
      <c r="AP5537" s="107"/>
      <c r="AQ5537" s="107"/>
      <c r="AR5537" s="107"/>
      <c r="AS5537" s="107"/>
      <c r="AT5537" s="107"/>
      <c r="AZ5537" s="117"/>
      <c r="BK5537" s="39"/>
    </row>
    <row r="5538" spans="1:63" x14ac:dyDescent="0.25">
      <c r="A5538" s="92"/>
      <c r="B5538" s="93"/>
      <c r="C5538" s="92"/>
      <c r="D5538" s="93"/>
      <c r="E5538" s="92"/>
      <c r="F5538" s="92"/>
      <c r="G5538" s="92"/>
      <c r="H5538" s="92"/>
      <c r="I5538" s="92"/>
      <c r="J5538" s="92"/>
      <c r="K5538" s="92"/>
      <c r="L5538" s="92"/>
      <c r="M5538" s="92"/>
      <c r="N5538" s="94"/>
      <c r="AG5538" s="107"/>
      <c r="AH5538" s="107"/>
      <c r="AI5538" s="107"/>
      <c r="AJ5538" s="107"/>
      <c r="AK5538" s="107"/>
      <c r="AL5538" s="107"/>
      <c r="AM5538" s="107"/>
      <c r="AN5538" s="107"/>
      <c r="AO5538" s="107"/>
      <c r="AP5538" s="107"/>
      <c r="AQ5538" s="107"/>
      <c r="AR5538" s="107"/>
      <c r="AS5538" s="107"/>
      <c r="AT5538" s="107"/>
    </row>
    <row r="5539" spans="1:63" x14ac:dyDescent="0.25">
      <c r="A5539" s="92"/>
      <c r="B5539" s="92"/>
      <c r="C5539" s="92"/>
      <c r="D5539" s="92"/>
      <c r="E5539" s="92"/>
      <c r="F5539" s="92"/>
      <c r="G5539" s="92"/>
      <c r="H5539" s="92"/>
      <c r="I5539" s="92"/>
      <c r="J5539" s="92"/>
      <c r="K5539" s="92"/>
      <c r="L5539" s="92"/>
      <c r="M5539" s="92"/>
      <c r="N5539" s="92"/>
      <c r="AG5539" s="107"/>
      <c r="AH5539" s="107"/>
      <c r="AI5539" s="107"/>
      <c r="AJ5539" s="107"/>
      <c r="AK5539" s="107"/>
      <c r="AL5539" s="107"/>
      <c r="AM5539" s="107"/>
      <c r="AN5539" s="107"/>
      <c r="AO5539" s="107"/>
      <c r="AP5539" s="107"/>
      <c r="AQ5539" s="107"/>
      <c r="AR5539" s="107"/>
      <c r="AS5539" s="107"/>
      <c r="AT5539" s="107"/>
    </row>
    <row r="5540" spans="1:63" x14ac:dyDescent="0.25">
      <c r="A5540" s="92"/>
      <c r="B5540" s="93"/>
      <c r="C5540" s="92"/>
      <c r="D5540" s="93"/>
      <c r="E5540" s="92"/>
      <c r="F5540" s="92"/>
      <c r="G5540" s="92"/>
      <c r="H5540" s="92"/>
      <c r="I5540" s="92"/>
      <c r="J5540" s="92"/>
      <c r="K5540" s="92"/>
      <c r="L5540" s="92"/>
      <c r="M5540" s="92"/>
      <c r="N5540" s="94"/>
      <c r="AG5540" s="107"/>
      <c r="AH5540" s="117"/>
      <c r="AI5540" s="107"/>
      <c r="AJ5540" s="117"/>
      <c r="AK5540" s="107"/>
      <c r="AL5540" s="107"/>
      <c r="AM5540" s="107"/>
      <c r="AN5540" s="107"/>
      <c r="AO5540" s="107"/>
      <c r="AP5540" s="107"/>
      <c r="AQ5540" s="107"/>
      <c r="AR5540" s="107"/>
      <c r="AS5540" s="107"/>
      <c r="AT5540" s="39"/>
    </row>
    <row r="5541" spans="1:63" x14ac:dyDescent="0.25">
      <c r="A5541" s="92"/>
      <c r="B5541" s="93"/>
      <c r="C5541" s="92"/>
      <c r="D5541" s="93"/>
      <c r="E5541" s="92"/>
      <c r="F5541" s="92"/>
      <c r="G5541" s="92"/>
      <c r="H5541" s="92"/>
      <c r="I5541" s="92"/>
      <c r="J5541" s="92"/>
      <c r="K5541" s="92"/>
      <c r="L5541" s="92"/>
      <c r="M5541" s="92"/>
      <c r="N5541" s="94"/>
      <c r="AG5541" s="107"/>
      <c r="AH5541" s="107"/>
      <c r="AI5541" s="107"/>
      <c r="AJ5541" s="107"/>
      <c r="AK5541" s="107"/>
      <c r="AL5541" s="107"/>
      <c r="AM5541" s="107"/>
      <c r="AN5541" s="107"/>
      <c r="AO5541" s="107"/>
      <c r="AP5541" s="107"/>
      <c r="AQ5541" s="107"/>
      <c r="AR5541" s="107"/>
      <c r="AS5541" s="107"/>
      <c r="AT5541" s="107"/>
    </row>
    <row r="5542" spans="1:63" x14ac:dyDescent="0.25">
      <c r="A5542" s="92"/>
      <c r="B5542" s="93"/>
      <c r="C5542" s="92"/>
      <c r="D5542" s="93"/>
      <c r="E5542" s="92"/>
      <c r="F5542" s="92"/>
      <c r="G5542" s="92"/>
      <c r="H5542" s="92"/>
      <c r="I5542" s="92"/>
      <c r="J5542" s="92"/>
      <c r="K5542" s="92"/>
      <c r="L5542" s="92"/>
      <c r="M5542" s="92"/>
      <c r="N5542" s="94"/>
      <c r="AG5542" s="107"/>
      <c r="AH5542" s="107"/>
      <c r="AI5542" s="107"/>
      <c r="AJ5542" s="107"/>
      <c r="AK5542" s="107"/>
      <c r="AL5542" s="107"/>
      <c r="AM5542" s="107"/>
      <c r="AN5542" s="107"/>
      <c r="AO5542" s="107"/>
      <c r="AP5542" s="107"/>
      <c r="AQ5542" s="107"/>
      <c r="AR5542" s="107"/>
      <c r="AS5542" s="107"/>
      <c r="AT5542" s="107"/>
      <c r="AZ5542" s="117"/>
      <c r="BK5542" s="39"/>
    </row>
    <row r="5543" spans="1:63" x14ac:dyDescent="0.25">
      <c r="A5543" s="92"/>
      <c r="B5543" s="93"/>
      <c r="C5543" s="92"/>
      <c r="D5543" s="93"/>
      <c r="E5543" s="92"/>
      <c r="F5543" s="92"/>
      <c r="G5543" s="92"/>
      <c r="H5543" s="92"/>
      <c r="I5543" s="92"/>
      <c r="J5543" s="92"/>
      <c r="K5543" s="92"/>
      <c r="L5543" s="92"/>
      <c r="M5543" s="92"/>
      <c r="N5543" s="94"/>
      <c r="AG5543" s="107"/>
      <c r="AH5543" s="107"/>
      <c r="AI5543" s="107"/>
      <c r="AJ5543" s="107"/>
      <c r="AK5543" s="107"/>
      <c r="AL5543" s="107"/>
      <c r="AM5543" s="107"/>
      <c r="AN5543" s="107"/>
      <c r="AO5543" s="107"/>
      <c r="AP5543" s="107"/>
      <c r="AQ5543" s="107"/>
      <c r="AR5543" s="107"/>
      <c r="AS5543" s="107"/>
      <c r="AT5543" s="107"/>
      <c r="BA5543" s="117"/>
      <c r="BK5543" s="39"/>
    </row>
    <row r="5544" spans="1:63" x14ac:dyDescent="0.25">
      <c r="A5544" s="92"/>
      <c r="B5544" s="92"/>
      <c r="C5544" s="92"/>
      <c r="D5544" s="92"/>
      <c r="E5544" s="92"/>
      <c r="F5544" s="92"/>
      <c r="G5544" s="92"/>
      <c r="H5544" s="92"/>
      <c r="I5544" s="92"/>
      <c r="J5544" s="92"/>
      <c r="K5544" s="92"/>
      <c r="L5544" s="92"/>
      <c r="M5544" s="92"/>
      <c r="N5544" s="92"/>
      <c r="AG5544" s="107"/>
      <c r="AH5544" s="107"/>
      <c r="AI5544" s="107"/>
      <c r="AJ5544" s="107"/>
      <c r="AK5544" s="107"/>
      <c r="AL5544" s="107"/>
      <c r="AM5544" s="107"/>
      <c r="AN5544" s="107"/>
      <c r="AO5544" s="107"/>
      <c r="AP5544" s="107"/>
      <c r="AQ5544" s="107"/>
      <c r="AR5544" s="107"/>
      <c r="AS5544" s="107"/>
      <c r="AT5544" s="107"/>
      <c r="BA5544" s="117"/>
    </row>
    <row r="5545" spans="1:63" x14ac:dyDescent="0.25">
      <c r="A5545" s="92"/>
      <c r="B5545" s="92"/>
      <c r="C5545" s="92"/>
      <c r="D5545" s="92"/>
      <c r="E5545" s="92"/>
      <c r="F5545" s="92"/>
      <c r="G5545" s="92"/>
      <c r="H5545" s="92"/>
      <c r="I5545" s="92"/>
      <c r="J5545" s="92"/>
      <c r="K5545" s="92"/>
      <c r="L5545" s="92"/>
      <c r="M5545" s="92"/>
      <c r="N5545" s="92"/>
      <c r="AG5545" s="107"/>
      <c r="AH5545" s="107"/>
      <c r="AI5545" s="107"/>
      <c r="AJ5545" s="107"/>
      <c r="AK5545" s="107"/>
      <c r="AL5545" s="107"/>
      <c r="AM5545" s="107"/>
      <c r="AN5545" s="107"/>
      <c r="AO5545" s="107"/>
      <c r="AP5545" s="107"/>
      <c r="AQ5545" s="107"/>
      <c r="AR5545" s="107"/>
      <c r="AS5545" s="107"/>
      <c r="AT5545" s="107"/>
    </row>
    <row r="5546" spans="1:63" x14ac:dyDescent="0.25">
      <c r="A5546" s="92"/>
      <c r="B5546" s="92"/>
      <c r="C5546" s="92"/>
      <c r="D5546" s="92"/>
      <c r="E5546" s="92"/>
      <c r="F5546" s="92"/>
      <c r="G5546" s="92"/>
      <c r="H5546" s="92"/>
      <c r="I5546" s="92"/>
      <c r="J5546" s="92"/>
      <c r="K5546" s="92"/>
      <c r="L5546" s="92"/>
      <c r="M5546" s="92"/>
      <c r="N5546" s="92"/>
      <c r="AG5546" s="107"/>
      <c r="AH5546" s="107"/>
      <c r="AI5546" s="107"/>
      <c r="AJ5546" s="107"/>
      <c r="AK5546" s="107"/>
      <c r="AL5546" s="107"/>
      <c r="AM5546" s="107"/>
      <c r="AN5546" s="107"/>
      <c r="AO5546" s="107"/>
      <c r="AP5546" s="107"/>
      <c r="AQ5546" s="107"/>
      <c r="AR5546" s="107"/>
      <c r="AS5546" s="107"/>
      <c r="AT5546" s="107"/>
    </row>
    <row r="5547" spans="1:63" x14ac:dyDescent="0.25">
      <c r="A5547" s="92"/>
      <c r="B5547" s="92"/>
      <c r="C5547" s="92"/>
      <c r="D5547" s="92"/>
      <c r="E5547" s="92"/>
      <c r="F5547" s="92"/>
      <c r="G5547" s="92"/>
      <c r="H5547" s="92"/>
      <c r="I5547" s="92"/>
      <c r="J5547" s="92"/>
      <c r="K5547" s="92"/>
      <c r="L5547" s="92"/>
      <c r="M5547" s="92"/>
      <c r="N5547" s="92"/>
      <c r="AG5547" s="107"/>
      <c r="AH5547" s="107"/>
      <c r="AI5547" s="107"/>
      <c r="AJ5547" s="107"/>
      <c r="AK5547" s="107"/>
      <c r="AL5547" s="107"/>
      <c r="AM5547" s="107"/>
      <c r="AN5547" s="107"/>
      <c r="AO5547" s="107"/>
      <c r="AP5547" s="107"/>
      <c r="AQ5547" s="107"/>
      <c r="AR5547" s="107"/>
      <c r="AS5547" s="107"/>
      <c r="AT5547" s="107"/>
    </row>
    <row r="5548" spans="1:63" x14ac:dyDescent="0.25">
      <c r="A5548" s="92"/>
      <c r="B5548" s="93"/>
      <c r="C5548" s="92"/>
      <c r="D5548" s="93"/>
      <c r="E5548" s="92"/>
      <c r="F5548" s="92"/>
      <c r="G5548" s="92"/>
      <c r="H5548" s="92"/>
      <c r="I5548" s="92"/>
      <c r="J5548" s="92"/>
      <c r="K5548" s="92"/>
      <c r="L5548" s="92"/>
      <c r="M5548" s="92"/>
      <c r="N5548" s="94"/>
      <c r="AG5548" s="107"/>
      <c r="AH5548" s="107"/>
      <c r="AI5548" s="107"/>
      <c r="AJ5548" s="107"/>
      <c r="AK5548" s="107"/>
      <c r="AL5548" s="107"/>
      <c r="AM5548" s="107"/>
      <c r="AN5548" s="107"/>
      <c r="AO5548" s="107"/>
      <c r="AP5548" s="107"/>
      <c r="AQ5548" s="107"/>
      <c r="AR5548" s="107"/>
      <c r="AS5548" s="107"/>
      <c r="AT5548" s="107"/>
    </row>
    <row r="5549" spans="1:63" x14ac:dyDescent="0.25">
      <c r="A5549" s="92"/>
      <c r="B5549" s="93"/>
      <c r="C5549" s="92"/>
      <c r="D5549" s="93"/>
      <c r="E5549" s="92"/>
      <c r="F5549" s="92"/>
      <c r="G5549" s="92"/>
      <c r="H5549" s="92"/>
      <c r="I5549" s="92"/>
      <c r="J5549" s="92"/>
      <c r="K5549" s="92"/>
      <c r="L5549" s="92"/>
      <c r="M5549" s="92"/>
      <c r="N5549" s="94"/>
      <c r="AG5549" s="107"/>
      <c r="AH5549" s="117"/>
      <c r="AI5549" s="107"/>
      <c r="AJ5549" s="117"/>
      <c r="AK5549" s="107"/>
      <c r="AL5549" s="107"/>
      <c r="AM5549" s="107"/>
      <c r="AN5549" s="107"/>
      <c r="AO5549" s="107"/>
      <c r="AP5549" s="107"/>
      <c r="AQ5549" s="107"/>
      <c r="AR5549" s="107"/>
      <c r="AS5549" s="107"/>
      <c r="AT5549" s="39"/>
    </row>
    <row r="5550" spans="1:63" x14ac:dyDescent="0.25">
      <c r="A5550" s="92"/>
      <c r="B5550" s="92"/>
      <c r="C5550" s="92"/>
      <c r="D5550" s="92"/>
      <c r="E5550" s="92"/>
      <c r="F5550" s="92"/>
      <c r="G5550" s="92"/>
      <c r="H5550" s="92"/>
      <c r="I5550" s="92"/>
      <c r="J5550" s="92"/>
      <c r="K5550" s="92"/>
      <c r="L5550" s="92"/>
      <c r="M5550" s="92"/>
      <c r="N5550" s="92"/>
      <c r="AG5550" s="107"/>
      <c r="AH5550" s="107"/>
      <c r="AI5550" s="107"/>
      <c r="AJ5550" s="117"/>
      <c r="AK5550" s="107"/>
      <c r="AL5550" s="107"/>
      <c r="AM5550" s="107"/>
      <c r="AN5550" s="107"/>
      <c r="AO5550" s="107"/>
      <c r="AP5550" s="107"/>
      <c r="AQ5550" s="107"/>
      <c r="AR5550" s="107"/>
      <c r="AS5550" s="107"/>
      <c r="AT5550" s="107"/>
    </row>
    <row r="5551" spans="1:63" x14ac:dyDescent="0.25">
      <c r="A5551" s="92"/>
      <c r="B5551" s="92"/>
      <c r="C5551" s="92"/>
      <c r="D5551" s="92"/>
      <c r="E5551" s="92"/>
      <c r="F5551" s="92"/>
      <c r="G5551" s="92"/>
      <c r="H5551" s="92"/>
      <c r="I5551" s="92"/>
      <c r="J5551" s="92"/>
      <c r="K5551" s="92"/>
      <c r="L5551" s="92"/>
      <c r="M5551" s="92"/>
      <c r="N5551" s="92"/>
      <c r="AG5551" s="107"/>
      <c r="AH5551" s="107"/>
      <c r="AI5551" s="107"/>
      <c r="AJ5551" s="107"/>
      <c r="AK5551" s="107"/>
      <c r="AL5551" s="107"/>
      <c r="AM5551" s="107"/>
      <c r="AN5551" s="107"/>
      <c r="AO5551" s="107"/>
      <c r="AP5551" s="107"/>
      <c r="AQ5551" s="107"/>
      <c r="AR5551" s="107"/>
      <c r="AS5551" s="107"/>
      <c r="AT5551" s="107"/>
    </row>
    <row r="5552" spans="1:63" x14ac:dyDescent="0.25">
      <c r="A5552" s="92"/>
      <c r="B5552" s="92"/>
      <c r="C5552" s="92"/>
      <c r="D5552" s="92"/>
      <c r="E5552" s="92"/>
      <c r="F5552" s="92"/>
      <c r="G5552" s="92"/>
      <c r="H5552" s="92"/>
      <c r="I5552" s="92"/>
      <c r="J5552" s="92"/>
      <c r="K5552" s="92"/>
      <c r="L5552" s="92"/>
      <c r="M5552" s="92"/>
      <c r="N5552" s="92"/>
      <c r="AG5552" s="107"/>
      <c r="AH5552" s="107"/>
      <c r="AI5552" s="107"/>
      <c r="AJ5552" s="107"/>
      <c r="AK5552" s="107"/>
      <c r="AL5552" s="107"/>
      <c r="AM5552" s="107"/>
      <c r="AN5552" s="107"/>
      <c r="AO5552" s="107"/>
      <c r="AP5552" s="107"/>
      <c r="AQ5552" s="107"/>
      <c r="AR5552" s="107"/>
      <c r="AS5552" s="107"/>
      <c r="AT5552" s="107"/>
    </row>
    <row r="5553" spans="1:63" x14ac:dyDescent="0.25">
      <c r="A5553" s="92"/>
      <c r="B5553" s="92"/>
      <c r="C5553" s="92"/>
      <c r="D5553" s="92"/>
      <c r="E5553" s="92"/>
      <c r="F5553" s="92"/>
      <c r="G5553" s="92"/>
      <c r="H5553" s="92"/>
      <c r="I5553" s="92"/>
      <c r="J5553" s="92"/>
      <c r="K5553" s="92"/>
      <c r="L5553" s="92"/>
      <c r="M5553" s="92"/>
      <c r="N5553" s="92"/>
      <c r="AG5553" s="107"/>
      <c r="AH5553" s="117"/>
      <c r="AI5553" s="107"/>
      <c r="AJ5553" s="117"/>
      <c r="AK5553" s="107"/>
      <c r="AL5553" s="107"/>
      <c r="AM5553" s="107"/>
      <c r="AN5553" s="107"/>
      <c r="AO5553" s="107"/>
      <c r="AP5553" s="107"/>
      <c r="AQ5553" s="107"/>
      <c r="AR5553" s="107"/>
      <c r="AS5553" s="107"/>
      <c r="AT5553" s="39"/>
      <c r="BA5553" s="117"/>
      <c r="BK5553" s="39"/>
    </row>
    <row r="5554" spans="1:63" x14ac:dyDescent="0.25">
      <c r="A5554" s="92"/>
      <c r="B5554" s="92"/>
      <c r="C5554" s="92"/>
      <c r="D5554" s="92"/>
      <c r="E5554" s="92"/>
      <c r="F5554" s="92"/>
      <c r="G5554" s="92"/>
      <c r="H5554" s="92"/>
      <c r="I5554" s="92"/>
      <c r="J5554" s="92"/>
      <c r="K5554" s="92"/>
      <c r="L5554" s="92"/>
      <c r="M5554" s="92"/>
      <c r="N5554" s="92"/>
      <c r="AG5554" s="107"/>
      <c r="AH5554" s="117"/>
      <c r="AI5554" s="107"/>
      <c r="AJ5554" s="117"/>
      <c r="AK5554" s="107"/>
      <c r="AL5554" s="107"/>
      <c r="AM5554" s="107"/>
      <c r="AN5554" s="107"/>
      <c r="AO5554" s="107"/>
      <c r="AP5554" s="107"/>
      <c r="AQ5554" s="107"/>
      <c r="AR5554" s="107"/>
      <c r="AS5554" s="107"/>
      <c r="AT5554" s="39"/>
    </row>
    <row r="5555" spans="1:63" x14ac:dyDescent="0.25">
      <c r="A5555" s="92"/>
      <c r="B5555" s="92"/>
      <c r="C5555" s="92"/>
      <c r="D5555" s="92"/>
      <c r="E5555" s="92"/>
      <c r="F5555" s="92"/>
      <c r="G5555" s="92"/>
      <c r="H5555" s="92"/>
      <c r="I5555" s="92"/>
      <c r="J5555" s="92"/>
      <c r="K5555" s="92"/>
      <c r="L5555" s="92"/>
      <c r="M5555" s="92"/>
      <c r="N5555" s="92"/>
      <c r="AG5555" s="107"/>
      <c r="AH5555" s="107"/>
      <c r="AI5555" s="107"/>
      <c r="AJ5555" s="107"/>
      <c r="AK5555" s="107"/>
      <c r="AL5555" s="107"/>
      <c r="AM5555" s="107"/>
      <c r="AN5555" s="107"/>
      <c r="AO5555" s="107"/>
      <c r="AP5555" s="107"/>
      <c r="AQ5555" s="107"/>
      <c r="AR5555" s="107"/>
      <c r="AS5555" s="107"/>
      <c r="AT5555" s="107"/>
    </row>
    <row r="5556" spans="1:63" x14ac:dyDescent="0.25">
      <c r="A5556" s="92"/>
      <c r="B5556" s="92"/>
      <c r="C5556" s="92"/>
      <c r="D5556" s="92"/>
      <c r="E5556" s="92"/>
      <c r="F5556" s="92"/>
      <c r="G5556" s="92"/>
      <c r="H5556" s="92"/>
      <c r="I5556" s="92"/>
      <c r="J5556" s="92"/>
      <c r="K5556" s="92"/>
      <c r="L5556" s="92"/>
      <c r="M5556" s="92"/>
      <c r="N5556" s="92"/>
      <c r="AG5556" s="107"/>
      <c r="AH5556" s="107"/>
      <c r="AI5556" s="107"/>
      <c r="AJ5556" s="107"/>
      <c r="AK5556" s="107"/>
      <c r="AL5556" s="107"/>
      <c r="AM5556" s="107"/>
      <c r="AN5556" s="107"/>
      <c r="AO5556" s="107"/>
      <c r="AP5556" s="107"/>
      <c r="AQ5556" s="107"/>
      <c r="AR5556" s="107"/>
      <c r="AS5556" s="107"/>
      <c r="AT5556" s="107"/>
    </row>
    <row r="5557" spans="1:63" x14ac:dyDescent="0.25">
      <c r="A5557" s="92"/>
      <c r="B5557" s="92"/>
      <c r="C5557" s="92"/>
      <c r="D5557" s="92"/>
      <c r="E5557" s="92"/>
      <c r="F5557" s="92"/>
      <c r="G5557" s="92"/>
      <c r="H5557" s="92"/>
      <c r="I5557" s="92"/>
      <c r="J5557" s="92"/>
      <c r="K5557" s="92"/>
      <c r="L5557" s="92"/>
      <c r="M5557" s="92"/>
      <c r="N5557" s="92"/>
      <c r="AG5557" s="107"/>
      <c r="AH5557" s="107"/>
      <c r="AI5557" s="107"/>
      <c r="AJ5557" s="107"/>
      <c r="AK5557" s="107"/>
      <c r="AL5557" s="107"/>
      <c r="AM5557" s="107"/>
      <c r="AN5557" s="107"/>
      <c r="AO5557" s="107"/>
      <c r="AP5557" s="107"/>
      <c r="AQ5557" s="107"/>
      <c r="AR5557" s="107"/>
      <c r="AS5557" s="107"/>
      <c r="AT5557" s="107"/>
    </row>
    <row r="5558" spans="1:63" x14ac:dyDescent="0.25">
      <c r="A5558" s="92"/>
      <c r="B5558" s="92"/>
      <c r="C5558" s="92"/>
      <c r="D5558" s="92"/>
      <c r="E5558" s="92"/>
      <c r="F5558" s="92"/>
      <c r="G5558" s="92"/>
      <c r="H5558" s="92"/>
      <c r="I5558" s="92"/>
      <c r="J5558" s="92"/>
      <c r="K5558" s="92"/>
      <c r="L5558" s="92"/>
      <c r="M5558" s="92"/>
      <c r="N5558" s="92"/>
      <c r="AG5558" s="107"/>
      <c r="AH5558" s="107"/>
      <c r="AI5558" s="107"/>
      <c r="AJ5558" s="107"/>
      <c r="AK5558" s="107"/>
      <c r="AL5558" s="107"/>
      <c r="AM5558" s="107"/>
      <c r="AN5558" s="107"/>
      <c r="AO5558" s="107"/>
      <c r="AP5558" s="107"/>
      <c r="AQ5558" s="107"/>
      <c r="AR5558" s="107"/>
      <c r="AS5558" s="107"/>
      <c r="AT5558" s="107"/>
      <c r="BA5558" s="117"/>
      <c r="BK5558" s="39"/>
    </row>
    <row r="5559" spans="1:63" x14ac:dyDescent="0.25">
      <c r="A5559" s="92"/>
      <c r="B5559" s="92"/>
      <c r="C5559" s="92"/>
      <c r="D5559" s="92"/>
      <c r="E5559" s="92"/>
      <c r="F5559" s="92"/>
      <c r="G5559" s="92"/>
      <c r="H5559" s="92"/>
      <c r="I5559" s="92"/>
      <c r="J5559" s="92"/>
      <c r="K5559" s="92"/>
      <c r="L5559" s="92"/>
      <c r="M5559" s="92"/>
      <c r="N5559" s="92"/>
      <c r="AG5559" s="107"/>
      <c r="AH5559" s="107"/>
      <c r="AI5559" s="107"/>
      <c r="AJ5559" s="107"/>
      <c r="AK5559" s="107"/>
      <c r="AL5559" s="107"/>
      <c r="AM5559" s="107"/>
      <c r="AN5559" s="107"/>
      <c r="AO5559" s="107"/>
      <c r="AP5559" s="107"/>
      <c r="AQ5559" s="107"/>
      <c r="AR5559" s="107"/>
      <c r="AS5559" s="107"/>
      <c r="AT5559" s="107"/>
      <c r="BK5559" s="39"/>
    </row>
    <row r="5560" spans="1:63" x14ac:dyDescent="0.25">
      <c r="A5560" s="92"/>
      <c r="B5560" s="92"/>
      <c r="C5560" s="92"/>
      <c r="D5560" s="92"/>
      <c r="E5560" s="92"/>
      <c r="F5560" s="92"/>
      <c r="G5560" s="92"/>
      <c r="H5560" s="92"/>
      <c r="I5560" s="92"/>
      <c r="J5560" s="92"/>
      <c r="K5560" s="92"/>
      <c r="L5560" s="92"/>
      <c r="M5560" s="92"/>
      <c r="N5560" s="92"/>
      <c r="AG5560" s="107"/>
      <c r="AH5560" s="117"/>
      <c r="AI5560" s="107"/>
      <c r="AJ5560" s="117"/>
      <c r="AK5560" s="107"/>
      <c r="AL5560" s="107"/>
      <c r="AM5560" s="107"/>
      <c r="AN5560" s="107"/>
      <c r="AO5560" s="107"/>
      <c r="AP5560" s="107"/>
      <c r="AQ5560" s="107"/>
      <c r="AR5560" s="107"/>
      <c r="AS5560" s="107"/>
      <c r="AT5560" s="39"/>
    </row>
    <row r="5561" spans="1:63" x14ac:dyDescent="0.25">
      <c r="A5561" s="92"/>
      <c r="B5561" s="92"/>
      <c r="C5561" s="92"/>
      <c r="D5561" s="92"/>
      <c r="E5561" s="92"/>
      <c r="F5561" s="92"/>
      <c r="G5561" s="92"/>
      <c r="H5561" s="92"/>
      <c r="I5561" s="92"/>
      <c r="J5561" s="92"/>
      <c r="K5561" s="92"/>
      <c r="L5561" s="92"/>
      <c r="M5561" s="92"/>
      <c r="N5561" s="92"/>
      <c r="AG5561" s="107"/>
      <c r="AH5561" s="117"/>
      <c r="AI5561" s="117"/>
      <c r="AJ5561" s="107"/>
      <c r="AK5561" s="107"/>
      <c r="AL5561" s="107"/>
      <c r="AM5561" s="107"/>
      <c r="AN5561" s="107"/>
      <c r="AO5561" s="107"/>
      <c r="AP5561" s="107"/>
      <c r="AQ5561" s="107"/>
      <c r="AR5561" s="107"/>
      <c r="AS5561" s="107"/>
      <c r="AT5561" s="39"/>
      <c r="BA5561" s="117"/>
      <c r="BK5561" s="39"/>
    </row>
    <row r="5562" spans="1:63" x14ac:dyDescent="0.25">
      <c r="A5562" s="92"/>
      <c r="B5562" s="92"/>
      <c r="C5562" s="92"/>
      <c r="D5562" s="92"/>
      <c r="E5562" s="92"/>
      <c r="F5562" s="92"/>
      <c r="G5562" s="92"/>
      <c r="H5562" s="92"/>
      <c r="I5562" s="92"/>
      <c r="J5562" s="92"/>
      <c r="K5562" s="92"/>
      <c r="L5562" s="92"/>
      <c r="M5562" s="92"/>
      <c r="N5562" s="92"/>
      <c r="AG5562" s="107"/>
      <c r="AH5562" s="107"/>
      <c r="AI5562" s="107"/>
      <c r="AJ5562" s="107"/>
      <c r="AK5562" s="107"/>
      <c r="AL5562" s="107"/>
      <c r="AM5562" s="107"/>
      <c r="AN5562" s="107"/>
      <c r="AO5562" s="107"/>
      <c r="AP5562" s="107"/>
      <c r="AQ5562" s="107"/>
      <c r="AR5562" s="107"/>
      <c r="AS5562" s="107"/>
      <c r="AT5562" s="107"/>
    </row>
    <row r="5563" spans="1:63" x14ac:dyDescent="0.25">
      <c r="A5563" s="92"/>
      <c r="B5563" s="92"/>
      <c r="C5563" s="92"/>
      <c r="D5563" s="92"/>
      <c r="E5563" s="92"/>
      <c r="F5563" s="92"/>
      <c r="G5563" s="92"/>
      <c r="H5563" s="92"/>
      <c r="I5563" s="92"/>
      <c r="J5563" s="92"/>
      <c r="K5563" s="92"/>
      <c r="L5563" s="92"/>
      <c r="M5563" s="92"/>
      <c r="N5563" s="92"/>
      <c r="AG5563" s="107"/>
      <c r="AH5563" s="107"/>
      <c r="AI5563" s="107"/>
      <c r="AJ5563" s="107"/>
      <c r="AK5563" s="107"/>
      <c r="AL5563" s="107"/>
      <c r="AM5563" s="107"/>
      <c r="AN5563" s="107"/>
      <c r="AO5563" s="107"/>
      <c r="AP5563" s="107"/>
      <c r="AQ5563" s="107"/>
      <c r="AR5563" s="107"/>
      <c r="AS5563" s="107"/>
      <c r="AT5563" s="107"/>
    </row>
    <row r="5564" spans="1:63" x14ac:dyDescent="0.25">
      <c r="A5564" s="92"/>
      <c r="B5564" s="93"/>
      <c r="C5564" s="92"/>
      <c r="D5564" s="93"/>
      <c r="E5564" s="92"/>
      <c r="F5564" s="92"/>
      <c r="G5564" s="92"/>
      <c r="H5564" s="92"/>
      <c r="I5564" s="92"/>
      <c r="J5564" s="92"/>
      <c r="K5564" s="92"/>
      <c r="L5564" s="92"/>
      <c r="M5564" s="92"/>
      <c r="N5564" s="94"/>
      <c r="AG5564" s="107"/>
      <c r="AH5564" s="107"/>
      <c r="AI5564" s="107"/>
      <c r="AJ5564" s="107"/>
      <c r="AK5564" s="107"/>
      <c r="AL5564" s="107"/>
      <c r="AM5564" s="107"/>
      <c r="AN5564" s="107"/>
      <c r="AO5564" s="107"/>
      <c r="AP5564" s="107"/>
      <c r="AQ5564" s="107"/>
      <c r="AR5564" s="107"/>
      <c r="AS5564" s="107"/>
      <c r="AT5564" s="107"/>
      <c r="BK5564" s="39"/>
    </row>
    <row r="5565" spans="1:63" x14ac:dyDescent="0.25">
      <c r="A5565" s="92"/>
      <c r="B5565" s="92"/>
      <c r="C5565" s="92"/>
      <c r="D5565" s="93"/>
      <c r="E5565" s="92"/>
      <c r="F5565" s="92"/>
      <c r="G5565" s="92"/>
      <c r="H5565" s="92"/>
      <c r="I5565" s="92"/>
      <c r="J5565" s="92"/>
      <c r="K5565" s="92"/>
      <c r="L5565" s="92"/>
      <c r="M5565" s="92"/>
      <c r="N5565" s="92"/>
      <c r="AG5565" s="107"/>
      <c r="AH5565" s="117"/>
      <c r="AI5565" s="107"/>
      <c r="AJ5565" s="117"/>
      <c r="AK5565" s="107"/>
      <c r="AL5565" s="107"/>
      <c r="AM5565" s="107"/>
      <c r="AN5565" s="107"/>
      <c r="AO5565" s="107"/>
      <c r="AP5565" s="107"/>
      <c r="AQ5565" s="107"/>
      <c r="AR5565" s="107"/>
      <c r="AS5565" s="107"/>
      <c r="AT5565" s="39"/>
      <c r="BA5565" s="117"/>
      <c r="BK5565" s="39"/>
    </row>
    <row r="5566" spans="1:63" x14ac:dyDescent="0.25">
      <c r="A5566" s="92"/>
      <c r="B5566" s="92"/>
      <c r="C5566" s="92"/>
      <c r="D5566" s="92"/>
      <c r="E5566" s="92"/>
      <c r="F5566" s="92"/>
      <c r="G5566" s="92"/>
      <c r="H5566" s="92"/>
      <c r="I5566" s="92"/>
      <c r="J5566" s="92"/>
      <c r="K5566" s="92"/>
      <c r="L5566" s="92"/>
      <c r="M5566" s="92"/>
      <c r="N5566" s="92"/>
      <c r="AG5566" s="107"/>
      <c r="AH5566" s="117"/>
      <c r="AI5566" s="107"/>
      <c r="AJ5566" s="117"/>
      <c r="AK5566" s="107"/>
      <c r="AL5566" s="107"/>
      <c r="AM5566" s="107"/>
      <c r="AN5566" s="107"/>
      <c r="AO5566" s="107"/>
      <c r="AP5566" s="107"/>
      <c r="AQ5566" s="107"/>
      <c r="AR5566" s="107"/>
      <c r="AS5566" s="107"/>
      <c r="AT5566" s="39"/>
    </row>
    <row r="5567" spans="1:63" x14ac:dyDescent="0.25">
      <c r="A5567" s="92"/>
      <c r="B5567" s="92"/>
      <c r="C5567" s="92"/>
      <c r="D5567" s="92"/>
      <c r="E5567" s="92"/>
      <c r="F5567" s="92"/>
      <c r="G5567" s="92"/>
      <c r="H5567" s="92"/>
      <c r="I5567" s="92"/>
      <c r="J5567" s="92"/>
      <c r="K5567" s="92"/>
      <c r="L5567" s="92"/>
      <c r="M5567" s="92"/>
      <c r="N5567" s="92"/>
      <c r="AG5567" s="107"/>
      <c r="AH5567" s="107"/>
      <c r="AI5567" s="107"/>
      <c r="AJ5567" s="107"/>
      <c r="AK5567" s="107"/>
      <c r="AL5567" s="107"/>
      <c r="AM5567" s="107"/>
      <c r="AN5567" s="107"/>
      <c r="AO5567" s="107"/>
      <c r="AP5567" s="107"/>
      <c r="AQ5567" s="107"/>
      <c r="AR5567" s="107"/>
      <c r="AS5567" s="107"/>
      <c r="AT5567" s="107"/>
    </row>
    <row r="5568" spans="1:63" x14ac:dyDescent="0.25">
      <c r="A5568" s="92"/>
      <c r="B5568" s="92"/>
      <c r="C5568" s="92"/>
      <c r="D5568" s="92"/>
      <c r="E5568" s="92"/>
      <c r="F5568" s="92"/>
      <c r="G5568" s="92"/>
      <c r="H5568" s="92"/>
      <c r="I5568" s="92"/>
      <c r="J5568" s="92"/>
      <c r="K5568" s="92"/>
      <c r="L5568" s="92"/>
      <c r="M5568" s="92"/>
      <c r="N5568" s="92"/>
      <c r="AG5568" s="107"/>
      <c r="AH5568" s="107"/>
      <c r="AI5568" s="107"/>
      <c r="AJ5568" s="107"/>
      <c r="AK5568" s="107"/>
      <c r="AL5568" s="107"/>
      <c r="AM5568" s="107"/>
      <c r="AN5568" s="107"/>
      <c r="AO5568" s="107"/>
      <c r="AP5568" s="107"/>
      <c r="AQ5568" s="107"/>
      <c r="AR5568" s="107"/>
      <c r="AS5568" s="107"/>
      <c r="AT5568" s="107"/>
    </row>
    <row r="5569" spans="1:63" x14ac:dyDescent="0.25">
      <c r="A5569" s="92"/>
      <c r="B5569" s="92"/>
      <c r="C5569" s="92"/>
      <c r="D5569" s="92"/>
      <c r="E5569" s="92"/>
      <c r="F5569" s="92"/>
      <c r="G5569" s="92"/>
      <c r="H5569" s="92"/>
      <c r="I5569" s="92"/>
      <c r="J5569" s="92"/>
      <c r="K5569" s="92"/>
      <c r="L5569" s="92"/>
      <c r="M5569" s="92"/>
      <c r="N5569" s="92"/>
      <c r="AG5569" s="107"/>
      <c r="AH5569" s="107"/>
      <c r="AI5569" s="107"/>
      <c r="AJ5569" s="107"/>
      <c r="AK5569" s="107"/>
      <c r="AL5569" s="107"/>
      <c r="AM5569" s="107"/>
      <c r="AN5569" s="107"/>
      <c r="AO5569" s="107"/>
      <c r="AP5569" s="107"/>
      <c r="AQ5569" s="107"/>
      <c r="AR5569" s="107"/>
      <c r="AS5569" s="107"/>
      <c r="AT5569" s="107"/>
      <c r="BK5569" s="39"/>
    </row>
    <row r="5570" spans="1:63" x14ac:dyDescent="0.25">
      <c r="A5570" s="92"/>
      <c r="B5570" s="93"/>
      <c r="C5570" s="92"/>
      <c r="D5570" s="93"/>
      <c r="E5570" s="92"/>
      <c r="F5570" s="92"/>
      <c r="G5570" s="92"/>
      <c r="H5570" s="92"/>
      <c r="I5570" s="92"/>
      <c r="J5570" s="92"/>
      <c r="K5570" s="92"/>
      <c r="L5570" s="92"/>
      <c r="M5570" s="92"/>
      <c r="N5570" s="94"/>
      <c r="AG5570" s="107"/>
      <c r="AH5570" s="117"/>
      <c r="AI5570" s="117"/>
      <c r="AJ5570" s="117"/>
      <c r="AK5570" s="107"/>
      <c r="AL5570" s="107"/>
      <c r="AM5570" s="107"/>
      <c r="AN5570" s="107"/>
      <c r="AO5570" s="107"/>
      <c r="AP5570" s="107"/>
      <c r="AQ5570" s="107"/>
      <c r="AR5570" s="107"/>
      <c r="AS5570" s="107"/>
      <c r="AT5570" s="39"/>
      <c r="BA5570" s="117"/>
      <c r="BK5570" s="39"/>
    </row>
    <row r="5571" spans="1:63" x14ac:dyDescent="0.25">
      <c r="A5571" s="92"/>
      <c r="B5571" s="93"/>
      <c r="C5571" s="92"/>
      <c r="D5571" s="92"/>
      <c r="E5571" s="92"/>
      <c r="F5571" s="92"/>
      <c r="G5571" s="92"/>
      <c r="H5571" s="92"/>
      <c r="I5571" s="92"/>
      <c r="J5571" s="92"/>
      <c r="K5571" s="92"/>
      <c r="L5571" s="92"/>
      <c r="M5571" s="92"/>
      <c r="N5571" s="94"/>
      <c r="AG5571" s="107"/>
      <c r="AH5571" s="107"/>
      <c r="AI5571" s="107"/>
      <c r="AJ5571" s="117"/>
      <c r="AK5571" s="107"/>
      <c r="AL5571" s="107"/>
      <c r="AM5571" s="107"/>
      <c r="AN5571" s="107"/>
      <c r="AO5571" s="107"/>
      <c r="AP5571" s="107"/>
      <c r="AQ5571" s="107"/>
      <c r="AR5571" s="107"/>
      <c r="AS5571" s="107"/>
      <c r="AT5571" s="107"/>
      <c r="BK5571" s="39"/>
    </row>
    <row r="5572" spans="1:63" x14ac:dyDescent="0.25">
      <c r="A5572" s="92"/>
      <c r="B5572" s="92"/>
      <c r="C5572" s="92"/>
      <c r="D5572" s="92"/>
      <c r="E5572" s="92"/>
      <c r="F5572" s="92"/>
      <c r="G5572" s="92"/>
      <c r="H5572" s="92"/>
      <c r="I5572" s="92"/>
      <c r="J5572" s="92"/>
      <c r="K5572" s="92"/>
      <c r="L5572" s="92"/>
      <c r="M5572" s="92"/>
      <c r="N5572" s="92"/>
      <c r="AG5572" s="107"/>
      <c r="AH5572" s="107"/>
      <c r="AI5572" s="107"/>
      <c r="AJ5572" s="117"/>
      <c r="AK5572" s="107"/>
      <c r="AL5572" s="107"/>
      <c r="AM5572" s="107"/>
      <c r="AN5572" s="107"/>
      <c r="AO5572" s="107"/>
      <c r="AP5572" s="107"/>
      <c r="AQ5572" s="107"/>
      <c r="AR5572" s="107"/>
      <c r="AS5572" s="107"/>
      <c r="AT5572" s="107"/>
      <c r="BA5572" s="117"/>
      <c r="BK5572" s="39"/>
    </row>
    <row r="5573" spans="1:63" x14ac:dyDescent="0.25">
      <c r="A5573" s="92"/>
      <c r="B5573" s="93"/>
      <c r="C5573" s="92"/>
      <c r="D5573" s="93"/>
      <c r="E5573" s="92"/>
      <c r="F5573" s="92"/>
      <c r="G5573" s="92"/>
      <c r="H5573" s="92"/>
      <c r="I5573" s="92"/>
      <c r="J5573" s="92"/>
      <c r="K5573" s="92"/>
      <c r="L5573" s="92"/>
      <c r="M5573" s="92"/>
      <c r="N5573" s="94"/>
      <c r="AG5573" s="107"/>
      <c r="AH5573" s="107"/>
      <c r="AI5573" s="107"/>
      <c r="AJ5573" s="117"/>
      <c r="AK5573" s="107"/>
      <c r="AL5573" s="107"/>
      <c r="AM5573" s="107"/>
      <c r="AN5573" s="107"/>
      <c r="AO5573" s="107"/>
      <c r="AP5573" s="107"/>
      <c r="AQ5573" s="107"/>
      <c r="AR5573" s="107"/>
      <c r="AS5573" s="107"/>
      <c r="AT5573" s="107"/>
    </row>
    <row r="5574" spans="1:63" x14ac:dyDescent="0.25">
      <c r="A5574" s="92"/>
      <c r="B5574" s="93"/>
      <c r="C5574" s="92"/>
      <c r="D5574" s="93"/>
      <c r="E5574" s="92"/>
      <c r="F5574" s="92"/>
      <c r="G5574" s="92"/>
      <c r="H5574" s="92"/>
      <c r="I5574" s="92"/>
      <c r="J5574" s="92"/>
      <c r="K5574" s="92"/>
      <c r="L5574" s="92"/>
      <c r="M5574" s="92"/>
      <c r="N5574" s="94"/>
      <c r="AG5574" s="107"/>
      <c r="AH5574" s="107"/>
      <c r="AI5574" s="107"/>
      <c r="AJ5574" s="117"/>
      <c r="AK5574" s="107"/>
      <c r="AL5574" s="107"/>
      <c r="AM5574" s="107"/>
      <c r="AN5574" s="107"/>
      <c r="AO5574" s="107"/>
      <c r="AP5574" s="107"/>
      <c r="AQ5574" s="107"/>
      <c r="AR5574" s="107"/>
      <c r="AS5574" s="107"/>
      <c r="AT5574" s="107"/>
    </row>
    <row r="5575" spans="1:63" x14ac:dyDescent="0.25">
      <c r="A5575" s="92"/>
      <c r="B5575" s="93"/>
      <c r="C5575" s="92"/>
      <c r="D5575" s="93"/>
      <c r="E5575" s="92"/>
      <c r="F5575" s="92"/>
      <c r="G5575" s="92"/>
      <c r="H5575" s="92"/>
      <c r="I5575" s="92"/>
      <c r="J5575" s="92"/>
      <c r="K5575" s="92"/>
      <c r="L5575" s="92"/>
      <c r="M5575" s="92"/>
      <c r="N5575" s="94"/>
      <c r="AG5575" s="107"/>
      <c r="AH5575" s="117"/>
      <c r="AI5575" s="107"/>
      <c r="AJ5575" s="117"/>
      <c r="AK5575" s="107"/>
      <c r="AL5575" s="107"/>
      <c r="AM5575" s="107"/>
      <c r="AN5575" s="107"/>
      <c r="AO5575" s="107"/>
      <c r="AP5575" s="107"/>
      <c r="AQ5575" s="107"/>
      <c r="AR5575" s="107"/>
      <c r="AS5575" s="107"/>
      <c r="AT5575" s="39"/>
    </row>
    <row r="5576" spans="1:63" x14ac:dyDescent="0.25">
      <c r="A5576" s="92"/>
      <c r="B5576" s="92"/>
      <c r="C5576" s="92"/>
      <c r="D5576" s="92"/>
      <c r="E5576" s="92"/>
      <c r="F5576" s="92"/>
      <c r="G5576" s="92"/>
      <c r="H5576" s="92"/>
      <c r="I5576" s="92"/>
      <c r="J5576" s="92"/>
      <c r="K5576" s="92"/>
      <c r="L5576" s="92"/>
      <c r="M5576" s="92"/>
      <c r="N5576" s="92"/>
      <c r="AG5576" s="107"/>
      <c r="AH5576" s="107"/>
      <c r="AI5576" s="107"/>
      <c r="AJ5576" s="117"/>
      <c r="AK5576" s="107"/>
      <c r="AL5576" s="107"/>
      <c r="AM5576" s="107"/>
      <c r="AN5576" s="107"/>
      <c r="AO5576" s="107"/>
      <c r="AP5576" s="107"/>
      <c r="AQ5576" s="107"/>
      <c r="AR5576" s="107"/>
      <c r="AS5576" s="107"/>
      <c r="AT5576" s="107"/>
    </row>
    <row r="5577" spans="1:63" x14ac:dyDescent="0.25">
      <c r="A5577" s="92"/>
      <c r="B5577" s="92"/>
      <c r="C5577" s="92"/>
      <c r="D5577" s="92"/>
      <c r="E5577" s="92"/>
      <c r="F5577" s="92"/>
      <c r="G5577" s="92"/>
      <c r="H5577" s="92"/>
      <c r="I5577" s="92"/>
      <c r="J5577" s="92"/>
      <c r="K5577" s="92"/>
      <c r="L5577" s="92"/>
      <c r="M5577" s="92"/>
      <c r="N5577" s="92"/>
      <c r="AG5577" s="107"/>
      <c r="AH5577" s="107"/>
      <c r="AI5577" s="107"/>
      <c r="AJ5577" s="117"/>
      <c r="AK5577" s="107"/>
      <c r="AL5577" s="107"/>
      <c r="AM5577" s="107"/>
      <c r="AN5577" s="107"/>
      <c r="AO5577" s="107"/>
      <c r="AP5577" s="107"/>
      <c r="AQ5577" s="107"/>
      <c r="AR5577" s="107"/>
      <c r="AS5577" s="107"/>
      <c r="AT5577" s="107"/>
    </row>
    <row r="5578" spans="1:63" x14ac:dyDescent="0.25">
      <c r="A5578" s="92"/>
      <c r="B5578" s="92"/>
      <c r="C5578" s="92"/>
      <c r="D5578" s="92"/>
      <c r="E5578" s="92"/>
      <c r="F5578" s="92"/>
      <c r="G5578" s="92"/>
      <c r="H5578" s="92"/>
      <c r="I5578" s="92"/>
      <c r="J5578" s="92"/>
      <c r="K5578" s="92"/>
      <c r="L5578" s="92"/>
      <c r="M5578" s="92"/>
      <c r="N5578" s="92"/>
      <c r="AG5578" s="107"/>
      <c r="AH5578" s="107"/>
      <c r="AI5578" s="107"/>
      <c r="AJ5578" s="117"/>
      <c r="AK5578" s="107"/>
      <c r="AL5578" s="107"/>
      <c r="AM5578" s="107"/>
      <c r="AN5578" s="107"/>
      <c r="AO5578" s="107"/>
      <c r="AP5578" s="107"/>
      <c r="AQ5578" s="107"/>
      <c r="AR5578" s="107"/>
      <c r="AS5578" s="107"/>
      <c r="AT5578" s="107"/>
    </row>
    <row r="5579" spans="1:63" x14ac:dyDescent="0.25">
      <c r="A5579" s="92"/>
      <c r="B5579" s="92"/>
      <c r="C5579" s="92"/>
      <c r="D5579" s="92"/>
      <c r="E5579" s="92"/>
      <c r="F5579" s="92"/>
      <c r="G5579" s="92"/>
      <c r="H5579" s="92"/>
      <c r="I5579" s="92"/>
      <c r="J5579" s="92"/>
      <c r="K5579" s="92"/>
      <c r="L5579" s="92"/>
      <c r="M5579" s="92"/>
      <c r="N5579" s="92"/>
      <c r="AG5579" s="107"/>
      <c r="AH5579" s="107"/>
      <c r="AI5579" s="107"/>
      <c r="AJ5579" s="11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</row>
    <row r="5580" spans="1:63" x14ac:dyDescent="0.25">
      <c r="A5580" s="92"/>
      <c r="B5580" s="92"/>
      <c r="C5580" s="92"/>
      <c r="D5580" s="92"/>
      <c r="E5580" s="92"/>
      <c r="F5580" s="92"/>
      <c r="G5580" s="92"/>
      <c r="H5580" s="92"/>
      <c r="I5580" s="92"/>
      <c r="J5580" s="92"/>
      <c r="K5580" s="92"/>
      <c r="L5580" s="92"/>
      <c r="M5580" s="92"/>
      <c r="N5580" s="92"/>
      <c r="AG5580" s="107"/>
      <c r="AH5580" s="117"/>
      <c r="AI5580" s="107"/>
      <c r="AJ5580" s="117"/>
      <c r="AK5580" s="107"/>
      <c r="AL5580" s="107"/>
      <c r="AM5580" s="107"/>
      <c r="AN5580" s="107"/>
      <c r="AO5580" s="107"/>
      <c r="AP5580" s="107"/>
      <c r="AQ5580" s="107"/>
      <c r="AR5580" s="107"/>
      <c r="AS5580" s="107"/>
      <c r="AT5580" s="39"/>
      <c r="BK5580" s="39"/>
    </row>
    <row r="5581" spans="1:63" x14ac:dyDescent="0.25">
      <c r="A5581" s="92"/>
      <c r="B5581" s="92"/>
      <c r="C5581" s="92"/>
      <c r="D5581" s="92"/>
      <c r="E5581" s="92"/>
      <c r="F5581" s="92"/>
      <c r="G5581" s="92"/>
      <c r="H5581" s="92"/>
      <c r="I5581" s="92"/>
      <c r="J5581" s="92"/>
      <c r="K5581" s="92"/>
      <c r="L5581" s="92"/>
      <c r="M5581" s="92"/>
      <c r="N5581" s="92"/>
      <c r="AG5581" s="107"/>
      <c r="AH5581" s="107"/>
      <c r="AI5581" s="107"/>
      <c r="AJ5581" s="117"/>
      <c r="AK5581" s="107"/>
      <c r="AL5581" s="107"/>
      <c r="AM5581" s="107"/>
      <c r="AN5581" s="107"/>
      <c r="AO5581" s="107"/>
      <c r="AP5581" s="107"/>
      <c r="AQ5581" s="107"/>
      <c r="AR5581" s="107"/>
      <c r="AS5581" s="107"/>
      <c r="AT5581" s="107"/>
      <c r="AZ5581" s="117"/>
      <c r="BK5581" s="39"/>
    </row>
    <row r="5582" spans="1:63" x14ac:dyDescent="0.25">
      <c r="A5582" s="92"/>
      <c r="B5582" s="92"/>
      <c r="C5582" s="92"/>
      <c r="D5582" s="92"/>
      <c r="E5582" s="92"/>
      <c r="F5582" s="92"/>
      <c r="G5582" s="92"/>
      <c r="H5582" s="92"/>
      <c r="I5582" s="92"/>
      <c r="J5582" s="92"/>
      <c r="K5582" s="92"/>
      <c r="L5582" s="92"/>
      <c r="M5582" s="92"/>
      <c r="N5582" s="92"/>
      <c r="AG5582" s="107"/>
      <c r="AH5582" s="117"/>
      <c r="AI5582" s="107"/>
      <c r="AJ5582" s="117"/>
      <c r="AK5582" s="107"/>
      <c r="AL5582" s="107"/>
      <c r="AM5582" s="107"/>
      <c r="AN5582" s="107"/>
      <c r="AO5582" s="107"/>
      <c r="AP5582" s="107"/>
      <c r="AQ5582" s="107"/>
      <c r="AR5582" s="107"/>
      <c r="AS5582" s="107"/>
      <c r="AT5582" s="39"/>
    </row>
    <row r="5583" spans="1:63" x14ac:dyDescent="0.25">
      <c r="A5583" s="92"/>
      <c r="B5583" s="93"/>
      <c r="C5583" s="92"/>
      <c r="D5583" s="92"/>
      <c r="E5583" s="92"/>
      <c r="F5583" s="92"/>
      <c r="G5583" s="92"/>
      <c r="H5583" s="92"/>
      <c r="I5583" s="92"/>
      <c r="J5583" s="92"/>
      <c r="K5583" s="92"/>
      <c r="L5583" s="92"/>
      <c r="M5583" s="92"/>
      <c r="N5583" s="94"/>
      <c r="AG5583" s="107"/>
      <c r="AH5583" s="107"/>
      <c r="AI5583" s="107"/>
      <c r="AJ5583" s="117"/>
      <c r="AK5583" s="107"/>
      <c r="AL5583" s="107"/>
      <c r="AM5583" s="107"/>
      <c r="AN5583" s="107"/>
      <c r="AO5583" s="107"/>
      <c r="AP5583" s="107"/>
      <c r="AQ5583" s="107"/>
      <c r="AR5583" s="107"/>
      <c r="AS5583" s="107"/>
      <c r="AT5583" s="107"/>
    </row>
    <row r="5584" spans="1:63" x14ac:dyDescent="0.25">
      <c r="A5584" s="92"/>
      <c r="B5584" s="93"/>
      <c r="C5584" s="92"/>
      <c r="D5584" s="93"/>
      <c r="E5584" s="92"/>
      <c r="F5584" s="92"/>
      <c r="G5584" s="92"/>
      <c r="H5584" s="92"/>
      <c r="I5584" s="92"/>
      <c r="J5584" s="92"/>
      <c r="K5584" s="92"/>
      <c r="L5584" s="92"/>
      <c r="M5584" s="92"/>
      <c r="N5584" s="94"/>
      <c r="AG5584" s="107"/>
      <c r="AH5584" s="117"/>
      <c r="AI5584" s="107"/>
      <c r="AJ5584" s="117"/>
      <c r="AK5584" s="107"/>
      <c r="AL5584" s="107"/>
      <c r="AM5584" s="107"/>
      <c r="AN5584" s="107"/>
      <c r="AO5584" s="107"/>
      <c r="AP5584" s="107"/>
      <c r="AQ5584" s="107"/>
      <c r="AR5584" s="107"/>
      <c r="AS5584" s="107"/>
      <c r="AT5584" s="39"/>
    </row>
    <row r="5585" spans="1:63" x14ac:dyDescent="0.25">
      <c r="A5585" s="92"/>
      <c r="B5585" s="92"/>
      <c r="C5585" s="92"/>
      <c r="D5585" s="92"/>
      <c r="E5585" s="92"/>
      <c r="F5585" s="92"/>
      <c r="G5585" s="92"/>
      <c r="H5585" s="92"/>
      <c r="I5585" s="92"/>
      <c r="J5585" s="92"/>
      <c r="K5585" s="92"/>
      <c r="L5585" s="92"/>
      <c r="M5585" s="92"/>
      <c r="N5585" s="92"/>
      <c r="AG5585" s="107"/>
      <c r="AH5585" s="117"/>
      <c r="AI5585" s="107"/>
      <c r="AJ5585" s="117"/>
      <c r="AK5585" s="107"/>
      <c r="AL5585" s="107"/>
      <c r="AM5585" s="107"/>
      <c r="AN5585" s="107"/>
      <c r="AO5585" s="107"/>
      <c r="AP5585" s="107"/>
      <c r="AQ5585" s="107"/>
      <c r="AR5585" s="107"/>
      <c r="AS5585" s="107"/>
      <c r="AT5585" s="39"/>
    </row>
    <row r="5586" spans="1:63" x14ac:dyDescent="0.25">
      <c r="A5586" s="92"/>
      <c r="B5586" s="92"/>
      <c r="C5586" s="92"/>
      <c r="D5586" s="92"/>
      <c r="E5586" s="92"/>
      <c r="F5586" s="92"/>
      <c r="G5586" s="92"/>
      <c r="H5586" s="92"/>
      <c r="I5586" s="92"/>
      <c r="J5586" s="92"/>
      <c r="K5586" s="92"/>
      <c r="L5586" s="92"/>
      <c r="M5586" s="92"/>
      <c r="N5586" s="92"/>
      <c r="AG5586" s="107"/>
      <c r="AH5586" s="117"/>
      <c r="AI5586" s="107"/>
      <c r="AJ5586" s="117"/>
      <c r="AK5586" s="107"/>
      <c r="AL5586" s="107"/>
      <c r="AM5586" s="107"/>
      <c r="AN5586" s="107"/>
      <c r="AO5586" s="107"/>
      <c r="AP5586" s="107"/>
      <c r="AQ5586" s="107"/>
      <c r="AR5586" s="107"/>
      <c r="AS5586" s="107"/>
      <c r="AT5586" s="39"/>
    </row>
    <row r="5587" spans="1:63" x14ac:dyDescent="0.25">
      <c r="A5587" s="92"/>
      <c r="B5587" s="92"/>
      <c r="C5587" s="92"/>
      <c r="D5587" s="92"/>
      <c r="E5587" s="92"/>
      <c r="F5587" s="92"/>
      <c r="G5587" s="92"/>
      <c r="H5587" s="92"/>
      <c r="I5587" s="92"/>
      <c r="J5587" s="92"/>
      <c r="K5587" s="92"/>
      <c r="L5587" s="92"/>
      <c r="M5587" s="92"/>
      <c r="N5587" s="92"/>
      <c r="AG5587" s="107"/>
      <c r="AH5587" s="117"/>
      <c r="AI5587" s="107"/>
      <c r="AJ5587" s="117"/>
      <c r="AK5587" s="107"/>
      <c r="AL5587" s="107"/>
      <c r="AM5587" s="107"/>
      <c r="AN5587" s="107"/>
      <c r="AO5587" s="107"/>
      <c r="AP5587" s="107"/>
      <c r="AQ5587" s="107"/>
      <c r="AR5587" s="107"/>
      <c r="AS5587" s="107"/>
      <c r="AT5587" s="39"/>
    </row>
    <row r="5588" spans="1:63" x14ac:dyDescent="0.25">
      <c r="A5588" s="92"/>
      <c r="B5588" s="93"/>
      <c r="C5588" s="92"/>
      <c r="D5588" s="92"/>
      <c r="E5588" s="92"/>
      <c r="F5588" s="92"/>
      <c r="G5588" s="92"/>
      <c r="H5588" s="92"/>
      <c r="I5588" s="92"/>
      <c r="J5588" s="92"/>
      <c r="K5588" s="92"/>
      <c r="L5588" s="92"/>
      <c r="M5588" s="92"/>
      <c r="N5588" s="94"/>
      <c r="AG5588" s="107"/>
      <c r="AH5588" s="117"/>
      <c r="AI5588" s="107"/>
      <c r="AJ5588" s="117"/>
      <c r="AK5588" s="107"/>
      <c r="AL5588" s="107"/>
      <c r="AM5588" s="107"/>
      <c r="AN5588" s="107"/>
      <c r="AO5588" s="107"/>
      <c r="AP5588" s="107"/>
      <c r="AQ5588" s="107"/>
      <c r="AR5588" s="107"/>
      <c r="AS5588" s="107"/>
      <c r="AT5588" s="39"/>
    </row>
    <row r="5589" spans="1:63" x14ac:dyDescent="0.25">
      <c r="A5589" s="92"/>
      <c r="B5589" s="93"/>
      <c r="C5589" s="92"/>
      <c r="D5589" s="93"/>
      <c r="E5589" s="92"/>
      <c r="F5589" s="92"/>
      <c r="G5589" s="92"/>
      <c r="H5589" s="92"/>
      <c r="I5589" s="92"/>
      <c r="J5589" s="92"/>
      <c r="K5589" s="92"/>
      <c r="L5589" s="92"/>
      <c r="M5589" s="92"/>
      <c r="N5589" s="94"/>
      <c r="AG5589" s="107"/>
      <c r="AH5589" s="117"/>
      <c r="AI5589" s="107"/>
      <c r="AJ5589" s="117"/>
      <c r="AK5589" s="107"/>
      <c r="AL5589" s="107"/>
      <c r="AM5589" s="107"/>
      <c r="AN5589" s="107"/>
      <c r="AO5589" s="107"/>
      <c r="AP5589" s="107"/>
      <c r="AQ5589" s="107"/>
      <c r="AR5589" s="107"/>
      <c r="AS5589" s="107"/>
      <c r="AT5589" s="39"/>
    </row>
    <row r="5590" spans="1:63" x14ac:dyDescent="0.25">
      <c r="A5590" s="92"/>
      <c r="B5590" s="92"/>
      <c r="C5590" s="92"/>
      <c r="D5590" s="92"/>
      <c r="E5590" s="92"/>
      <c r="F5590" s="92"/>
      <c r="G5590" s="92"/>
      <c r="H5590" s="92"/>
      <c r="I5590" s="92"/>
      <c r="J5590" s="92"/>
      <c r="K5590" s="92"/>
      <c r="L5590" s="92"/>
      <c r="M5590" s="92"/>
      <c r="N5590" s="92"/>
      <c r="AG5590" s="107"/>
      <c r="AH5590" s="117"/>
      <c r="AI5590" s="107"/>
      <c r="AJ5590" s="117"/>
      <c r="AK5590" s="107"/>
      <c r="AL5590" s="107"/>
      <c r="AM5590" s="107"/>
      <c r="AN5590" s="107"/>
      <c r="AO5590" s="107"/>
      <c r="AP5590" s="107"/>
      <c r="AQ5590" s="107"/>
      <c r="AR5590" s="107"/>
      <c r="AS5590" s="107"/>
      <c r="AT5590" s="39"/>
    </row>
    <row r="5591" spans="1:63" x14ac:dyDescent="0.25">
      <c r="A5591" s="92"/>
      <c r="B5591" s="93"/>
      <c r="C5591" s="92"/>
      <c r="D5591" s="92"/>
      <c r="E5591" s="92"/>
      <c r="F5591" s="92"/>
      <c r="G5591" s="92"/>
      <c r="H5591" s="92"/>
      <c r="I5591" s="92"/>
      <c r="J5591" s="92"/>
      <c r="K5591" s="92"/>
      <c r="L5591" s="92"/>
      <c r="M5591" s="92"/>
      <c r="N5591" s="94"/>
      <c r="AG5591" s="107"/>
      <c r="AH5591" s="117"/>
      <c r="AI5591" s="107"/>
      <c r="AJ5591" s="117"/>
      <c r="AK5591" s="107"/>
      <c r="AL5591" s="107"/>
      <c r="AM5591" s="107"/>
      <c r="AN5591" s="107"/>
      <c r="AO5591" s="107"/>
      <c r="AP5591" s="107"/>
      <c r="AQ5591" s="107"/>
      <c r="AR5591" s="107"/>
      <c r="AS5591" s="107"/>
      <c r="AT5591" s="39"/>
    </row>
    <row r="5592" spans="1:63" x14ac:dyDescent="0.25">
      <c r="A5592" s="92"/>
      <c r="B5592" s="93"/>
      <c r="C5592" s="92"/>
      <c r="D5592" s="93"/>
      <c r="E5592" s="92"/>
      <c r="F5592" s="92"/>
      <c r="G5592" s="92"/>
      <c r="H5592" s="92"/>
      <c r="I5592" s="92"/>
      <c r="J5592" s="92"/>
      <c r="K5592" s="92"/>
      <c r="L5592" s="92"/>
      <c r="M5592" s="92"/>
      <c r="N5592" s="94"/>
      <c r="AG5592" s="107"/>
      <c r="AH5592" s="117"/>
      <c r="AI5592" s="107"/>
      <c r="AJ5592" s="117"/>
      <c r="AK5592" s="107"/>
      <c r="AL5592" s="107"/>
      <c r="AM5592" s="107"/>
      <c r="AN5592" s="107"/>
      <c r="AO5592" s="107"/>
      <c r="AP5592" s="107"/>
      <c r="AQ5592" s="107"/>
      <c r="AR5592" s="107"/>
      <c r="AS5592" s="107"/>
      <c r="AT5592" s="39"/>
    </row>
    <row r="5593" spans="1:63" x14ac:dyDescent="0.25">
      <c r="A5593" s="92"/>
      <c r="B5593" s="92"/>
      <c r="C5593" s="92"/>
      <c r="D5593" s="92"/>
      <c r="E5593" s="92"/>
      <c r="F5593" s="92"/>
      <c r="G5593" s="92"/>
      <c r="H5593" s="92"/>
      <c r="I5593" s="92"/>
      <c r="J5593" s="92"/>
      <c r="K5593" s="92"/>
      <c r="L5593" s="92"/>
      <c r="M5593" s="92"/>
      <c r="N5593" s="92"/>
      <c r="AG5593" s="107"/>
      <c r="AH5593" s="117"/>
      <c r="AI5593" s="107"/>
      <c r="AJ5593" s="117"/>
      <c r="AK5593" s="107"/>
      <c r="AL5593" s="107"/>
      <c r="AM5593" s="107"/>
      <c r="AN5593" s="107"/>
      <c r="AO5593" s="107"/>
      <c r="AP5593" s="107"/>
      <c r="AQ5593" s="107"/>
      <c r="AR5593" s="107"/>
      <c r="AS5593" s="107"/>
      <c r="AT5593" s="39"/>
    </row>
    <row r="5594" spans="1:63" x14ac:dyDescent="0.25">
      <c r="A5594" s="92"/>
      <c r="B5594" s="92"/>
      <c r="C5594" s="92"/>
      <c r="D5594" s="92"/>
      <c r="E5594" s="92"/>
      <c r="F5594" s="92"/>
      <c r="G5594" s="92"/>
      <c r="H5594" s="92"/>
      <c r="I5594" s="92"/>
      <c r="J5594" s="92"/>
      <c r="K5594" s="92"/>
      <c r="L5594" s="92"/>
      <c r="M5594" s="92"/>
      <c r="N5594" s="92"/>
      <c r="AG5594" s="107"/>
      <c r="AH5594" s="117"/>
      <c r="AI5594" s="107"/>
      <c r="AJ5594" s="117"/>
      <c r="AK5594" s="107"/>
      <c r="AL5594" s="107"/>
      <c r="AM5594" s="107"/>
      <c r="AN5594" s="107"/>
      <c r="AO5594" s="107"/>
      <c r="AP5594" s="107"/>
      <c r="AQ5594" s="107"/>
      <c r="AR5594" s="107"/>
      <c r="AS5594" s="107"/>
      <c r="AT5594" s="39"/>
    </row>
    <row r="5595" spans="1:63" x14ac:dyDescent="0.25">
      <c r="A5595" s="92"/>
      <c r="B5595" s="92"/>
      <c r="C5595" s="92"/>
      <c r="D5595" s="92"/>
      <c r="E5595" s="92"/>
      <c r="F5595" s="92"/>
      <c r="G5595" s="92"/>
      <c r="H5595" s="92"/>
      <c r="I5595" s="92"/>
      <c r="J5595" s="92"/>
      <c r="K5595" s="92"/>
      <c r="L5595" s="92"/>
      <c r="M5595" s="92"/>
      <c r="N5595" s="92"/>
      <c r="AG5595" s="107"/>
      <c r="AH5595" s="117"/>
      <c r="AI5595" s="107"/>
      <c r="AJ5595" s="117"/>
      <c r="AK5595" s="107"/>
      <c r="AL5595" s="107"/>
      <c r="AM5595" s="107"/>
      <c r="AN5595" s="107"/>
      <c r="AO5595" s="107"/>
      <c r="AP5595" s="107"/>
      <c r="AQ5595" s="107"/>
      <c r="AR5595" s="107"/>
      <c r="AS5595" s="107"/>
      <c r="AT5595" s="39"/>
    </row>
    <row r="5596" spans="1:63" x14ac:dyDescent="0.25">
      <c r="A5596" s="92"/>
      <c r="B5596" s="92"/>
      <c r="C5596" s="92"/>
      <c r="D5596" s="92"/>
      <c r="E5596" s="92"/>
      <c r="F5596" s="92"/>
      <c r="G5596" s="92"/>
      <c r="H5596" s="92"/>
      <c r="I5596" s="92"/>
      <c r="J5596" s="92"/>
      <c r="K5596" s="92"/>
      <c r="L5596" s="92"/>
      <c r="M5596" s="92"/>
      <c r="N5596" s="92"/>
      <c r="AG5596" s="107"/>
      <c r="AH5596" s="117"/>
      <c r="AI5596" s="107"/>
      <c r="AJ5596" s="117"/>
      <c r="AK5596" s="107"/>
      <c r="AL5596" s="107"/>
      <c r="AM5596" s="107"/>
      <c r="AN5596" s="107"/>
      <c r="AO5596" s="107"/>
      <c r="AP5596" s="107"/>
      <c r="AQ5596" s="107"/>
      <c r="AR5596" s="107"/>
      <c r="AS5596" s="107"/>
      <c r="AT5596" s="39"/>
    </row>
    <row r="5597" spans="1:63" x14ac:dyDescent="0.25">
      <c r="A5597" s="92"/>
      <c r="B5597" s="92"/>
      <c r="C5597" s="92"/>
      <c r="D5597" s="92"/>
      <c r="E5597" s="92"/>
      <c r="F5597" s="92"/>
      <c r="G5597" s="92"/>
      <c r="H5597" s="92"/>
      <c r="I5597" s="92"/>
      <c r="J5597" s="92"/>
      <c r="K5597" s="92"/>
      <c r="L5597" s="92"/>
      <c r="M5597" s="92"/>
      <c r="N5597" s="92"/>
      <c r="AG5597" s="107"/>
      <c r="AH5597" s="117"/>
      <c r="AI5597" s="107"/>
      <c r="AJ5597" s="117"/>
      <c r="AK5597" s="107"/>
      <c r="AL5597" s="107"/>
      <c r="AM5597" s="107"/>
      <c r="AN5597" s="107"/>
      <c r="AO5597" s="107"/>
      <c r="AP5597" s="107"/>
      <c r="AQ5597" s="107"/>
      <c r="AR5597" s="107"/>
      <c r="AS5597" s="107"/>
      <c r="AT5597" s="39"/>
    </row>
    <row r="5598" spans="1:63" x14ac:dyDescent="0.25">
      <c r="A5598" s="92"/>
      <c r="B5598" s="93"/>
      <c r="C5598" s="92"/>
      <c r="D5598" s="92"/>
      <c r="E5598" s="92"/>
      <c r="F5598" s="92"/>
      <c r="G5598" s="92"/>
      <c r="H5598" s="92"/>
      <c r="I5598" s="92"/>
      <c r="J5598" s="92"/>
      <c r="K5598" s="92"/>
      <c r="L5598" s="92"/>
      <c r="M5598" s="92"/>
      <c r="N5598" s="94"/>
      <c r="AG5598" s="107"/>
      <c r="AH5598" s="117"/>
      <c r="AI5598" s="117"/>
      <c r="AJ5598" s="117"/>
      <c r="AK5598" s="107"/>
      <c r="AL5598" s="107"/>
      <c r="AM5598" s="107"/>
      <c r="AN5598" s="107"/>
      <c r="AO5598" s="107"/>
      <c r="AP5598" s="107"/>
      <c r="AQ5598" s="107"/>
      <c r="AR5598" s="107"/>
      <c r="AS5598" s="107"/>
      <c r="AT5598" s="39"/>
    </row>
    <row r="5599" spans="1:63" x14ac:dyDescent="0.25">
      <c r="A5599" s="92"/>
      <c r="B5599" s="93"/>
      <c r="C5599" s="92"/>
      <c r="D5599" s="92"/>
      <c r="E5599" s="92"/>
      <c r="F5599" s="92"/>
      <c r="G5599" s="92"/>
      <c r="H5599" s="92"/>
      <c r="I5599" s="92"/>
      <c r="J5599" s="92"/>
      <c r="K5599" s="92"/>
      <c r="L5599" s="92"/>
      <c r="M5599" s="92"/>
      <c r="N5599" s="94"/>
      <c r="AG5599" s="107"/>
      <c r="AH5599" s="117"/>
      <c r="AI5599" s="117"/>
      <c r="AJ5599" s="117"/>
      <c r="AK5599" s="107"/>
      <c r="AL5599" s="107"/>
      <c r="AM5599" s="107"/>
      <c r="AN5599" s="107"/>
      <c r="AO5599" s="107"/>
      <c r="AP5599" s="107"/>
      <c r="AQ5599" s="107"/>
      <c r="AR5599" s="107"/>
      <c r="AS5599" s="107"/>
      <c r="AT5599" s="39"/>
      <c r="AZ5599" s="117"/>
      <c r="BK5599" s="39"/>
    </row>
    <row r="5600" spans="1:63" x14ac:dyDescent="0.25">
      <c r="A5600" s="92"/>
      <c r="B5600" s="93"/>
      <c r="C5600" s="93"/>
      <c r="D5600" s="92"/>
      <c r="E5600" s="92"/>
      <c r="F5600" s="92"/>
      <c r="G5600" s="92"/>
      <c r="H5600" s="92"/>
      <c r="I5600" s="92"/>
      <c r="J5600" s="92"/>
      <c r="K5600" s="92"/>
      <c r="L5600" s="92"/>
      <c r="M5600" s="92"/>
      <c r="N5600" s="94"/>
      <c r="AG5600" s="107"/>
      <c r="AH5600" s="117"/>
      <c r="AI5600" s="117"/>
      <c r="AJ5600" s="117"/>
      <c r="AK5600" s="107"/>
      <c r="AL5600" s="107"/>
      <c r="AM5600" s="107"/>
      <c r="AN5600" s="107"/>
      <c r="AO5600" s="107"/>
      <c r="AP5600" s="107"/>
      <c r="AQ5600" s="107"/>
      <c r="AR5600" s="107"/>
      <c r="AS5600" s="107"/>
      <c r="AT5600" s="39"/>
      <c r="BA5600" s="117"/>
      <c r="BK5600" s="39"/>
    </row>
    <row r="5601" spans="1:63" x14ac:dyDescent="0.25">
      <c r="A5601" s="92"/>
      <c r="B5601" s="92"/>
      <c r="C5601" s="92"/>
      <c r="D5601" s="92"/>
      <c r="E5601" s="92"/>
      <c r="F5601" s="92"/>
      <c r="G5601" s="92"/>
      <c r="H5601" s="92"/>
      <c r="I5601" s="92"/>
      <c r="J5601" s="92"/>
      <c r="K5601" s="92"/>
      <c r="L5601" s="92"/>
      <c r="M5601" s="92"/>
      <c r="N5601" s="92"/>
      <c r="AG5601" s="107"/>
      <c r="AH5601" s="107"/>
      <c r="AI5601" s="107"/>
      <c r="AJ5601" s="117"/>
      <c r="AK5601" s="107"/>
      <c r="AL5601" s="107"/>
      <c r="AM5601" s="107"/>
      <c r="AN5601" s="107"/>
      <c r="AO5601" s="107"/>
      <c r="AP5601" s="107"/>
      <c r="AQ5601" s="107"/>
      <c r="AR5601" s="107"/>
      <c r="AS5601" s="107"/>
      <c r="AT5601" s="107"/>
      <c r="BA5601" s="117"/>
      <c r="BK5601" s="39"/>
    </row>
    <row r="5602" spans="1:63" x14ac:dyDescent="0.25">
      <c r="A5602" s="92"/>
      <c r="B5602" s="92"/>
      <c r="C5602" s="92"/>
      <c r="D5602" s="92"/>
      <c r="E5602" s="92"/>
      <c r="F5602" s="92"/>
      <c r="G5602" s="92"/>
      <c r="H5602" s="92"/>
      <c r="I5602" s="92"/>
      <c r="J5602" s="92"/>
      <c r="K5602" s="92"/>
      <c r="L5602" s="92"/>
      <c r="M5602" s="92"/>
      <c r="N5602" s="92"/>
      <c r="AG5602" s="107"/>
      <c r="AH5602" s="107"/>
      <c r="AI5602" s="107"/>
      <c r="AJ5602" s="117"/>
      <c r="AK5602" s="107"/>
      <c r="AL5602" s="107"/>
      <c r="AM5602" s="107"/>
      <c r="AN5602" s="107"/>
      <c r="AO5602" s="107"/>
      <c r="AP5602" s="107"/>
      <c r="AQ5602" s="107"/>
      <c r="AR5602" s="107"/>
      <c r="AS5602" s="107"/>
      <c r="AT5602" s="107"/>
    </row>
    <row r="5603" spans="1:63" x14ac:dyDescent="0.25">
      <c r="A5603" s="92"/>
      <c r="B5603" s="92"/>
      <c r="C5603" s="92"/>
      <c r="D5603" s="92"/>
      <c r="E5603" s="92"/>
      <c r="F5603" s="92"/>
      <c r="G5603" s="92"/>
      <c r="H5603" s="92"/>
      <c r="I5603" s="92"/>
      <c r="J5603" s="92"/>
      <c r="K5603" s="92"/>
      <c r="L5603" s="92"/>
      <c r="M5603" s="92"/>
      <c r="N5603" s="92"/>
      <c r="AG5603" s="107"/>
      <c r="AH5603" s="117"/>
      <c r="AI5603" s="117"/>
      <c r="AJ5603" s="117"/>
      <c r="AK5603" s="107"/>
      <c r="AL5603" s="107"/>
      <c r="AM5603" s="107"/>
      <c r="AN5603" s="107"/>
      <c r="AO5603" s="107"/>
      <c r="AP5603" s="107"/>
      <c r="AQ5603" s="107"/>
      <c r="AR5603" s="107"/>
      <c r="AS5603" s="107"/>
      <c r="AT5603" s="39"/>
    </row>
    <row r="5604" spans="1:63" x14ac:dyDescent="0.25">
      <c r="A5604" s="92"/>
      <c r="B5604" s="93"/>
      <c r="C5604" s="92"/>
      <c r="D5604" s="92"/>
      <c r="E5604" s="92"/>
      <c r="F5604" s="92"/>
      <c r="G5604" s="92"/>
      <c r="H5604" s="92"/>
      <c r="I5604" s="92"/>
      <c r="J5604" s="92"/>
      <c r="K5604" s="92"/>
      <c r="L5604" s="92"/>
      <c r="M5604" s="92"/>
      <c r="N5604" s="94"/>
      <c r="AG5604" s="107"/>
      <c r="AH5604" s="117"/>
      <c r="AI5604" s="117"/>
      <c r="AJ5604" s="117"/>
      <c r="AK5604" s="107"/>
      <c r="AL5604" s="107"/>
      <c r="AM5604" s="107"/>
      <c r="AN5604" s="107"/>
      <c r="AO5604" s="107"/>
      <c r="AP5604" s="107"/>
      <c r="AQ5604" s="107"/>
      <c r="AR5604" s="107"/>
      <c r="AS5604" s="107"/>
      <c r="AT5604" s="39"/>
    </row>
    <row r="5605" spans="1:63" x14ac:dyDescent="0.25">
      <c r="A5605" s="92"/>
      <c r="B5605" s="93"/>
      <c r="C5605" s="92"/>
      <c r="D5605" s="93"/>
      <c r="E5605" s="92"/>
      <c r="F5605" s="92"/>
      <c r="G5605" s="92"/>
      <c r="H5605" s="92"/>
      <c r="I5605" s="92"/>
      <c r="J5605" s="92"/>
      <c r="K5605" s="92"/>
      <c r="L5605" s="92"/>
      <c r="M5605" s="92"/>
      <c r="N5605" s="94"/>
      <c r="AG5605" s="107"/>
      <c r="AH5605" s="117"/>
      <c r="AI5605" s="117"/>
      <c r="AJ5605" s="117"/>
      <c r="AK5605" s="107"/>
      <c r="AL5605" s="107"/>
      <c r="AM5605" s="107"/>
      <c r="AN5605" s="107"/>
      <c r="AO5605" s="107"/>
      <c r="AP5605" s="107"/>
      <c r="AQ5605" s="107"/>
      <c r="AR5605" s="107"/>
      <c r="AS5605" s="107"/>
      <c r="AT5605" s="39"/>
    </row>
    <row r="5606" spans="1:63" x14ac:dyDescent="0.25">
      <c r="A5606" s="92"/>
      <c r="B5606" s="92"/>
      <c r="C5606" s="92"/>
      <c r="D5606" s="92"/>
      <c r="E5606" s="92"/>
      <c r="F5606" s="92"/>
      <c r="G5606" s="92"/>
      <c r="H5606" s="92"/>
      <c r="I5606" s="92"/>
      <c r="J5606" s="92"/>
      <c r="K5606" s="92"/>
      <c r="L5606" s="92"/>
      <c r="M5606" s="92"/>
      <c r="N5606" s="92"/>
      <c r="AG5606" s="107"/>
      <c r="AH5606" s="107"/>
      <c r="AI5606" s="107"/>
      <c r="AJ5606" s="117"/>
      <c r="AK5606" s="107"/>
      <c r="AL5606" s="107"/>
      <c r="AM5606" s="107"/>
      <c r="AN5606" s="107"/>
      <c r="AO5606" s="107"/>
      <c r="AP5606" s="107"/>
      <c r="AQ5606" s="107"/>
      <c r="AR5606" s="107"/>
      <c r="AS5606" s="107"/>
      <c r="AT5606" s="107"/>
      <c r="BA5606" s="117"/>
      <c r="BK5606" s="39"/>
    </row>
    <row r="5607" spans="1:63" x14ac:dyDescent="0.25">
      <c r="A5607" s="92"/>
      <c r="B5607" s="92"/>
      <c r="C5607" s="92"/>
      <c r="D5607" s="92"/>
      <c r="E5607" s="92"/>
      <c r="F5607" s="92"/>
      <c r="G5607" s="92"/>
      <c r="H5607" s="92"/>
      <c r="I5607" s="92"/>
      <c r="J5607" s="92"/>
      <c r="K5607" s="92"/>
      <c r="L5607" s="92"/>
      <c r="M5607" s="92"/>
      <c r="N5607" s="92"/>
      <c r="AG5607" s="107"/>
      <c r="AH5607" s="117"/>
      <c r="AI5607" s="117"/>
      <c r="AJ5607" s="117"/>
      <c r="AK5607" s="107"/>
      <c r="AL5607" s="107"/>
      <c r="AM5607" s="107"/>
      <c r="AN5607" s="107"/>
      <c r="AO5607" s="107"/>
      <c r="AP5607" s="107"/>
      <c r="AQ5607" s="107"/>
      <c r="AR5607" s="107"/>
      <c r="AS5607" s="107"/>
      <c r="AT5607" s="39"/>
    </row>
    <row r="5608" spans="1:63" x14ac:dyDescent="0.25">
      <c r="A5608" s="92"/>
      <c r="B5608" s="92"/>
      <c r="C5608" s="92"/>
      <c r="D5608" s="92"/>
      <c r="E5608" s="92"/>
      <c r="F5608" s="92"/>
      <c r="G5608" s="92"/>
      <c r="H5608" s="92"/>
      <c r="I5608" s="92"/>
      <c r="J5608" s="92"/>
      <c r="K5608" s="92"/>
      <c r="L5608" s="92"/>
      <c r="M5608" s="92"/>
      <c r="N5608" s="92"/>
      <c r="AG5608" s="107"/>
      <c r="AH5608" s="107"/>
      <c r="AI5608" s="107"/>
      <c r="AJ5608" s="117"/>
      <c r="AK5608" s="107"/>
      <c r="AL5608" s="107"/>
      <c r="AM5608" s="107"/>
      <c r="AN5608" s="107"/>
      <c r="AO5608" s="107"/>
      <c r="AP5608" s="107"/>
      <c r="AQ5608" s="107"/>
      <c r="AR5608" s="107"/>
      <c r="AS5608" s="107"/>
      <c r="AT5608" s="107"/>
    </row>
    <row r="5609" spans="1:63" x14ac:dyDescent="0.25">
      <c r="A5609" s="92"/>
      <c r="B5609" s="93"/>
      <c r="C5609" s="92"/>
      <c r="D5609" s="92"/>
      <c r="E5609" s="92"/>
      <c r="F5609" s="92"/>
      <c r="G5609" s="92"/>
      <c r="H5609" s="92"/>
      <c r="I5609" s="92"/>
      <c r="J5609" s="92"/>
      <c r="K5609" s="92"/>
      <c r="L5609" s="92"/>
      <c r="M5609" s="92"/>
      <c r="N5609" s="94"/>
      <c r="AG5609" s="107"/>
      <c r="AH5609" s="117"/>
      <c r="AI5609" s="117"/>
      <c r="AJ5609" s="117"/>
      <c r="AK5609" s="107"/>
      <c r="AL5609" s="107"/>
      <c r="AM5609" s="107"/>
      <c r="AN5609" s="107"/>
      <c r="AO5609" s="107"/>
      <c r="AP5609" s="107"/>
      <c r="AQ5609" s="107"/>
      <c r="AR5609" s="107"/>
      <c r="AS5609" s="107"/>
      <c r="AT5609" s="39"/>
    </row>
    <row r="5610" spans="1:63" x14ac:dyDescent="0.25">
      <c r="A5610" s="92"/>
      <c r="B5610" s="92"/>
      <c r="C5610" s="92"/>
      <c r="D5610" s="92"/>
      <c r="E5610" s="92"/>
      <c r="F5610" s="92"/>
      <c r="G5610" s="92"/>
      <c r="H5610" s="92"/>
      <c r="I5610" s="92"/>
      <c r="J5610" s="92"/>
      <c r="K5610" s="92"/>
      <c r="L5610" s="92"/>
      <c r="M5610" s="92"/>
      <c r="N5610" s="92"/>
      <c r="AG5610" s="107"/>
      <c r="AH5610" s="117"/>
      <c r="AI5610" s="117"/>
      <c r="AJ5610" s="117"/>
      <c r="AK5610" s="107"/>
      <c r="AL5610" s="107"/>
      <c r="AM5610" s="107"/>
      <c r="AN5610" s="107"/>
      <c r="AO5610" s="107"/>
      <c r="AP5610" s="107"/>
      <c r="AQ5610" s="107"/>
      <c r="AR5610" s="107"/>
      <c r="AS5610" s="107"/>
      <c r="AT5610" s="39"/>
    </row>
    <row r="5611" spans="1:63" x14ac:dyDescent="0.25">
      <c r="A5611" s="92"/>
      <c r="B5611" s="93"/>
      <c r="C5611" s="92"/>
      <c r="D5611" s="93"/>
      <c r="E5611" s="92"/>
      <c r="F5611" s="92"/>
      <c r="G5611" s="92"/>
      <c r="H5611" s="92"/>
      <c r="I5611" s="92"/>
      <c r="J5611" s="92"/>
      <c r="K5611" s="92"/>
      <c r="L5611" s="92"/>
      <c r="M5611" s="92"/>
      <c r="N5611" s="94"/>
      <c r="AG5611" s="107"/>
      <c r="AH5611" s="117"/>
      <c r="AI5611" s="117"/>
      <c r="AJ5611" s="117"/>
      <c r="AK5611" s="107"/>
      <c r="AL5611" s="107"/>
      <c r="AM5611" s="107"/>
      <c r="AN5611" s="107"/>
      <c r="AO5611" s="107"/>
      <c r="AP5611" s="107"/>
      <c r="AQ5611" s="107"/>
      <c r="AR5611" s="107"/>
      <c r="AS5611" s="107"/>
      <c r="AT5611" s="39"/>
    </row>
    <row r="5612" spans="1:63" x14ac:dyDescent="0.25">
      <c r="A5612" s="92"/>
      <c r="B5612" s="93"/>
      <c r="C5612" s="92"/>
      <c r="D5612" s="93"/>
      <c r="E5612" s="92"/>
      <c r="F5612" s="92"/>
      <c r="G5612" s="92"/>
      <c r="H5612" s="92"/>
      <c r="I5612" s="92"/>
      <c r="J5612" s="92"/>
      <c r="K5612" s="92"/>
      <c r="L5612" s="92"/>
      <c r="M5612" s="92"/>
      <c r="N5612" s="94"/>
      <c r="AG5612" s="107"/>
      <c r="AH5612" s="117"/>
      <c r="AI5612" s="117"/>
      <c r="AJ5612" s="117"/>
      <c r="AK5612" s="107"/>
      <c r="AL5612" s="107"/>
      <c r="AM5612" s="107"/>
      <c r="AN5612" s="107"/>
      <c r="AO5612" s="107"/>
      <c r="AP5612" s="107"/>
      <c r="AQ5612" s="107"/>
      <c r="AR5612" s="107"/>
      <c r="AS5612" s="107"/>
      <c r="AT5612" s="39"/>
    </row>
    <row r="5613" spans="1:63" x14ac:dyDescent="0.25">
      <c r="A5613" s="92"/>
      <c r="B5613" s="92"/>
      <c r="C5613" s="92"/>
      <c r="D5613" s="92"/>
      <c r="E5613" s="92"/>
      <c r="F5613" s="92"/>
      <c r="G5613" s="92"/>
      <c r="H5613" s="92"/>
      <c r="I5613" s="92"/>
      <c r="J5613" s="92"/>
      <c r="K5613" s="92"/>
      <c r="L5613" s="92"/>
      <c r="M5613" s="92"/>
      <c r="N5613" s="92"/>
      <c r="AG5613" s="107"/>
      <c r="AH5613" s="117"/>
      <c r="AI5613" s="117"/>
      <c r="AJ5613" s="117"/>
      <c r="AK5613" s="107"/>
      <c r="AL5613" s="107"/>
      <c r="AM5613" s="107"/>
      <c r="AN5613" s="107"/>
      <c r="AO5613" s="107"/>
      <c r="AP5613" s="107"/>
      <c r="AQ5613" s="107"/>
      <c r="AR5613" s="107"/>
      <c r="AS5613" s="107"/>
      <c r="AT5613" s="39"/>
    </row>
    <row r="5614" spans="1:63" x14ac:dyDescent="0.25">
      <c r="A5614" s="92"/>
      <c r="B5614" s="93"/>
      <c r="C5614" s="93"/>
      <c r="D5614" s="92"/>
      <c r="E5614" s="92"/>
      <c r="F5614" s="92"/>
      <c r="G5614" s="92"/>
      <c r="H5614" s="92"/>
      <c r="I5614" s="92"/>
      <c r="J5614" s="92"/>
      <c r="K5614" s="92"/>
      <c r="L5614" s="92"/>
      <c r="M5614" s="92"/>
      <c r="N5614" s="94"/>
      <c r="AG5614" s="107"/>
      <c r="AH5614" s="117"/>
      <c r="AI5614" s="117"/>
      <c r="AJ5614" s="117"/>
      <c r="AK5614" s="107"/>
      <c r="AL5614" s="107"/>
      <c r="AM5614" s="107"/>
      <c r="AN5614" s="107"/>
      <c r="AO5614" s="107"/>
      <c r="AP5614" s="107"/>
      <c r="AQ5614" s="107"/>
      <c r="AR5614" s="107"/>
      <c r="AS5614" s="107"/>
      <c r="AT5614" s="39"/>
    </row>
    <row r="5615" spans="1:63" x14ac:dyDescent="0.25">
      <c r="A5615" s="92"/>
      <c r="B5615" s="92"/>
      <c r="C5615" s="92"/>
      <c r="D5615" s="92"/>
      <c r="E5615" s="92"/>
      <c r="F5615" s="92"/>
      <c r="G5615" s="92"/>
      <c r="H5615" s="92"/>
      <c r="I5615" s="92"/>
      <c r="J5615" s="92"/>
      <c r="K5615" s="92"/>
      <c r="L5615" s="92"/>
      <c r="M5615" s="92"/>
      <c r="N5615" s="92"/>
      <c r="AG5615" s="107"/>
      <c r="AH5615" s="117"/>
      <c r="AI5615" s="117"/>
      <c r="AJ5615" s="117"/>
      <c r="AK5615" s="107"/>
      <c r="AL5615" s="107"/>
      <c r="AM5615" s="107"/>
      <c r="AN5615" s="107"/>
      <c r="AO5615" s="107"/>
      <c r="AP5615" s="107"/>
      <c r="AQ5615" s="107"/>
      <c r="AR5615" s="107"/>
      <c r="AS5615" s="107"/>
      <c r="AT5615" s="39"/>
    </row>
    <row r="5616" spans="1:63" x14ac:dyDescent="0.25">
      <c r="A5616" s="92"/>
      <c r="B5616" s="92"/>
      <c r="C5616" s="92"/>
      <c r="D5616" s="92"/>
      <c r="E5616" s="92"/>
      <c r="F5616" s="92"/>
      <c r="G5616" s="92"/>
      <c r="H5616" s="92"/>
      <c r="I5616" s="92"/>
      <c r="J5616" s="92"/>
      <c r="K5616" s="92"/>
      <c r="L5616" s="92"/>
      <c r="M5616" s="92"/>
      <c r="N5616" s="92"/>
      <c r="AG5616" s="107"/>
      <c r="AH5616" s="117"/>
      <c r="AI5616" s="117"/>
      <c r="AJ5616" s="117"/>
      <c r="AK5616" s="107"/>
      <c r="AL5616" s="107"/>
      <c r="AM5616" s="107"/>
      <c r="AN5616" s="107"/>
      <c r="AO5616" s="107"/>
      <c r="AP5616" s="107"/>
      <c r="AQ5616" s="107"/>
      <c r="AR5616" s="107"/>
      <c r="AS5616" s="107"/>
      <c r="AT5616" s="39"/>
    </row>
    <row r="5617" spans="1:63" x14ac:dyDescent="0.25">
      <c r="A5617" s="92"/>
      <c r="B5617" s="93"/>
      <c r="C5617" s="92"/>
      <c r="D5617" s="93"/>
      <c r="E5617" s="92"/>
      <c r="F5617" s="92"/>
      <c r="G5617" s="92"/>
      <c r="H5617" s="92"/>
      <c r="I5617" s="92"/>
      <c r="J5617" s="92"/>
      <c r="K5617" s="92"/>
      <c r="L5617" s="92"/>
      <c r="M5617" s="92"/>
      <c r="N5617" s="94"/>
      <c r="AG5617" s="107"/>
      <c r="AH5617" s="107"/>
      <c r="AI5617" s="107"/>
      <c r="AJ5617" s="117"/>
      <c r="AK5617" s="107"/>
      <c r="AL5617" s="107"/>
      <c r="AM5617" s="107"/>
      <c r="AN5617" s="107"/>
      <c r="AO5617" s="107"/>
      <c r="AP5617" s="107"/>
      <c r="AQ5617" s="107"/>
      <c r="AR5617" s="107"/>
      <c r="AS5617" s="107"/>
      <c r="AT5617" s="107"/>
    </row>
    <row r="5618" spans="1:63" x14ac:dyDescent="0.25">
      <c r="A5618" s="92"/>
      <c r="B5618" s="93"/>
      <c r="C5618" s="92"/>
      <c r="D5618" s="93"/>
      <c r="E5618" s="92"/>
      <c r="F5618" s="92"/>
      <c r="G5618" s="92"/>
      <c r="H5618" s="92"/>
      <c r="I5618" s="92"/>
      <c r="J5618" s="92"/>
      <c r="K5618" s="92"/>
      <c r="L5618" s="92"/>
      <c r="M5618" s="92"/>
      <c r="N5618" s="94"/>
      <c r="AG5618" s="107"/>
      <c r="AH5618" s="117"/>
      <c r="AI5618" s="117"/>
      <c r="AJ5618" s="117"/>
      <c r="AK5618" s="107"/>
      <c r="AL5618" s="107"/>
      <c r="AM5618" s="107"/>
      <c r="AN5618" s="107"/>
      <c r="AO5618" s="107"/>
      <c r="AP5618" s="107"/>
      <c r="AQ5618" s="107"/>
      <c r="AR5618" s="107"/>
      <c r="AS5618" s="107"/>
      <c r="AT5618" s="39"/>
    </row>
    <row r="5619" spans="1:63" x14ac:dyDescent="0.25">
      <c r="A5619" s="92"/>
      <c r="B5619" s="92"/>
      <c r="C5619" s="92"/>
      <c r="D5619" s="93"/>
      <c r="E5619" s="92"/>
      <c r="F5619" s="92"/>
      <c r="G5619" s="92"/>
      <c r="H5619" s="92"/>
      <c r="I5619" s="92"/>
      <c r="J5619" s="92"/>
      <c r="K5619" s="92"/>
      <c r="L5619" s="92"/>
      <c r="M5619" s="92"/>
      <c r="N5619" s="92"/>
      <c r="AG5619" s="107"/>
      <c r="AH5619" s="117"/>
      <c r="AI5619" s="117"/>
      <c r="AJ5619" s="117"/>
      <c r="AK5619" s="107"/>
      <c r="AL5619" s="107"/>
      <c r="AM5619" s="107"/>
      <c r="AN5619" s="107"/>
      <c r="AO5619" s="107"/>
      <c r="AP5619" s="107"/>
      <c r="AQ5619" s="107"/>
      <c r="AR5619" s="107"/>
      <c r="AS5619" s="107"/>
      <c r="AT5619" s="39"/>
    </row>
    <row r="5620" spans="1:63" x14ac:dyDescent="0.25">
      <c r="A5620" s="92"/>
      <c r="B5620" s="93"/>
      <c r="C5620" s="92"/>
      <c r="D5620" s="93"/>
      <c r="E5620" s="92"/>
      <c r="F5620" s="92"/>
      <c r="G5620" s="92"/>
      <c r="H5620" s="92"/>
      <c r="I5620" s="92"/>
      <c r="J5620" s="92"/>
      <c r="K5620" s="92"/>
      <c r="L5620" s="92"/>
      <c r="M5620" s="92"/>
      <c r="N5620" s="94"/>
      <c r="AG5620" s="107"/>
      <c r="AH5620" s="117"/>
      <c r="AI5620" s="117"/>
      <c r="AJ5620" s="117"/>
      <c r="AK5620" s="107"/>
      <c r="AL5620" s="107"/>
      <c r="AM5620" s="107"/>
      <c r="AN5620" s="107"/>
      <c r="AO5620" s="107"/>
      <c r="AP5620" s="107"/>
      <c r="AQ5620" s="107"/>
      <c r="AR5620" s="107"/>
      <c r="AS5620" s="107"/>
      <c r="AT5620" s="39"/>
      <c r="BA5620" s="117"/>
      <c r="BK5620" s="39"/>
    </row>
    <row r="5621" spans="1:63" x14ac:dyDescent="0.25">
      <c r="A5621" s="92"/>
      <c r="B5621" s="93"/>
      <c r="C5621" s="92"/>
      <c r="D5621" s="93"/>
      <c r="E5621" s="92"/>
      <c r="F5621" s="92"/>
      <c r="G5621" s="92"/>
      <c r="H5621" s="92"/>
      <c r="I5621" s="92"/>
      <c r="J5621" s="92"/>
      <c r="K5621" s="92"/>
      <c r="L5621" s="92"/>
      <c r="M5621" s="92"/>
      <c r="N5621" s="94"/>
      <c r="AG5621" s="107"/>
      <c r="AH5621" s="117"/>
      <c r="AI5621" s="117"/>
      <c r="AJ5621" s="117"/>
      <c r="AK5621" s="107"/>
      <c r="AL5621" s="107"/>
      <c r="AM5621" s="107"/>
      <c r="AN5621" s="107"/>
      <c r="AO5621" s="107"/>
      <c r="AP5621" s="107"/>
      <c r="AQ5621" s="107"/>
      <c r="AR5621" s="107"/>
      <c r="AS5621" s="107"/>
      <c r="AT5621" s="39"/>
      <c r="BA5621" s="117"/>
      <c r="BK5621" s="39"/>
    </row>
    <row r="5622" spans="1:63" x14ac:dyDescent="0.25">
      <c r="A5622" s="92"/>
      <c r="B5622" s="92"/>
      <c r="C5622" s="92"/>
      <c r="D5622" s="92"/>
      <c r="E5622" s="92"/>
      <c r="F5622" s="92"/>
      <c r="G5622" s="92"/>
      <c r="H5622" s="92"/>
      <c r="I5622" s="92"/>
      <c r="J5622" s="92"/>
      <c r="K5622" s="92"/>
      <c r="L5622" s="92"/>
      <c r="M5622" s="92"/>
      <c r="N5622" s="92"/>
      <c r="AG5622" s="107"/>
      <c r="AH5622" s="117"/>
      <c r="AI5622" s="117"/>
      <c r="AJ5622" s="117"/>
      <c r="AK5622" s="107"/>
      <c r="AL5622" s="107"/>
      <c r="AM5622" s="107"/>
      <c r="AN5622" s="107"/>
      <c r="AO5622" s="107"/>
      <c r="AP5622" s="107"/>
      <c r="AQ5622" s="107"/>
      <c r="AR5622" s="107"/>
      <c r="AS5622" s="107"/>
      <c r="AT5622" s="39"/>
    </row>
    <row r="5623" spans="1:63" x14ac:dyDescent="0.25">
      <c r="A5623" s="92"/>
      <c r="B5623" s="92"/>
      <c r="C5623" s="92"/>
      <c r="D5623" s="92"/>
      <c r="E5623" s="92"/>
      <c r="F5623" s="92"/>
      <c r="G5623" s="92"/>
      <c r="H5623" s="92"/>
      <c r="I5623" s="92"/>
      <c r="J5623" s="92"/>
      <c r="K5623" s="92"/>
      <c r="L5623" s="92"/>
      <c r="M5623" s="92"/>
      <c r="N5623" s="92"/>
      <c r="AG5623" s="107"/>
      <c r="AH5623" s="117"/>
      <c r="AI5623" s="117"/>
      <c r="AJ5623" s="117"/>
      <c r="AK5623" s="107"/>
      <c r="AL5623" s="107"/>
      <c r="AM5623" s="107"/>
      <c r="AN5623" s="107"/>
      <c r="AO5623" s="107"/>
      <c r="AP5623" s="107"/>
      <c r="AQ5623" s="107"/>
      <c r="AR5623" s="107"/>
      <c r="AS5623" s="107"/>
      <c r="AT5623" s="39"/>
    </row>
    <row r="5624" spans="1:63" x14ac:dyDescent="0.25">
      <c r="A5624" s="92"/>
      <c r="B5624" s="92"/>
      <c r="C5624" s="92"/>
      <c r="D5624" s="92"/>
      <c r="E5624" s="92"/>
      <c r="F5624" s="92"/>
      <c r="G5624" s="92"/>
      <c r="H5624" s="92"/>
      <c r="I5624" s="92"/>
      <c r="J5624" s="92"/>
      <c r="K5624" s="92"/>
      <c r="L5624" s="92"/>
      <c r="M5624" s="92"/>
      <c r="N5624" s="92"/>
      <c r="AG5624" s="107"/>
      <c r="AH5624" s="117"/>
      <c r="AI5624" s="117"/>
      <c r="AJ5624" s="117"/>
      <c r="AK5624" s="107"/>
      <c r="AL5624" s="107"/>
      <c r="AM5624" s="107"/>
      <c r="AN5624" s="107"/>
      <c r="AO5624" s="107"/>
      <c r="AP5624" s="107"/>
      <c r="AQ5624" s="107"/>
      <c r="AR5624" s="107"/>
      <c r="AS5624" s="107"/>
      <c r="AT5624" s="39"/>
    </row>
    <row r="5625" spans="1:63" x14ac:dyDescent="0.25">
      <c r="A5625" s="92"/>
      <c r="B5625" s="92"/>
      <c r="C5625" s="92"/>
      <c r="D5625" s="92"/>
      <c r="E5625" s="92"/>
      <c r="F5625" s="92"/>
      <c r="G5625" s="92"/>
      <c r="H5625" s="92"/>
      <c r="I5625" s="92"/>
      <c r="J5625" s="92"/>
      <c r="K5625" s="92"/>
      <c r="L5625" s="92"/>
      <c r="M5625" s="92"/>
      <c r="N5625" s="92"/>
      <c r="AG5625" s="107"/>
      <c r="AH5625" s="117"/>
      <c r="AI5625" s="117"/>
      <c r="AJ5625" s="117"/>
      <c r="AK5625" s="107"/>
      <c r="AL5625" s="107"/>
      <c r="AM5625" s="107"/>
      <c r="AN5625" s="107"/>
      <c r="AO5625" s="107"/>
      <c r="AP5625" s="107"/>
      <c r="AQ5625" s="107"/>
      <c r="AR5625" s="107"/>
      <c r="AS5625" s="107"/>
      <c r="AT5625" s="39"/>
    </row>
    <row r="5626" spans="1:63" x14ac:dyDescent="0.25">
      <c r="A5626" s="92"/>
      <c r="B5626" s="92"/>
      <c r="C5626" s="92"/>
      <c r="D5626" s="92"/>
      <c r="E5626" s="92"/>
      <c r="F5626" s="92"/>
      <c r="G5626" s="92"/>
      <c r="H5626" s="92"/>
      <c r="I5626" s="92"/>
      <c r="J5626" s="92"/>
      <c r="K5626" s="92"/>
      <c r="L5626" s="92"/>
      <c r="M5626" s="92"/>
      <c r="N5626" s="92"/>
      <c r="AG5626" s="107"/>
      <c r="AH5626" s="117"/>
      <c r="AI5626" s="117"/>
      <c r="AJ5626" s="117"/>
      <c r="AK5626" s="107"/>
      <c r="AL5626" s="107"/>
      <c r="AM5626" s="107"/>
      <c r="AN5626" s="107"/>
      <c r="AO5626" s="107"/>
      <c r="AP5626" s="107"/>
      <c r="AQ5626" s="107"/>
      <c r="AR5626" s="107"/>
      <c r="AS5626" s="107"/>
      <c r="AT5626" s="39"/>
    </row>
    <row r="5627" spans="1:63" x14ac:dyDescent="0.25">
      <c r="A5627" s="92"/>
      <c r="B5627" s="92"/>
      <c r="C5627" s="92"/>
      <c r="D5627" s="92"/>
      <c r="E5627" s="92"/>
      <c r="F5627" s="92"/>
      <c r="G5627" s="92"/>
      <c r="H5627" s="92"/>
      <c r="I5627" s="92"/>
      <c r="J5627" s="92"/>
      <c r="K5627" s="92"/>
      <c r="L5627" s="92"/>
      <c r="M5627" s="92"/>
      <c r="N5627" s="92"/>
      <c r="AG5627" s="107"/>
      <c r="AH5627" s="117"/>
      <c r="AI5627" s="117"/>
      <c r="AJ5627" s="117"/>
      <c r="AK5627" s="107"/>
      <c r="AL5627" s="107"/>
      <c r="AM5627" s="107"/>
      <c r="AN5627" s="107"/>
      <c r="AO5627" s="107"/>
      <c r="AP5627" s="107"/>
      <c r="AQ5627" s="107"/>
      <c r="AR5627" s="107"/>
      <c r="AS5627" s="107"/>
      <c r="AT5627" s="39"/>
      <c r="BA5627" s="117"/>
      <c r="BK5627" s="39"/>
    </row>
    <row r="5628" spans="1:63" x14ac:dyDescent="0.25">
      <c r="A5628" s="92"/>
      <c r="B5628" s="92"/>
      <c r="C5628" s="92"/>
      <c r="D5628" s="92"/>
      <c r="E5628" s="92"/>
      <c r="F5628" s="92"/>
      <c r="G5628" s="92"/>
      <c r="H5628" s="92"/>
      <c r="I5628" s="92"/>
      <c r="J5628" s="92"/>
      <c r="K5628" s="92"/>
      <c r="L5628" s="92"/>
      <c r="M5628" s="92"/>
      <c r="N5628" s="92"/>
      <c r="AG5628" s="107"/>
      <c r="AH5628" s="117"/>
      <c r="AI5628" s="117"/>
      <c r="AJ5628" s="117"/>
      <c r="AK5628" s="107"/>
      <c r="AL5628" s="107"/>
      <c r="AM5628" s="107"/>
      <c r="AN5628" s="107"/>
      <c r="AO5628" s="107"/>
      <c r="AP5628" s="107"/>
      <c r="AQ5628" s="107"/>
      <c r="AR5628" s="107"/>
      <c r="AS5628" s="107"/>
      <c r="AT5628" s="39"/>
      <c r="BA5628" s="117"/>
      <c r="BK5628" s="39"/>
    </row>
    <row r="5629" spans="1:63" x14ac:dyDescent="0.25">
      <c r="A5629" s="92"/>
      <c r="B5629" s="92"/>
      <c r="C5629" s="92"/>
      <c r="D5629" s="92"/>
      <c r="E5629" s="92"/>
      <c r="F5629" s="92"/>
      <c r="G5629" s="92"/>
      <c r="H5629" s="92"/>
      <c r="I5629" s="92"/>
      <c r="J5629" s="92"/>
      <c r="K5629" s="92"/>
      <c r="L5629" s="92"/>
      <c r="M5629" s="92"/>
      <c r="N5629" s="92"/>
      <c r="AG5629" s="107"/>
      <c r="AH5629" s="117"/>
      <c r="AI5629" s="117"/>
      <c r="AJ5629" s="117"/>
      <c r="AK5629" s="107"/>
      <c r="AL5629" s="107"/>
      <c r="AM5629" s="107"/>
      <c r="AN5629" s="107"/>
      <c r="AO5629" s="107"/>
      <c r="AP5629" s="107"/>
      <c r="AQ5629" s="107"/>
      <c r="AR5629" s="107"/>
      <c r="AS5629" s="107"/>
      <c r="AT5629" s="39"/>
      <c r="BA5629" s="117"/>
      <c r="BK5629" s="39"/>
    </row>
    <row r="5630" spans="1:63" x14ac:dyDescent="0.25">
      <c r="A5630" s="92"/>
      <c r="B5630" s="92"/>
      <c r="C5630" s="92"/>
      <c r="D5630" s="92"/>
      <c r="E5630" s="92"/>
      <c r="F5630" s="92"/>
      <c r="G5630" s="92"/>
      <c r="H5630" s="92"/>
      <c r="I5630" s="92"/>
      <c r="J5630" s="92"/>
      <c r="K5630" s="92"/>
      <c r="L5630" s="92"/>
      <c r="M5630" s="92"/>
      <c r="N5630" s="92"/>
      <c r="AG5630" s="107"/>
      <c r="AH5630" s="107"/>
      <c r="AI5630" s="107"/>
      <c r="AJ5630" s="117"/>
      <c r="AK5630" s="107"/>
      <c r="AL5630" s="107"/>
      <c r="AM5630" s="107"/>
      <c r="AN5630" s="107"/>
      <c r="AO5630" s="107"/>
      <c r="AP5630" s="107"/>
      <c r="AQ5630" s="107"/>
      <c r="AR5630" s="107"/>
      <c r="AS5630" s="107"/>
      <c r="AT5630" s="107"/>
      <c r="BA5630" s="117"/>
      <c r="BK5630" s="39"/>
    </row>
    <row r="5631" spans="1:63" x14ac:dyDescent="0.25">
      <c r="A5631" s="92"/>
      <c r="B5631" s="93"/>
      <c r="C5631" s="92"/>
      <c r="D5631" s="92"/>
      <c r="E5631" s="92"/>
      <c r="F5631" s="92"/>
      <c r="G5631" s="92"/>
      <c r="H5631" s="92"/>
      <c r="I5631" s="92"/>
      <c r="J5631" s="92"/>
      <c r="K5631" s="92"/>
      <c r="L5631" s="92"/>
      <c r="M5631" s="92"/>
      <c r="N5631" s="94"/>
      <c r="AG5631" s="107"/>
      <c r="AH5631" s="117"/>
      <c r="AI5631" s="117"/>
      <c r="AJ5631" s="117"/>
      <c r="AK5631" s="107"/>
      <c r="AL5631" s="107"/>
      <c r="AM5631" s="107"/>
      <c r="AN5631" s="107"/>
      <c r="AO5631" s="107"/>
      <c r="AP5631" s="107"/>
      <c r="AQ5631" s="107"/>
      <c r="AR5631" s="107"/>
      <c r="AS5631" s="107"/>
      <c r="AT5631" s="39"/>
    </row>
    <row r="5632" spans="1:63" x14ac:dyDescent="0.25">
      <c r="A5632" s="92"/>
      <c r="B5632" s="93"/>
      <c r="C5632" s="92"/>
      <c r="D5632" s="93"/>
      <c r="E5632" s="92"/>
      <c r="F5632" s="92"/>
      <c r="G5632" s="92"/>
      <c r="H5632" s="92"/>
      <c r="I5632" s="92"/>
      <c r="J5632" s="92"/>
      <c r="K5632" s="92"/>
      <c r="L5632" s="92"/>
      <c r="M5632" s="92"/>
      <c r="N5632" s="94"/>
      <c r="AG5632" s="107"/>
      <c r="AH5632" s="117"/>
      <c r="AI5632" s="117"/>
      <c r="AJ5632" s="117"/>
      <c r="AK5632" s="107"/>
      <c r="AL5632" s="107"/>
      <c r="AM5632" s="107"/>
      <c r="AN5632" s="107"/>
      <c r="AO5632" s="107"/>
      <c r="AP5632" s="107"/>
      <c r="AQ5632" s="107"/>
      <c r="AR5632" s="107"/>
      <c r="AS5632" s="107"/>
      <c r="AT5632" s="39"/>
    </row>
    <row r="5633" spans="1:63" x14ac:dyDescent="0.25">
      <c r="A5633" s="92"/>
      <c r="B5633" s="92"/>
      <c r="C5633" s="92"/>
      <c r="D5633" s="92"/>
      <c r="E5633" s="92"/>
      <c r="F5633" s="92"/>
      <c r="G5633" s="92"/>
      <c r="H5633" s="92"/>
      <c r="I5633" s="92"/>
      <c r="J5633" s="92"/>
      <c r="K5633" s="92"/>
      <c r="L5633" s="92"/>
      <c r="M5633" s="92"/>
      <c r="N5633" s="92"/>
      <c r="AG5633" s="107"/>
      <c r="AH5633" s="117"/>
      <c r="AI5633" s="117"/>
      <c r="AJ5633" s="117"/>
      <c r="AK5633" s="107"/>
      <c r="AL5633" s="107"/>
      <c r="AM5633" s="107"/>
      <c r="AN5633" s="107"/>
      <c r="AO5633" s="107"/>
      <c r="AP5633" s="107"/>
      <c r="AQ5633" s="107"/>
      <c r="AR5633" s="107"/>
      <c r="AS5633" s="107"/>
      <c r="AT5633" s="39"/>
    </row>
    <row r="5634" spans="1:63" x14ac:dyDescent="0.25">
      <c r="A5634" s="92"/>
      <c r="B5634" s="92"/>
      <c r="C5634" s="92"/>
      <c r="D5634" s="92"/>
      <c r="E5634" s="92"/>
      <c r="F5634" s="92"/>
      <c r="G5634" s="92"/>
      <c r="H5634" s="92"/>
      <c r="I5634" s="92"/>
      <c r="J5634" s="92"/>
      <c r="K5634" s="92"/>
      <c r="L5634" s="92"/>
      <c r="M5634" s="92"/>
      <c r="N5634" s="92"/>
      <c r="AG5634" s="107"/>
      <c r="AH5634" s="117"/>
      <c r="AI5634" s="117"/>
      <c r="AJ5634" s="117"/>
      <c r="AK5634" s="107"/>
      <c r="AL5634" s="107"/>
      <c r="AM5634" s="107"/>
      <c r="AN5634" s="107"/>
      <c r="AO5634" s="107"/>
      <c r="AP5634" s="107"/>
      <c r="AQ5634" s="107"/>
      <c r="AR5634" s="107"/>
      <c r="AS5634" s="107"/>
      <c r="AT5634" s="39"/>
    </row>
    <row r="5635" spans="1:63" x14ac:dyDescent="0.25">
      <c r="A5635" s="92"/>
      <c r="B5635" s="93"/>
      <c r="C5635" s="92"/>
      <c r="D5635" s="93"/>
      <c r="E5635" s="92"/>
      <c r="F5635" s="92"/>
      <c r="G5635" s="92"/>
      <c r="H5635" s="92"/>
      <c r="I5635" s="92"/>
      <c r="J5635" s="92"/>
      <c r="K5635" s="92"/>
      <c r="L5635" s="92"/>
      <c r="M5635" s="92"/>
      <c r="N5635" s="94"/>
      <c r="AG5635" s="107"/>
      <c r="AH5635" s="117"/>
      <c r="AI5635" s="117"/>
      <c r="AJ5635" s="117"/>
      <c r="AK5635" s="107"/>
      <c r="AL5635" s="107"/>
      <c r="AM5635" s="107"/>
      <c r="AN5635" s="107"/>
      <c r="AO5635" s="107"/>
      <c r="AP5635" s="107"/>
      <c r="AQ5635" s="107"/>
      <c r="AR5635" s="107"/>
      <c r="AS5635" s="107"/>
      <c r="AT5635" s="39"/>
      <c r="BA5635" s="117"/>
      <c r="BK5635" s="39"/>
    </row>
    <row r="5636" spans="1:63" x14ac:dyDescent="0.25">
      <c r="A5636" s="92"/>
      <c r="B5636" s="93"/>
      <c r="C5636" s="93"/>
      <c r="D5636" s="93"/>
      <c r="E5636" s="92"/>
      <c r="F5636" s="92"/>
      <c r="G5636" s="92"/>
      <c r="H5636" s="92"/>
      <c r="I5636" s="92"/>
      <c r="J5636" s="92"/>
      <c r="K5636" s="92"/>
      <c r="L5636" s="92"/>
      <c r="M5636" s="92"/>
      <c r="N5636" s="94"/>
      <c r="AG5636" s="107"/>
      <c r="AH5636" s="117"/>
      <c r="AI5636" s="117"/>
      <c r="AJ5636" s="117"/>
      <c r="AK5636" s="107"/>
      <c r="AL5636" s="107"/>
      <c r="AM5636" s="107"/>
      <c r="AN5636" s="107"/>
      <c r="AO5636" s="107"/>
      <c r="AP5636" s="107"/>
      <c r="AQ5636" s="107"/>
      <c r="AR5636" s="107"/>
      <c r="AS5636" s="107"/>
      <c r="AT5636" s="39"/>
    </row>
    <row r="5637" spans="1:63" x14ac:dyDescent="0.25">
      <c r="A5637" s="92"/>
      <c r="B5637" s="92"/>
      <c r="C5637" s="92"/>
      <c r="D5637" s="93"/>
      <c r="E5637" s="92"/>
      <c r="F5637" s="92"/>
      <c r="G5637" s="92"/>
      <c r="H5637" s="92"/>
      <c r="I5637" s="92"/>
      <c r="J5637" s="92"/>
      <c r="K5637" s="92"/>
      <c r="L5637" s="92"/>
      <c r="M5637" s="92"/>
      <c r="N5637" s="92"/>
      <c r="AG5637" s="107"/>
      <c r="AH5637" s="117"/>
      <c r="AI5637" s="117"/>
      <c r="AJ5637" s="117"/>
      <c r="AK5637" s="107"/>
      <c r="AL5637" s="107"/>
      <c r="AM5637" s="107"/>
      <c r="AN5637" s="107"/>
      <c r="AO5637" s="107"/>
      <c r="AP5637" s="107"/>
      <c r="AQ5637" s="107"/>
      <c r="AR5637" s="107"/>
      <c r="AS5637" s="107"/>
      <c r="AT5637" s="39"/>
    </row>
    <row r="5638" spans="1:63" x14ac:dyDescent="0.25">
      <c r="A5638" s="92"/>
      <c r="B5638" s="92"/>
      <c r="C5638" s="92"/>
      <c r="D5638" s="92"/>
      <c r="E5638" s="92"/>
      <c r="F5638" s="92"/>
      <c r="G5638" s="92"/>
      <c r="H5638" s="92"/>
      <c r="I5638" s="92"/>
      <c r="J5638" s="92"/>
      <c r="K5638" s="92"/>
      <c r="L5638" s="92"/>
      <c r="M5638" s="92"/>
      <c r="N5638" s="92"/>
      <c r="AG5638" s="107"/>
      <c r="AH5638" s="107"/>
      <c r="AI5638" s="107"/>
      <c r="AJ5638" s="117"/>
      <c r="AK5638" s="107"/>
      <c r="AL5638" s="107"/>
      <c r="AM5638" s="107"/>
      <c r="AN5638" s="107"/>
      <c r="AO5638" s="107"/>
      <c r="AP5638" s="107"/>
      <c r="AQ5638" s="107"/>
      <c r="AR5638" s="107"/>
      <c r="AS5638" s="107"/>
      <c r="AT5638" s="107"/>
    </row>
    <row r="5639" spans="1:63" x14ac:dyDescent="0.25">
      <c r="A5639" s="92"/>
      <c r="B5639" s="93"/>
      <c r="C5639" s="92"/>
      <c r="D5639" s="93"/>
      <c r="E5639" s="92"/>
      <c r="F5639" s="92"/>
      <c r="G5639" s="92"/>
      <c r="H5639" s="92"/>
      <c r="I5639" s="92"/>
      <c r="J5639" s="92"/>
      <c r="K5639" s="92"/>
      <c r="L5639" s="92"/>
      <c r="M5639" s="92"/>
      <c r="N5639" s="94"/>
      <c r="AG5639" s="107"/>
      <c r="AH5639" s="117"/>
      <c r="AI5639" s="117"/>
      <c r="AJ5639" s="117"/>
      <c r="AK5639" s="107"/>
      <c r="AL5639" s="107"/>
      <c r="AM5639" s="107"/>
      <c r="AN5639" s="107"/>
      <c r="AO5639" s="107"/>
      <c r="AP5639" s="107"/>
      <c r="AQ5639" s="107"/>
      <c r="AR5639" s="107"/>
      <c r="AS5639" s="107"/>
      <c r="AT5639" s="39"/>
      <c r="BK5639" s="39"/>
    </row>
    <row r="5640" spans="1:63" x14ac:dyDescent="0.25">
      <c r="A5640" s="92"/>
      <c r="B5640" s="92"/>
      <c r="C5640" s="92"/>
      <c r="D5640" s="92"/>
      <c r="E5640" s="92"/>
      <c r="F5640" s="92"/>
      <c r="G5640" s="92"/>
      <c r="H5640" s="92"/>
      <c r="I5640" s="92"/>
      <c r="J5640" s="92"/>
      <c r="K5640" s="92"/>
      <c r="L5640" s="92"/>
      <c r="M5640" s="92"/>
      <c r="N5640" s="92"/>
      <c r="AG5640" s="107"/>
      <c r="AH5640" s="117"/>
      <c r="AI5640" s="117"/>
      <c r="AJ5640" s="117"/>
      <c r="AK5640" s="107"/>
      <c r="AL5640" s="107"/>
      <c r="AM5640" s="107"/>
      <c r="AN5640" s="107"/>
      <c r="AO5640" s="107"/>
      <c r="AP5640" s="107"/>
      <c r="AQ5640" s="107"/>
      <c r="AR5640" s="107"/>
      <c r="AS5640" s="107"/>
      <c r="AT5640" s="39"/>
      <c r="BA5640" s="117"/>
      <c r="BK5640" s="39"/>
    </row>
    <row r="5641" spans="1:63" x14ac:dyDescent="0.25">
      <c r="A5641" s="92"/>
      <c r="B5641" s="92"/>
      <c r="C5641" s="92"/>
      <c r="D5641" s="92"/>
      <c r="E5641" s="92"/>
      <c r="F5641" s="92"/>
      <c r="G5641" s="92"/>
      <c r="H5641" s="92"/>
      <c r="I5641" s="92"/>
      <c r="J5641" s="92"/>
      <c r="K5641" s="92"/>
      <c r="L5641" s="92"/>
      <c r="M5641" s="92"/>
      <c r="N5641" s="92"/>
      <c r="AG5641" s="107"/>
      <c r="AH5641" s="117"/>
      <c r="AI5641" s="117"/>
      <c r="AJ5641" s="117"/>
      <c r="AK5641" s="107"/>
      <c r="AL5641" s="107"/>
      <c r="AM5641" s="107"/>
      <c r="AN5641" s="107"/>
      <c r="AO5641" s="107"/>
      <c r="AP5641" s="107"/>
      <c r="AQ5641" s="107"/>
      <c r="AR5641" s="107"/>
      <c r="AS5641" s="107"/>
      <c r="AT5641" s="39"/>
    </row>
    <row r="5642" spans="1:63" x14ac:dyDescent="0.25">
      <c r="A5642" s="92"/>
      <c r="B5642" s="92"/>
      <c r="C5642" s="92"/>
      <c r="D5642" s="92"/>
      <c r="E5642" s="92"/>
      <c r="F5642" s="92"/>
      <c r="G5642" s="92"/>
      <c r="H5642" s="92"/>
      <c r="I5642" s="92"/>
      <c r="J5642" s="92"/>
      <c r="K5642" s="92"/>
      <c r="L5642" s="92"/>
      <c r="M5642" s="92"/>
      <c r="N5642" s="92"/>
      <c r="AG5642" s="107"/>
      <c r="AH5642" s="117"/>
      <c r="AI5642" s="117"/>
      <c r="AJ5642" s="117"/>
      <c r="AK5642" s="107"/>
      <c r="AL5642" s="107"/>
      <c r="AM5642" s="107"/>
      <c r="AN5642" s="107"/>
      <c r="AO5642" s="107"/>
      <c r="AP5642" s="107"/>
      <c r="AQ5642" s="107"/>
      <c r="AR5642" s="107"/>
      <c r="AS5642" s="107"/>
      <c r="AT5642" s="39"/>
    </row>
    <row r="5643" spans="1:63" x14ac:dyDescent="0.25">
      <c r="A5643" s="92"/>
      <c r="B5643" s="92"/>
      <c r="C5643" s="92"/>
      <c r="D5643" s="92"/>
      <c r="E5643" s="92"/>
      <c r="F5643" s="92"/>
      <c r="G5643" s="92"/>
      <c r="H5643" s="92"/>
      <c r="I5643" s="92"/>
      <c r="J5643" s="92"/>
      <c r="K5643" s="92"/>
      <c r="L5643" s="92"/>
      <c r="M5643" s="92"/>
      <c r="N5643" s="92"/>
      <c r="AG5643" s="107"/>
      <c r="AH5643" s="117"/>
      <c r="AI5643" s="117"/>
      <c r="AJ5643" s="117"/>
      <c r="AK5643" s="107"/>
      <c r="AL5643" s="107"/>
      <c r="AM5643" s="107"/>
      <c r="AN5643" s="107"/>
      <c r="AO5643" s="107"/>
      <c r="AP5643" s="107"/>
      <c r="AQ5643" s="107"/>
      <c r="AR5643" s="107"/>
      <c r="AS5643" s="107"/>
      <c r="AT5643" s="39"/>
      <c r="BA5643" s="117"/>
      <c r="BK5643" s="39"/>
    </row>
    <row r="5644" spans="1:63" x14ac:dyDescent="0.25">
      <c r="A5644" s="92"/>
      <c r="B5644" s="92"/>
      <c r="C5644" s="92"/>
      <c r="D5644" s="92"/>
      <c r="E5644" s="92"/>
      <c r="F5644" s="92"/>
      <c r="G5644" s="92"/>
      <c r="H5644" s="92"/>
      <c r="I5644" s="92"/>
      <c r="J5644" s="92"/>
      <c r="K5644" s="92"/>
      <c r="L5644" s="92"/>
      <c r="M5644" s="92"/>
      <c r="N5644" s="92"/>
      <c r="AG5644" s="107"/>
      <c r="AH5644" s="117"/>
      <c r="AI5644" s="117"/>
      <c r="AJ5644" s="117"/>
      <c r="AK5644" s="107"/>
      <c r="AL5644" s="107"/>
      <c r="AM5644" s="107"/>
      <c r="AN5644" s="107"/>
      <c r="AO5644" s="107"/>
      <c r="AP5644" s="107"/>
      <c r="AQ5644" s="107"/>
      <c r="AR5644" s="107"/>
      <c r="AS5644" s="107"/>
      <c r="AT5644" s="39"/>
    </row>
    <row r="5645" spans="1:63" x14ac:dyDescent="0.25">
      <c r="A5645" s="92"/>
      <c r="B5645" s="92"/>
      <c r="C5645" s="92"/>
      <c r="D5645" s="92"/>
      <c r="E5645" s="92"/>
      <c r="F5645" s="92"/>
      <c r="G5645" s="92"/>
      <c r="H5645" s="92"/>
      <c r="I5645" s="92"/>
      <c r="J5645" s="92"/>
      <c r="K5645" s="92"/>
      <c r="L5645" s="92"/>
      <c r="M5645" s="92"/>
      <c r="N5645" s="92"/>
      <c r="AG5645" s="107"/>
      <c r="AH5645" s="107"/>
      <c r="AI5645" s="107"/>
      <c r="AJ5645" s="117"/>
      <c r="AK5645" s="107"/>
      <c r="AL5645" s="107"/>
      <c r="AM5645" s="107"/>
      <c r="AN5645" s="107"/>
      <c r="AO5645" s="107"/>
      <c r="AP5645" s="107"/>
      <c r="AQ5645" s="107"/>
      <c r="AR5645" s="107"/>
      <c r="AS5645" s="107"/>
      <c r="AT5645" s="107"/>
      <c r="BA5645" s="117"/>
      <c r="BK5645" s="39"/>
    </row>
    <row r="5646" spans="1:63" x14ac:dyDescent="0.25">
      <c r="A5646" s="92"/>
      <c r="B5646" s="93"/>
      <c r="C5646" s="92"/>
      <c r="D5646" s="93"/>
      <c r="E5646" s="92"/>
      <c r="F5646" s="92"/>
      <c r="G5646" s="92"/>
      <c r="H5646" s="92"/>
      <c r="I5646" s="92"/>
      <c r="J5646" s="92"/>
      <c r="K5646" s="92"/>
      <c r="L5646" s="92"/>
      <c r="M5646" s="92"/>
      <c r="N5646" s="94"/>
      <c r="AG5646" s="107"/>
      <c r="AH5646" s="117"/>
      <c r="AI5646" s="117"/>
      <c r="AJ5646" s="117"/>
      <c r="AK5646" s="107"/>
      <c r="AL5646" s="107"/>
      <c r="AM5646" s="107"/>
      <c r="AN5646" s="107"/>
      <c r="AO5646" s="107"/>
      <c r="AP5646" s="107"/>
      <c r="AQ5646" s="107"/>
      <c r="AR5646" s="107"/>
      <c r="AS5646" s="107"/>
      <c r="AT5646" s="39"/>
      <c r="BA5646" s="117"/>
    </row>
    <row r="5647" spans="1:63" x14ac:dyDescent="0.25">
      <c r="A5647" s="92"/>
      <c r="B5647" s="92"/>
      <c r="C5647" s="92"/>
      <c r="D5647" s="92"/>
      <c r="E5647" s="92"/>
      <c r="F5647" s="92"/>
      <c r="G5647" s="92"/>
      <c r="H5647" s="92"/>
      <c r="I5647" s="92"/>
      <c r="J5647" s="92"/>
      <c r="K5647" s="92"/>
      <c r="L5647" s="92"/>
      <c r="M5647" s="92"/>
      <c r="N5647" s="92"/>
      <c r="AG5647" s="107"/>
      <c r="AH5647" s="107"/>
      <c r="AI5647" s="107"/>
      <c r="AJ5647" s="117"/>
      <c r="AK5647" s="107"/>
      <c r="AL5647" s="107"/>
      <c r="AM5647" s="107"/>
      <c r="AN5647" s="107"/>
      <c r="AO5647" s="107"/>
      <c r="AP5647" s="107"/>
      <c r="AQ5647" s="107"/>
      <c r="AR5647" s="107"/>
      <c r="AS5647" s="107"/>
      <c r="AT5647" s="107"/>
      <c r="BA5647" s="117"/>
      <c r="BK5647" s="39"/>
    </row>
    <row r="5648" spans="1:63" x14ac:dyDescent="0.25">
      <c r="A5648" s="92"/>
      <c r="B5648" s="93"/>
      <c r="C5648" s="92"/>
      <c r="D5648" s="92"/>
      <c r="E5648" s="92"/>
      <c r="F5648" s="92"/>
      <c r="G5648" s="92"/>
      <c r="H5648" s="92"/>
      <c r="I5648" s="92"/>
      <c r="J5648" s="92"/>
      <c r="K5648" s="92"/>
      <c r="L5648" s="92"/>
      <c r="M5648" s="92"/>
      <c r="N5648" s="94"/>
      <c r="AG5648" s="107"/>
      <c r="AH5648" s="107"/>
      <c r="AI5648" s="107"/>
      <c r="AJ5648" s="117"/>
      <c r="AK5648" s="107"/>
      <c r="AL5648" s="107"/>
      <c r="AM5648" s="107"/>
      <c r="AN5648" s="107"/>
      <c r="AO5648" s="107"/>
      <c r="AP5648" s="107"/>
      <c r="AQ5648" s="107"/>
      <c r="AR5648" s="107"/>
      <c r="AS5648" s="107"/>
      <c r="AT5648" s="107"/>
      <c r="BA5648" s="117"/>
      <c r="BK5648" s="39"/>
    </row>
    <row r="5649" spans="1:63" x14ac:dyDescent="0.25">
      <c r="A5649" s="92"/>
      <c r="B5649" s="93"/>
      <c r="C5649" s="93"/>
      <c r="D5649" s="93"/>
      <c r="E5649" s="92"/>
      <c r="F5649" s="92"/>
      <c r="G5649" s="92"/>
      <c r="H5649" s="92"/>
      <c r="I5649" s="92"/>
      <c r="J5649" s="92"/>
      <c r="K5649" s="92"/>
      <c r="L5649" s="92"/>
      <c r="M5649" s="92"/>
      <c r="N5649" s="94"/>
      <c r="AG5649" s="107"/>
      <c r="AH5649" s="107"/>
      <c r="AI5649" s="107"/>
      <c r="AJ5649" s="117"/>
      <c r="AK5649" s="107"/>
      <c r="AL5649" s="107"/>
      <c r="AM5649" s="107"/>
      <c r="AN5649" s="107"/>
      <c r="AO5649" s="107"/>
      <c r="AP5649" s="107"/>
      <c r="AQ5649" s="107"/>
      <c r="AR5649" s="107"/>
      <c r="AS5649" s="107"/>
      <c r="AT5649" s="107"/>
      <c r="BA5649" s="117"/>
      <c r="BK5649" s="39"/>
    </row>
    <row r="5650" spans="1:63" x14ac:dyDescent="0.25">
      <c r="A5650" s="92"/>
      <c r="B5650" s="92"/>
      <c r="C5650" s="92"/>
      <c r="D5650" s="93"/>
      <c r="E5650" s="92"/>
      <c r="F5650" s="92"/>
      <c r="G5650" s="92"/>
      <c r="H5650" s="92"/>
      <c r="I5650" s="92"/>
      <c r="J5650" s="92"/>
      <c r="K5650" s="92"/>
      <c r="L5650" s="92"/>
      <c r="M5650" s="92"/>
      <c r="N5650" s="92"/>
      <c r="AG5650" s="107"/>
      <c r="AH5650" s="107"/>
      <c r="AI5650" s="107"/>
      <c r="AJ5650" s="117"/>
      <c r="AK5650" s="107"/>
      <c r="AL5650" s="107"/>
      <c r="AM5650" s="107"/>
      <c r="AN5650" s="107"/>
      <c r="AO5650" s="107"/>
      <c r="AP5650" s="107"/>
      <c r="AQ5650" s="107"/>
      <c r="AR5650" s="107"/>
      <c r="AS5650" s="107"/>
      <c r="AT5650" s="107"/>
      <c r="BA5650" s="117"/>
    </row>
    <row r="5651" spans="1:63" x14ac:dyDescent="0.25">
      <c r="A5651" s="92"/>
      <c r="B5651" s="92"/>
      <c r="C5651" s="92"/>
      <c r="D5651" s="92"/>
      <c r="E5651" s="92"/>
      <c r="F5651" s="92"/>
      <c r="G5651" s="92"/>
      <c r="H5651" s="92"/>
      <c r="I5651" s="92"/>
      <c r="J5651" s="92"/>
      <c r="K5651" s="92"/>
      <c r="L5651" s="92"/>
      <c r="M5651" s="92"/>
      <c r="N5651" s="92"/>
      <c r="AG5651" s="107"/>
      <c r="AH5651" s="107"/>
      <c r="AI5651" s="107"/>
      <c r="AJ5651" s="117"/>
      <c r="AK5651" s="107"/>
      <c r="AL5651" s="107"/>
      <c r="AM5651" s="107"/>
      <c r="AN5651" s="107"/>
      <c r="AO5651" s="107"/>
      <c r="AP5651" s="107"/>
      <c r="AQ5651" s="107"/>
      <c r="AR5651" s="107"/>
      <c r="AS5651" s="107"/>
      <c r="AT5651" s="107"/>
    </row>
    <row r="5652" spans="1:63" x14ac:dyDescent="0.25">
      <c r="A5652" s="92"/>
      <c r="B5652" s="93"/>
      <c r="C5652" s="92"/>
      <c r="D5652" s="93"/>
      <c r="E5652" s="92"/>
      <c r="F5652" s="92"/>
      <c r="G5652" s="92"/>
      <c r="H5652" s="92"/>
      <c r="I5652" s="92"/>
      <c r="J5652" s="92"/>
      <c r="K5652" s="92"/>
      <c r="L5652" s="92"/>
      <c r="M5652" s="92"/>
      <c r="N5652" s="94"/>
      <c r="AG5652" s="107"/>
      <c r="AH5652" s="107"/>
      <c r="AI5652" s="107"/>
      <c r="AJ5652" s="117"/>
      <c r="AK5652" s="107"/>
      <c r="AL5652" s="107"/>
      <c r="AM5652" s="107"/>
      <c r="AN5652" s="107"/>
      <c r="AO5652" s="107"/>
      <c r="AP5652" s="107"/>
      <c r="AQ5652" s="107"/>
      <c r="AR5652" s="107"/>
      <c r="AS5652" s="107"/>
      <c r="AT5652" s="107"/>
    </row>
    <row r="5653" spans="1:63" x14ac:dyDescent="0.25">
      <c r="A5653" s="92"/>
      <c r="B5653" s="93"/>
      <c r="C5653" s="92"/>
      <c r="D5653" s="93"/>
      <c r="E5653" s="92"/>
      <c r="F5653" s="92"/>
      <c r="G5653" s="92"/>
      <c r="H5653" s="92"/>
      <c r="I5653" s="92"/>
      <c r="J5653" s="92"/>
      <c r="K5653" s="92"/>
      <c r="L5653" s="92"/>
      <c r="M5653" s="92"/>
      <c r="N5653" s="94"/>
      <c r="AG5653" s="107"/>
      <c r="AH5653" s="117"/>
      <c r="AI5653" s="117"/>
      <c r="AJ5653" s="117"/>
      <c r="AK5653" s="107"/>
      <c r="AL5653" s="107"/>
      <c r="AM5653" s="107"/>
      <c r="AN5653" s="107"/>
      <c r="AO5653" s="107"/>
      <c r="AP5653" s="107"/>
      <c r="AQ5653" s="107"/>
      <c r="AR5653" s="107"/>
      <c r="AS5653" s="107"/>
      <c r="AT5653" s="39"/>
    </row>
    <row r="5654" spans="1:63" x14ac:dyDescent="0.25">
      <c r="A5654" s="92"/>
      <c r="B5654" s="93"/>
      <c r="C5654" s="92"/>
      <c r="D5654" s="93"/>
      <c r="E5654" s="92"/>
      <c r="F5654" s="92"/>
      <c r="G5654" s="92"/>
      <c r="H5654" s="92"/>
      <c r="I5654" s="92"/>
      <c r="J5654" s="92"/>
      <c r="K5654" s="92"/>
      <c r="L5654" s="92"/>
      <c r="M5654" s="92"/>
      <c r="N5654" s="94"/>
      <c r="AG5654" s="107"/>
      <c r="AH5654" s="117"/>
      <c r="AI5654" s="117"/>
      <c r="AJ5654" s="117"/>
      <c r="AK5654" s="107"/>
      <c r="AL5654" s="107"/>
      <c r="AM5654" s="107"/>
      <c r="AN5654" s="107"/>
      <c r="AO5654" s="107"/>
      <c r="AP5654" s="107"/>
      <c r="AQ5654" s="107"/>
      <c r="AR5654" s="107"/>
      <c r="AS5654" s="107"/>
      <c r="AT5654" s="39"/>
    </row>
    <row r="5655" spans="1:63" x14ac:dyDescent="0.25">
      <c r="A5655" s="92"/>
      <c r="B5655" s="93"/>
      <c r="C5655" s="93"/>
      <c r="D5655" s="93"/>
      <c r="E5655" s="92"/>
      <c r="F5655" s="92"/>
      <c r="G5655" s="92"/>
      <c r="H5655" s="92"/>
      <c r="I5655" s="92"/>
      <c r="J5655" s="92"/>
      <c r="K5655" s="92"/>
      <c r="L5655" s="92"/>
      <c r="M5655" s="92"/>
      <c r="N5655" s="94"/>
      <c r="AG5655" s="107"/>
      <c r="AH5655" s="117"/>
      <c r="AI5655" s="117"/>
      <c r="AJ5655" s="117"/>
      <c r="AK5655" s="107"/>
      <c r="AL5655" s="107"/>
      <c r="AM5655" s="107"/>
      <c r="AN5655" s="107"/>
      <c r="AO5655" s="107"/>
      <c r="AP5655" s="107"/>
      <c r="AQ5655" s="107"/>
      <c r="AR5655" s="107"/>
      <c r="AS5655" s="107"/>
      <c r="AT5655" s="39"/>
    </row>
    <row r="5656" spans="1:63" x14ac:dyDescent="0.25">
      <c r="A5656" s="92"/>
      <c r="B5656" s="92"/>
      <c r="C5656" s="92"/>
      <c r="D5656" s="93"/>
      <c r="E5656" s="92"/>
      <c r="F5656" s="92"/>
      <c r="G5656" s="92"/>
      <c r="H5656" s="92"/>
      <c r="I5656" s="92"/>
      <c r="J5656" s="92"/>
      <c r="K5656" s="92"/>
      <c r="L5656" s="92"/>
      <c r="M5656" s="92"/>
      <c r="N5656" s="92"/>
      <c r="AG5656" s="107"/>
      <c r="AH5656" s="117"/>
      <c r="AI5656" s="117"/>
      <c r="AJ5656" s="117"/>
      <c r="AK5656" s="107"/>
      <c r="AL5656" s="107"/>
      <c r="AM5656" s="107"/>
      <c r="AN5656" s="107"/>
      <c r="AO5656" s="107"/>
      <c r="AP5656" s="107"/>
      <c r="AQ5656" s="107"/>
      <c r="AR5656" s="107"/>
      <c r="AS5656" s="107"/>
      <c r="AT5656" s="39"/>
      <c r="BA5656" s="117"/>
      <c r="BK5656" s="39"/>
    </row>
    <row r="5657" spans="1:63" x14ac:dyDescent="0.25">
      <c r="A5657" s="92"/>
      <c r="B5657" s="92"/>
      <c r="C5657" s="92"/>
      <c r="D5657" s="93"/>
      <c r="E5657" s="92"/>
      <c r="F5657" s="92"/>
      <c r="G5657" s="92"/>
      <c r="H5657" s="92"/>
      <c r="I5657" s="92"/>
      <c r="J5657" s="92"/>
      <c r="K5657" s="92"/>
      <c r="L5657" s="92"/>
      <c r="M5657" s="92"/>
      <c r="N5657" s="92"/>
      <c r="AG5657" s="107"/>
      <c r="AH5657" s="117"/>
      <c r="AI5657" s="117"/>
      <c r="AJ5657" s="117"/>
      <c r="AK5657" s="107"/>
      <c r="AL5657" s="107"/>
      <c r="AM5657" s="107"/>
      <c r="AN5657" s="107"/>
      <c r="AO5657" s="107"/>
      <c r="AP5657" s="107"/>
      <c r="AQ5657" s="107"/>
      <c r="AR5657" s="107"/>
      <c r="AS5657" s="107"/>
      <c r="AT5657" s="39"/>
      <c r="BA5657" s="117"/>
      <c r="BK5657" s="39"/>
    </row>
    <row r="5658" spans="1:63" x14ac:dyDescent="0.25">
      <c r="A5658" s="92"/>
      <c r="B5658" s="92"/>
      <c r="C5658" s="92"/>
      <c r="D5658" s="93"/>
      <c r="E5658" s="92"/>
      <c r="F5658" s="92"/>
      <c r="G5658" s="92"/>
      <c r="H5658" s="92"/>
      <c r="I5658" s="92"/>
      <c r="J5658" s="92"/>
      <c r="K5658" s="92"/>
      <c r="L5658" s="92"/>
      <c r="M5658" s="92"/>
      <c r="N5658" s="92"/>
      <c r="AG5658" s="107"/>
      <c r="AH5658" s="117"/>
      <c r="AI5658" s="117"/>
      <c r="AJ5658" s="117"/>
      <c r="AK5658" s="107"/>
      <c r="AL5658" s="107"/>
      <c r="AM5658" s="107"/>
      <c r="AN5658" s="107"/>
      <c r="AO5658" s="107"/>
      <c r="AP5658" s="107"/>
      <c r="AQ5658" s="107"/>
      <c r="AR5658" s="107"/>
      <c r="AS5658" s="107"/>
      <c r="AT5658" s="39"/>
    </row>
    <row r="5659" spans="1:63" x14ac:dyDescent="0.25">
      <c r="A5659" s="92"/>
      <c r="B5659" s="93"/>
      <c r="C5659" s="92"/>
      <c r="D5659" s="93"/>
      <c r="E5659" s="92"/>
      <c r="F5659" s="92"/>
      <c r="G5659" s="92"/>
      <c r="H5659" s="92"/>
      <c r="I5659" s="92"/>
      <c r="J5659" s="92"/>
      <c r="K5659" s="92"/>
      <c r="L5659" s="92"/>
      <c r="M5659" s="92"/>
      <c r="N5659" s="94"/>
      <c r="AG5659" s="107"/>
      <c r="AH5659" s="107"/>
      <c r="AI5659" s="107"/>
      <c r="AJ5659" s="117"/>
      <c r="AK5659" s="107"/>
      <c r="AL5659" s="107"/>
      <c r="AM5659" s="107"/>
      <c r="AN5659" s="107"/>
      <c r="AO5659" s="107"/>
      <c r="AP5659" s="107"/>
      <c r="AQ5659" s="107"/>
      <c r="AR5659" s="107"/>
      <c r="AS5659" s="107"/>
      <c r="AT5659" s="107"/>
    </row>
    <row r="5660" spans="1:63" x14ac:dyDescent="0.25">
      <c r="A5660" s="92"/>
      <c r="B5660" s="93"/>
      <c r="C5660" s="92"/>
      <c r="D5660" s="93"/>
      <c r="E5660" s="92"/>
      <c r="F5660" s="92"/>
      <c r="G5660" s="92"/>
      <c r="H5660" s="92"/>
      <c r="I5660" s="92"/>
      <c r="J5660" s="92"/>
      <c r="K5660" s="92"/>
      <c r="L5660" s="92"/>
      <c r="M5660" s="92"/>
      <c r="N5660" s="94"/>
      <c r="AG5660" s="107"/>
      <c r="AH5660" s="117"/>
      <c r="AI5660" s="117"/>
      <c r="AJ5660" s="117"/>
      <c r="AK5660" s="107"/>
      <c r="AL5660" s="107"/>
      <c r="AM5660" s="107"/>
      <c r="AN5660" s="107"/>
      <c r="AO5660" s="107"/>
      <c r="AP5660" s="107"/>
      <c r="AQ5660" s="107"/>
      <c r="AR5660" s="107"/>
      <c r="AS5660" s="107"/>
      <c r="AT5660" s="39"/>
    </row>
    <row r="5661" spans="1:63" x14ac:dyDescent="0.25">
      <c r="A5661" s="92"/>
      <c r="B5661" s="92"/>
      <c r="C5661" s="92"/>
      <c r="D5661" s="92"/>
      <c r="E5661" s="92"/>
      <c r="F5661" s="92"/>
      <c r="G5661" s="92"/>
      <c r="H5661" s="92"/>
      <c r="I5661" s="92"/>
      <c r="J5661" s="92"/>
      <c r="K5661" s="92"/>
      <c r="L5661" s="92"/>
      <c r="M5661" s="92"/>
      <c r="N5661" s="92"/>
      <c r="AG5661" s="107"/>
      <c r="AH5661" s="117"/>
      <c r="AI5661" s="117"/>
      <c r="AJ5661" s="117"/>
      <c r="AK5661" s="107"/>
      <c r="AL5661" s="107"/>
      <c r="AM5661" s="107"/>
      <c r="AN5661" s="107"/>
      <c r="AO5661" s="107"/>
      <c r="AP5661" s="107"/>
      <c r="AQ5661" s="107"/>
      <c r="AR5661" s="107"/>
      <c r="AS5661" s="107"/>
      <c r="AT5661" s="39"/>
    </row>
    <row r="5662" spans="1:63" x14ac:dyDescent="0.25">
      <c r="A5662" s="92"/>
      <c r="B5662" s="92"/>
      <c r="C5662" s="92"/>
      <c r="D5662" s="92"/>
      <c r="E5662" s="92"/>
      <c r="F5662" s="92"/>
      <c r="G5662" s="92"/>
      <c r="H5662" s="92"/>
      <c r="I5662" s="92"/>
      <c r="J5662" s="92"/>
      <c r="K5662" s="92"/>
      <c r="L5662" s="92"/>
      <c r="M5662" s="92"/>
      <c r="N5662" s="92"/>
      <c r="AG5662" s="107"/>
      <c r="AH5662" s="117"/>
      <c r="AI5662" s="117"/>
      <c r="AJ5662" s="117"/>
      <c r="AK5662" s="107"/>
      <c r="AL5662" s="107"/>
      <c r="AM5662" s="107"/>
      <c r="AN5662" s="107"/>
      <c r="AO5662" s="107"/>
      <c r="AP5662" s="107"/>
      <c r="AQ5662" s="107"/>
      <c r="AR5662" s="107"/>
      <c r="AS5662" s="107"/>
      <c r="AT5662" s="39"/>
      <c r="BA5662" s="117"/>
      <c r="BK5662" s="39"/>
    </row>
    <row r="5663" spans="1:63" x14ac:dyDescent="0.25">
      <c r="A5663" s="92"/>
      <c r="B5663" s="92"/>
      <c r="C5663" s="92"/>
      <c r="D5663" s="92"/>
      <c r="E5663" s="92"/>
      <c r="F5663" s="92"/>
      <c r="G5663" s="92"/>
      <c r="H5663" s="92"/>
      <c r="I5663" s="92"/>
      <c r="J5663" s="92"/>
      <c r="K5663" s="92"/>
      <c r="L5663" s="92"/>
      <c r="M5663" s="92"/>
      <c r="N5663" s="92"/>
      <c r="AG5663" s="107"/>
      <c r="AH5663" s="117"/>
      <c r="AI5663" s="117"/>
      <c r="AJ5663" s="117"/>
      <c r="AK5663" s="107"/>
      <c r="AL5663" s="107"/>
      <c r="AM5663" s="107"/>
      <c r="AN5663" s="107"/>
      <c r="AO5663" s="107"/>
      <c r="AP5663" s="107"/>
      <c r="AQ5663" s="107"/>
      <c r="AR5663" s="107"/>
      <c r="AS5663" s="107"/>
      <c r="AT5663" s="39"/>
    </row>
    <row r="5664" spans="1:63" x14ac:dyDescent="0.25">
      <c r="A5664" s="92"/>
      <c r="B5664" s="92"/>
      <c r="C5664" s="92"/>
      <c r="D5664" s="92"/>
      <c r="E5664" s="92"/>
      <c r="F5664" s="92"/>
      <c r="G5664" s="92"/>
      <c r="H5664" s="92"/>
      <c r="I5664" s="92"/>
      <c r="J5664" s="92"/>
      <c r="K5664" s="92"/>
      <c r="L5664" s="92"/>
      <c r="M5664" s="92"/>
      <c r="N5664" s="92"/>
      <c r="AG5664" s="107"/>
      <c r="AH5664" s="107"/>
      <c r="AI5664" s="107"/>
      <c r="AJ5664" s="117"/>
      <c r="AK5664" s="107"/>
      <c r="AL5664" s="107"/>
      <c r="AM5664" s="107"/>
      <c r="AN5664" s="107"/>
      <c r="AO5664" s="107"/>
      <c r="AP5664" s="107"/>
      <c r="AQ5664" s="107"/>
      <c r="AR5664" s="107"/>
      <c r="AS5664" s="107"/>
      <c r="AT5664" s="107"/>
    </row>
    <row r="5665" spans="1:63" x14ac:dyDescent="0.25">
      <c r="A5665" s="92"/>
      <c r="B5665" s="92"/>
      <c r="C5665" s="92"/>
      <c r="D5665" s="92"/>
      <c r="E5665" s="92"/>
      <c r="F5665" s="92"/>
      <c r="G5665" s="92"/>
      <c r="H5665" s="92"/>
      <c r="I5665" s="92"/>
      <c r="J5665" s="92"/>
      <c r="K5665" s="92"/>
      <c r="L5665" s="92"/>
      <c r="M5665" s="92"/>
      <c r="N5665" s="92"/>
      <c r="AG5665" s="107"/>
      <c r="AH5665" s="107"/>
      <c r="AI5665" s="107"/>
      <c r="AJ5665" s="117"/>
      <c r="AK5665" s="107"/>
      <c r="AL5665" s="107"/>
      <c r="AM5665" s="107"/>
      <c r="AN5665" s="107"/>
      <c r="AO5665" s="107"/>
      <c r="AP5665" s="107"/>
      <c r="AQ5665" s="107"/>
      <c r="AR5665" s="107"/>
      <c r="AS5665" s="107"/>
      <c r="AT5665" s="107"/>
    </row>
    <row r="5666" spans="1:63" x14ac:dyDescent="0.25">
      <c r="A5666" s="92"/>
      <c r="B5666" s="93"/>
      <c r="C5666" s="92"/>
      <c r="D5666" s="93"/>
      <c r="E5666" s="92"/>
      <c r="F5666" s="92"/>
      <c r="G5666" s="92"/>
      <c r="H5666" s="92"/>
      <c r="I5666" s="92"/>
      <c r="J5666" s="92"/>
      <c r="K5666" s="92"/>
      <c r="L5666" s="92"/>
      <c r="M5666" s="92"/>
      <c r="N5666" s="94"/>
      <c r="AG5666" s="107"/>
      <c r="AH5666" s="107"/>
      <c r="AI5666" s="107"/>
      <c r="AJ5666" s="117"/>
      <c r="AK5666" s="107"/>
      <c r="AL5666" s="107"/>
      <c r="AM5666" s="107"/>
      <c r="AN5666" s="107"/>
      <c r="AO5666" s="107"/>
      <c r="AP5666" s="107"/>
      <c r="AQ5666" s="107"/>
      <c r="AR5666" s="107"/>
      <c r="AS5666" s="107"/>
      <c r="AT5666" s="107"/>
      <c r="BA5666" s="117"/>
      <c r="BK5666" s="39"/>
    </row>
    <row r="5667" spans="1:63" x14ac:dyDescent="0.25">
      <c r="A5667" s="92"/>
      <c r="B5667" s="93"/>
      <c r="C5667" s="93"/>
      <c r="D5667" s="93"/>
      <c r="E5667" s="92"/>
      <c r="F5667" s="92"/>
      <c r="G5667" s="92"/>
      <c r="H5667" s="92"/>
      <c r="I5667" s="92"/>
      <c r="J5667" s="92"/>
      <c r="K5667" s="92"/>
      <c r="L5667" s="92"/>
      <c r="M5667" s="92"/>
      <c r="N5667" s="94"/>
      <c r="AG5667" s="107"/>
      <c r="AH5667" s="107"/>
      <c r="AI5667" s="107"/>
      <c r="AJ5667" s="117"/>
      <c r="AK5667" s="107"/>
      <c r="AL5667" s="107"/>
      <c r="AM5667" s="107"/>
      <c r="AN5667" s="107"/>
      <c r="AO5667" s="107"/>
      <c r="AP5667" s="38"/>
      <c r="AQ5667" s="107"/>
      <c r="AR5667" s="107"/>
      <c r="AS5667" s="107"/>
      <c r="AT5667" s="107"/>
      <c r="BA5667" s="117"/>
    </row>
    <row r="5668" spans="1:63" x14ac:dyDescent="0.25">
      <c r="A5668" s="92"/>
      <c r="B5668" s="92"/>
      <c r="C5668" s="92"/>
      <c r="D5668" s="93"/>
      <c r="E5668" s="92"/>
      <c r="F5668" s="92"/>
      <c r="G5668" s="92"/>
      <c r="H5668" s="92"/>
      <c r="I5668" s="92"/>
      <c r="J5668" s="92"/>
      <c r="K5668" s="92"/>
      <c r="L5668" s="92"/>
      <c r="M5668" s="92"/>
      <c r="N5668" s="92"/>
      <c r="AG5668" s="107"/>
      <c r="AH5668" s="107"/>
      <c r="AI5668" s="107"/>
      <c r="AJ5668" s="117"/>
      <c r="AK5668" s="107"/>
      <c r="AL5668" s="107"/>
      <c r="AM5668" s="107"/>
      <c r="AN5668" s="107"/>
      <c r="AO5668" s="107"/>
      <c r="AP5668" s="107"/>
      <c r="AQ5668" s="107"/>
      <c r="AR5668" s="107"/>
      <c r="AS5668" s="107"/>
      <c r="AT5668" s="107"/>
      <c r="BA5668" s="117"/>
      <c r="BK5668" s="39"/>
    </row>
    <row r="5669" spans="1:63" x14ac:dyDescent="0.25">
      <c r="A5669" s="92"/>
      <c r="B5669" s="92"/>
      <c r="C5669" s="92"/>
      <c r="D5669" s="93"/>
      <c r="E5669" s="92"/>
      <c r="F5669" s="92"/>
      <c r="G5669" s="92"/>
      <c r="H5669" s="92"/>
      <c r="I5669" s="92"/>
      <c r="J5669" s="92"/>
      <c r="K5669" s="92"/>
      <c r="L5669" s="92"/>
      <c r="M5669" s="92"/>
      <c r="N5669" s="92"/>
      <c r="AG5669" s="107"/>
      <c r="AH5669" s="107"/>
      <c r="AI5669" s="107"/>
      <c r="AJ5669" s="117"/>
      <c r="AK5669" s="107"/>
      <c r="AL5669" s="107"/>
      <c r="AM5669" s="107"/>
      <c r="AN5669" s="107"/>
      <c r="AO5669" s="107"/>
      <c r="AP5669" s="107"/>
      <c r="AQ5669" s="107"/>
      <c r="AR5669" s="107"/>
      <c r="AS5669" s="107"/>
      <c r="AT5669" s="107"/>
      <c r="AZ5669" s="117"/>
      <c r="BK5669" s="39"/>
    </row>
    <row r="5670" spans="1:63" x14ac:dyDescent="0.25">
      <c r="A5670" s="92"/>
      <c r="B5670" s="92"/>
      <c r="C5670" s="92"/>
      <c r="D5670" s="93"/>
      <c r="E5670" s="92"/>
      <c r="F5670" s="92"/>
      <c r="G5670" s="92"/>
      <c r="H5670" s="92"/>
      <c r="I5670" s="92"/>
      <c r="J5670" s="92"/>
      <c r="K5670" s="92"/>
      <c r="L5670" s="92"/>
      <c r="M5670" s="92"/>
      <c r="N5670" s="92"/>
      <c r="AG5670" s="107"/>
      <c r="AH5670" s="107"/>
      <c r="AI5670" s="107"/>
      <c r="AJ5670" s="117"/>
      <c r="AK5670" s="107"/>
      <c r="AL5670" s="107"/>
      <c r="AM5670" s="107"/>
      <c r="AN5670" s="107"/>
      <c r="AO5670" s="107"/>
      <c r="AP5670" s="107"/>
      <c r="AQ5670" s="107"/>
      <c r="AR5670" s="107"/>
      <c r="AS5670" s="107"/>
      <c r="AT5670" s="107"/>
    </row>
    <row r="5671" spans="1:63" x14ac:dyDescent="0.25">
      <c r="A5671" s="92"/>
      <c r="B5671" s="92"/>
      <c r="C5671" s="92"/>
      <c r="D5671" s="93"/>
      <c r="E5671" s="92"/>
      <c r="F5671" s="92"/>
      <c r="G5671" s="92"/>
      <c r="H5671" s="92"/>
      <c r="I5671" s="92"/>
      <c r="J5671" s="92"/>
      <c r="K5671" s="92"/>
      <c r="L5671" s="92"/>
      <c r="M5671" s="92"/>
      <c r="N5671" s="92"/>
      <c r="AG5671" s="107"/>
      <c r="AH5671" s="107"/>
      <c r="AI5671" s="107"/>
      <c r="AJ5671" s="117"/>
      <c r="AK5671" s="107"/>
      <c r="AL5671" s="107"/>
      <c r="AM5671" s="107"/>
      <c r="AN5671" s="107"/>
      <c r="AO5671" s="107"/>
      <c r="AP5671" s="107"/>
      <c r="AQ5671" s="107"/>
      <c r="AR5671" s="107"/>
      <c r="AS5671" s="107"/>
      <c r="AT5671" s="107"/>
    </row>
    <row r="5672" spans="1:63" x14ac:dyDescent="0.25">
      <c r="A5672" s="92"/>
      <c r="B5672" s="93"/>
      <c r="C5672" s="92"/>
      <c r="D5672" s="92"/>
      <c r="E5672" s="92"/>
      <c r="F5672" s="92"/>
      <c r="G5672" s="92"/>
      <c r="H5672" s="92"/>
      <c r="I5672" s="92"/>
      <c r="J5672" s="92"/>
      <c r="K5672" s="92"/>
      <c r="L5672" s="92"/>
      <c r="M5672" s="92"/>
      <c r="N5672" s="94"/>
      <c r="AG5672" s="107"/>
      <c r="AH5672" s="107"/>
      <c r="AI5672" s="107"/>
      <c r="AJ5672" s="117"/>
      <c r="AK5672" s="107"/>
      <c r="AL5672" s="107"/>
      <c r="AM5672" s="107"/>
      <c r="AN5672" s="107"/>
      <c r="AO5672" s="107"/>
      <c r="AP5672" s="107"/>
      <c r="AQ5672" s="107"/>
      <c r="AR5672" s="107"/>
      <c r="AS5672" s="107"/>
      <c r="AT5672" s="107"/>
    </row>
    <row r="5673" spans="1:63" x14ac:dyDescent="0.25">
      <c r="A5673" s="92"/>
      <c r="B5673" s="93"/>
      <c r="C5673" s="92"/>
      <c r="D5673" s="93"/>
      <c r="E5673" s="92"/>
      <c r="F5673" s="92"/>
      <c r="G5673" s="92"/>
      <c r="H5673" s="92"/>
      <c r="I5673" s="92"/>
      <c r="J5673" s="92"/>
      <c r="K5673" s="92"/>
      <c r="L5673" s="92"/>
      <c r="M5673" s="92"/>
      <c r="N5673" s="94"/>
      <c r="AG5673" s="107"/>
      <c r="AH5673" s="107"/>
      <c r="AI5673" s="107"/>
      <c r="AJ5673" s="117"/>
      <c r="AK5673" s="107"/>
      <c r="AL5673" s="107"/>
      <c r="AM5673" s="107"/>
      <c r="AN5673" s="107"/>
      <c r="AO5673" s="107"/>
      <c r="AP5673" s="107"/>
      <c r="AQ5673" s="107"/>
      <c r="AR5673" s="107"/>
      <c r="AS5673" s="107"/>
      <c r="AT5673" s="107"/>
    </row>
    <row r="5674" spans="1:63" x14ac:dyDescent="0.25">
      <c r="A5674" s="92"/>
      <c r="B5674" s="93"/>
      <c r="C5674" s="92"/>
      <c r="D5674" s="93"/>
      <c r="E5674" s="92"/>
      <c r="F5674" s="92"/>
      <c r="G5674" s="92"/>
      <c r="H5674" s="92"/>
      <c r="I5674" s="92"/>
      <c r="J5674" s="92"/>
      <c r="K5674" s="92"/>
      <c r="L5674" s="92"/>
      <c r="M5674" s="92"/>
      <c r="N5674" s="94"/>
      <c r="AG5674" s="107"/>
      <c r="AH5674" s="107"/>
      <c r="AI5674" s="107"/>
      <c r="AJ5674" s="117"/>
      <c r="AK5674" s="107"/>
      <c r="AL5674" s="107"/>
      <c r="AM5674" s="107"/>
      <c r="AN5674" s="107"/>
      <c r="AO5674" s="107"/>
      <c r="AP5674" s="107"/>
      <c r="AQ5674" s="107"/>
      <c r="AR5674" s="107"/>
      <c r="AS5674" s="107"/>
      <c r="AT5674" s="107"/>
    </row>
    <row r="5675" spans="1:63" x14ac:dyDescent="0.25">
      <c r="A5675" s="92"/>
      <c r="B5675" s="93"/>
      <c r="C5675" s="92"/>
      <c r="D5675" s="93"/>
      <c r="E5675" s="92"/>
      <c r="F5675" s="92"/>
      <c r="G5675" s="92"/>
      <c r="H5675" s="92"/>
      <c r="I5675" s="92"/>
      <c r="J5675" s="92"/>
      <c r="K5675" s="92"/>
      <c r="L5675" s="92"/>
      <c r="M5675" s="92"/>
      <c r="N5675" s="94"/>
      <c r="AG5675" s="107"/>
      <c r="AH5675" s="107"/>
      <c r="AI5675" s="107"/>
      <c r="AJ5675" s="117"/>
      <c r="AK5675" s="107"/>
      <c r="AL5675" s="107"/>
      <c r="AM5675" s="107"/>
      <c r="AN5675" s="107"/>
      <c r="AO5675" s="107"/>
      <c r="AP5675" s="107"/>
      <c r="AQ5675" s="107"/>
      <c r="AR5675" s="107"/>
      <c r="AS5675" s="107"/>
      <c r="AT5675" s="107"/>
    </row>
    <row r="5676" spans="1:63" x14ac:dyDescent="0.25">
      <c r="A5676" s="92"/>
      <c r="B5676" s="93"/>
      <c r="C5676" s="92"/>
      <c r="D5676" s="93"/>
      <c r="E5676" s="92"/>
      <c r="F5676" s="92"/>
      <c r="G5676" s="92"/>
      <c r="H5676" s="92"/>
      <c r="I5676" s="92"/>
      <c r="J5676" s="92"/>
      <c r="K5676" s="92"/>
      <c r="L5676" s="92"/>
      <c r="M5676" s="92"/>
      <c r="N5676" s="94"/>
      <c r="AG5676" s="107"/>
      <c r="AH5676" s="107"/>
      <c r="AI5676" s="107"/>
      <c r="AJ5676" s="117"/>
      <c r="AK5676" s="107"/>
      <c r="AL5676" s="107"/>
      <c r="AM5676" s="107"/>
      <c r="AN5676" s="107"/>
      <c r="AO5676" s="107"/>
      <c r="AP5676" s="107"/>
      <c r="AQ5676" s="107"/>
      <c r="AR5676" s="107"/>
      <c r="AS5676" s="107"/>
      <c r="AT5676" s="107"/>
    </row>
    <row r="5677" spans="1:63" x14ac:dyDescent="0.25">
      <c r="A5677" s="92"/>
      <c r="B5677" s="92"/>
      <c r="C5677" s="92"/>
      <c r="D5677" s="93"/>
      <c r="E5677" s="92"/>
      <c r="F5677" s="92"/>
      <c r="G5677" s="92"/>
      <c r="H5677" s="92"/>
      <c r="I5677" s="92"/>
      <c r="J5677" s="92"/>
      <c r="K5677" s="92"/>
      <c r="L5677" s="92"/>
      <c r="M5677" s="92"/>
      <c r="N5677" s="92"/>
      <c r="AG5677" s="107"/>
      <c r="AH5677" s="107"/>
      <c r="AI5677" s="107"/>
      <c r="AJ5677" s="117"/>
      <c r="AK5677" s="107"/>
      <c r="AL5677" s="107"/>
      <c r="AM5677" s="107"/>
      <c r="AN5677" s="107"/>
      <c r="AO5677" s="107"/>
      <c r="AP5677" s="107"/>
      <c r="AQ5677" s="107"/>
      <c r="AR5677" s="107"/>
      <c r="AS5677" s="107"/>
      <c r="AT5677" s="107"/>
    </row>
    <row r="5678" spans="1:63" x14ac:dyDescent="0.25">
      <c r="A5678" s="92"/>
      <c r="B5678" s="92"/>
      <c r="C5678" s="92"/>
      <c r="D5678" s="92"/>
      <c r="E5678" s="92"/>
      <c r="F5678" s="92"/>
      <c r="G5678" s="92"/>
      <c r="H5678" s="92"/>
      <c r="I5678" s="92"/>
      <c r="J5678" s="92"/>
      <c r="K5678" s="92"/>
      <c r="L5678" s="92"/>
      <c r="M5678" s="92"/>
      <c r="N5678" s="92"/>
      <c r="AG5678" s="107"/>
      <c r="AH5678" s="117"/>
      <c r="AI5678" s="117"/>
      <c r="AJ5678" s="117"/>
      <c r="AK5678" s="107"/>
      <c r="AL5678" s="107"/>
      <c r="AM5678" s="107"/>
      <c r="AN5678" s="107"/>
      <c r="AO5678" s="107"/>
      <c r="AP5678" s="107"/>
      <c r="AQ5678" s="107"/>
      <c r="AR5678" s="107"/>
      <c r="AS5678" s="107"/>
      <c r="AT5678" s="39"/>
    </row>
    <row r="5679" spans="1:63" x14ac:dyDescent="0.25">
      <c r="A5679" s="92"/>
      <c r="B5679" s="92"/>
      <c r="C5679" s="92"/>
      <c r="D5679" s="92"/>
      <c r="E5679" s="92"/>
      <c r="F5679" s="92"/>
      <c r="G5679" s="92"/>
      <c r="H5679" s="92"/>
      <c r="I5679" s="92"/>
      <c r="J5679" s="92"/>
      <c r="K5679" s="92"/>
      <c r="L5679" s="92"/>
      <c r="M5679" s="92"/>
      <c r="N5679" s="92"/>
      <c r="AG5679" s="107"/>
      <c r="AH5679" s="117"/>
      <c r="AI5679" s="117"/>
      <c r="AJ5679" s="117"/>
      <c r="AK5679" s="107"/>
      <c r="AL5679" s="107"/>
      <c r="AM5679" s="107"/>
      <c r="AN5679" s="107"/>
      <c r="AO5679" s="107"/>
      <c r="AP5679" s="107"/>
      <c r="AQ5679" s="107"/>
      <c r="AR5679" s="107"/>
      <c r="AS5679" s="107"/>
      <c r="AT5679" s="39"/>
    </row>
    <row r="5680" spans="1:63" x14ac:dyDescent="0.25">
      <c r="A5680" s="92"/>
      <c r="B5680" s="92"/>
      <c r="C5680" s="92"/>
      <c r="D5680" s="92"/>
      <c r="E5680" s="92"/>
      <c r="F5680" s="92"/>
      <c r="G5680" s="92"/>
      <c r="H5680" s="92"/>
      <c r="I5680" s="92"/>
      <c r="J5680" s="92"/>
      <c r="K5680" s="92"/>
      <c r="L5680" s="92"/>
      <c r="M5680" s="92"/>
      <c r="N5680" s="92"/>
      <c r="AG5680" s="107"/>
      <c r="AH5680" s="117"/>
      <c r="AI5680" s="117"/>
      <c r="AJ5680" s="117"/>
      <c r="AK5680" s="107"/>
      <c r="AL5680" s="107"/>
      <c r="AM5680" s="107"/>
      <c r="AN5680" s="107"/>
      <c r="AO5680" s="107"/>
      <c r="AP5680" s="107"/>
      <c r="AQ5680" s="107"/>
      <c r="AR5680" s="107"/>
      <c r="AS5680" s="107"/>
      <c r="AT5680" s="39"/>
      <c r="BA5680" s="117"/>
      <c r="BK5680" s="39"/>
    </row>
    <row r="5681" spans="1:63" x14ac:dyDescent="0.25">
      <c r="A5681" s="92"/>
      <c r="B5681" s="93"/>
      <c r="C5681" s="92"/>
      <c r="D5681" s="92"/>
      <c r="E5681" s="92"/>
      <c r="F5681" s="92"/>
      <c r="G5681" s="92"/>
      <c r="H5681" s="92"/>
      <c r="I5681" s="92"/>
      <c r="J5681" s="92"/>
      <c r="K5681" s="92"/>
      <c r="L5681" s="92"/>
      <c r="M5681" s="92"/>
      <c r="N5681" s="94"/>
      <c r="AG5681" s="107"/>
      <c r="AH5681" s="117"/>
      <c r="AI5681" s="117"/>
      <c r="AJ5681" s="117"/>
      <c r="AK5681" s="107"/>
      <c r="AL5681" s="107"/>
      <c r="AM5681" s="107"/>
      <c r="AN5681" s="107"/>
      <c r="AO5681" s="107"/>
      <c r="AP5681" s="107"/>
      <c r="AQ5681" s="107"/>
      <c r="AR5681" s="107"/>
      <c r="AS5681" s="107"/>
      <c r="AT5681" s="39"/>
      <c r="BA5681" s="117"/>
      <c r="BK5681" s="39"/>
    </row>
    <row r="5682" spans="1:63" x14ac:dyDescent="0.25">
      <c r="A5682" s="92"/>
      <c r="B5682" s="93"/>
      <c r="C5682" s="93"/>
      <c r="D5682" s="92"/>
      <c r="E5682" s="92"/>
      <c r="F5682" s="92"/>
      <c r="G5682" s="92"/>
      <c r="H5682" s="92"/>
      <c r="I5682" s="92"/>
      <c r="J5682" s="92"/>
      <c r="K5682" s="92"/>
      <c r="L5682" s="92"/>
      <c r="M5682" s="92"/>
      <c r="N5682" s="94"/>
      <c r="AG5682" s="107"/>
      <c r="AH5682" s="117"/>
      <c r="AI5682" s="117"/>
      <c r="AJ5682" s="117"/>
      <c r="AK5682" s="107"/>
      <c r="AL5682" s="107"/>
      <c r="AM5682" s="107"/>
      <c r="AN5682" s="107"/>
      <c r="AO5682" s="107"/>
      <c r="AP5682" s="107"/>
      <c r="AQ5682" s="107"/>
      <c r="AR5682" s="107"/>
      <c r="AS5682" s="107"/>
      <c r="AT5682" s="39"/>
    </row>
    <row r="5683" spans="1:63" x14ac:dyDescent="0.25">
      <c r="A5683" s="92"/>
      <c r="B5683" s="92"/>
      <c r="C5683" s="92"/>
      <c r="D5683" s="92"/>
      <c r="E5683" s="92"/>
      <c r="F5683" s="92"/>
      <c r="G5683" s="92"/>
      <c r="H5683" s="92"/>
      <c r="I5683" s="92"/>
      <c r="J5683" s="92"/>
      <c r="K5683" s="92"/>
      <c r="L5683" s="92"/>
      <c r="M5683" s="92"/>
      <c r="N5683" s="92"/>
      <c r="AG5683" s="107"/>
      <c r="AH5683" s="117"/>
      <c r="AI5683" s="117"/>
      <c r="AJ5683" s="117"/>
      <c r="AK5683" s="107"/>
      <c r="AL5683" s="107"/>
      <c r="AM5683" s="107"/>
      <c r="AN5683" s="107"/>
      <c r="AO5683" s="107"/>
      <c r="AP5683" s="107"/>
      <c r="AQ5683" s="107"/>
      <c r="AR5683" s="107"/>
      <c r="AS5683" s="107"/>
      <c r="AT5683" s="39"/>
    </row>
    <row r="5684" spans="1:63" x14ac:dyDescent="0.25">
      <c r="A5684" s="92"/>
      <c r="B5684" s="92"/>
      <c r="C5684" s="92"/>
      <c r="D5684" s="92"/>
      <c r="E5684" s="92"/>
      <c r="F5684" s="92"/>
      <c r="G5684" s="92"/>
      <c r="H5684" s="92"/>
      <c r="I5684" s="92"/>
      <c r="J5684" s="92"/>
      <c r="K5684" s="92"/>
      <c r="L5684" s="92"/>
      <c r="M5684" s="92"/>
      <c r="N5684" s="92"/>
      <c r="AG5684" s="107"/>
      <c r="AH5684" s="117"/>
      <c r="AI5684" s="117"/>
      <c r="AJ5684" s="117"/>
      <c r="AK5684" s="107"/>
      <c r="AL5684" s="107"/>
      <c r="AM5684" s="107"/>
      <c r="AN5684" s="107"/>
      <c r="AO5684" s="107"/>
      <c r="AP5684" s="107"/>
      <c r="AQ5684" s="107"/>
      <c r="AR5684" s="107"/>
      <c r="AS5684" s="107"/>
      <c r="AT5684" s="39"/>
    </row>
    <row r="5685" spans="1:63" x14ac:dyDescent="0.25">
      <c r="A5685" s="92"/>
      <c r="B5685" s="92"/>
      <c r="C5685" s="92"/>
      <c r="D5685" s="92"/>
      <c r="E5685" s="92"/>
      <c r="F5685" s="92"/>
      <c r="G5685" s="92"/>
      <c r="H5685" s="92"/>
      <c r="I5685" s="92"/>
      <c r="J5685" s="92"/>
      <c r="K5685" s="92"/>
      <c r="L5685" s="92"/>
      <c r="M5685" s="92"/>
      <c r="N5685" s="92"/>
      <c r="AG5685" s="107"/>
      <c r="AH5685" s="117"/>
      <c r="AI5685" s="117"/>
      <c r="AJ5685" s="117"/>
      <c r="AK5685" s="107"/>
      <c r="AL5685" s="107"/>
      <c r="AM5685" s="107"/>
      <c r="AN5685" s="107"/>
      <c r="AO5685" s="107"/>
      <c r="AP5685" s="107"/>
      <c r="AQ5685" s="107"/>
      <c r="AR5685" s="107"/>
      <c r="AS5685" s="107"/>
      <c r="AT5685" s="39"/>
    </row>
    <row r="5686" spans="1:63" x14ac:dyDescent="0.25">
      <c r="A5686" s="92"/>
      <c r="B5686" s="92"/>
      <c r="C5686" s="92"/>
      <c r="D5686" s="92"/>
      <c r="E5686" s="92"/>
      <c r="F5686" s="92"/>
      <c r="G5686" s="92"/>
      <c r="H5686" s="92"/>
      <c r="I5686" s="92"/>
      <c r="J5686" s="92"/>
      <c r="K5686" s="92"/>
      <c r="L5686" s="92"/>
      <c r="M5686" s="92"/>
      <c r="N5686" s="92"/>
      <c r="AG5686" s="107"/>
      <c r="AH5686" s="117"/>
      <c r="AI5686" s="117"/>
      <c r="AJ5686" s="117"/>
      <c r="AK5686" s="107"/>
      <c r="AL5686" s="107"/>
      <c r="AM5686" s="107"/>
      <c r="AN5686" s="107"/>
      <c r="AO5686" s="107"/>
      <c r="AP5686" s="107"/>
      <c r="AQ5686" s="107"/>
      <c r="AR5686" s="107"/>
      <c r="AS5686" s="107"/>
      <c r="AT5686" s="39"/>
      <c r="BK5686" s="39"/>
    </row>
    <row r="5687" spans="1:63" x14ac:dyDescent="0.25">
      <c r="A5687" s="92"/>
      <c r="B5687" s="93"/>
      <c r="C5687" s="93"/>
      <c r="D5687" s="92"/>
      <c r="E5687" s="92"/>
      <c r="F5687" s="92"/>
      <c r="G5687" s="92"/>
      <c r="H5687" s="92"/>
      <c r="I5687" s="92"/>
      <c r="J5687" s="92"/>
      <c r="K5687" s="92"/>
      <c r="L5687" s="92"/>
      <c r="M5687" s="92"/>
      <c r="N5687" s="94"/>
      <c r="AG5687" s="107"/>
      <c r="AH5687" s="117"/>
      <c r="AI5687" s="117"/>
      <c r="AJ5687" s="117"/>
      <c r="AK5687" s="107"/>
      <c r="AL5687" s="107"/>
      <c r="AM5687" s="107"/>
      <c r="AN5687" s="107"/>
      <c r="AO5687" s="107"/>
      <c r="AP5687" s="107"/>
      <c r="AQ5687" s="107"/>
      <c r="AR5687" s="107"/>
      <c r="AS5687" s="107"/>
      <c r="AT5687" s="39"/>
      <c r="BA5687" s="117"/>
      <c r="BK5687" s="39"/>
    </row>
    <row r="5688" spans="1:63" x14ac:dyDescent="0.25">
      <c r="A5688" s="92"/>
      <c r="B5688" s="93"/>
      <c r="C5688" s="92"/>
      <c r="D5688" s="93"/>
      <c r="E5688" s="92"/>
      <c r="F5688" s="92"/>
      <c r="G5688" s="92"/>
      <c r="H5688" s="92"/>
      <c r="I5688" s="92"/>
      <c r="J5688" s="92"/>
      <c r="K5688" s="92"/>
      <c r="L5688" s="92"/>
      <c r="M5688" s="92"/>
      <c r="N5688" s="94"/>
      <c r="AG5688" s="107"/>
      <c r="AH5688" s="117"/>
      <c r="AI5688" s="117"/>
      <c r="AJ5688" s="117"/>
      <c r="AK5688" s="107"/>
      <c r="AL5688" s="107"/>
      <c r="AM5688" s="107"/>
      <c r="AN5688" s="107"/>
      <c r="AO5688" s="107"/>
      <c r="AP5688" s="107"/>
      <c r="AQ5688" s="107"/>
      <c r="AR5688" s="107"/>
      <c r="AS5688" s="107"/>
      <c r="AT5688" s="39"/>
    </row>
    <row r="5689" spans="1:63" x14ac:dyDescent="0.25">
      <c r="A5689" s="92"/>
      <c r="B5689" s="92"/>
      <c r="C5689" s="92"/>
      <c r="D5689" s="93"/>
      <c r="E5689" s="92"/>
      <c r="F5689" s="92"/>
      <c r="G5689" s="92"/>
      <c r="H5689" s="92"/>
      <c r="I5689" s="92"/>
      <c r="J5689" s="92"/>
      <c r="K5689" s="92"/>
      <c r="L5689" s="92"/>
      <c r="M5689" s="92"/>
      <c r="N5689" s="92"/>
      <c r="AG5689" s="107"/>
      <c r="AH5689" s="117"/>
      <c r="AI5689" s="117"/>
      <c r="AJ5689" s="117"/>
      <c r="AK5689" s="107"/>
      <c r="AL5689" s="107"/>
      <c r="AM5689" s="107"/>
      <c r="AN5689" s="107"/>
      <c r="AO5689" s="107"/>
      <c r="AP5689" s="107"/>
      <c r="AQ5689" s="107"/>
      <c r="AR5689" s="107"/>
      <c r="AS5689" s="107"/>
      <c r="AT5689" s="39"/>
    </row>
    <row r="5690" spans="1:63" x14ac:dyDescent="0.25">
      <c r="A5690" s="92"/>
      <c r="B5690" s="92"/>
      <c r="C5690" s="92"/>
      <c r="D5690" s="92"/>
      <c r="E5690" s="92"/>
      <c r="F5690" s="92"/>
      <c r="G5690" s="92"/>
      <c r="H5690" s="92"/>
      <c r="I5690" s="92"/>
      <c r="J5690" s="92"/>
      <c r="K5690" s="92"/>
      <c r="L5690" s="92"/>
      <c r="M5690" s="92"/>
      <c r="N5690" s="92"/>
      <c r="AG5690" s="107"/>
      <c r="AH5690" s="117"/>
      <c r="AI5690" s="117"/>
      <c r="AJ5690" s="11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39"/>
    </row>
    <row r="5691" spans="1:63" x14ac:dyDescent="0.25">
      <c r="A5691" s="92"/>
      <c r="B5691" s="92"/>
      <c r="C5691" s="92"/>
      <c r="D5691" s="92"/>
      <c r="E5691" s="92"/>
      <c r="F5691" s="92"/>
      <c r="G5691" s="92"/>
      <c r="H5691" s="92"/>
      <c r="I5691" s="92"/>
      <c r="J5691" s="92"/>
      <c r="K5691" s="92"/>
      <c r="L5691" s="92"/>
      <c r="M5691" s="92"/>
      <c r="N5691" s="92"/>
      <c r="AG5691" s="107"/>
      <c r="AH5691" s="117"/>
      <c r="AI5691" s="117"/>
      <c r="AJ5691" s="117"/>
      <c r="AK5691" s="107"/>
      <c r="AL5691" s="107"/>
      <c r="AM5691" s="107"/>
      <c r="AN5691" s="107"/>
      <c r="AO5691" s="107"/>
      <c r="AP5691" s="107"/>
      <c r="AQ5691" s="107"/>
      <c r="AR5691" s="107"/>
      <c r="AS5691" s="107"/>
      <c r="AT5691" s="39"/>
    </row>
    <row r="5692" spans="1:63" x14ac:dyDescent="0.25">
      <c r="A5692" s="92"/>
      <c r="B5692" s="92"/>
      <c r="C5692" s="92"/>
      <c r="D5692" s="92"/>
      <c r="E5692" s="92"/>
      <c r="F5692" s="92"/>
      <c r="G5692" s="92"/>
      <c r="H5692" s="92"/>
      <c r="I5692" s="92"/>
      <c r="J5692" s="92"/>
      <c r="K5692" s="92"/>
      <c r="L5692" s="92"/>
      <c r="M5692" s="92"/>
      <c r="N5692" s="92"/>
      <c r="AG5692" s="107"/>
      <c r="AH5692" s="117"/>
      <c r="AI5692" s="117"/>
      <c r="AJ5692" s="117"/>
      <c r="AK5692" s="107"/>
      <c r="AL5692" s="107"/>
      <c r="AM5692" s="107"/>
      <c r="AN5692" s="107"/>
      <c r="AO5692" s="107"/>
      <c r="AP5692" s="107"/>
      <c r="AQ5692" s="107"/>
      <c r="AR5692" s="107"/>
      <c r="AS5692" s="107"/>
      <c r="AT5692" s="39"/>
    </row>
    <row r="5693" spans="1:63" x14ac:dyDescent="0.25">
      <c r="A5693" s="92"/>
      <c r="B5693" s="92"/>
      <c r="C5693" s="92"/>
      <c r="D5693" s="92"/>
      <c r="E5693" s="92"/>
      <c r="F5693" s="92"/>
      <c r="G5693" s="92"/>
      <c r="H5693" s="92"/>
      <c r="I5693" s="92"/>
      <c r="J5693" s="92"/>
      <c r="K5693" s="92"/>
      <c r="L5693" s="92"/>
      <c r="M5693" s="92"/>
      <c r="N5693" s="92"/>
      <c r="AG5693" s="107"/>
      <c r="AH5693" s="117"/>
      <c r="AI5693" s="117"/>
      <c r="AJ5693" s="117"/>
      <c r="AK5693" s="107"/>
      <c r="AL5693" s="107"/>
      <c r="AM5693" s="107"/>
      <c r="AN5693" s="107"/>
      <c r="AO5693" s="107"/>
      <c r="AP5693" s="107"/>
      <c r="AQ5693" s="107"/>
      <c r="AR5693" s="107"/>
      <c r="AS5693" s="107"/>
      <c r="AT5693" s="39"/>
    </row>
    <row r="5694" spans="1:63" x14ac:dyDescent="0.25">
      <c r="A5694" s="92"/>
      <c r="B5694" s="92"/>
      <c r="C5694" s="92"/>
      <c r="D5694" s="92"/>
      <c r="E5694" s="92"/>
      <c r="F5694" s="92"/>
      <c r="G5694" s="92"/>
      <c r="H5694" s="92"/>
      <c r="I5694" s="92"/>
      <c r="J5694" s="92"/>
      <c r="K5694" s="92"/>
      <c r="L5694" s="92"/>
      <c r="M5694" s="92"/>
      <c r="N5694" s="92"/>
      <c r="AG5694" s="107"/>
      <c r="AH5694" s="117"/>
      <c r="AI5694" s="107"/>
      <c r="AJ5694" s="117"/>
      <c r="AK5694" s="107"/>
      <c r="AL5694" s="107"/>
      <c r="AM5694" s="107"/>
      <c r="AN5694" s="107"/>
      <c r="AO5694" s="107"/>
      <c r="AP5694" s="107"/>
      <c r="AQ5694" s="107"/>
      <c r="AR5694" s="107"/>
      <c r="AS5694" s="107"/>
      <c r="AT5694" s="39"/>
      <c r="BA5694" s="117"/>
      <c r="BK5694" s="39"/>
    </row>
    <row r="5695" spans="1:63" x14ac:dyDescent="0.25">
      <c r="A5695" s="92"/>
      <c r="B5695" s="92"/>
      <c r="C5695" s="92"/>
      <c r="D5695" s="92"/>
      <c r="E5695" s="92"/>
      <c r="F5695" s="92"/>
      <c r="G5695" s="92"/>
      <c r="H5695" s="92"/>
      <c r="I5695" s="92"/>
      <c r="J5695" s="92"/>
      <c r="K5695" s="92"/>
      <c r="L5695" s="92"/>
      <c r="M5695" s="92"/>
      <c r="N5695" s="92"/>
      <c r="AG5695" s="107"/>
      <c r="AH5695" s="117"/>
      <c r="AI5695" s="107"/>
      <c r="AJ5695" s="117"/>
      <c r="AK5695" s="107"/>
      <c r="AL5695" s="107"/>
      <c r="AM5695" s="107"/>
      <c r="AN5695" s="107"/>
      <c r="AO5695" s="107"/>
      <c r="AP5695" s="107"/>
      <c r="AQ5695" s="107"/>
      <c r="AR5695" s="107"/>
      <c r="AS5695" s="107"/>
      <c r="AT5695" s="39"/>
      <c r="BK5695" s="39"/>
    </row>
    <row r="5696" spans="1:63" x14ac:dyDescent="0.25">
      <c r="A5696" s="92"/>
      <c r="B5696" s="92"/>
      <c r="C5696" s="92"/>
      <c r="D5696" s="92"/>
      <c r="E5696" s="92"/>
      <c r="F5696" s="92"/>
      <c r="G5696" s="92"/>
      <c r="H5696" s="92"/>
      <c r="I5696" s="92"/>
      <c r="J5696" s="92"/>
      <c r="K5696" s="92"/>
      <c r="L5696" s="92"/>
      <c r="M5696" s="92"/>
      <c r="N5696" s="92"/>
      <c r="AG5696" s="107"/>
      <c r="AH5696" s="117"/>
      <c r="AI5696" s="117"/>
      <c r="AJ5696" s="117"/>
      <c r="AK5696" s="107"/>
      <c r="AL5696" s="107"/>
      <c r="AM5696" s="107"/>
      <c r="AN5696" s="107"/>
      <c r="AO5696" s="107"/>
      <c r="AP5696" s="107"/>
      <c r="AQ5696" s="107"/>
      <c r="AR5696" s="107"/>
      <c r="AS5696" s="107"/>
      <c r="AT5696" s="39"/>
      <c r="BA5696" s="117"/>
      <c r="BK5696" s="39"/>
    </row>
    <row r="5697" spans="1:63" x14ac:dyDescent="0.25">
      <c r="A5697" s="92"/>
      <c r="B5697" s="92"/>
      <c r="C5697" s="92"/>
      <c r="D5697" s="92"/>
      <c r="E5697" s="92"/>
      <c r="F5697" s="92"/>
      <c r="G5697" s="92"/>
      <c r="H5697" s="92"/>
      <c r="I5697" s="92"/>
      <c r="J5697" s="92"/>
      <c r="K5697" s="92"/>
      <c r="L5697" s="92"/>
      <c r="M5697" s="92"/>
      <c r="N5697" s="92"/>
      <c r="AG5697" s="107"/>
      <c r="AH5697" s="117"/>
      <c r="AI5697" s="117"/>
      <c r="AJ5697" s="117"/>
      <c r="AK5697" s="107"/>
      <c r="AL5697" s="107"/>
      <c r="AM5697" s="107"/>
      <c r="AN5697" s="107"/>
      <c r="AO5697" s="107"/>
      <c r="AP5697" s="107"/>
      <c r="AQ5697" s="107"/>
      <c r="AR5697" s="107"/>
      <c r="AS5697" s="107"/>
      <c r="AT5697" s="39"/>
    </row>
    <row r="5698" spans="1:63" x14ac:dyDescent="0.25">
      <c r="A5698" s="92"/>
      <c r="B5698" s="93"/>
      <c r="C5698" s="92"/>
      <c r="D5698" s="93"/>
      <c r="E5698" s="92"/>
      <c r="F5698" s="92"/>
      <c r="G5698" s="92"/>
      <c r="H5698" s="92"/>
      <c r="I5698" s="92"/>
      <c r="J5698" s="92"/>
      <c r="K5698" s="92"/>
      <c r="L5698" s="92"/>
      <c r="M5698" s="92"/>
      <c r="N5698" s="94"/>
      <c r="AG5698" s="107"/>
      <c r="AH5698" s="117"/>
      <c r="AI5698" s="117"/>
      <c r="AJ5698" s="117"/>
      <c r="AK5698" s="107"/>
      <c r="AL5698" s="107"/>
      <c r="AM5698" s="107"/>
      <c r="AN5698" s="107"/>
      <c r="AO5698" s="107"/>
      <c r="AP5698" s="107"/>
      <c r="AQ5698" s="107"/>
      <c r="AR5698" s="107"/>
      <c r="AS5698" s="107"/>
      <c r="AT5698" s="39"/>
    </row>
    <row r="5699" spans="1:63" x14ac:dyDescent="0.25">
      <c r="A5699" s="92"/>
      <c r="B5699" s="92"/>
      <c r="C5699" s="92"/>
      <c r="D5699" s="92"/>
      <c r="E5699" s="92"/>
      <c r="F5699" s="92"/>
      <c r="G5699" s="92"/>
      <c r="H5699" s="92"/>
      <c r="I5699" s="92"/>
      <c r="J5699" s="92"/>
      <c r="K5699" s="92"/>
      <c r="L5699" s="92"/>
      <c r="M5699" s="92"/>
      <c r="N5699" s="92"/>
      <c r="AG5699" s="107"/>
      <c r="AH5699" s="117"/>
      <c r="AI5699" s="117"/>
      <c r="AJ5699" s="117"/>
      <c r="AK5699" s="107"/>
      <c r="AL5699" s="107"/>
      <c r="AM5699" s="107"/>
      <c r="AN5699" s="107"/>
      <c r="AO5699" s="107"/>
      <c r="AP5699" s="107"/>
      <c r="AQ5699" s="107"/>
      <c r="AR5699" s="107"/>
      <c r="AS5699" s="107"/>
      <c r="AT5699" s="39"/>
    </row>
    <row r="5700" spans="1:63" x14ac:dyDescent="0.25">
      <c r="A5700" s="92"/>
      <c r="B5700" s="92"/>
      <c r="C5700" s="92"/>
      <c r="D5700" s="92"/>
      <c r="E5700" s="92"/>
      <c r="F5700" s="92"/>
      <c r="G5700" s="92"/>
      <c r="H5700" s="92"/>
      <c r="I5700" s="92"/>
      <c r="J5700" s="92"/>
      <c r="K5700" s="92"/>
      <c r="L5700" s="92"/>
      <c r="M5700" s="92"/>
      <c r="N5700" s="92"/>
      <c r="AG5700" s="107"/>
      <c r="AH5700" s="117"/>
      <c r="AI5700" s="117"/>
      <c r="AJ5700" s="117"/>
      <c r="AK5700" s="107"/>
      <c r="AL5700" s="107"/>
      <c r="AM5700" s="107"/>
      <c r="AN5700" s="107"/>
      <c r="AO5700" s="107"/>
      <c r="AP5700" s="107"/>
      <c r="AQ5700" s="107"/>
      <c r="AR5700" s="107"/>
      <c r="AS5700" s="107"/>
      <c r="AT5700" s="39"/>
    </row>
    <row r="5701" spans="1:63" x14ac:dyDescent="0.25">
      <c r="A5701" s="92"/>
      <c r="B5701" s="92"/>
      <c r="C5701" s="92"/>
      <c r="D5701" s="92"/>
      <c r="E5701" s="92"/>
      <c r="F5701" s="92"/>
      <c r="G5701" s="92"/>
      <c r="H5701" s="92"/>
      <c r="I5701" s="92"/>
      <c r="J5701" s="92"/>
      <c r="K5701" s="92"/>
      <c r="L5701" s="92"/>
      <c r="M5701" s="92"/>
      <c r="N5701" s="92"/>
      <c r="AG5701" s="107"/>
      <c r="AH5701" s="107"/>
      <c r="AI5701" s="107"/>
      <c r="AJ5701" s="117"/>
      <c r="AK5701" s="107"/>
      <c r="AL5701" s="107"/>
      <c r="AM5701" s="107"/>
      <c r="AN5701" s="107"/>
      <c r="AO5701" s="107"/>
      <c r="AP5701" s="107"/>
      <c r="AQ5701" s="107"/>
      <c r="AR5701" s="107"/>
      <c r="AS5701" s="107"/>
      <c r="AT5701" s="107"/>
    </row>
    <row r="5702" spans="1:63" x14ac:dyDescent="0.25">
      <c r="A5702" s="92"/>
      <c r="B5702" s="92"/>
      <c r="C5702" s="92"/>
      <c r="D5702" s="92"/>
      <c r="E5702" s="92"/>
      <c r="F5702" s="92"/>
      <c r="G5702" s="92"/>
      <c r="H5702" s="92"/>
      <c r="I5702" s="92"/>
      <c r="J5702" s="92"/>
      <c r="K5702" s="92"/>
      <c r="L5702" s="92"/>
      <c r="M5702" s="92"/>
      <c r="N5702" s="92"/>
      <c r="AG5702" s="107"/>
      <c r="AH5702" s="107"/>
      <c r="AI5702" s="107"/>
      <c r="AJ5702" s="117"/>
      <c r="AK5702" s="107"/>
      <c r="AL5702" s="107"/>
      <c r="AM5702" s="107"/>
      <c r="AN5702" s="107"/>
      <c r="AO5702" s="107"/>
      <c r="AP5702" s="107"/>
      <c r="AQ5702" s="107"/>
      <c r="AR5702" s="107"/>
      <c r="AS5702" s="107"/>
      <c r="AT5702" s="107"/>
      <c r="BA5702" s="117"/>
      <c r="BK5702" s="39"/>
    </row>
    <row r="5703" spans="1:63" x14ac:dyDescent="0.25">
      <c r="A5703" s="92"/>
      <c r="B5703" s="93"/>
      <c r="C5703" s="92"/>
      <c r="D5703" s="93"/>
      <c r="E5703" s="92"/>
      <c r="F5703" s="92"/>
      <c r="G5703" s="92"/>
      <c r="H5703" s="92"/>
      <c r="I5703" s="92"/>
      <c r="J5703" s="92"/>
      <c r="K5703" s="92"/>
      <c r="L5703" s="92"/>
      <c r="M5703" s="92"/>
      <c r="N5703" s="94"/>
      <c r="AG5703" s="107"/>
      <c r="AH5703" s="107"/>
      <c r="AI5703" s="107"/>
      <c r="AJ5703" s="117"/>
      <c r="AK5703" s="107"/>
      <c r="AL5703" s="107"/>
      <c r="AM5703" s="107"/>
      <c r="AN5703" s="107"/>
      <c r="AO5703" s="107"/>
      <c r="AP5703" s="107"/>
      <c r="AQ5703" s="107"/>
      <c r="AR5703" s="107"/>
      <c r="AS5703" s="107"/>
      <c r="AT5703" s="107"/>
    </row>
    <row r="5704" spans="1:63" x14ac:dyDescent="0.25">
      <c r="A5704" s="92"/>
      <c r="B5704" s="93"/>
      <c r="C5704" s="92"/>
      <c r="D5704" s="92"/>
      <c r="E5704" s="92"/>
      <c r="F5704" s="92"/>
      <c r="G5704" s="92"/>
      <c r="H5704" s="92"/>
      <c r="I5704" s="92"/>
      <c r="J5704" s="92"/>
      <c r="K5704" s="92"/>
      <c r="L5704" s="92"/>
      <c r="M5704" s="92"/>
      <c r="N5704" s="94"/>
      <c r="AG5704" s="107"/>
      <c r="AH5704" s="107"/>
      <c r="AI5704" s="107"/>
      <c r="AJ5704" s="117"/>
      <c r="AK5704" s="107"/>
      <c r="AL5704" s="107"/>
      <c r="AM5704" s="107"/>
      <c r="AN5704" s="107"/>
      <c r="AO5704" s="107"/>
      <c r="AP5704" s="107"/>
      <c r="AQ5704" s="107"/>
      <c r="AR5704" s="107"/>
      <c r="AS5704" s="107"/>
      <c r="AT5704" s="107"/>
    </row>
    <row r="5705" spans="1:63" x14ac:dyDescent="0.25">
      <c r="A5705" s="92"/>
      <c r="B5705" s="92"/>
      <c r="C5705" s="92"/>
      <c r="D5705" s="92"/>
      <c r="E5705" s="92"/>
      <c r="F5705" s="92"/>
      <c r="G5705" s="92"/>
      <c r="H5705" s="92"/>
      <c r="I5705" s="92"/>
      <c r="J5705" s="92"/>
      <c r="K5705" s="92"/>
      <c r="L5705" s="92"/>
      <c r="M5705" s="92"/>
      <c r="N5705" s="92"/>
      <c r="AG5705" s="107"/>
      <c r="AH5705" s="117"/>
      <c r="AI5705" s="117"/>
      <c r="AJ5705" s="117"/>
      <c r="AK5705" s="107"/>
      <c r="AL5705" s="107"/>
      <c r="AM5705" s="107"/>
      <c r="AN5705" s="107"/>
      <c r="AO5705" s="107"/>
      <c r="AP5705" s="107"/>
      <c r="AQ5705" s="107"/>
      <c r="AR5705" s="107"/>
      <c r="AS5705" s="107"/>
      <c r="AT5705" s="39"/>
    </row>
    <row r="5706" spans="1:63" x14ac:dyDescent="0.25">
      <c r="A5706" s="92"/>
      <c r="B5706" s="93"/>
      <c r="C5706" s="92"/>
      <c r="D5706" s="93"/>
      <c r="E5706" s="92"/>
      <c r="F5706" s="92"/>
      <c r="G5706" s="92"/>
      <c r="H5706" s="92"/>
      <c r="I5706" s="92"/>
      <c r="J5706" s="92"/>
      <c r="K5706" s="92"/>
      <c r="L5706" s="92"/>
      <c r="M5706" s="92"/>
      <c r="N5706" s="94"/>
      <c r="AG5706" s="107"/>
      <c r="AH5706" s="117"/>
      <c r="AI5706" s="117"/>
      <c r="AJ5706" s="117"/>
      <c r="AK5706" s="107"/>
      <c r="AL5706" s="107"/>
      <c r="AM5706" s="107"/>
      <c r="AN5706" s="107"/>
      <c r="AO5706" s="107"/>
      <c r="AP5706" s="107"/>
      <c r="AQ5706" s="107"/>
      <c r="AR5706" s="107"/>
      <c r="AS5706" s="107"/>
      <c r="AT5706" s="39"/>
    </row>
    <row r="5707" spans="1:63" x14ac:dyDescent="0.25">
      <c r="A5707" s="92"/>
      <c r="B5707" s="92"/>
      <c r="C5707" s="92"/>
      <c r="D5707" s="92"/>
      <c r="E5707" s="92"/>
      <c r="F5707" s="92"/>
      <c r="G5707" s="92"/>
      <c r="H5707" s="92"/>
      <c r="I5707" s="92"/>
      <c r="J5707" s="92"/>
      <c r="K5707" s="92"/>
      <c r="L5707" s="92"/>
      <c r="M5707" s="92"/>
      <c r="N5707" s="92"/>
      <c r="AG5707" s="107"/>
      <c r="AH5707" s="117"/>
      <c r="AI5707" s="117"/>
      <c r="AJ5707" s="117"/>
      <c r="AK5707" s="107"/>
      <c r="AL5707" s="107"/>
      <c r="AM5707" s="107"/>
      <c r="AN5707" s="107"/>
      <c r="AO5707" s="107"/>
      <c r="AP5707" s="107"/>
      <c r="AQ5707" s="107"/>
      <c r="AR5707" s="107"/>
      <c r="AS5707" s="107"/>
      <c r="AT5707" s="39"/>
    </row>
    <row r="5708" spans="1:63" x14ac:dyDescent="0.25">
      <c r="A5708" s="92"/>
      <c r="B5708" s="92"/>
      <c r="C5708" s="92"/>
      <c r="D5708" s="92"/>
      <c r="E5708" s="92"/>
      <c r="F5708" s="92"/>
      <c r="G5708" s="92"/>
      <c r="H5708" s="92"/>
      <c r="I5708" s="92"/>
      <c r="J5708" s="92"/>
      <c r="K5708" s="92"/>
      <c r="L5708" s="92"/>
      <c r="M5708" s="92"/>
      <c r="N5708" s="92"/>
      <c r="AG5708" s="107"/>
      <c r="AH5708" s="117"/>
      <c r="AI5708" s="117"/>
      <c r="AJ5708" s="117"/>
      <c r="AK5708" s="107"/>
      <c r="AL5708" s="107"/>
      <c r="AM5708" s="107"/>
      <c r="AN5708" s="107"/>
      <c r="AO5708" s="107"/>
      <c r="AP5708" s="107"/>
      <c r="AQ5708" s="107"/>
      <c r="AR5708" s="107"/>
      <c r="AS5708" s="107"/>
      <c r="AT5708" s="39"/>
    </row>
    <row r="5709" spans="1:63" x14ac:dyDescent="0.25">
      <c r="A5709" s="92"/>
      <c r="B5709" s="93"/>
      <c r="C5709" s="92"/>
      <c r="D5709" s="92"/>
      <c r="E5709" s="92"/>
      <c r="F5709" s="92"/>
      <c r="G5709" s="92"/>
      <c r="H5709" s="92"/>
      <c r="I5709" s="92"/>
      <c r="J5709" s="92"/>
      <c r="K5709" s="92"/>
      <c r="L5709" s="92"/>
      <c r="M5709" s="92"/>
      <c r="N5709" s="94"/>
      <c r="AG5709" s="107"/>
      <c r="AH5709" s="117"/>
      <c r="AI5709" s="117"/>
      <c r="AJ5709" s="117"/>
      <c r="AK5709" s="107"/>
      <c r="AL5709" s="107"/>
      <c r="AM5709" s="107"/>
      <c r="AN5709" s="107"/>
      <c r="AO5709" s="107"/>
      <c r="AP5709" s="107"/>
      <c r="AQ5709" s="107"/>
      <c r="AR5709" s="107"/>
      <c r="AS5709" s="107"/>
      <c r="AT5709" s="39"/>
    </row>
    <row r="5710" spans="1:63" x14ac:dyDescent="0.25">
      <c r="A5710" s="92"/>
      <c r="B5710" s="93"/>
      <c r="C5710" s="92"/>
      <c r="D5710" s="93"/>
      <c r="E5710" s="92"/>
      <c r="F5710" s="92"/>
      <c r="G5710" s="92"/>
      <c r="H5710" s="92"/>
      <c r="I5710" s="92"/>
      <c r="J5710" s="92"/>
      <c r="K5710" s="92"/>
      <c r="L5710" s="92"/>
      <c r="M5710" s="92"/>
      <c r="N5710" s="94"/>
      <c r="AG5710" s="107"/>
      <c r="AH5710" s="117"/>
      <c r="AI5710" s="117"/>
      <c r="AJ5710" s="117"/>
      <c r="AK5710" s="107"/>
      <c r="AL5710" s="107"/>
      <c r="AM5710" s="107"/>
      <c r="AN5710" s="107"/>
      <c r="AO5710" s="107"/>
      <c r="AP5710" s="107"/>
      <c r="AQ5710" s="107"/>
      <c r="AR5710" s="107"/>
      <c r="AS5710" s="107"/>
      <c r="AT5710" s="39"/>
    </row>
    <row r="5711" spans="1:63" x14ac:dyDescent="0.25">
      <c r="A5711" s="92"/>
      <c r="B5711" s="92"/>
      <c r="C5711" s="92"/>
      <c r="D5711" s="92"/>
      <c r="E5711" s="92"/>
      <c r="F5711" s="92"/>
      <c r="G5711" s="92"/>
      <c r="H5711" s="92"/>
      <c r="I5711" s="92"/>
      <c r="J5711" s="92"/>
      <c r="K5711" s="92"/>
      <c r="L5711" s="92"/>
      <c r="M5711" s="92"/>
      <c r="N5711" s="92"/>
      <c r="AG5711" s="107"/>
      <c r="AH5711" s="117"/>
      <c r="AI5711" s="117"/>
      <c r="AJ5711" s="117"/>
      <c r="AK5711" s="107"/>
      <c r="AL5711" s="107"/>
      <c r="AM5711" s="107"/>
      <c r="AN5711" s="107"/>
      <c r="AO5711" s="107"/>
      <c r="AP5711" s="107"/>
      <c r="AQ5711" s="107"/>
      <c r="AR5711" s="107"/>
      <c r="AS5711" s="107"/>
      <c r="AT5711" s="39"/>
      <c r="BA5711" s="117"/>
      <c r="BK5711" s="39"/>
    </row>
    <row r="5712" spans="1:63" x14ac:dyDescent="0.25">
      <c r="A5712" s="92"/>
      <c r="B5712" s="92"/>
      <c r="C5712" s="92"/>
      <c r="D5712" s="92"/>
      <c r="E5712" s="92"/>
      <c r="F5712" s="92"/>
      <c r="G5712" s="92"/>
      <c r="H5712" s="92"/>
      <c r="I5712" s="92"/>
      <c r="J5712" s="92"/>
      <c r="K5712" s="92"/>
      <c r="L5712" s="92"/>
      <c r="M5712" s="92"/>
      <c r="N5712" s="92"/>
      <c r="AG5712" s="107"/>
      <c r="AH5712" s="117"/>
      <c r="AI5712" s="117"/>
      <c r="AJ5712" s="117"/>
      <c r="AK5712" s="107"/>
      <c r="AL5712" s="107"/>
      <c r="AM5712" s="107"/>
      <c r="AN5712" s="107"/>
      <c r="AO5712" s="107"/>
      <c r="AP5712" s="107"/>
      <c r="AQ5712" s="107"/>
      <c r="AR5712" s="107"/>
      <c r="AS5712" s="107"/>
      <c r="AT5712" s="39"/>
      <c r="BA5712" s="117"/>
    </row>
    <row r="5713" spans="1:63" x14ac:dyDescent="0.25">
      <c r="A5713" s="92"/>
      <c r="B5713" s="92"/>
      <c r="C5713" s="92"/>
      <c r="D5713" s="92"/>
      <c r="E5713" s="92"/>
      <c r="F5713" s="92"/>
      <c r="G5713" s="92"/>
      <c r="H5713" s="92"/>
      <c r="I5713" s="92"/>
      <c r="J5713" s="92"/>
      <c r="K5713" s="92"/>
      <c r="L5713" s="92"/>
      <c r="M5713" s="92"/>
      <c r="N5713" s="92"/>
      <c r="AG5713" s="107"/>
      <c r="AH5713" s="117"/>
      <c r="AI5713" s="117"/>
      <c r="AJ5713" s="117"/>
      <c r="AK5713" s="107"/>
      <c r="AL5713" s="107"/>
      <c r="AM5713" s="107"/>
      <c r="AN5713" s="107"/>
      <c r="AO5713" s="107"/>
      <c r="AP5713" s="107"/>
      <c r="AQ5713" s="107"/>
      <c r="AR5713" s="107"/>
      <c r="AS5713" s="107"/>
      <c r="AT5713" s="39"/>
    </row>
    <row r="5714" spans="1:63" x14ac:dyDescent="0.25">
      <c r="A5714" s="92"/>
      <c r="B5714" s="93"/>
      <c r="C5714" s="92"/>
      <c r="D5714" s="92"/>
      <c r="E5714" s="92"/>
      <c r="F5714" s="92"/>
      <c r="G5714" s="92"/>
      <c r="H5714" s="92"/>
      <c r="I5714" s="92"/>
      <c r="J5714" s="92"/>
      <c r="K5714" s="92"/>
      <c r="L5714" s="92"/>
      <c r="M5714" s="92"/>
      <c r="N5714" s="94"/>
      <c r="AG5714" s="107"/>
      <c r="AH5714" s="117"/>
      <c r="AI5714" s="117"/>
      <c r="AJ5714" s="117"/>
      <c r="AK5714" s="107"/>
      <c r="AL5714" s="107"/>
      <c r="AM5714" s="107"/>
      <c r="AN5714" s="107"/>
      <c r="AO5714" s="107"/>
      <c r="AP5714" s="107"/>
      <c r="AQ5714" s="107"/>
      <c r="AR5714" s="107"/>
      <c r="AS5714" s="107"/>
      <c r="AT5714" s="39"/>
    </row>
    <row r="5715" spans="1:63" x14ac:dyDescent="0.25">
      <c r="A5715" s="92"/>
      <c r="B5715" s="93"/>
      <c r="C5715" s="92"/>
      <c r="D5715" s="93"/>
      <c r="E5715" s="92"/>
      <c r="F5715" s="92"/>
      <c r="G5715" s="92"/>
      <c r="H5715" s="92"/>
      <c r="I5715" s="92"/>
      <c r="J5715" s="92"/>
      <c r="K5715" s="92"/>
      <c r="L5715" s="92"/>
      <c r="M5715" s="92"/>
      <c r="N5715" s="94"/>
      <c r="AG5715" s="107"/>
      <c r="AH5715" s="117"/>
      <c r="AI5715" s="117"/>
      <c r="AJ5715" s="117"/>
      <c r="AK5715" s="107"/>
      <c r="AL5715" s="107"/>
      <c r="AM5715" s="107"/>
      <c r="AN5715" s="107"/>
      <c r="AO5715" s="107"/>
      <c r="AP5715" s="107"/>
      <c r="AQ5715" s="107"/>
      <c r="AR5715" s="107"/>
      <c r="AS5715" s="107"/>
      <c r="AT5715" s="39"/>
      <c r="BA5715" s="117"/>
      <c r="BK5715" s="39"/>
    </row>
    <row r="5716" spans="1:63" x14ac:dyDescent="0.25">
      <c r="A5716" s="92"/>
      <c r="B5716" s="93"/>
      <c r="C5716" s="92"/>
      <c r="D5716" s="92"/>
      <c r="E5716" s="92"/>
      <c r="F5716" s="92"/>
      <c r="G5716" s="92"/>
      <c r="H5716" s="92"/>
      <c r="I5716" s="92"/>
      <c r="J5716" s="92"/>
      <c r="K5716" s="92"/>
      <c r="L5716" s="92"/>
      <c r="M5716" s="92"/>
      <c r="N5716" s="94"/>
      <c r="AG5716" s="107"/>
      <c r="AH5716" s="107"/>
      <c r="AI5716" s="107"/>
      <c r="AJ5716" s="117"/>
      <c r="AK5716" s="107"/>
      <c r="AL5716" s="107"/>
      <c r="AM5716" s="107"/>
      <c r="AN5716" s="107"/>
      <c r="AO5716" s="107"/>
      <c r="AP5716" s="107"/>
      <c r="AQ5716" s="107"/>
      <c r="AR5716" s="107"/>
      <c r="AS5716" s="107"/>
      <c r="AT5716" s="107"/>
      <c r="BA5716" s="117"/>
      <c r="BK5716" s="39"/>
    </row>
    <row r="5717" spans="1:63" x14ac:dyDescent="0.25">
      <c r="A5717" s="92"/>
      <c r="B5717" s="93"/>
      <c r="C5717" s="92"/>
      <c r="D5717" s="93"/>
      <c r="E5717" s="92"/>
      <c r="F5717" s="92"/>
      <c r="G5717" s="92"/>
      <c r="H5717" s="92"/>
      <c r="I5717" s="92"/>
      <c r="J5717" s="92"/>
      <c r="K5717" s="92"/>
      <c r="L5717" s="92"/>
      <c r="M5717" s="92"/>
      <c r="N5717" s="94"/>
      <c r="AG5717" s="107"/>
      <c r="AH5717" s="117"/>
      <c r="AI5717" s="117"/>
      <c r="AJ5717" s="117"/>
      <c r="AK5717" s="107"/>
      <c r="AL5717" s="107"/>
      <c r="AM5717" s="107"/>
      <c r="AN5717" s="107"/>
      <c r="AO5717" s="107"/>
      <c r="AP5717" s="107"/>
      <c r="AQ5717" s="107"/>
      <c r="AR5717" s="107"/>
      <c r="AS5717" s="107"/>
      <c r="AT5717" s="39"/>
    </row>
    <row r="5718" spans="1:63" x14ac:dyDescent="0.25">
      <c r="A5718" s="92"/>
      <c r="B5718" s="92"/>
      <c r="C5718" s="92"/>
      <c r="D5718" s="92"/>
      <c r="E5718" s="92"/>
      <c r="F5718" s="92"/>
      <c r="G5718" s="92"/>
      <c r="H5718" s="92"/>
      <c r="I5718" s="92"/>
      <c r="J5718" s="92"/>
      <c r="K5718" s="92"/>
      <c r="L5718" s="92"/>
      <c r="M5718" s="92"/>
      <c r="N5718" s="92"/>
      <c r="AG5718" s="107"/>
      <c r="AH5718" s="117"/>
      <c r="AI5718" s="117"/>
      <c r="AJ5718" s="117"/>
      <c r="AK5718" s="107"/>
      <c r="AL5718" s="107"/>
      <c r="AM5718" s="107"/>
      <c r="AN5718" s="107"/>
      <c r="AO5718" s="107"/>
      <c r="AP5718" s="107"/>
      <c r="AQ5718" s="107"/>
      <c r="AR5718" s="107"/>
      <c r="AS5718" s="107"/>
      <c r="AT5718" s="39"/>
    </row>
    <row r="5719" spans="1:63" x14ac:dyDescent="0.25">
      <c r="A5719" s="92"/>
      <c r="B5719" s="92"/>
      <c r="C5719" s="92"/>
      <c r="D5719" s="92"/>
      <c r="E5719" s="92"/>
      <c r="F5719" s="92"/>
      <c r="G5719" s="92"/>
      <c r="H5719" s="92"/>
      <c r="I5719" s="92"/>
      <c r="J5719" s="92"/>
      <c r="K5719" s="92"/>
      <c r="L5719" s="92"/>
      <c r="M5719" s="92"/>
      <c r="N5719" s="92"/>
      <c r="AG5719" s="107"/>
      <c r="AH5719" s="107"/>
      <c r="AI5719" s="107"/>
      <c r="AJ5719" s="117"/>
      <c r="AK5719" s="107"/>
      <c r="AL5719" s="107"/>
      <c r="AM5719" s="107"/>
      <c r="AN5719" s="107"/>
      <c r="AO5719" s="107"/>
      <c r="AP5719" s="107"/>
      <c r="AQ5719" s="107"/>
      <c r="AR5719" s="107"/>
      <c r="AS5719" s="107"/>
      <c r="AT5719" s="107"/>
    </row>
    <row r="5720" spans="1:63" x14ac:dyDescent="0.25">
      <c r="A5720" s="92"/>
      <c r="B5720" s="92"/>
      <c r="C5720" s="92"/>
      <c r="D5720" s="92"/>
      <c r="E5720" s="92"/>
      <c r="F5720" s="92"/>
      <c r="G5720" s="92"/>
      <c r="H5720" s="92"/>
      <c r="I5720" s="92"/>
      <c r="J5720" s="92"/>
      <c r="K5720" s="92"/>
      <c r="L5720" s="92"/>
      <c r="M5720" s="92"/>
      <c r="N5720" s="92"/>
      <c r="AG5720" s="107"/>
      <c r="AH5720" s="117"/>
      <c r="AI5720" s="117"/>
      <c r="AJ5720" s="117"/>
      <c r="AK5720" s="107"/>
      <c r="AL5720" s="107"/>
      <c r="AM5720" s="107"/>
      <c r="AN5720" s="107"/>
      <c r="AO5720" s="107"/>
      <c r="AP5720" s="107"/>
      <c r="AQ5720" s="107"/>
      <c r="AR5720" s="107"/>
      <c r="AS5720" s="107"/>
      <c r="AT5720" s="39"/>
    </row>
    <row r="5721" spans="1:63" x14ac:dyDescent="0.25">
      <c r="A5721" s="92"/>
      <c r="B5721" s="92"/>
      <c r="C5721" s="92"/>
      <c r="D5721" s="92"/>
      <c r="E5721" s="92"/>
      <c r="F5721" s="92"/>
      <c r="G5721" s="92"/>
      <c r="H5721" s="92"/>
      <c r="I5721" s="92"/>
      <c r="J5721" s="92"/>
      <c r="K5721" s="92"/>
      <c r="L5721" s="92"/>
      <c r="M5721" s="92"/>
      <c r="N5721" s="92"/>
      <c r="AG5721" s="107"/>
      <c r="AH5721" s="107"/>
      <c r="AI5721" s="107"/>
      <c r="AJ5721" s="117"/>
      <c r="AK5721" s="107"/>
      <c r="AL5721" s="107"/>
      <c r="AM5721" s="107"/>
      <c r="AN5721" s="107"/>
      <c r="AO5721" s="107"/>
      <c r="AP5721" s="107"/>
      <c r="AQ5721" s="107"/>
      <c r="AR5721" s="107"/>
      <c r="AS5721" s="107"/>
      <c r="AT5721" s="107"/>
    </row>
    <row r="5722" spans="1:63" x14ac:dyDescent="0.25">
      <c r="A5722" s="92"/>
      <c r="B5722" s="92"/>
      <c r="C5722" s="92"/>
      <c r="D5722" s="92"/>
      <c r="E5722" s="92"/>
      <c r="F5722" s="92"/>
      <c r="G5722" s="92"/>
      <c r="H5722" s="92"/>
      <c r="I5722" s="92"/>
      <c r="J5722" s="92"/>
      <c r="K5722" s="92"/>
      <c r="L5722" s="92"/>
      <c r="M5722" s="92"/>
      <c r="N5722" s="92"/>
      <c r="AG5722" s="107"/>
      <c r="AH5722" s="117"/>
      <c r="AI5722" s="117"/>
      <c r="AJ5722" s="117"/>
      <c r="AK5722" s="107"/>
      <c r="AL5722" s="107"/>
      <c r="AM5722" s="107"/>
      <c r="AN5722" s="107"/>
      <c r="AO5722" s="107"/>
      <c r="AP5722" s="107"/>
      <c r="AQ5722" s="107"/>
      <c r="AR5722" s="107"/>
      <c r="AS5722" s="107"/>
      <c r="AT5722" s="39"/>
      <c r="BA5722" s="117"/>
      <c r="BK5722" s="39"/>
    </row>
    <row r="5723" spans="1:63" x14ac:dyDescent="0.25">
      <c r="A5723" s="92"/>
      <c r="B5723" s="92"/>
      <c r="C5723" s="92"/>
      <c r="D5723" s="92"/>
      <c r="E5723" s="92"/>
      <c r="F5723" s="92"/>
      <c r="G5723" s="92"/>
      <c r="H5723" s="92"/>
      <c r="I5723" s="92"/>
      <c r="J5723" s="92"/>
      <c r="K5723" s="92"/>
      <c r="L5723" s="92"/>
      <c r="M5723" s="92"/>
      <c r="N5723" s="92"/>
      <c r="AG5723" s="107"/>
      <c r="AH5723" s="117"/>
      <c r="AI5723" s="117"/>
      <c r="AJ5723" s="11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39"/>
      <c r="AZ5723" s="117"/>
      <c r="BK5723" s="39"/>
    </row>
    <row r="5724" spans="1:63" x14ac:dyDescent="0.25">
      <c r="A5724" s="92"/>
      <c r="B5724" s="92"/>
      <c r="C5724" s="92"/>
      <c r="D5724" s="92"/>
      <c r="E5724" s="92"/>
      <c r="F5724" s="92"/>
      <c r="G5724" s="92"/>
      <c r="H5724" s="92"/>
      <c r="I5724" s="92"/>
      <c r="J5724" s="92"/>
      <c r="K5724" s="92"/>
      <c r="L5724" s="92"/>
      <c r="M5724" s="92"/>
      <c r="N5724" s="92"/>
      <c r="AG5724" s="107"/>
      <c r="AH5724" s="117"/>
      <c r="AI5724" s="117"/>
      <c r="AJ5724" s="117"/>
      <c r="AK5724" s="107"/>
      <c r="AL5724" s="107"/>
      <c r="AM5724" s="107"/>
      <c r="AN5724" s="107"/>
      <c r="AO5724" s="107"/>
      <c r="AP5724" s="107"/>
      <c r="AQ5724" s="107"/>
      <c r="AR5724" s="107"/>
      <c r="AS5724" s="107"/>
      <c r="AT5724" s="39"/>
    </row>
    <row r="5725" spans="1:63" x14ac:dyDescent="0.25">
      <c r="A5725" s="92"/>
      <c r="B5725" s="93"/>
      <c r="C5725" s="92"/>
      <c r="D5725" s="92"/>
      <c r="E5725" s="92"/>
      <c r="F5725" s="92"/>
      <c r="G5725" s="92"/>
      <c r="H5725" s="92"/>
      <c r="I5725" s="92"/>
      <c r="J5725" s="92"/>
      <c r="K5725" s="92"/>
      <c r="L5725" s="92"/>
      <c r="M5725" s="92"/>
      <c r="N5725" s="94"/>
      <c r="AG5725" s="107"/>
      <c r="AH5725" s="117"/>
      <c r="AI5725" s="117"/>
      <c r="AJ5725" s="117"/>
      <c r="AK5725" s="107"/>
      <c r="AL5725" s="107"/>
      <c r="AM5725" s="107"/>
      <c r="AN5725" s="107"/>
      <c r="AO5725" s="107"/>
      <c r="AP5725" s="107"/>
      <c r="AQ5725" s="107"/>
      <c r="AR5725" s="107"/>
      <c r="AS5725" s="107"/>
      <c r="AT5725" s="39"/>
    </row>
    <row r="5726" spans="1:63" x14ac:dyDescent="0.25">
      <c r="A5726" s="92"/>
      <c r="B5726" s="93"/>
      <c r="C5726" s="93"/>
      <c r="D5726" s="92"/>
      <c r="E5726" s="92"/>
      <c r="F5726" s="92"/>
      <c r="G5726" s="92"/>
      <c r="H5726" s="92"/>
      <c r="I5726" s="92"/>
      <c r="J5726" s="92"/>
      <c r="K5726" s="92"/>
      <c r="L5726" s="92"/>
      <c r="M5726" s="92"/>
      <c r="N5726" s="94"/>
      <c r="AG5726" s="107"/>
      <c r="AH5726" s="117"/>
      <c r="AI5726" s="117"/>
      <c r="AJ5726" s="117"/>
      <c r="AK5726" s="107"/>
      <c r="AL5726" s="107"/>
      <c r="AM5726" s="107"/>
      <c r="AN5726" s="107"/>
      <c r="AO5726" s="107"/>
      <c r="AP5726" s="107"/>
      <c r="AQ5726" s="107"/>
      <c r="AR5726" s="107"/>
      <c r="AS5726" s="107"/>
      <c r="AT5726" s="39"/>
    </row>
    <row r="5727" spans="1:63" x14ac:dyDescent="0.25">
      <c r="A5727" s="92"/>
      <c r="B5727" s="92"/>
      <c r="C5727" s="92"/>
      <c r="D5727" s="92"/>
      <c r="E5727" s="92"/>
      <c r="F5727" s="92"/>
      <c r="G5727" s="92"/>
      <c r="H5727" s="92"/>
      <c r="I5727" s="92"/>
      <c r="J5727" s="92"/>
      <c r="K5727" s="92"/>
      <c r="L5727" s="92"/>
      <c r="M5727" s="92"/>
      <c r="N5727" s="92"/>
      <c r="AG5727" s="107"/>
      <c r="AH5727" s="107"/>
      <c r="AI5727" s="107"/>
      <c r="AJ5727" s="117"/>
      <c r="AK5727" s="107"/>
      <c r="AL5727" s="107"/>
      <c r="AM5727" s="107"/>
      <c r="AN5727" s="107"/>
      <c r="AO5727" s="107"/>
      <c r="AP5727" s="107"/>
      <c r="AQ5727" s="107"/>
      <c r="AR5727" s="107"/>
      <c r="AS5727" s="107"/>
      <c r="AT5727" s="107"/>
      <c r="BA5727" s="117"/>
      <c r="BK5727" s="39"/>
    </row>
    <row r="5728" spans="1:63" x14ac:dyDescent="0.25">
      <c r="A5728" s="92"/>
      <c r="B5728" s="92"/>
      <c r="C5728" s="92"/>
      <c r="D5728" s="92"/>
      <c r="E5728" s="92"/>
      <c r="F5728" s="92"/>
      <c r="G5728" s="92"/>
      <c r="H5728" s="92"/>
      <c r="I5728" s="92"/>
      <c r="J5728" s="92"/>
      <c r="K5728" s="92"/>
      <c r="L5728" s="92"/>
      <c r="M5728" s="92"/>
      <c r="N5728" s="92"/>
      <c r="AG5728" s="107"/>
      <c r="AH5728" s="117"/>
      <c r="AI5728" s="117"/>
      <c r="AJ5728" s="117"/>
      <c r="AK5728" s="107"/>
      <c r="AL5728" s="107"/>
      <c r="AM5728" s="107"/>
      <c r="AN5728" s="107"/>
      <c r="AO5728" s="107"/>
      <c r="AP5728" s="107"/>
      <c r="AQ5728" s="107"/>
      <c r="AR5728" s="107"/>
      <c r="AS5728" s="107"/>
      <c r="AT5728" s="39"/>
      <c r="BA5728" s="117"/>
      <c r="BK5728" s="39"/>
    </row>
    <row r="5729" spans="1:53" x14ac:dyDescent="0.25">
      <c r="A5729" s="92"/>
      <c r="B5729" s="92"/>
      <c r="C5729" s="92"/>
      <c r="D5729" s="92"/>
      <c r="E5729" s="92"/>
      <c r="F5729" s="92"/>
      <c r="G5729" s="92"/>
      <c r="H5729" s="92"/>
      <c r="I5729" s="92"/>
      <c r="J5729" s="92"/>
      <c r="K5729" s="92"/>
      <c r="L5729" s="92"/>
      <c r="M5729" s="92"/>
      <c r="N5729" s="92"/>
      <c r="AG5729" s="107"/>
      <c r="AH5729" s="117"/>
      <c r="AI5729" s="117"/>
      <c r="AJ5729" s="117"/>
      <c r="AK5729" s="107"/>
      <c r="AL5729" s="107"/>
      <c r="AM5729" s="107"/>
      <c r="AN5729" s="107"/>
      <c r="AO5729" s="107"/>
      <c r="AP5729" s="107"/>
      <c r="AQ5729" s="107"/>
      <c r="AR5729" s="107"/>
      <c r="AS5729" s="107"/>
      <c r="AT5729" s="39"/>
    </row>
    <row r="5730" spans="1:53" x14ac:dyDescent="0.25">
      <c r="A5730" s="92"/>
      <c r="B5730" s="92"/>
      <c r="C5730" s="92"/>
      <c r="D5730" s="92"/>
      <c r="E5730" s="92"/>
      <c r="F5730" s="92"/>
      <c r="G5730" s="92"/>
      <c r="H5730" s="92"/>
      <c r="I5730" s="92"/>
      <c r="J5730" s="92"/>
      <c r="K5730" s="92"/>
      <c r="L5730" s="92"/>
      <c r="M5730" s="92"/>
      <c r="N5730" s="92"/>
      <c r="AG5730" s="107"/>
      <c r="AH5730" s="117"/>
      <c r="AI5730" s="117"/>
      <c r="AJ5730" s="117"/>
      <c r="AK5730" s="107"/>
      <c r="AL5730" s="107"/>
      <c r="AM5730" s="107"/>
      <c r="AN5730" s="107"/>
      <c r="AO5730" s="107"/>
      <c r="AP5730" s="107"/>
      <c r="AQ5730" s="107"/>
      <c r="AR5730" s="107"/>
      <c r="AS5730" s="107"/>
      <c r="AT5730" s="39"/>
    </row>
    <row r="5731" spans="1:53" x14ac:dyDescent="0.25">
      <c r="A5731" s="92"/>
      <c r="B5731" s="92"/>
      <c r="C5731" s="92"/>
      <c r="D5731" s="92"/>
      <c r="E5731" s="92"/>
      <c r="F5731" s="92"/>
      <c r="G5731" s="92"/>
      <c r="H5731" s="92"/>
      <c r="I5731" s="92"/>
      <c r="J5731" s="92"/>
      <c r="K5731" s="92"/>
      <c r="L5731" s="92"/>
      <c r="M5731" s="92"/>
      <c r="N5731" s="92"/>
      <c r="AG5731" s="107"/>
      <c r="AH5731" s="117"/>
      <c r="AI5731" s="117"/>
      <c r="AJ5731" s="117"/>
      <c r="AK5731" s="107"/>
      <c r="AL5731" s="107"/>
      <c r="AM5731" s="107"/>
      <c r="AN5731" s="107"/>
      <c r="AO5731" s="107"/>
      <c r="AP5731" s="107"/>
      <c r="AQ5731" s="107"/>
      <c r="AR5731" s="107"/>
      <c r="AS5731" s="107"/>
      <c r="AT5731" s="39"/>
    </row>
    <row r="5732" spans="1:53" x14ac:dyDescent="0.25">
      <c r="A5732" s="92"/>
      <c r="B5732" s="92"/>
      <c r="C5732" s="92"/>
      <c r="D5732" s="92"/>
      <c r="E5732" s="92"/>
      <c r="F5732" s="92"/>
      <c r="G5732" s="92"/>
      <c r="H5732" s="92"/>
      <c r="I5732" s="92"/>
      <c r="J5732" s="92"/>
      <c r="K5732" s="92"/>
      <c r="L5732" s="92"/>
      <c r="M5732" s="92"/>
      <c r="N5732" s="92"/>
      <c r="AG5732" s="107"/>
      <c r="AH5732" s="117"/>
      <c r="AI5732" s="117"/>
      <c r="AJ5732" s="117"/>
      <c r="AK5732" s="107"/>
      <c r="AL5732" s="107"/>
      <c r="AM5732" s="107"/>
      <c r="AN5732" s="107"/>
      <c r="AO5732" s="107"/>
      <c r="AP5732" s="107"/>
      <c r="AQ5732" s="107"/>
      <c r="AR5732" s="107"/>
      <c r="AS5732" s="107"/>
      <c r="AT5732" s="39"/>
      <c r="BA5732" s="117"/>
    </row>
    <row r="5733" spans="1:53" x14ac:dyDescent="0.25">
      <c r="A5733" s="92"/>
      <c r="B5733" s="92"/>
      <c r="C5733" s="92"/>
      <c r="D5733" s="92"/>
      <c r="E5733" s="92"/>
      <c r="F5733" s="92"/>
      <c r="G5733" s="92"/>
      <c r="H5733" s="92"/>
      <c r="I5733" s="92"/>
      <c r="J5733" s="92"/>
      <c r="K5733" s="92"/>
      <c r="L5733" s="92"/>
      <c r="M5733" s="92"/>
      <c r="N5733" s="92"/>
      <c r="AG5733" s="107"/>
      <c r="AH5733" s="117"/>
      <c r="AI5733" s="117"/>
      <c r="AJ5733" s="117"/>
      <c r="AK5733" s="107"/>
      <c r="AL5733" s="107"/>
      <c r="AM5733" s="107"/>
      <c r="AN5733" s="107"/>
      <c r="AO5733" s="107"/>
      <c r="AP5733" s="107"/>
      <c r="AQ5733" s="107"/>
      <c r="AR5733" s="107"/>
      <c r="AS5733" s="107"/>
      <c r="AT5733" s="39"/>
    </row>
    <row r="5734" spans="1:53" x14ac:dyDescent="0.25">
      <c r="A5734" s="92"/>
      <c r="B5734" s="92"/>
      <c r="C5734" s="92"/>
      <c r="D5734" s="92"/>
      <c r="E5734" s="92"/>
      <c r="F5734" s="92"/>
      <c r="G5734" s="92"/>
      <c r="H5734" s="92"/>
      <c r="I5734" s="92"/>
      <c r="J5734" s="92"/>
      <c r="K5734" s="92"/>
      <c r="L5734" s="92"/>
      <c r="M5734" s="92"/>
      <c r="N5734" s="92"/>
      <c r="AG5734" s="107"/>
      <c r="AH5734" s="117"/>
      <c r="AI5734" s="117"/>
      <c r="AJ5734" s="117"/>
      <c r="AK5734" s="107"/>
      <c r="AL5734" s="107"/>
      <c r="AM5734" s="107"/>
      <c r="AN5734" s="107"/>
      <c r="AO5734" s="107"/>
      <c r="AP5734" s="107"/>
      <c r="AQ5734" s="107"/>
      <c r="AR5734" s="107"/>
      <c r="AS5734" s="107"/>
      <c r="AT5734" s="39"/>
    </row>
    <row r="5735" spans="1:53" x14ac:dyDescent="0.25">
      <c r="A5735" s="92"/>
      <c r="B5735" s="92"/>
      <c r="C5735" s="92"/>
      <c r="D5735" s="92"/>
      <c r="E5735" s="92"/>
      <c r="F5735" s="92"/>
      <c r="G5735" s="92"/>
      <c r="H5735" s="92"/>
      <c r="I5735" s="92"/>
      <c r="J5735" s="92"/>
      <c r="K5735" s="92"/>
      <c r="L5735" s="92"/>
      <c r="M5735" s="92"/>
      <c r="N5735" s="92"/>
      <c r="AG5735" s="107"/>
      <c r="AH5735" s="117"/>
      <c r="AI5735" s="117"/>
      <c r="AJ5735" s="11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39"/>
    </row>
    <row r="5736" spans="1:53" x14ac:dyDescent="0.25">
      <c r="A5736" s="92"/>
      <c r="B5736" s="92"/>
      <c r="C5736" s="92"/>
      <c r="D5736" s="92"/>
      <c r="E5736" s="92"/>
      <c r="F5736" s="92"/>
      <c r="G5736" s="92"/>
      <c r="H5736" s="92"/>
      <c r="I5736" s="92"/>
      <c r="J5736" s="92"/>
      <c r="K5736" s="92"/>
      <c r="L5736" s="92"/>
      <c r="M5736" s="92"/>
      <c r="N5736" s="92"/>
      <c r="AG5736" s="107"/>
      <c r="AH5736" s="117"/>
      <c r="AI5736" s="117"/>
      <c r="AJ5736" s="117"/>
      <c r="AK5736" s="107"/>
      <c r="AL5736" s="107"/>
      <c r="AM5736" s="107"/>
      <c r="AN5736" s="107"/>
      <c r="AO5736" s="107"/>
      <c r="AP5736" s="107"/>
      <c r="AQ5736" s="107"/>
      <c r="AR5736" s="107"/>
      <c r="AS5736" s="107"/>
      <c r="AT5736" s="39"/>
    </row>
    <row r="5737" spans="1:53" x14ac:dyDescent="0.25">
      <c r="A5737" s="92"/>
      <c r="B5737" s="92"/>
      <c r="C5737" s="92"/>
      <c r="D5737" s="92"/>
      <c r="E5737" s="92"/>
      <c r="F5737" s="92"/>
      <c r="G5737" s="92"/>
      <c r="H5737" s="92"/>
      <c r="I5737" s="92"/>
      <c r="J5737" s="92"/>
      <c r="K5737" s="92"/>
      <c r="L5737" s="92"/>
      <c r="M5737" s="92"/>
      <c r="N5737" s="92"/>
      <c r="AG5737" s="107"/>
      <c r="AH5737" s="117"/>
      <c r="AI5737" s="117"/>
      <c r="AJ5737" s="117"/>
      <c r="AK5737" s="107"/>
      <c r="AL5737" s="107"/>
      <c r="AM5737" s="107"/>
      <c r="AN5737" s="107"/>
      <c r="AO5737" s="107"/>
      <c r="AP5737" s="107"/>
      <c r="AQ5737" s="107"/>
      <c r="AR5737" s="107"/>
      <c r="AS5737" s="107"/>
      <c r="AT5737" s="39"/>
    </row>
    <row r="5738" spans="1:53" x14ac:dyDescent="0.25">
      <c r="A5738" s="92"/>
      <c r="B5738" s="92"/>
      <c r="C5738" s="92"/>
      <c r="D5738" s="92"/>
      <c r="E5738" s="92"/>
      <c r="F5738" s="92"/>
      <c r="G5738" s="92"/>
      <c r="H5738" s="92"/>
      <c r="I5738" s="92"/>
      <c r="J5738" s="92"/>
      <c r="K5738" s="92"/>
      <c r="L5738" s="92"/>
      <c r="M5738" s="92"/>
      <c r="N5738" s="92"/>
      <c r="AG5738" s="107"/>
      <c r="AH5738" s="117"/>
      <c r="AI5738" s="117"/>
      <c r="AJ5738" s="117"/>
      <c r="AK5738" s="107"/>
      <c r="AL5738" s="107"/>
      <c r="AM5738" s="107"/>
      <c r="AN5738" s="107"/>
      <c r="AO5738" s="107"/>
      <c r="AP5738" s="107"/>
      <c r="AQ5738" s="107"/>
      <c r="AR5738" s="107"/>
      <c r="AS5738" s="107"/>
      <c r="AT5738" s="39"/>
    </row>
    <row r="5739" spans="1:53" x14ac:dyDescent="0.25">
      <c r="A5739" s="92"/>
      <c r="B5739" s="92"/>
      <c r="C5739" s="92"/>
      <c r="D5739" s="92"/>
      <c r="E5739" s="92"/>
      <c r="F5739" s="92"/>
      <c r="G5739" s="92"/>
      <c r="H5739" s="92"/>
      <c r="I5739" s="92"/>
      <c r="J5739" s="92"/>
      <c r="K5739" s="92"/>
      <c r="L5739" s="92"/>
      <c r="M5739" s="92"/>
      <c r="N5739" s="92"/>
      <c r="AG5739" s="107"/>
      <c r="AH5739" s="117"/>
      <c r="AI5739" s="117"/>
      <c r="AJ5739" s="117"/>
      <c r="AK5739" s="107"/>
      <c r="AL5739" s="107"/>
      <c r="AM5739" s="107"/>
      <c r="AN5739" s="107"/>
      <c r="AO5739" s="107"/>
      <c r="AP5739" s="107"/>
      <c r="AQ5739" s="107"/>
      <c r="AR5739" s="107"/>
      <c r="AS5739" s="107"/>
      <c r="AT5739" s="39"/>
    </row>
    <row r="5740" spans="1:53" x14ac:dyDescent="0.25">
      <c r="A5740" s="92"/>
      <c r="B5740" s="92"/>
      <c r="C5740" s="92"/>
      <c r="D5740" s="92"/>
      <c r="E5740" s="92"/>
      <c r="F5740" s="92"/>
      <c r="G5740" s="92"/>
      <c r="H5740" s="92"/>
      <c r="I5740" s="92"/>
      <c r="J5740" s="92"/>
      <c r="K5740" s="92"/>
      <c r="L5740" s="92"/>
      <c r="M5740" s="92"/>
      <c r="N5740" s="92"/>
      <c r="AG5740" s="107"/>
      <c r="AH5740" s="117"/>
      <c r="AI5740" s="117"/>
      <c r="AJ5740" s="117"/>
      <c r="AK5740" s="107"/>
      <c r="AL5740" s="107"/>
      <c r="AM5740" s="107"/>
      <c r="AN5740" s="107"/>
      <c r="AO5740" s="107"/>
      <c r="AP5740" s="107"/>
      <c r="AQ5740" s="107"/>
      <c r="AR5740" s="107"/>
      <c r="AS5740" s="107"/>
      <c r="AT5740" s="39"/>
    </row>
    <row r="5741" spans="1:53" x14ac:dyDescent="0.25">
      <c r="A5741" s="92"/>
      <c r="B5741" s="92"/>
      <c r="C5741" s="92"/>
      <c r="D5741" s="92"/>
      <c r="E5741" s="92"/>
      <c r="F5741" s="92"/>
      <c r="G5741" s="92"/>
      <c r="H5741" s="92"/>
      <c r="I5741" s="92"/>
      <c r="J5741" s="92"/>
      <c r="K5741" s="92"/>
      <c r="L5741" s="92"/>
      <c r="M5741" s="92"/>
      <c r="N5741" s="92"/>
      <c r="AG5741" s="107"/>
      <c r="AH5741" s="117"/>
      <c r="AI5741" s="117"/>
      <c r="AJ5741" s="117"/>
      <c r="AK5741" s="107"/>
      <c r="AL5741" s="107"/>
      <c r="AM5741" s="107"/>
      <c r="AN5741" s="107"/>
      <c r="AO5741" s="107"/>
      <c r="AP5741" s="107"/>
      <c r="AQ5741" s="107"/>
      <c r="AR5741" s="107"/>
      <c r="AS5741" s="107"/>
      <c r="AT5741" s="39"/>
    </row>
    <row r="5742" spans="1:53" x14ac:dyDescent="0.25">
      <c r="A5742" s="92"/>
      <c r="B5742" s="92"/>
      <c r="C5742" s="92"/>
      <c r="D5742" s="92"/>
      <c r="E5742" s="92"/>
      <c r="F5742" s="92"/>
      <c r="G5742" s="92"/>
      <c r="H5742" s="92"/>
      <c r="I5742" s="92"/>
      <c r="J5742" s="92"/>
      <c r="K5742" s="92"/>
      <c r="L5742" s="92"/>
      <c r="M5742" s="92"/>
      <c r="N5742" s="92"/>
      <c r="AG5742" s="107"/>
      <c r="AH5742" s="117"/>
      <c r="AI5742" s="117"/>
      <c r="AJ5742" s="117"/>
      <c r="AK5742" s="107"/>
      <c r="AL5742" s="107"/>
      <c r="AM5742" s="107"/>
      <c r="AN5742" s="107"/>
      <c r="AO5742" s="107"/>
      <c r="AP5742" s="107"/>
      <c r="AQ5742" s="107"/>
      <c r="AR5742" s="107"/>
      <c r="AS5742" s="107"/>
      <c r="AT5742" s="39"/>
    </row>
    <row r="5743" spans="1:53" x14ac:dyDescent="0.25">
      <c r="A5743" s="92"/>
      <c r="B5743" s="92"/>
      <c r="C5743" s="92"/>
      <c r="D5743" s="92"/>
      <c r="E5743" s="92"/>
      <c r="F5743" s="92"/>
      <c r="G5743" s="92"/>
      <c r="H5743" s="92"/>
      <c r="I5743" s="92"/>
      <c r="J5743" s="92"/>
      <c r="K5743" s="92"/>
      <c r="L5743" s="92"/>
      <c r="M5743" s="92"/>
      <c r="N5743" s="92"/>
      <c r="AG5743" s="107"/>
      <c r="AH5743" s="117"/>
      <c r="AI5743" s="117"/>
      <c r="AJ5743" s="117"/>
      <c r="AK5743" s="107"/>
      <c r="AL5743" s="107"/>
      <c r="AM5743" s="107"/>
      <c r="AN5743" s="107"/>
      <c r="AO5743" s="107"/>
      <c r="AP5743" s="107"/>
      <c r="AQ5743" s="107"/>
      <c r="AR5743" s="107"/>
      <c r="AS5743" s="107"/>
      <c r="AT5743" s="39"/>
    </row>
    <row r="5744" spans="1:53" x14ac:dyDescent="0.25">
      <c r="A5744" s="92"/>
      <c r="B5744" s="93"/>
      <c r="C5744" s="93"/>
      <c r="D5744" s="92"/>
      <c r="E5744" s="92"/>
      <c r="F5744" s="92"/>
      <c r="G5744" s="92"/>
      <c r="H5744" s="92"/>
      <c r="I5744" s="92"/>
      <c r="J5744" s="92"/>
      <c r="K5744" s="92"/>
      <c r="L5744" s="92"/>
      <c r="M5744" s="92"/>
      <c r="N5744" s="94"/>
      <c r="AG5744" s="107"/>
      <c r="AH5744" s="107"/>
      <c r="AI5744" s="107"/>
      <c r="AJ5744" s="117"/>
      <c r="AK5744" s="107"/>
      <c r="AL5744" s="107"/>
      <c r="AM5744" s="107"/>
      <c r="AN5744" s="107"/>
      <c r="AO5744" s="107"/>
      <c r="AP5744" s="107"/>
      <c r="AQ5744" s="107"/>
      <c r="AR5744" s="107"/>
      <c r="AS5744" s="107"/>
      <c r="AT5744" s="107"/>
    </row>
    <row r="5745" spans="1:46" x14ac:dyDescent="0.25">
      <c r="A5745" s="92"/>
      <c r="B5745" s="93"/>
      <c r="C5745" s="92"/>
      <c r="D5745" s="93"/>
      <c r="E5745" s="92"/>
      <c r="F5745" s="92"/>
      <c r="G5745" s="92"/>
      <c r="H5745" s="92"/>
      <c r="I5745" s="92"/>
      <c r="J5745" s="92"/>
      <c r="K5745" s="92"/>
      <c r="L5745" s="92"/>
      <c r="M5745" s="92"/>
      <c r="N5745" s="94"/>
      <c r="AG5745" s="107"/>
      <c r="AH5745" s="107"/>
      <c r="AI5745" s="107"/>
      <c r="AJ5745" s="117"/>
      <c r="AK5745" s="107"/>
      <c r="AL5745" s="107"/>
      <c r="AM5745" s="107"/>
      <c r="AN5745" s="107"/>
      <c r="AO5745" s="107"/>
      <c r="AP5745" s="107"/>
      <c r="AQ5745" s="107"/>
      <c r="AR5745" s="107"/>
      <c r="AS5745" s="107"/>
      <c r="AT5745" s="107"/>
    </row>
    <row r="5746" spans="1:46" x14ac:dyDescent="0.25">
      <c r="A5746" s="92"/>
      <c r="B5746" s="93"/>
      <c r="C5746" s="92"/>
      <c r="D5746" s="93"/>
      <c r="E5746" s="92"/>
      <c r="F5746" s="92"/>
      <c r="G5746" s="92"/>
      <c r="H5746" s="92"/>
      <c r="I5746" s="92"/>
      <c r="J5746" s="92"/>
      <c r="K5746" s="92"/>
      <c r="L5746" s="92"/>
      <c r="M5746" s="92"/>
      <c r="N5746" s="94"/>
      <c r="AG5746" s="107"/>
      <c r="AH5746" s="107"/>
      <c r="AI5746" s="107"/>
      <c r="AJ5746" s="117"/>
      <c r="AK5746" s="107"/>
      <c r="AL5746" s="107"/>
      <c r="AM5746" s="107"/>
      <c r="AN5746" s="107"/>
      <c r="AO5746" s="107"/>
      <c r="AP5746" s="107"/>
      <c r="AQ5746" s="107"/>
      <c r="AR5746" s="107"/>
      <c r="AS5746" s="107"/>
      <c r="AT5746" s="107"/>
    </row>
    <row r="5747" spans="1:46" x14ac:dyDescent="0.25">
      <c r="A5747" s="92"/>
      <c r="B5747" s="92"/>
      <c r="C5747" s="92"/>
      <c r="D5747" s="92"/>
      <c r="E5747" s="92"/>
      <c r="F5747" s="92"/>
      <c r="G5747" s="92"/>
      <c r="H5747" s="92"/>
      <c r="I5747" s="92"/>
      <c r="J5747" s="92"/>
      <c r="K5747" s="92"/>
      <c r="L5747" s="92"/>
      <c r="M5747" s="92"/>
      <c r="N5747" s="92"/>
      <c r="AG5747" s="107"/>
      <c r="AH5747" s="107"/>
      <c r="AI5747" s="107"/>
      <c r="AJ5747" s="117"/>
      <c r="AK5747" s="107"/>
      <c r="AL5747" s="107"/>
      <c r="AM5747" s="107"/>
      <c r="AN5747" s="107"/>
      <c r="AO5747" s="107"/>
      <c r="AP5747" s="107"/>
      <c r="AQ5747" s="107"/>
      <c r="AR5747" s="107"/>
      <c r="AS5747" s="107"/>
      <c r="AT5747" s="107"/>
    </row>
    <row r="5748" spans="1:46" x14ac:dyDescent="0.25">
      <c r="A5748" s="92"/>
      <c r="B5748" s="92"/>
      <c r="C5748" s="92"/>
      <c r="D5748" s="92"/>
      <c r="E5748" s="92"/>
      <c r="F5748" s="92"/>
      <c r="G5748" s="92"/>
      <c r="H5748" s="92"/>
      <c r="I5748" s="92"/>
      <c r="J5748" s="92"/>
      <c r="K5748" s="92"/>
      <c r="L5748" s="92"/>
      <c r="M5748" s="92"/>
      <c r="N5748" s="92"/>
      <c r="AG5748" s="107"/>
      <c r="AH5748" s="107"/>
      <c r="AI5748" s="107"/>
      <c r="AJ5748" s="117"/>
      <c r="AK5748" s="107"/>
      <c r="AL5748" s="107"/>
      <c r="AM5748" s="107"/>
      <c r="AN5748" s="107"/>
      <c r="AO5748" s="107"/>
      <c r="AP5748" s="107"/>
      <c r="AQ5748" s="107"/>
      <c r="AR5748" s="107"/>
      <c r="AS5748" s="107"/>
      <c r="AT5748" s="107"/>
    </row>
    <row r="5749" spans="1:46" x14ac:dyDescent="0.25">
      <c r="A5749" s="92"/>
      <c r="B5749" s="92"/>
      <c r="C5749" s="92"/>
      <c r="D5749" s="92"/>
      <c r="E5749" s="92"/>
      <c r="F5749" s="92"/>
      <c r="G5749" s="92"/>
      <c r="H5749" s="92"/>
      <c r="I5749" s="92"/>
      <c r="J5749" s="92"/>
      <c r="K5749" s="92"/>
      <c r="L5749" s="92"/>
      <c r="M5749" s="92"/>
      <c r="N5749" s="92"/>
      <c r="AG5749" s="107"/>
      <c r="AH5749" s="117"/>
      <c r="AI5749" s="117"/>
      <c r="AJ5749" s="117"/>
      <c r="AK5749" s="107"/>
      <c r="AL5749" s="107"/>
      <c r="AM5749" s="107"/>
      <c r="AN5749" s="107"/>
      <c r="AO5749" s="107"/>
      <c r="AP5749" s="107"/>
      <c r="AQ5749" s="107"/>
      <c r="AR5749" s="107"/>
      <c r="AS5749" s="107"/>
      <c r="AT5749" s="39"/>
    </row>
    <row r="5750" spans="1:46" x14ac:dyDescent="0.25">
      <c r="A5750" s="92"/>
      <c r="B5750" s="92"/>
      <c r="C5750" s="92"/>
      <c r="D5750" s="92"/>
      <c r="E5750" s="92"/>
      <c r="F5750" s="92"/>
      <c r="G5750" s="92"/>
      <c r="H5750" s="92"/>
      <c r="I5750" s="92"/>
      <c r="J5750" s="92"/>
      <c r="K5750" s="92"/>
      <c r="L5750" s="92"/>
      <c r="M5750" s="92"/>
      <c r="N5750" s="92"/>
      <c r="AG5750" s="107"/>
      <c r="AH5750" s="117"/>
      <c r="AI5750" s="117"/>
      <c r="AJ5750" s="117"/>
      <c r="AK5750" s="107"/>
      <c r="AL5750" s="107"/>
      <c r="AM5750" s="107"/>
      <c r="AN5750" s="107"/>
      <c r="AO5750" s="107"/>
      <c r="AP5750" s="107"/>
      <c r="AQ5750" s="107"/>
      <c r="AR5750" s="107"/>
      <c r="AS5750" s="107"/>
      <c r="AT5750" s="39"/>
    </row>
    <row r="5751" spans="1:46" x14ac:dyDescent="0.25">
      <c r="A5751" s="92"/>
      <c r="B5751" s="93"/>
      <c r="C5751" s="92"/>
      <c r="D5751" s="93"/>
      <c r="E5751" s="92"/>
      <c r="F5751" s="92"/>
      <c r="G5751" s="92"/>
      <c r="H5751" s="92"/>
      <c r="I5751" s="92"/>
      <c r="J5751" s="92"/>
      <c r="K5751" s="92"/>
      <c r="L5751" s="92"/>
      <c r="M5751" s="92"/>
      <c r="N5751" s="94"/>
      <c r="AG5751" s="107"/>
      <c r="AH5751" s="117"/>
      <c r="AI5751" s="117"/>
      <c r="AJ5751" s="117"/>
      <c r="AK5751" s="107"/>
      <c r="AL5751" s="107"/>
      <c r="AM5751" s="107"/>
      <c r="AN5751" s="107"/>
      <c r="AO5751" s="107"/>
      <c r="AP5751" s="107"/>
      <c r="AQ5751" s="107"/>
      <c r="AR5751" s="107"/>
      <c r="AS5751" s="107"/>
      <c r="AT5751" s="39"/>
    </row>
    <row r="5752" spans="1:46" x14ac:dyDescent="0.25">
      <c r="A5752" s="92"/>
      <c r="B5752" s="92"/>
      <c r="C5752" s="92"/>
      <c r="D5752" s="92"/>
      <c r="E5752" s="92"/>
      <c r="F5752" s="92"/>
      <c r="G5752" s="92"/>
      <c r="H5752" s="92"/>
      <c r="I5752" s="92"/>
      <c r="J5752" s="92"/>
      <c r="K5752" s="92"/>
      <c r="L5752" s="92"/>
      <c r="M5752" s="92"/>
      <c r="N5752" s="92"/>
      <c r="AG5752" s="107"/>
      <c r="AH5752" s="117"/>
      <c r="AI5752" s="117"/>
      <c r="AJ5752" s="117"/>
      <c r="AK5752" s="107"/>
      <c r="AL5752" s="107"/>
      <c r="AM5752" s="107"/>
      <c r="AN5752" s="107"/>
      <c r="AO5752" s="107"/>
      <c r="AP5752" s="107"/>
      <c r="AQ5752" s="107"/>
      <c r="AR5752" s="107"/>
      <c r="AS5752" s="107"/>
      <c r="AT5752" s="39"/>
    </row>
    <row r="5753" spans="1:46" x14ac:dyDescent="0.25">
      <c r="A5753" s="92"/>
      <c r="B5753" s="92"/>
      <c r="C5753" s="92"/>
      <c r="D5753" s="92"/>
      <c r="E5753" s="92"/>
      <c r="F5753" s="92"/>
      <c r="G5753" s="92"/>
      <c r="H5753" s="92"/>
      <c r="I5753" s="92"/>
      <c r="J5753" s="92"/>
      <c r="K5753" s="92"/>
      <c r="L5753" s="92"/>
      <c r="M5753" s="92"/>
      <c r="N5753" s="92"/>
      <c r="AG5753" s="107"/>
      <c r="AH5753" s="117"/>
      <c r="AI5753" s="117"/>
      <c r="AJ5753" s="117"/>
      <c r="AK5753" s="107"/>
      <c r="AL5753" s="107"/>
      <c r="AM5753" s="107"/>
      <c r="AN5753" s="107"/>
      <c r="AO5753" s="107"/>
      <c r="AP5753" s="107"/>
      <c r="AQ5753" s="107"/>
      <c r="AR5753" s="107"/>
      <c r="AS5753" s="107"/>
      <c r="AT5753" s="39"/>
    </row>
    <row r="5754" spans="1:46" x14ac:dyDescent="0.25">
      <c r="A5754" s="92"/>
      <c r="B5754" s="92"/>
      <c r="C5754" s="92"/>
      <c r="D5754" s="92"/>
      <c r="E5754" s="92"/>
      <c r="F5754" s="92"/>
      <c r="G5754" s="92"/>
      <c r="H5754" s="92"/>
      <c r="I5754" s="92"/>
      <c r="J5754" s="92"/>
      <c r="K5754" s="92"/>
      <c r="L5754" s="92"/>
      <c r="M5754" s="92"/>
      <c r="N5754" s="92"/>
      <c r="AG5754" s="107"/>
      <c r="AH5754" s="117"/>
      <c r="AI5754" s="117"/>
      <c r="AJ5754" s="117"/>
      <c r="AK5754" s="107"/>
      <c r="AL5754" s="107"/>
      <c r="AM5754" s="107"/>
      <c r="AN5754" s="107"/>
      <c r="AO5754" s="107"/>
      <c r="AP5754" s="107"/>
      <c r="AQ5754" s="107"/>
      <c r="AR5754" s="107"/>
      <c r="AS5754" s="107"/>
      <c r="AT5754" s="39"/>
    </row>
    <row r="5755" spans="1:46" x14ac:dyDescent="0.25">
      <c r="A5755" s="92"/>
      <c r="B5755" s="92"/>
      <c r="C5755" s="92"/>
      <c r="D5755" s="92"/>
      <c r="E5755" s="92"/>
      <c r="F5755" s="92"/>
      <c r="G5755" s="92"/>
      <c r="H5755" s="92"/>
      <c r="I5755" s="92"/>
      <c r="J5755" s="92"/>
      <c r="K5755" s="92"/>
      <c r="L5755" s="92"/>
      <c r="M5755" s="92"/>
      <c r="N5755" s="92"/>
      <c r="AG5755" s="107"/>
      <c r="AH5755" s="117"/>
      <c r="AI5755" s="117"/>
      <c r="AJ5755" s="117"/>
      <c r="AK5755" s="107"/>
      <c r="AL5755" s="107"/>
      <c r="AM5755" s="107"/>
      <c r="AN5755" s="107"/>
      <c r="AO5755" s="107"/>
      <c r="AP5755" s="107"/>
      <c r="AQ5755" s="107"/>
      <c r="AR5755" s="107"/>
      <c r="AS5755" s="107"/>
      <c r="AT5755" s="39"/>
    </row>
    <row r="5756" spans="1:46" x14ac:dyDescent="0.25">
      <c r="A5756" s="92"/>
      <c r="B5756" s="92"/>
      <c r="C5756" s="92"/>
      <c r="D5756" s="92"/>
      <c r="E5756" s="92"/>
      <c r="F5756" s="92"/>
      <c r="G5756" s="92"/>
      <c r="H5756" s="92"/>
      <c r="I5756" s="92"/>
      <c r="J5756" s="92"/>
      <c r="K5756" s="92"/>
      <c r="L5756" s="92"/>
      <c r="M5756" s="92"/>
      <c r="N5756" s="92"/>
      <c r="AG5756" s="107"/>
      <c r="AH5756" s="107"/>
      <c r="AI5756" s="107"/>
      <c r="AJ5756" s="117"/>
      <c r="AK5756" s="107"/>
      <c r="AL5756" s="107"/>
      <c r="AM5756" s="107"/>
      <c r="AN5756" s="107"/>
      <c r="AO5756" s="107"/>
      <c r="AP5756" s="107"/>
      <c r="AQ5756" s="107"/>
      <c r="AR5756" s="107"/>
      <c r="AS5756" s="107"/>
      <c r="AT5756" s="107"/>
    </row>
    <row r="5757" spans="1:46" x14ac:dyDescent="0.25">
      <c r="A5757" s="92"/>
      <c r="B5757" s="92"/>
      <c r="C5757" s="92"/>
      <c r="D5757" s="92"/>
      <c r="E5757" s="92"/>
      <c r="F5757" s="92"/>
      <c r="G5757" s="92"/>
      <c r="H5757" s="92"/>
      <c r="I5757" s="92"/>
      <c r="J5757" s="92"/>
      <c r="K5757" s="92"/>
      <c r="L5757" s="92"/>
      <c r="M5757" s="92"/>
      <c r="N5757" s="92"/>
      <c r="AG5757" s="107"/>
      <c r="AH5757" s="117"/>
      <c r="AI5757" s="117"/>
      <c r="AJ5757" s="117"/>
      <c r="AK5757" s="107"/>
      <c r="AL5757" s="107"/>
      <c r="AM5757" s="107"/>
      <c r="AN5757" s="107"/>
      <c r="AO5757" s="107"/>
      <c r="AP5757" s="107"/>
      <c r="AQ5757" s="107"/>
      <c r="AR5757" s="107"/>
      <c r="AS5757" s="107"/>
      <c r="AT5757" s="39"/>
    </row>
    <row r="5758" spans="1:46" x14ac:dyDescent="0.25">
      <c r="A5758" s="92"/>
      <c r="B5758" s="92"/>
      <c r="C5758" s="92"/>
      <c r="D5758" s="92"/>
      <c r="E5758" s="92"/>
      <c r="F5758" s="92"/>
      <c r="G5758" s="92"/>
      <c r="H5758" s="92"/>
      <c r="I5758" s="92"/>
      <c r="J5758" s="92"/>
      <c r="K5758" s="92"/>
      <c r="L5758" s="92"/>
      <c r="M5758" s="92"/>
      <c r="N5758" s="92"/>
      <c r="AG5758" s="107"/>
      <c r="AH5758" s="117"/>
      <c r="AI5758" s="117"/>
      <c r="AJ5758" s="117"/>
      <c r="AK5758" s="107"/>
      <c r="AL5758" s="107"/>
      <c r="AM5758" s="107"/>
      <c r="AN5758" s="107"/>
      <c r="AO5758" s="107"/>
      <c r="AP5758" s="107"/>
      <c r="AQ5758" s="107"/>
      <c r="AR5758" s="107"/>
      <c r="AS5758" s="107"/>
      <c r="AT5758" s="39"/>
    </row>
    <row r="5759" spans="1:46" x14ac:dyDescent="0.25">
      <c r="A5759" s="92"/>
      <c r="B5759" s="92"/>
      <c r="C5759" s="92"/>
      <c r="D5759" s="92"/>
      <c r="E5759" s="92"/>
      <c r="F5759" s="92"/>
      <c r="G5759" s="92"/>
      <c r="H5759" s="92"/>
      <c r="I5759" s="92"/>
      <c r="J5759" s="92"/>
      <c r="K5759" s="92"/>
      <c r="L5759" s="92"/>
      <c r="M5759" s="92"/>
      <c r="N5759" s="92"/>
      <c r="AG5759" s="107"/>
      <c r="AH5759" s="117"/>
      <c r="AI5759" s="117"/>
      <c r="AJ5759" s="117"/>
      <c r="AK5759" s="107"/>
      <c r="AL5759" s="107"/>
      <c r="AM5759" s="107"/>
      <c r="AN5759" s="107"/>
      <c r="AO5759" s="107"/>
      <c r="AP5759" s="107"/>
      <c r="AQ5759" s="107"/>
      <c r="AR5759" s="107"/>
      <c r="AS5759" s="107"/>
      <c r="AT5759" s="39"/>
    </row>
    <row r="5760" spans="1:46" x14ac:dyDescent="0.25">
      <c r="A5760" s="92"/>
      <c r="B5760" s="92"/>
      <c r="C5760" s="92"/>
      <c r="D5760" s="92"/>
      <c r="E5760" s="92"/>
      <c r="F5760" s="92"/>
      <c r="G5760" s="92"/>
      <c r="H5760" s="92"/>
      <c r="I5760" s="92"/>
      <c r="J5760" s="92"/>
      <c r="K5760" s="92"/>
      <c r="L5760" s="92"/>
      <c r="M5760" s="92"/>
      <c r="N5760" s="92"/>
      <c r="AG5760" s="107"/>
      <c r="AH5760" s="117"/>
      <c r="AI5760" s="117"/>
      <c r="AJ5760" s="117"/>
      <c r="AK5760" s="107"/>
      <c r="AL5760" s="107"/>
      <c r="AM5760" s="107"/>
      <c r="AN5760" s="107"/>
      <c r="AO5760" s="107"/>
      <c r="AP5760" s="107"/>
      <c r="AQ5760" s="107"/>
      <c r="AR5760" s="107"/>
      <c r="AS5760" s="107"/>
      <c r="AT5760" s="39"/>
    </row>
    <row r="5761" spans="1:46" x14ac:dyDescent="0.25">
      <c r="A5761" s="92"/>
      <c r="B5761" s="92"/>
      <c r="C5761" s="92"/>
      <c r="D5761" s="92"/>
      <c r="E5761" s="92"/>
      <c r="F5761" s="92"/>
      <c r="G5761" s="92"/>
      <c r="H5761" s="92"/>
      <c r="I5761" s="92"/>
      <c r="J5761" s="92"/>
      <c r="K5761" s="92"/>
      <c r="L5761" s="92"/>
      <c r="M5761" s="92"/>
      <c r="N5761" s="92"/>
      <c r="AG5761" s="107"/>
      <c r="AH5761" s="117"/>
      <c r="AI5761" s="117"/>
      <c r="AJ5761" s="117"/>
      <c r="AK5761" s="107"/>
      <c r="AL5761" s="107"/>
      <c r="AM5761" s="107"/>
      <c r="AN5761" s="107"/>
      <c r="AO5761" s="107"/>
      <c r="AP5761" s="107"/>
      <c r="AQ5761" s="107"/>
      <c r="AR5761" s="107"/>
      <c r="AS5761" s="107"/>
      <c r="AT5761" s="39"/>
    </row>
    <row r="5762" spans="1:46" x14ac:dyDescent="0.25">
      <c r="A5762" s="92"/>
      <c r="B5762" s="92"/>
      <c r="C5762" s="92"/>
      <c r="D5762" s="92"/>
      <c r="E5762" s="92"/>
      <c r="F5762" s="92"/>
      <c r="G5762" s="92"/>
      <c r="H5762" s="92"/>
      <c r="I5762" s="92"/>
      <c r="J5762" s="92"/>
      <c r="K5762" s="92"/>
      <c r="L5762" s="92"/>
      <c r="M5762" s="92"/>
      <c r="N5762" s="92"/>
      <c r="AG5762" s="107"/>
      <c r="AH5762" s="117"/>
      <c r="AI5762" s="117"/>
      <c r="AJ5762" s="117"/>
      <c r="AK5762" s="107"/>
      <c r="AL5762" s="107"/>
      <c r="AM5762" s="107"/>
      <c r="AN5762" s="107"/>
      <c r="AO5762" s="107"/>
      <c r="AP5762" s="107"/>
      <c r="AQ5762" s="107"/>
      <c r="AR5762" s="107"/>
      <c r="AS5762" s="107"/>
      <c r="AT5762" s="39"/>
    </row>
    <row r="5763" spans="1:46" x14ac:dyDescent="0.25">
      <c r="A5763" s="92"/>
      <c r="B5763" s="92"/>
      <c r="C5763" s="92"/>
      <c r="D5763" s="92"/>
      <c r="E5763" s="92"/>
      <c r="F5763" s="92"/>
      <c r="G5763" s="92"/>
      <c r="H5763" s="92"/>
      <c r="I5763" s="92"/>
      <c r="J5763" s="92"/>
      <c r="K5763" s="92"/>
      <c r="L5763" s="92"/>
      <c r="M5763" s="92"/>
      <c r="N5763" s="92"/>
      <c r="AG5763" s="107"/>
      <c r="AH5763" s="117"/>
      <c r="AI5763" s="117"/>
      <c r="AJ5763" s="117"/>
      <c r="AK5763" s="107"/>
      <c r="AL5763" s="107"/>
      <c r="AM5763" s="107"/>
      <c r="AN5763" s="107"/>
      <c r="AO5763" s="107"/>
      <c r="AP5763" s="107"/>
      <c r="AQ5763" s="107"/>
      <c r="AR5763" s="107"/>
      <c r="AS5763" s="107"/>
      <c r="AT5763" s="39"/>
    </row>
    <row r="5764" spans="1:46" x14ac:dyDescent="0.25">
      <c r="A5764" s="92"/>
      <c r="B5764" s="92"/>
      <c r="C5764" s="92"/>
      <c r="D5764" s="92"/>
      <c r="E5764" s="92"/>
      <c r="F5764" s="92"/>
      <c r="G5764" s="92"/>
      <c r="H5764" s="92"/>
      <c r="I5764" s="92"/>
      <c r="J5764" s="92"/>
      <c r="K5764" s="92"/>
      <c r="L5764" s="92"/>
      <c r="M5764" s="92"/>
      <c r="N5764" s="92"/>
      <c r="AG5764" s="107"/>
      <c r="AH5764" s="107"/>
      <c r="AI5764" s="107"/>
      <c r="AJ5764" s="117"/>
      <c r="AK5764" s="107"/>
      <c r="AL5764" s="107"/>
      <c r="AM5764" s="107"/>
      <c r="AN5764" s="107"/>
      <c r="AO5764" s="107"/>
      <c r="AP5764" s="107"/>
      <c r="AQ5764" s="107"/>
      <c r="AR5764" s="107"/>
      <c r="AS5764" s="107"/>
      <c r="AT5764" s="107"/>
    </row>
    <row r="5765" spans="1:46" x14ac:dyDescent="0.25">
      <c r="A5765" s="92"/>
      <c r="B5765" s="93"/>
      <c r="C5765" s="92"/>
      <c r="D5765" s="93"/>
      <c r="E5765" s="92"/>
      <c r="F5765" s="92"/>
      <c r="G5765" s="92"/>
      <c r="H5765" s="92"/>
      <c r="I5765" s="92"/>
      <c r="J5765" s="92"/>
      <c r="K5765" s="92"/>
      <c r="L5765" s="92"/>
      <c r="M5765" s="92"/>
      <c r="N5765" s="94"/>
      <c r="AG5765" s="107"/>
      <c r="AH5765" s="117"/>
      <c r="AI5765" s="117"/>
      <c r="AJ5765" s="117"/>
      <c r="AK5765" s="107"/>
      <c r="AL5765" s="107"/>
      <c r="AM5765" s="107"/>
      <c r="AN5765" s="107"/>
      <c r="AO5765" s="107"/>
      <c r="AP5765" s="107"/>
      <c r="AQ5765" s="107"/>
      <c r="AR5765" s="107"/>
      <c r="AS5765" s="107"/>
      <c r="AT5765" s="39"/>
    </row>
    <row r="5766" spans="1:46" x14ac:dyDescent="0.25">
      <c r="A5766" s="92"/>
      <c r="B5766" s="93"/>
      <c r="C5766" s="92"/>
      <c r="D5766" s="93"/>
      <c r="E5766" s="92"/>
      <c r="F5766" s="92"/>
      <c r="G5766" s="92"/>
      <c r="H5766" s="92"/>
      <c r="I5766" s="92"/>
      <c r="J5766" s="92"/>
      <c r="K5766" s="92"/>
      <c r="L5766" s="92"/>
      <c r="M5766" s="92"/>
      <c r="N5766" s="94"/>
      <c r="AG5766" s="107"/>
      <c r="AH5766" s="117"/>
      <c r="AI5766" s="117"/>
      <c r="AJ5766" s="117"/>
      <c r="AK5766" s="107"/>
      <c r="AL5766" s="107"/>
      <c r="AM5766" s="107"/>
      <c r="AN5766" s="107"/>
      <c r="AO5766" s="107"/>
      <c r="AP5766" s="107"/>
      <c r="AQ5766" s="107"/>
      <c r="AR5766" s="107"/>
      <c r="AS5766" s="107"/>
      <c r="AT5766" s="39"/>
    </row>
    <row r="5767" spans="1:46" x14ac:dyDescent="0.25">
      <c r="A5767" s="92"/>
      <c r="B5767" s="92"/>
      <c r="C5767" s="92"/>
      <c r="D5767" s="92"/>
      <c r="E5767" s="92"/>
      <c r="F5767" s="92"/>
      <c r="G5767" s="92"/>
      <c r="H5767" s="92"/>
      <c r="I5767" s="92"/>
      <c r="J5767" s="92"/>
      <c r="K5767" s="92"/>
      <c r="L5767" s="92"/>
      <c r="M5767" s="92"/>
      <c r="N5767" s="92"/>
      <c r="AG5767" s="107"/>
      <c r="AH5767" s="117"/>
      <c r="AI5767" s="117"/>
      <c r="AJ5767" s="117"/>
      <c r="AK5767" s="107"/>
      <c r="AL5767" s="107"/>
      <c r="AM5767" s="107"/>
      <c r="AN5767" s="107"/>
      <c r="AO5767" s="107"/>
      <c r="AP5767" s="107"/>
      <c r="AQ5767" s="107"/>
      <c r="AR5767" s="107"/>
      <c r="AS5767" s="107"/>
      <c r="AT5767" s="39"/>
    </row>
    <row r="5768" spans="1:46" x14ac:dyDescent="0.25">
      <c r="A5768" s="92"/>
      <c r="B5768" s="92"/>
      <c r="C5768" s="92"/>
      <c r="D5768" s="92"/>
      <c r="E5768" s="92"/>
      <c r="F5768" s="92"/>
      <c r="G5768" s="92"/>
      <c r="H5768" s="92"/>
      <c r="I5768" s="92"/>
      <c r="J5768" s="92"/>
      <c r="K5768" s="92"/>
      <c r="L5768" s="92"/>
      <c r="M5768" s="92"/>
      <c r="N5768" s="92"/>
      <c r="AG5768" s="107"/>
      <c r="AH5768" s="117"/>
      <c r="AI5768" s="117"/>
      <c r="AJ5768" s="117"/>
      <c r="AK5768" s="107"/>
      <c r="AL5768" s="107"/>
      <c r="AM5768" s="107"/>
      <c r="AN5768" s="107"/>
      <c r="AO5768" s="107"/>
      <c r="AP5768" s="107"/>
      <c r="AQ5768" s="107"/>
      <c r="AR5768" s="107"/>
      <c r="AS5768" s="107"/>
      <c r="AT5768" s="39"/>
    </row>
    <row r="5769" spans="1:46" x14ac:dyDescent="0.25">
      <c r="A5769" s="92"/>
      <c r="B5769" s="92"/>
      <c r="C5769" s="92"/>
      <c r="D5769" s="92"/>
      <c r="E5769" s="92"/>
      <c r="F5769" s="92"/>
      <c r="G5769" s="92"/>
      <c r="H5769" s="92"/>
      <c r="I5769" s="92"/>
      <c r="J5769" s="92"/>
      <c r="K5769" s="92"/>
      <c r="L5769" s="92"/>
      <c r="M5769" s="92"/>
      <c r="N5769" s="92"/>
      <c r="AG5769" s="107"/>
      <c r="AH5769" s="117"/>
      <c r="AI5769" s="117"/>
      <c r="AJ5769" s="117"/>
      <c r="AK5769" s="107"/>
      <c r="AL5769" s="107"/>
      <c r="AM5769" s="107"/>
      <c r="AN5769" s="107"/>
      <c r="AO5769" s="107"/>
      <c r="AP5769" s="107"/>
      <c r="AQ5769" s="107"/>
      <c r="AR5769" s="107"/>
      <c r="AS5769" s="107"/>
      <c r="AT5769" s="39"/>
    </row>
    <row r="5770" spans="1:46" x14ac:dyDescent="0.25">
      <c r="A5770" s="92"/>
      <c r="B5770" s="92"/>
      <c r="C5770" s="92"/>
      <c r="D5770" s="92"/>
      <c r="E5770" s="92"/>
      <c r="F5770" s="92"/>
      <c r="G5770" s="92"/>
      <c r="H5770" s="92"/>
      <c r="I5770" s="92"/>
      <c r="J5770" s="92"/>
      <c r="K5770" s="92"/>
      <c r="L5770" s="92"/>
      <c r="M5770" s="92"/>
      <c r="N5770" s="92"/>
      <c r="AG5770" s="107"/>
      <c r="AH5770" s="117"/>
      <c r="AI5770" s="117"/>
      <c r="AJ5770" s="117"/>
      <c r="AK5770" s="107"/>
      <c r="AL5770" s="107"/>
      <c r="AM5770" s="107"/>
      <c r="AN5770" s="107"/>
      <c r="AO5770" s="107"/>
      <c r="AP5770" s="107"/>
      <c r="AQ5770" s="107"/>
      <c r="AR5770" s="107"/>
      <c r="AS5770" s="107"/>
      <c r="AT5770" s="39"/>
    </row>
    <row r="5771" spans="1:46" x14ac:dyDescent="0.25">
      <c r="A5771" s="92"/>
      <c r="B5771" s="92"/>
      <c r="C5771" s="92"/>
      <c r="D5771" s="92"/>
      <c r="E5771" s="92"/>
      <c r="F5771" s="92"/>
      <c r="G5771" s="92"/>
      <c r="H5771" s="92"/>
      <c r="I5771" s="92"/>
      <c r="J5771" s="92"/>
      <c r="K5771" s="92"/>
      <c r="L5771" s="92"/>
      <c r="M5771" s="92"/>
      <c r="N5771" s="92"/>
      <c r="AG5771" s="107"/>
      <c r="AH5771" s="117"/>
      <c r="AI5771" s="117"/>
      <c r="AJ5771" s="117"/>
      <c r="AK5771" s="107"/>
      <c r="AL5771" s="107"/>
      <c r="AM5771" s="107"/>
      <c r="AN5771" s="107"/>
      <c r="AO5771" s="107"/>
      <c r="AP5771" s="107"/>
      <c r="AQ5771" s="107"/>
      <c r="AR5771" s="107"/>
      <c r="AS5771" s="107"/>
      <c r="AT5771" s="39"/>
    </row>
    <row r="5772" spans="1:46" x14ac:dyDescent="0.25">
      <c r="A5772" s="92"/>
      <c r="B5772" s="93"/>
      <c r="C5772" s="92"/>
      <c r="D5772" s="93"/>
      <c r="E5772" s="92"/>
      <c r="F5772" s="92"/>
      <c r="G5772" s="92"/>
      <c r="H5772" s="92"/>
      <c r="I5772" s="92"/>
      <c r="J5772" s="92"/>
      <c r="K5772" s="92"/>
      <c r="L5772" s="92"/>
      <c r="M5772" s="92"/>
      <c r="N5772" s="94"/>
      <c r="AG5772" s="107"/>
      <c r="AH5772" s="117"/>
      <c r="AI5772" s="117"/>
      <c r="AJ5772" s="117"/>
      <c r="AK5772" s="107"/>
      <c r="AL5772" s="107"/>
      <c r="AM5772" s="107"/>
      <c r="AN5772" s="107"/>
      <c r="AO5772" s="107"/>
      <c r="AP5772" s="107"/>
      <c r="AQ5772" s="107"/>
      <c r="AR5772" s="107"/>
      <c r="AS5772" s="107"/>
      <c r="AT5772" s="39"/>
    </row>
    <row r="5773" spans="1:46" x14ac:dyDescent="0.25">
      <c r="A5773" s="92"/>
      <c r="B5773" s="93"/>
      <c r="C5773" s="92"/>
      <c r="D5773" s="93"/>
      <c r="E5773" s="92"/>
      <c r="F5773" s="92"/>
      <c r="G5773" s="92"/>
      <c r="H5773" s="92"/>
      <c r="I5773" s="92"/>
      <c r="J5773" s="92"/>
      <c r="K5773" s="92"/>
      <c r="L5773" s="92"/>
      <c r="M5773" s="92"/>
      <c r="N5773" s="94"/>
      <c r="AG5773" s="107"/>
      <c r="AH5773" s="117"/>
      <c r="AI5773" s="117"/>
      <c r="AJ5773" s="117"/>
      <c r="AK5773" s="107"/>
      <c r="AL5773" s="107"/>
      <c r="AM5773" s="107"/>
      <c r="AN5773" s="107"/>
      <c r="AO5773" s="107"/>
      <c r="AP5773" s="107"/>
      <c r="AQ5773" s="107"/>
      <c r="AR5773" s="107"/>
      <c r="AS5773" s="107"/>
      <c r="AT5773" s="39"/>
    </row>
    <row r="5774" spans="1:46" x14ac:dyDescent="0.25">
      <c r="A5774" s="92"/>
      <c r="B5774" s="93"/>
      <c r="C5774" s="92"/>
      <c r="D5774" s="93"/>
      <c r="E5774" s="92"/>
      <c r="F5774" s="92"/>
      <c r="G5774" s="92"/>
      <c r="H5774" s="92"/>
      <c r="I5774" s="92"/>
      <c r="J5774" s="92"/>
      <c r="K5774" s="92"/>
      <c r="L5774" s="92"/>
      <c r="M5774" s="92"/>
      <c r="N5774" s="94"/>
      <c r="AG5774" s="107"/>
      <c r="AH5774" s="117"/>
      <c r="AI5774" s="117"/>
      <c r="AJ5774" s="117"/>
      <c r="AK5774" s="107"/>
      <c r="AL5774" s="107"/>
      <c r="AM5774" s="107"/>
      <c r="AN5774" s="107"/>
      <c r="AO5774" s="107"/>
      <c r="AP5774" s="107"/>
      <c r="AQ5774" s="107"/>
      <c r="AR5774" s="107"/>
      <c r="AS5774" s="107"/>
      <c r="AT5774" s="39"/>
    </row>
    <row r="5775" spans="1:46" x14ac:dyDescent="0.25">
      <c r="A5775" s="92"/>
      <c r="B5775" s="93"/>
      <c r="C5775" s="92"/>
      <c r="D5775" s="93"/>
      <c r="E5775" s="92"/>
      <c r="F5775" s="92"/>
      <c r="G5775" s="92"/>
      <c r="H5775" s="92"/>
      <c r="I5775" s="92"/>
      <c r="J5775" s="92"/>
      <c r="K5775" s="92"/>
      <c r="L5775" s="92"/>
      <c r="M5775" s="92"/>
      <c r="N5775" s="94"/>
      <c r="AG5775" s="107"/>
      <c r="AH5775" s="117"/>
      <c r="AI5775" s="117"/>
      <c r="AJ5775" s="117"/>
      <c r="AK5775" s="107"/>
      <c r="AL5775" s="107"/>
      <c r="AM5775" s="107"/>
      <c r="AN5775" s="107"/>
      <c r="AO5775" s="107"/>
      <c r="AP5775" s="107"/>
      <c r="AQ5775" s="107"/>
      <c r="AR5775" s="107"/>
      <c r="AS5775" s="107"/>
      <c r="AT5775" s="39"/>
    </row>
    <row r="5776" spans="1:46" x14ac:dyDescent="0.25">
      <c r="A5776" s="92"/>
      <c r="B5776" s="92"/>
      <c r="C5776" s="92"/>
      <c r="D5776" s="92"/>
      <c r="E5776" s="92"/>
      <c r="F5776" s="92"/>
      <c r="G5776" s="92"/>
      <c r="H5776" s="92"/>
      <c r="I5776" s="92"/>
      <c r="J5776" s="92"/>
      <c r="K5776" s="92"/>
      <c r="L5776" s="92"/>
      <c r="M5776" s="92"/>
      <c r="N5776" s="92"/>
      <c r="AG5776" s="107"/>
      <c r="AH5776" s="117"/>
      <c r="AI5776" s="117"/>
      <c r="AJ5776" s="117"/>
      <c r="AK5776" s="107"/>
      <c r="AL5776" s="107"/>
      <c r="AM5776" s="107"/>
      <c r="AN5776" s="107"/>
      <c r="AO5776" s="107"/>
      <c r="AP5776" s="107"/>
      <c r="AQ5776" s="107"/>
      <c r="AR5776" s="107"/>
      <c r="AS5776" s="107"/>
      <c r="AT5776" s="39"/>
    </row>
    <row r="5777" spans="1:46" x14ac:dyDescent="0.25">
      <c r="A5777" s="92"/>
      <c r="B5777" s="92"/>
      <c r="C5777" s="92"/>
      <c r="D5777" s="92"/>
      <c r="E5777" s="92"/>
      <c r="F5777" s="92"/>
      <c r="G5777" s="92"/>
      <c r="H5777" s="92"/>
      <c r="I5777" s="92"/>
      <c r="J5777" s="92"/>
      <c r="K5777" s="92"/>
      <c r="L5777" s="92"/>
      <c r="M5777" s="92"/>
      <c r="N5777" s="92"/>
      <c r="AG5777" s="107"/>
      <c r="AH5777" s="117"/>
      <c r="AI5777" s="117"/>
      <c r="AJ5777" s="117"/>
      <c r="AK5777" s="107"/>
      <c r="AL5777" s="107"/>
      <c r="AM5777" s="107"/>
      <c r="AN5777" s="107"/>
      <c r="AO5777" s="107"/>
      <c r="AP5777" s="107"/>
      <c r="AQ5777" s="107"/>
      <c r="AR5777" s="107"/>
      <c r="AS5777" s="107"/>
      <c r="AT5777" s="39"/>
    </row>
    <row r="5778" spans="1:46" x14ac:dyDescent="0.25">
      <c r="A5778" s="92"/>
      <c r="B5778" s="92"/>
      <c r="C5778" s="92"/>
      <c r="D5778" s="92"/>
      <c r="E5778" s="92"/>
      <c r="F5778" s="92"/>
      <c r="G5778" s="92"/>
      <c r="H5778" s="92"/>
      <c r="I5778" s="92"/>
      <c r="J5778" s="92"/>
      <c r="K5778" s="92"/>
      <c r="L5778" s="92"/>
      <c r="M5778" s="92"/>
      <c r="N5778" s="92"/>
      <c r="AG5778" s="107"/>
      <c r="AH5778" s="117"/>
      <c r="AI5778" s="117"/>
      <c r="AJ5778" s="117"/>
      <c r="AK5778" s="107"/>
      <c r="AL5778" s="107"/>
      <c r="AM5778" s="107"/>
      <c r="AN5778" s="107"/>
      <c r="AO5778" s="107"/>
      <c r="AP5778" s="107"/>
      <c r="AQ5778" s="107"/>
      <c r="AR5778" s="107"/>
      <c r="AS5778" s="107"/>
      <c r="AT5778" s="39"/>
    </row>
    <row r="5779" spans="1:46" x14ac:dyDescent="0.25">
      <c r="A5779" s="92"/>
      <c r="B5779" s="92"/>
      <c r="C5779" s="92"/>
      <c r="D5779" s="92"/>
      <c r="E5779" s="92"/>
      <c r="F5779" s="92"/>
      <c r="G5779" s="92"/>
      <c r="H5779" s="92"/>
      <c r="I5779" s="92"/>
      <c r="J5779" s="92"/>
      <c r="K5779" s="92"/>
      <c r="L5779" s="92"/>
      <c r="M5779" s="92"/>
      <c r="N5779" s="92"/>
      <c r="AG5779" s="107"/>
      <c r="AH5779" s="117"/>
      <c r="AI5779" s="117"/>
      <c r="AJ5779" s="117"/>
      <c r="AK5779" s="107"/>
      <c r="AL5779" s="107"/>
      <c r="AM5779" s="107"/>
      <c r="AN5779" s="107"/>
      <c r="AO5779" s="107"/>
      <c r="AP5779" s="107"/>
      <c r="AQ5779" s="107"/>
      <c r="AR5779" s="107"/>
      <c r="AS5779" s="107"/>
      <c r="AT5779" s="39"/>
    </row>
    <row r="5780" spans="1:46" x14ac:dyDescent="0.25">
      <c r="A5780" s="92"/>
      <c r="B5780" s="93"/>
      <c r="C5780" s="92"/>
      <c r="D5780" s="93"/>
      <c r="E5780" s="92"/>
      <c r="F5780" s="92"/>
      <c r="G5780" s="92"/>
      <c r="H5780" s="92"/>
      <c r="I5780" s="92"/>
      <c r="J5780" s="92"/>
      <c r="K5780" s="92"/>
      <c r="L5780" s="92"/>
      <c r="M5780" s="92"/>
      <c r="N5780" s="94"/>
      <c r="AG5780" s="107"/>
      <c r="AH5780" s="117"/>
      <c r="AI5780" s="117"/>
      <c r="AJ5780" s="117"/>
      <c r="AK5780" s="107"/>
      <c r="AL5780" s="107"/>
      <c r="AM5780" s="107"/>
      <c r="AN5780" s="107"/>
      <c r="AO5780" s="107"/>
      <c r="AP5780" s="107"/>
      <c r="AQ5780" s="107"/>
      <c r="AR5780" s="107"/>
      <c r="AS5780" s="107"/>
      <c r="AT5780" s="39"/>
    </row>
    <row r="5781" spans="1:46" x14ac:dyDescent="0.25">
      <c r="A5781" s="92"/>
      <c r="B5781" s="92"/>
      <c r="C5781" s="92"/>
      <c r="D5781" s="92"/>
      <c r="E5781" s="92"/>
      <c r="F5781" s="92"/>
      <c r="G5781" s="92"/>
      <c r="H5781" s="92"/>
      <c r="I5781" s="92"/>
      <c r="J5781" s="92"/>
      <c r="K5781" s="92"/>
      <c r="L5781" s="92"/>
      <c r="M5781" s="92"/>
      <c r="N5781" s="92"/>
      <c r="AG5781" s="107"/>
      <c r="AH5781" s="107"/>
      <c r="AI5781" s="107"/>
      <c r="AJ5781" s="117"/>
      <c r="AK5781" s="107"/>
      <c r="AL5781" s="107"/>
      <c r="AM5781" s="107"/>
      <c r="AN5781" s="107"/>
      <c r="AO5781" s="107"/>
      <c r="AP5781" s="107"/>
      <c r="AQ5781" s="107"/>
      <c r="AR5781" s="107"/>
      <c r="AS5781" s="107"/>
      <c r="AT5781" s="107"/>
    </row>
    <row r="5782" spans="1:46" x14ac:dyDescent="0.25">
      <c r="A5782" s="92"/>
      <c r="B5782" s="92"/>
      <c r="C5782" s="92"/>
      <c r="D5782" s="92"/>
      <c r="E5782" s="92"/>
      <c r="F5782" s="92"/>
      <c r="G5782" s="92"/>
      <c r="H5782" s="92"/>
      <c r="I5782" s="92"/>
      <c r="J5782" s="92"/>
      <c r="K5782" s="92"/>
      <c r="L5782" s="92"/>
      <c r="M5782" s="92"/>
      <c r="N5782" s="92"/>
      <c r="AG5782" s="107"/>
      <c r="AH5782" s="107"/>
      <c r="AI5782" s="107"/>
      <c r="AJ5782" s="117"/>
      <c r="AK5782" s="107"/>
      <c r="AL5782" s="107"/>
      <c r="AM5782" s="107"/>
      <c r="AN5782" s="107"/>
      <c r="AO5782" s="107"/>
      <c r="AP5782" s="107"/>
      <c r="AQ5782" s="107"/>
      <c r="AR5782" s="107"/>
      <c r="AS5782" s="107"/>
      <c r="AT5782" s="107"/>
    </row>
    <row r="5783" spans="1:46" x14ac:dyDescent="0.25">
      <c r="A5783" s="92"/>
      <c r="B5783" s="92"/>
      <c r="C5783" s="92"/>
      <c r="D5783" s="92"/>
      <c r="E5783" s="92"/>
      <c r="F5783" s="92"/>
      <c r="G5783" s="92"/>
      <c r="H5783" s="92"/>
      <c r="I5783" s="92"/>
      <c r="J5783" s="92"/>
      <c r="K5783" s="92"/>
      <c r="L5783" s="92"/>
      <c r="M5783" s="92"/>
      <c r="N5783" s="92"/>
      <c r="AG5783" s="107"/>
      <c r="AH5783" s="107"/>
      <c r="AI5783" s="107"/>
      <c r="AJ5783" s="117"/>
      <c r="AK5783" s="107"/>
      <c r="AL5783" s="107"/>
      <c r="AM5783" s="107"/>
      <c r="AN5783" s="107"/>
      <c r="AO5783" s="107"/>
      <c r="AP5783" s="107"/>
      <c r="AQ5783" s="107"/>
      <c r="AR5783" s="107"/>
      <c r="AS5783" s="107"/>
      <c r="AT5783" s="107"/>
    </row>
    <row r="5784" spans="1:46" x14ac:dyDescent="0.25">
      <c r="A5784" s="92"/>
      <c r="B5784" s="93"/>
      <c r="C5784" s="92"/>
      <c r="D5784" s="92"/>
      <c r="E5784" s="92"/>
      <c r="F5784" s="92"/>
      <c r="G5784" s="92"/>
      <c r="H5784" s="92"/>
      <c r="I5784" s="92"/>
      <c r="J5784" s="92"/>
      <c r="K5784" s="92"/>
      <c r="L5784" s="92"/>
      <c r="M5784" s="92"/>
      <c r="N5784" s="94"/>
      <c r="AG5784" s="107"/>
      <c r="AH5784" s="117"/>
      <c r="AI5784" s="117"/>
      <c r="AJ5784" s="117"/>
      <c r="AK5784" s="107"/>
      <c r="AL5784" s="107"/>
      <c r="AM5784" s="107"/>
      <c r="AN5784" s="107"/>
      <c r="AO5784" s="107"/>
      <c r="AP5784" s="107"/>
      <c r="AQ5784" s="107"/>
      <c r="AR5784" s="107"/>
      <c r="AS5784" s="107"/>
      <c r="AT5784" s="39"/>
    </row>
    <row r="5785" spans="1:46" x14ac:dyDescent="0.25">
      <c r="A5785" s="92"/>
      <c r="B5785" s="93"/>
      <c r="C5785" s="92"/>
      <c r="D5785" s="93"/>
      <c r="E5785" s="92"/>
      <c r="F5785" s="92"/>
      <c r="G5785" s="92"/>
      <c r="H5785" s="92"/>
      <c r="I5785" s="92"/>
      <c r="J5785" s="92"/>
      <c r="K5785" s="92"/>
      <c r="L5785" s="92"/>
      <c r="M5785" s="92"/>
      <c r="N5785" s="94"/>
      <c r="AG5785" s="107"/>
      <c r="AH5785" s="117"/>
      <c r="AI5785" s="117"/>
      <c r="AJ5785" s="117"/>
      <c r="AK5785" s="107"/>
      <c r="AL5785" s="107"/>
      <c r="AM5785" s="107"/>
      <c r="AN5785" s="107"/>
      <c r="AO5785" s="107"/>
      <c r="AP5785" s="107"/>
      <c r="AQ5785" s="107"/>
      <c r="AR5785" s="107"/>
      <c r="AS5785" s="107"/>
      <c r="AT5785" s="39"/>
    </row>
    <row r="5786" spans="1:46" x14ac:dyDescent="0.25">
      <c r="A5786" s="92"/>
      <c r="B5786" s="92"/>
      <c r="C5786" s="92"/>
      <c r="D5786" s="92"/>
      <c r="E5786" s="92"/>
      <c r="F5786" s="92"/>
      <c r="G5786" s="92"/>
      <c r="H5786" s="92"/>
      <c r="I5786" s="92"/>
      <c r="J5786" s="92"/>
      <c r="K5786" s="92"/>
      <c r="L5786" s="92"/>
      <c r="M5786" s="92"/>
      <c r="N5786" s="92"/>
      <c r="AG5786" s="107"/>
      <c r="AH5786" s="117"/>
      <c r="AI5786" s="117"/>
      <c r="AJ5786" s="117"/>
      <c r="AK5786" s="107"/>
      <c r="AL5786" s="107"/>
      <c r="AM5786" s="107"/>
      <c r="AN5786" s="107"/>
      <c r="AO5786" s="107"/>
      <c r="AP5786" s="107"/>
      <c r="AQ5786" s="107"/>
      <c r="AR5786" s="107"/>
      <c r="AS5786" s="107"/>
      <c r="AT5786" s="39"/>
    </row>
    <row r="5787" spans="1:46" x14ac:dyDescent="0.25">
      <c r="A5787" s="92"/>
      <c r="B5787" s="92"/>
      <c r="C5787" s="92"/>
      <c r="D5787" s="92"/>
      <c r="E5787" s="92"/>
      <c r="F5787" s="92"/>
      <c r="G5787" s="92"/>
      <c r="H5787" s="92"/>
      <c r="I5787" s="92"/>
      <c r="J5787" s="92"/>
      <c r="K5787" s="92"/>
      <c r="L5787" s="92"/>
      <c r="M5787" s="92"/>
      <c r="N5787" s="92"/>
      <c r="AG5787" s="107"/>
      <c r="AH5787" s="117"/>
      <c r="AI5787" s="107"/>
      <c r="AJ5787" s="117"/>
      <c r="AK5787" s="107"/>
      <c r="AL5787" s="107"/>
      <c r="AM5787" s="107"/>
      <c r="AN5787" s="107"/>
      <c r="AO5787" s="107"/>
      <c r="AP5787" s="107"/>
      <c r="AQ5787" s="107"/>
      <c r="AR5787" s="107"/>
      <c r="AS5787" s="107"/>
      <c r="AT5787" s="39"/>
    </row>
    <row r="5788" spans="1:46" x14ac:dyDescent="0.25">
      <c r="A5788" s="92"/>
      <c r="B5788" s="93"/>
      <c r="C5788" s="92"/>
      <c r="D5788" s="93"/>
      <c r="E5788" s="92"/>
      <c r="F5788" s="92"/>
      <c r="G5788" s="92"/>
      <c r="H5788" s="92"/>
      <c r="I5788" s="92"/>
      <c r="J5788" s="92"/>
      <c r="K5788" s="92"/>
      <c r="L5788" s="92"/>
      <c r="M5788" s="92"/>
      <c r="N5788" s="94"/>
      <c r="AG5788" s="107"/>
      <c r="AH5788" s="117"/>
      <c r="AI5788" s="107"/>
      <c r="AJ5788" s="117"/>
      <c r="AK5788" s="107"/>
      <c r="AL5788" s="107"/>
      <c r="AM5788" s="107"/>
      <c r="AN5788" s="107"/>
      <c r="AO5788" s="107"/>
      <c r="AP5788" s="107"/>
      <c r="AQ5788" s="107"/>
      <c r="AR5788" s="107"/>
      <c r="AS5788" s="107"/>
      <c r="AT5788" s="39"/>
    </row>
    <row r="5789" spans="1:46" x14ac:dyDescent="0.25">
      <c r="A5789" s="92"/>
      <c r="B5789" s="92"/>
      <c r="C5789" s="92"/>
      <c r="D5789" s="92"/>
      <c r="E5789" s="92"/>
      <c r="F5789" s="92"/>
      <c r="G5789" s="92"/>
      <c r="H5789" s="92"/>
      <c r="I5789" s="92"/>
      <c r="J5789" s="92"/>
      <c r="K5789" s="92"/>
      <c r="L5789" s="92"/>
      <c r="M5789" s="92"/>
      <c r="N5789" s="92"/>
      <c r="AG5789" s="107"/>
      <c r="AH5789" s="117"/>
      <c r="AI5789" s="117"/>
      <c r="AJ5789" s="117"/>
      <c r="AK5789" s="107"/>
      <c r="AL5789" s="107"/>
      <c r="AM5789" s="107"/>
      <c r="AN5789" s="107"/>
      <c r="AO5789" s="107"/>
      <c r="AP5789" s="107"/>
      <c r="AQ5789" s="107"/>
      <c r="AR5789" s="107"/>
      <c r="AS5789" s="107"/>
      <c r="AT5789" s="39"/>
    </row>
    <row r="5790" spans="1:46" x14ac:dyDescent="0.25">
      <c r="A5790" s="92"/>
      <c r="B5790" s="93"/>
      <c r="C5790" s="92"/>
      <c r="D5790" s="93"/>
      <c r="E5790" s="92"/>
      <c r="F5790" s="92"/>
      <c r="G5790" s="92"/>
      <c r="H5790" s="92"/>
      <c r="I5790" s="92"/>
      <c r="J5790" s="92"/>
      <c r="K5790" s="92"/>
      <c r="L5790" s="92"/>
      <c r="M5790" s="92"/>
      <c r="N5790" s="94"/>
      <c r="AG5790" s="107"/>
      <c r="AH5790" s="117"/>
      <c r="AI5790" s="117"/>
      <c r="AJ5790" s="117"/>
      <c r="AK5790" s="107"/>
      <c r="AL5790" s="107"/>
      <c r="AM5790" s="107"/>
      <c r="AN5790" s="107"/>
      <c r="AO5790" s="107"/>
      <c r="AP5790" s="107"/>
      <c r="AQ5790" s="107"/>
      <c r="AR5790" s="107"/>
      <c r="AS5790" s="107"/>
      <c r="AT5790" s="39"/>
    </row>
    <row r="5791" spans="1:46" x14ac:dyDescent="0.25">
      <c r="A5791" s="92"/>
      <c r="B5791" s="92"/>
      <c r="C5791" s="92"/>
      <c r="D5791" s="93"/>
      <c r="E5791" s="92"/>
      <c r="F5791" s="92"/>
      <c r="G5791" s="92"/>
      <c r="H5791" s="92"/>
      <c r="I5791" s="92"/>
      <c r="J5791" s="92"/>
      <c r="K5791" s="92"/>
      <c r="L5791" s="92"/>
      <c r="M5791" s="92"/>
      <c r="N5791" s="92"/>
      <c r="AG5791" s="107"/>
      <c r="AH5791" s="117"/>
      <c r="AI5791" s="117"/>
      <c r="AJ5791" s="117"/>
      <c r="AK5791" s="107"/>
      <c r="AL5791" s="107"/>
      <c r="AM5791" s="107"/>
      <c r="AN5791" s="107"/>
      <c r="AO5791" s="107"/>
      <c r="AP5791" s="107"/>
      <c r="AQ5791" s="107"/>
      <c r="AR5791" s="107"/>
      <c r="AS5791" s="107"/>
      <c r="AT5791" s="39"/>
    </row>
    <row r="5792" spans="1:46" x14ac:dyDescent="0.25">
      <c r="A5792" s="92"/>
      <c r="B5792" s="93"/>
      <c r="C5792" s="92"/>
      <c r="D5792" s="93"/>
      <c r="E5792" s="92"/>
      <c r="F5792" s="92"/>
      <c r="G5792" s="92"/>
      <c r="H5792" s="92"/>
      <c r="I5792" s="92"/>
      <c r="J5792" s="92"/>
      <c r="K5792" s="92"/>
      <c r="L5792" s="92"/>
      <c r="M5792" s="92"/>
      <c r="N5792" s="94"/>
      <c r="AG5792" s="107"/>
      <c r="AH5792" s="117"/>
      <c r="AI5792" s="117"/>
      <c r="AJ5792" s="11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39"/>
    </row>
    <row r="5793" spans="1:46" x14ac:dyDescent="0.25">
      <c r="A5793" s="92"/>
      <c r="B5793" s="93"/>
      <c r="C5793" s="92"/>
      <c r="D5793" s="93"/>
      <c r="E5793" s="92"/>
      <c r="F5793" s="92"/>
      <c r="G5793" s="92"/>
      <c r="H5793" s="92"/>
      <c r="I5793" s="92"/>
      <c r="J5793" s="92"/>
      <c r="K5793" s="92"/>
      <c r="L5793" s="92"/>
      <c r="M5793" s="92"/>
      <c r="N5793" s="94"/>
      <c r="AG5793" s="107"/>
      <c r="AH5793" s="117"/>
      <c r="AI5793" s="117"/>
      <c r="AJ5793" s="117"/>
      <c r="AK5793" s="107"/>
      <c r="AL5793" s="107"/>
      <c r="AM5793" s="107"/>
      <c r="AN5793" s="107"/>
      <c r="AO5793" s="107"/>
      <c r="AP5793" s="107"/>
      <c r="AQ5793" s="107"/>
      <c r="AR5793" s="107"/>
      <c r="AS5793" s="107"/>
      <c r="AT5793" s="39"/>
    </row>
    <row r="5794" spans="1:46" x14ac:dyDescent="0.25">
      <c r="A5794" s="92"/>
      <c r="B5794" s="93"/>
      <c r="C5794" s="92"/>
      <c r="D5794" s="93"/>
      <c r="E5794" s="92"/>
      <c r="F5794" s="92"/>
      <c r="G5794" s="92"/>
      <c r="H5794" s="92"/>
      <c r="I5794" s="92"/>
      <c r="J5794" s="92"/>
      <c r="K5794" s="92"/>
      <c r="L5794" s="92"/>
      <c r="M5794" s="92"/>
      <c r="N5794" s="94"/>
      <c r="AG5794" s="107"/>
      <c r="AH5794" s="117"/>
      <c r="AI5794" s="117"/>
      <c r="AJ5794" s="117"/>
      <c r="AK5794" s="107"/>
      <c r="AL5794" s="107"/>
      <c r="AM5794" s="107"/>
      <c r="AN5794" s="107"/>
      <c r="AO5794" s="107"/>
      <c r="AP5794" s="107"/>
      <c r="AQ5794" s="107"/>
      <c r="AR5794" s="107"/>
      <c r="AS5794" s="107"/>
      <c r="AT5794" s="39"/>
    </row>
    <row r="5795" spans="1:46" x14ac:dyDescent="0.25">
      <c r="A5795" s="92"/>
      <c r="B5795" s="92"/>
      <c r="C5795" s="92"/>
      <c r="D5795" s="93"/>
      <c r="E5795" s="92"/>
      <c r="F5795" s="92"/>
      <c r="G5795" s="92"/>
      <c r="H5795" s="92"/>
      <c r="I5795" s="92"/>
      <c r="J5795" s="92"/>
      <c r="K5795" s="92"/>
      <c r="L5795" s="92"/>
      <c r="M5795" s="92"/>
      <c r="N5795" s="92"/>
      <c r="AG5795" s="107"/>
      <c r="AH5795" s="117"/>
      <c r="AI5795" s="117"/>
      <c r="AJ5795" s="117"/>
      <c r="AK5795" s="107"/>
      <c r="AL5795" s="107"/>
      <c r="AM5795" s="107"/>
      <c r="AN5795" s="107"/>
      <c r="AO5795" s="107"/>
      <c r="AP5795" s="107"/>
      <c r="AQ5795" s="107"/>
      <c r="AR5795" s="107"/>
      <c r="AS5795" s="107"/>
      <c r="AT5795" s="39"/>
    </row>
    <row r="5796" spans="1:46" x14ac:dyDescent="0.25">
      <c r="A5796" s="92"/>
      <c r="B5796" s="92"/>
      <c r="C5796" s="92"/>
      <c r="D5796" s="92"/>
      <c r="E5796" s="92"/>
      <c r="F5796" s="92"/>
      <c r="G5796" s="92"/>
      <c r="H5796" s="92"/>
      <c r="I5796" s="92"/>
      <c r="J5796" s="92"/>
      <c r="K5796" s="92"/>
      <c r="L5796" s="92"/>
      <c r="M5796" s="92"/>
      <c r="N5796" s="92"/>
      <c r="AG5796" s="107"/>
      <c r="AH5796" s="117"/>
      <c r="AI5796" s="117"/>
      <c r="AJ5796" s="117"/>
      <c r="AK5796" s="107"/>
      <c r="AL5796" s="107"/>
      <c r="AM5796" s="107"/>
      <c r="AN5796" s="107"/>
      <c r="AO5796" s="107"/>
      <c r="AP5796" s="107"/>
      <c r="AQ5796" s="107"/>
      <c r="AR5796" s="107"/>
      <c r="AS5796" s="107"/>
      <c r="AT5796" s="39"/>
    </row>
    <row r="5797" spans="1:46" x14ac:dyDescent="0.25">
      <c r="A5797" s="92"/>
      <c r="B5797" s="92"/>
      <c r="C5797" s="92"/>
      <c r="D5797" s="92"/>
      <c r="E5797" s="92"/>
      <c r="F5797" s="92"/>
      <c r="G5797" s="92"/>
      <c r="H5797" s="92"/>
      <c r="I5797" s="92"/>
      <c r="J5797" s="92"/>
      <c r="K5797" s="92"/>
      <c r="L5797" s="92"/>
      <c r="M5797" s="92"/>
      <c r="N5797" s="92"/>
      <c r="AG5797" s="107"/>
      <c r="AH5797" s="107"/>
      <c r="AI5797" s="107"/>
      <c r="AJ5797" s="117"/>
      <c r="AK5797" s="107"/>
      <c r="AL5797" s="107"/>
      <c r="AM5797" s="107"/>
      <c r="AN5797" s="107"/>
      <c r="AO5797" s="107"/>
      <c r="AP5797" s="107"/>
      <c r="AQ5797" s="107"/>
      <c r="AR5797" s="107"/>
      <c r="AS5797" s="107"/>
      <c r="AT5797" s="107"/>
    </row>
    <row r="5798" spans="1:46" x14ac:dyDescent="0.25">
      <c r="A5798" s="92"/>
      <c r="B5798" s="92"/>
      <c r="C5798" s="92"/>
      <c r="D5798" s="92"/>
      <c r="E5798" s="92"/>
      <c r="F5798" s="92"/>
      <c r="G5798" s="92"/>
      <c r="H5798" s="92"/>
      <c r="I5798" s="92"/>
      <c r="J5798" s="92"/>
      <c r="K5798" s="92"/>
      <c r="L5798" s="92"/>
      <c r="M5798" s="92"/>
      <c r="N5798" s="92"/>
      <c r="AG5798" s="107"/>
      <c r="AH5798" s="117"/>
      <c r="AI5798" s="117"/>
      <c r="AJ5798" s="117"/>
      <c r="AK5798" s="107"/>
      <c r="AL5798" s="107"/>
      <c r="AM5798" s="107"/>
      <c r="AN5798" s="107"/>
      <c r="AO5798" s="107"/>
      <c r="AP5798" s="107"/>
      <c r="AQ5798" s="107"/>
      <c r="AR5798" s="107"/>
      <c r="AS5798" s="107"/>
      <c r="AT5798" s="39"/>
    </row>
    <row r="5799" spans="1:46" x14ac:dyDescent="0.25">
      <c r="A5799" s="92"/>
      <c r="B5799" s="92"/>
      <c r="C5799" s="92"/>
      <c r="D5799" s="92"/>
      <c r="E5799" s="92"/>
      <c r="F5799" s="92"/>
      <c r="G5799" s="92"/>
      <c r="H5799" s="92"/>
      <c r="I5799" s="92"/>
      <c r="J5799" s="92"/>
      <c r="K5799" s="92"/>
      <c r="L5799" s="92"/>
      <c r="M5799" s="92"/>
      <c r="N5799" s="92"/>
      <c r="AG5799" s="107"/>
      <c r="AH5799" s="117"/>
      <c r="AI5799" s="117"/>
      <c r="AJ5799" s="117"/>
      <c r="AK5799" s="107"/>
      <c r="AL5799" s="107"/>
      <c r="AM5799" s="107"/>
      <c r="AN5799" s="107"/>
      <c r="AO5799" s="107"/>
      <c r="AP5799" s="107"/>
      <c r="AQ5799" s="107"/>
      <c r="AR5799" s="107"/>
      <c r="AS5799" s="107"/>
      <c r="AT5799" s="39"/>
    </row>
    <row r="5800" spans="1:46" x14ac:dyDescent="0.25">
      <c r="A5800" s="92"/>
      <c r="B5800" s="92"/>
      <c r="C5800" s="92"/>
      <c r="D5800" s="92"/>
      <c r="E5800" s="92"/>
      <c r="F5800" s="92"/>
      <c r="G5800" s="92"/>
      <c r="H5800" s="92"/>
      <c r="I5800" s="92"/>
      <c r="J5800" s="92"/>
      <c r="K5800" s="92"/>
      <c r="L5800" s="92"/>
      <c r="M5800" s="92"/>
      <c r="N5800" s="92"/>
      <c r="AG5800" s="107"/>
      <c r="AH5800" s="117"/>
      <c r="AI5800" s="117"/>
      <c r="AJ5800" s="117"/>
      <c r="AK5800" s="107"/>
      <c r="AL5800" s="107"/>
      <c r="AM5800" s="107"/>
      <c r="AN5800" s="107"/>
      <c r="AO5800" s="107"/>
      <c r="AP5800" s="107"/>
      <c r="AQ5800" s="107"/>
      <c r="AR5800" s="107"/>
      <c r="AS5800" s="107"/>
      <c r="AT5800" s="39"/>
    </row>
    <row r="5801" spans="1:46" x14ac:dyDescent="0.25">
      <c r="A5801" s="92"/>
      <c r="B5801" s="93"/>
      <c r="C5801" s="92"/>
      <c r="D5801" s="93"/>
      <c r="E5801" s="92"/>
      <c r="F5801" s="92"/>
      <c r="G5801" s="92"/>
      <c r="H5801" s="92"/>
      <c r="I5801" s="92"/>
      <c r="J5801" s="92"/>
      <c r="K5801" s="92"/>
      <c r="L5801" s="92"/>
      <c r="M5801" s="92"/>
      <c r="N5801" s="94"/>
      <c r="AG5801" s="107"/>
      <c r="AH5801" s="117"/>
      <c r="AI5801" s="117"/>
      <c r="AJ5801" s="117"/>
      <c r="AK5801" s="107"/>
      <c r="AL5801" s="107"/>
      <c r="AM5801" s="107"/>
      <c r="AN5801" s="107"/>
      <c r="AO5801" s="107"/>
      <c r="AP5801" s="107"/>
      <c r="AQ5801" s="107"/>
      <c r="AR5801" s="107"/>
      <c r="AS5801" s="107"/>
      <c r="AT5801" s="39"/>
    </row>
    <row r="5802" spans="1:46" x14ac:dyDescent="0.25">
      <c r="A5802" s="92"/>
      <c r="B5802" s="93"/>
      <c r="C5802" s="92"/>
      <c r="D5802" s="93"/>
      <c r="E5802" s="92"/>
      <c r="F5802" s="92"/>
      <c r="G5802" s="92"/>
      <c r="H5802" s="92"/>
      <c r="I5802" s="92"/>
      <c r="J5802" s="92"/>
      <c r="K5802" s="92"/>
      <c r="L5802" s="92"/>
      <c r="M5802" s="92"/>
      <c r="N5802" s="94"/>
      <c r="AG5802" s="107"/>
      <c r="AH5802" s="117"/>
      <c r="AI5802" s="117"/>
      <c r="AJ5802" s="117"/>
      <c r="AK5802" s="107"/>
      <c r="AL5802" s="107"/>
      <c r="AM5802" s="107"/>
      <c r="AN5802" s="107"/>
      <c r="AO5802" s="107"/>
      <c r="AP5802" s="107"/>
      <c r="AQ5802" s="107"/>
      <c r="AR5802" s="107"/>
      <c r="AS5802" s="107"/>
      <c r="AT5802" s="39"/>
    </row>
    <row r="5803" spans="1:46" x14ac:dyDescent="0.25">
      <c r="A5803" s="92"/>
      <c r="B5803" s="92"/>
      <c r="C5803" s="92"/>
      <c r="D5803" s="92"/>
      <c r="E5803" s="92"/>
      <c r="F5803" s="92"/>
      <c r="G5803" s="92"/>
      <c r="H5803" s="92"/>
      <c r="I5803" s="92"/>
      <c r="J5803" s="92"/>
      <c r="K5803" s="92"/>
      <c r="L5803" s="92"/>
      <c r="M5803" s="92"/>
      <c r="N5803" s="92"/>
      <c r="AG5803" s="107"/>
      <c r="AH5803" s="117"/>
      <c r="AI5803" s="117"/>
      <c r="AJ5803" s="117"/>
      <c r="AK5803" s="107"/>
      <c r="AL5803" s="107"/>
      <c r="AM5803" s="107"/>
      <c r="AN5803" s="107"/>
      <c r="AO5803" s="107"/>
      <c r="AP5803" s="107"/>
      <c r="AQ5803" s="107"/>
      <c r="AR5803" s="107"/>
      <c r="AS5803" s="107"/>
      <c r="AT5803" s="39"/>
    </row>
    <row r="5804" spans="1:46" x14ac:dyDescent="0.25">
      <c r="A5804" s="92"/>
      <c r="B5804" s="92"/>
      <c r="C5804" s="92"/>
      <c r="D5804" s="92"/>
      <c r="E5804" s="92"/>
      <c r="F5804" s="92"/>
      <c r="G5804" s="92"/>
      <c r="H5804" s="92"/>
      <c r="I5804" s="92"/>
      <c r="J5804" s="92"/>
      <c r="K5804" s="92"/>
      <c r="L5804" s="92"/>
      <c r="M5804" s="92"/>
      <c r="N5804" s="92"/>
      <c r="AG5804" s="107"/>
      <c r="AH5804" s="117"/>
      <c r="AI5804" s="117"/>
      <c r="AJ5804" s="117"/>
      <c r="AK5804" s="107"/>
      <c r="AL5804" s="107"/>
      <c r="AM5804" s="107"/>
      <c r="AN5804" s="107"/>
      <c r="AO5804" s="107"/>
      <c r="AP5804" s="107"/>
      <c r="AQ5804" s="107"/>
      <c r="AR5804" s="107"/>
      <c r="AS5804" s="107"/>
      <c r="AT5804" s="39"/>
    </row>
    <row r="5805" spans="1:46" x14ac:dyDescent="0.25">
      <c r="A5805" s="92"/>
      <c r="B5805" s="92"/>
      <c r="C5805" s="92"/>
      <c r="D5805" s="92"/>
      <c r="E5805" s="92"/>
      <c r="F5805" s="92"/>
      <c r="G5805" s="92"/>
      <c r="H5805" s="92"/>
      <c r="I5805" s="92"/>
      <c r="J5805" s="92"/>
      <c r="K5805" s="92"/>
      <c r="L5805" s="92"/>
      <c r="M5805" s="92"/>
      <c r="N5805" s="92"/>
      <c r="AG5805" s="107"/>
      <c r="AH5805" s="107"/>
      <c r="AI5805" s="107"/>
      <c r="AJ5805" s="117"/>
      <c r="AK5805" s="107"/>
      <c r="AL5805" s="107"/>
      <c r="AM5805" s="107"/>
      <c r="AN5805" s="107"/>
      <c r="AO5805" s="107"/>
      <c r="AP5805" s="107"/>
      <c r="AQ5805" s="107"/>
      <c r="AR5805" s="107"/>
      <c r="AS5805" s="107"/>
      <c r="AT5805" s="107"/>
    </row>
    <row r="5806" spans="1:46" x14ac:dyDescent="0.25">
      <c r="A5806" s="92"/>
      <c r="B5806" s="92"/>
      <c r="C5806" s="92"/>
      <c r="D5806" s="92"/>
      <c r="E5806" s="92"/>
      <c r="F5806" s="92"/>
      <c r="G5806" s="92"/>
      <c r="H5806" s="92"/>
      <c r="I5806" s="92"/>
      <c r="J5806" s="92"/>
      <c r="K5806" s="92"/>
      <c r="L5806" s="92"/>
      <c r="M5806" s="92"/>
      <c r="N5806" s="92"/>
      <c r="AG5806" s="107"/>
      <c r="AH5806" s="107"/>
      <c r="AI5806" s="107"/>
      <c r="AJ5806" s="117"/>
      <c r="AK5806" s="107"/>
      <c r="AL5806" s="107"/>
      <c r="AM5806" s="107"/>
      <c r="AN5806" s="107"/>
      <c r="AO5806" s="107"/>
      <c r="AP5806" s="107"/>
      <c r="AQ5806" s="107"/>
      <c r="AR5806" s="107"/>
      <c r="AS5806" s="107"/>
      <c r="AT5806" s="107"/>
    </row>
    <row r="5807" spans="1:46" x14ac:dyDescent="0.25">
      <c r="A5807" s="92"/>
      <c r="B5807" s="93"/>
      <c r="C5807" s="92"/>
      <c r="D5807" s="93"/>
      <c r="E5807" s="92"/>
      <c r="F5807" s="92"/>
      <c r="G5807" s="92"/>
      <c r="H5807" s="92"/>
      <c r="I5807" s="92"/>
      <c r="J5807" s="92"/>
      <c r="K5807" s="92"/>
      <c r="L5807" s="92"/>
      <c r="M5807" s="92"/>
      <c r="N5807" s="94"/>
      <c r="AG5807" s="107"/>
      <c r="AH5807" s="117"/>
      <c r="AI5807" s="117"/>
      <c r="AJ5807" s="11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39"/>
    </row>
    <row r="5808" spans="1:46" x14ac:dyDescent="0.25">
      <c r="A5808" s="92"/>
      <c r="B5808" s="92"/>
      <c r="C5808" s="92"/>
      <c r="D5808" s="92"/>
      <c r="E5808" s="92"/>
      <c r="F5808" s="92"/>
      <c r="G5808" s="92"/>
      <c r="H5808" s="92"/>
      <c r="I5808" s="92"/>
      <c r="J5808" s="92"/>
      <c r="K5808" s="92"/>
      <c r="L5808" s="92"/>
      <c r="M5808" s="92"/>
      <c r="N5808" s="92"/>
      <c r="AG5808" s="107"/>
      <c r="AH5808" s="117"/>
      <c r="AI5808" s="117"/>
      <c r="AJ5808" s="117"/>
      <c r="AK5808" s="107"/>
      <c r="AL5808" s="107"/>
      <c r="AM5808" s="107"/>
      <c r="AN5808" s="107"/>
      <c r="AO5808" s="107"/>
      <c r="AP5808" s="107"/>
      <c r="AQ5808" s="107"/>
      <c r="AR5808" s="107"/>
      <c r="AS5808" s="107"/>
      <c r="AT5808" s="39"/>
    </row>
    <row r="5809" spans="1:46" x14ac:dyDescent="0.25">
      <c r="A5809" s="92"/>
      <c r="B5809" s="92"/>
      <c r="C5809" s="92"/>
      <c r="D5809" s="92"/>
      <c r="E5809" s="92"/>
      <c r="F5809" s="92"/>
      <c r="G5809" s="92"/>
      <c r="H5809" s="92"/>
      <c r="I5809" s="92"/>
      <c r="J5809" s="92"/>
      <c r="K5809" s="92"/>
      <c r="L5809" s="92"/>
      <c r="M5809" s="92"/>
      <c r="N5809" s="92"/>
      <c r="AG5809" s="107"/>
      <c r="AH5809" s="117"/>
      <c r="AI5809" s="117"/>
      <c r="AJ5809" s="117"/>
      <c r="AK5809" s="107"/>
      <c r="AL5809" s="107"/>
      <c r="AM5809" s="107"/>
      <c r="AN5809" s="107"/>
      <c r="AO5809" s="107"/>
      <c r="AP5809" s="107"/>
      <c r="AQ5809" s="107"/>
      <c r="AR5809" s="107"/>
      <c r="AS5809" s="107"/>
      <c r="AT5809" s="39"/>
    </row>
    <row r="5810" spans="1:46" x14ac:dyDescent="0.25">
      <c r="A5810" s="92"/>
      <c r="B5810" s="92"/>
      <c r="C5810" s="92"/>
      <c r="D5810" s="92"/>
      <c r="E5810" s="92"/>
      <c r="F5810" s="92"/>
      <c r="G5810" s="92"/>
      <c r="H5810" s="92"/>
      <c r="I5810" s="92"/>
      <c r="J5810" s="92"/>
      <c r="K5810" s="92"/>
      <c r="L5810" s="92"/>
      <c r="M5810" s="92"/>
      <c r="N5810" s="92"/>
      <c r="AG5810" s="107"/>
      <c r="AH5810" s="117"/>
      <c r="AI5810" s="117"/>
      <c r="AJ5810" s="117"/>
      <c r="AK5810" s="107"/>
      <c r="AL5810" s="107"/>
      <c r="AM5810" s="107"/>
      <c r="AN5810" s="107"/>
      <c r="AO5810" s="107"/>
      <c r="AP5810" s="107"/>
      <c r="AQ5810" s="107"/>
      <c r="AR5810" s="107"/>
      <c r="AS5810" s="107"/>
      <c r="AT5810" s="39"/>
    </row>
    <row r="5811" spans="1:46" x14ac:dyDescent="0.25">
      <c r="A5811" s="92"/>
      <c r="B5811" s="93"/>
      <c r="C5811" s="92"/>
      <c r="D5811" s="93"/>
      <c r="E5811" s="92"/>
      <c r="F5811" s="92"/>
      <c r="G5811" s="92"/>
      <c r="H5811" s="92"/>
      <c r="I5811" s="92"/>
      <c r="J5811" s="92"/>
      <c r="K5811" s="92"/>
      <c r="L5811" s="92"/>
      <c r="M5811" s="92"/>
      <c r="N5811" s="94"/>
      <c r="AG5811" s="107"/>
      <c r="AH5811" s="117"/>
      <c r="AI5811" s="117"/>
      <c r="AJ5811" s="117"/>
      <c r="AK5811" s="107"/>
      <c r="AL5811" s="107"/>
      <c r="AM5811" s="107"/>
      <c r="AN5811" s="107"/>
      <c r="AO5811" s="107"/>
      <c r="AP5811" s="107"/>
      <c r="AQ5811" s="107"/>
      <c r="AR5811" s="107"/>
      <c r="AS5811" s="107"/>
      <c r="AT5811" s="39"/>
    </row>
    <row r="5812" spans="1:46" x14ac:dyDescent="0.25">
      <c r="A5812" s="92"/>
      <c r="B5812" s="92"/>
      <c r="C5812" s="92"/>
      <c r="D5812" s="93"/>
      <c r="E5812" s="92"/>
      <c r="F5812" s="92"/>
      <c r="G5812" s="92"/>
      <c r="H5812" s="92"/>
      <c r="I5812" s="92"/>
      <c r="J5812" s="92"/>
      <c r="K5812" s="92"/>
      <c r="L5812" s="92"/>
      <c r="M5812" s="92"/>
      <c r="N5812" s="92"/>
      <c r="AG5812" s="107"/>
      <c r="AH5812" s="117"/>
      <c r="AI5812" s="117"/>
      <c r="AJ5812" s="117"/>
      <c r="AK5812" s="107"/>
      <c r="AL5812" s="107"/>
      <c r="AM5812" s="107"/>
      <c r="AN5812" s="107"/>
      <c r="AO5812" s="107"/>
      <c r="AP5812" s="107"/>
      <c r="AQ5812" s="107"/>
      <c r="AR5812" s="107"/>
      <c r="AS5812" s="107"/>
      <c r="AT5812" s="39"/>
    </row>
    <row r="5813" spans="1:46" x14ac:dyDescent="0.25">
      <c r="A5813" s="92"/>
      <c r="B5813" s="93"/>
      <c r="C5813" s="92"/>
      <c r="D5813" s="93"/>
      <c r="E5813" s="92"/>
      <c r="F5813" s="92"/>
      <c r="G5813" s="92"/>
      <c r="H5813" s="92"/>
      <c r="I5813" s="92"/>
      <c r="J5813" s="92"/>
      <c r="K5813" s="92"/>
      <c r="L5813" s="92"/>
      <c r="M5813" s="92"/>
      <c r="N5813" s="94"/>
      <c r="AG5813" s="107"/>
      <c r="AH5813" s="117"/>
      <c r="AI5813" s="117"/>
      <c r="AJ5813" s="117"/>
      <c r="AK5813" s="107"/>
      <c r="AL5813" s="107"/>
      <c r="AM5813" s="107"/>
      <c r="AN5813" s="107"/>
      <c r="AO5813" s="107"/>
      <c r="AP5813" s="107"/>
      <c r="AQ5813" s="107"/>
      <c r="AR5813" s="107"/>
      <c r="AS5813" s="107"/>
      <c r="AT5813" s="39"/>
    </row>
    <row r="5814" spans="1:46" x14ac:dyDescent="0.25">
      <c r="A5814" s="92"/>
      <c r="B5814" s="93"/>
      <c r="C5814" s="93"/>
      <c r="D5814" s="92"/>
      <c r="E5814" s="92"/>
      <c r="F5814" s="92"/>
      <c r="G5814" s="92"/>
      <c r="H5814" s="92"/>
      <c r="I5814" s="92"/>
      <c r="J5814" s="92"/>
      <c r="K5814" s="92"/>
      <c r="L5814" s="92"/>
      <c r="M5814" s="92"/>
      <c r="N5814" s="94"/>
      <c r="AG5814" s="107"/>
      <c r="AH5814" s="117"/>
      <c r="AI5814" s="117"/>
      <c r="AJ5814" s="117"/>
      <c r="AK5814" s="107"/>
      <c r="AL5814" s="107"/>
      <c r="AM5814" s="107"/>
      <c r="AN5814" s="107"/>
      <c r="AO5814" s="107"/>
      <c r="AP5814" s="107"/>
      <c r="AQ5814" s="107"/>
      <c r="AR5814" s="107"/>
      <c r="AS5814" s="107"/>
      <c r="AT5814" s="39"/>
    </row>
    <row r="5815" spans="1:46" x14ac:dyDescent="0.25">
      <c r="A5815" s="92"/>
      <c r="B5815" s="92"/>
      <c r="C5815" s="92"/>
      <c r="D5815" s="92"/>
      <c r="E5815" s="92"/>
      <c r="F5815" s="92"/>
      <c r="G5815" s="92"/>
      <c r="H5815" s="92"/>
      <c r="I5815" s="92"/>
      <c r="J5815" s="92"/>
      <c r="K5815" s="92"/>
      <c r="L5815" s="92"/>
      <c r="M5815" s="92"/>
      <c r="N5815" s="92"/>
      <c r="AG5815" s="107"/>
      <c r="AH5815" s="117"/>
      <c r="AI5815" s="117"/>
      <c r="AJ5815" s="117"/>
      <c r="AK5815" s="107"/>
      <c r="AL5815" s="107"/>
      <c r="AM5815" s="107"/>
      <c r="AN5815" s="107"/>
      <c r="AO5815" s="107"/>
      <c r="AP5815" s="107"/>
      <c r="AQ5815" s="107"/>
      <c r="AR5815" s="107"/>
      <c r="AS5815" s="107"/>
      <c r="AT5815" s="39"/>
    </row>
    <row r="5816" spans="1:46" x14ac:dyDescent="0.25">
      <c r="A5816" s="92"/>
      <c r="B5816" s="92"/>
      <c r="C5816" s="92"/>
      <c r="D5816" s="92"/>
      <c r="E5816" s="92"/>
      <c r="F5816" s="92"/>
      <c r="G5816" s="92"/>
      <c r="H5816" s="92"/>
      <c r="I5816" s="92"/>
      <c r="J5816" s="92"/>
      <c r="K5816" s="92"/>
      <c r="L5816" s="92"/>
      <c r="M5816" s="92"/>
      <c r="N5816" s="92"/>
      <c r="AG5816" s="107"/>
      <c r="AH5816" s="117"/>
      <c r="AI5816" s="117"/>
      <c r="AJ5816" s="117"/>
      <c r="AK5816" s="107"/>
      <c r="AL5816" s="107"/>
      <c r="AM5816" s="107"/>
      <c r="AN5816" s="107"/>
      <c r="AO5816" s="107"/>
      <c r="AP5816" s="107"/>
      <c r="AQ5816" s="107"/>
      <c r="AR5816" s="107"/>
      <c r="AS5816" s="107"/>
      <c r="AT5816" s="39"/>
    </row>
    <row r="5817" spans="1:46" x14ac:dyDescent="0.25">
      <c r="A5817" s="92"/>
      <c r="B5817" s="92"/>
      <c r="C5817" s="92"/>
      <c r="D5817" s="92"/>
      <c r="E5817" s="92"/>
      <c r="F5817" s="92"/>
      <c r="G5817" s="92"/>
      <c r="H5817" s="92"/>
      <c r="I5817" s="92"/>
      <c r="J5817" s="92"/>
      <c r="K5817" s="92"/>
      <c r="L5817" s="92"/>
      <c r="M5817" s="92"/>
      <c r="N5817" s="92"/>
      <c r="AG5817" s="107"/>
      <c r="AH5817" s="117"/>
      <c r="AI5817" s="117"/>
      <c r="AJ5817" s="117"/>
      <c r="AK5817" s="107"/>
      <c r="AL5817" s="107"/>
      <c r="AM5817" s="107"/>
      <c r="AN5817" s="107"/>
      <c r="AO5817" s="107"/>
      <c r="AP5817" s="107"/>
      <c r="AQ5817" s="107"/>
      <c r="AR5817" s="107"/>
      <c r="AS5817" s="107"/>
      <c r="AT5817" s="39"/>
    </row>
    <row r="5818" spans="1:46" x14ac:dyDescent="0.25">
      <c r="A5818" s="92"/>
      <c r="B5818" s="92"/>
      <c r="C5818" s="92"/>
      <c r="D5818" s="92"/>
      <c r="E5818" s="92"/>
      <c r="F5818" s="92"/>
      <c r="G5818" s="92"/>
      <c r="H5818" s="92"/>
      <c r="I5818" s="92"/>
      <c r="J5818" s="92"/>
      <c r="K5818" s="92"/>
      <c r="L5818" s="92"/>
      <c r="M5818" s="92"/>
      <c r="N5818" s="92"/>
      <c r="AG5818" s="107"/>
      <c r="AH5818" s="117"/>
      <c r="AI5818" s="117"/>
      <c r="AJ5818" s="117"/>
      <c r="AK5818" s="107"/>
      <c r="AL5818" s="107"/>
      <c r="AM5818" s="107"/>
      <c r="AN5818" s="107"/>
      <c r="AO5818" s="107"/>
      <c r="AP5818" s="107"/>
      <c r="AQ5818" s="107"/>
      <c r="AR5818" s="107"/>
      <c r="AS5818" s="107"/>
      <c r="AT5818" s="39"/>
    </row>
    <row r="5819" spans="1:46" x14ac:dyDescent="0.25">
      <c r="A5819" s="92"/>
      <c r="B5819" s="92"/>
      <c r="C5819" s="92"/>
      <c r="D5819" s="92"/>
      <c r="E5819" s="92"/>
      <c r="F5819" s="92"/>
      <c r="G5819" s="92"/>
      <c r="H5819" s="92"/>
      <c r="I5819" s="92"/>
      <c r="J5819" s="92"/>
      <c r="K5819" s="92"/>
      <c r="L5819" s="92"/>
      <c r="M5819" s="92"/>
      <c r="N5819" s="92"/>
      <c r="AG5819" s="107"/>
      <c r="AH5819" s="117"/>
      <c r="AI5819" s="117"/>
      <c r="AJ5819" s="117"/>
      <c r="AK5819" s="107"/>
      <c r="AL5819" s="107"/>
      <c r="AM5819" s="107"/>
      <c r="AN5819" s="107"/>
      <c r="AO5819" s="107"/>
      <c r="AP5819" s="107"/>
      <c r="AQ5819" s="107"/>
      <c r="AR5819" s="107"/>
      <c r="AS5819" s="107"/>
      <c r="AT5819" s="39"/>
    </row>
    <row r="5820" spans="1:46" x14ac:dyDescent="0.25">
      <c r="A5820" s="92"/>
      <c r="B5820" s="92"/>
      <c r="C5820" s="92"/>
      <c r="D5820" s="92"/>
      <c r="E5820" s="92"/>
      <c r="F5820" s="92"/>
      <c r="G5820" s="92"/>
      <c r="H5820" s="92"/>
      <c r="I5820" s="92"/>
      <c r="J5820" s="92"/>
      <c r="K5820" s="92"/>
      <c r="L5820" s="92"/>
      <c r="M5820" s="92"/>
      <c r="N5820" s="92"/>
      <c r="AG5820" s="107"/>
      <c r="AH5820" s="117"/>
      <c r="AI5820" s="117"/>
      <c r="AJ5820" s="117"/>
      <c r="AK5820" s="107"/>
      <c r="AL5820" s="107"/>
      <c r="AM5820" s="107"/>
      <c r="AN5820" s="107"/>
      <c r="AO5820" s="107"/>
      <c r="AP5820" s="107"/>
      <c r="AQ5820" s="107"/>
      <c r="AR5820" s="107"/>
      <c r="AS5820" s="107"/>
      <c r="AT5820" s="39"/>
    </row>
    <row r="5821" spans="1:46" x14ac:dyDescent="0.25">
      <c r="A5821" s="92"/>
      <c r="B5821" s="92"/>
      <c r="C5821" s="92"/>
      <c r="D5821" s="92"/>
      <c r="E5821" s="92"/>
      <c r="F5821" s="92"/>
      <c r="G5821" s="92"/>
      <c r="H5821" s="92"/>
      <c r="I5821" s="92"/>
      <c r="J5821" s="92"/>
      <c r="K5821" s="92"/>
      <c r="L5821" s="92"/>
      <c r="M5821" s="92"/>
      <c r="N5821" s="92"/>
      <c r="AG5821" s="107"/>
      <c r="AH5821" s="117"/>
      <c r="AI5821" s="117"/>
      <c r="AJ5821" s="117"/>
      <c r="AK5821" s="107"/>
      <c r="AL5821" s="107"/>
      <c r="AM5821" s="107"/>
      <c r="AN5821" s="107"/>
      <c r="AO5821" s="107"/>
      <c r="AP5821" s="107"/>
      <c r="AQ5821" s="107"/>
      <c r="AR5821" s="107"/>
      <c r="AS5821" s="107"/>
      <c r="AT5821" s="39"/>
    </row>
    <row r="5822" spans="1:46" x14ac:dyDescent="0.25">
      <c r="A5822" s="92"/>
      <c r="B5822" s="92"/>
      <c r="C5822" s="92"/>
      <c r="D5822" s="92"/>
      <c r="E5822" s="92"/>
      <c r="F5822" s="92"/>
      <c r="G5822" s="92"/>
      <c r="H5822" s="92"/>
      <c r="I5822" s="92"/>
      <c r="J5822" s="92"/>
      <c r="K5822" s="92"/>
      <c r="L5822" s="92"/>
      <c r="M5822" s="92"/>
      <c r="N5822" s="92"/>
      <c r="AG5822" s="107"/>
      <c r="AH5822" s="117"/>
      <c r="AI5822" s="117"/>
      <c r="AJ5822" s="117"/>
      <c r="AK5822" s="107"/>
      <c r="AL5822" s="107"/>
      <c r="AM5822" s="107"/>
      <c r="AN5822" s="107"/>
      <c r="AO5822" s="107"/>
      <c r="AP5822" s="107"/>
      <c r="AQ5822" s="107"/>
      <c r="AR5822" s="107"/>
      <c r="AS5822" s="107"/>
      <c r="AT5822" s="39"/>
    </row>
    <row r="5823" spans="1:46" x14ac:dyDescent="0.25">
      <c r="A5823" s="92"/>
      <c r="B5823" s="92"/>
      <c r="C5823" s="92"/>
      <c r="D5823" s="92"/>
      <c r="E5823" s="92"/>
      <c r="F5823" s="92"/>
      <c r="G5823" s="92"/>
      <c r="H5823" s="92"/>
      <c r="I5823" s="92"/>
      <c r="J5823" s="92"/>
      <c r="K5823" s="92"/>
      <c r="L5823" s="92"/>
      <c r="M5823" s="92"/>
      <c r="N5823" s="92"/>
      <c r="AG5823" s="107"/>
      <c r="AH5823" s="117"/>
      <c r="AI5823" s="117"/>
      <c r="AJ5823" s="117"/>
      <c r="AK5823" s="107"/>
      <c r="AL5823" s="107"/>
      <c r="AM5823" s="107"/>
      <c r="AN5823" s="107"/>
      <c r="AO5823" s="107"/>
      <c r="AP5823" s="107"/>
      <c r="AQ5823" s="107"/>
      <c r="AR5823" s="107"/>
      <c r="AS5823" s="107"/>
      <c r="AT5823" s="39"/>
    </row>
    <row r="5824" spans="1:46" x14ac:dyDescent="0.25">
      <c r="A5824" s="92"/>
      <c r="B5824" s="92"/>
      <c r="C5824" s="92"/>
      <c r="D5824" s="92"/>
      <c r="E5824" s="92"/>
      <c r="F5824" s="92"/>
      <c r="G5824" s="92"/>
      <c r="H5824" s="92"/>
      <c r="I5824" s="92"/>
      <c r="J5824" s="92"/>
      <c r="K5824" s="92"/>
      <c r="L5824" s="92"/>
      <c r="M5824" s="92"/>
      <c r="N5824" s="92"/>
      <c r="AG5824" s="107"/>
      <c r="AH5824" s="107"/>
      <c r="AI5824" s="107"/>
      <c r="AJ5824" s="117"/>
      <c r="AK5824" s="107"/>
      <c r="AL5824" s="107"/>
      <c r="AM5824" s="107"/>
      <c r="AN5824" s="107"/>
      <c r="AO5824" s="107"/>
      <c r="AP5824" s="107"/>
      <c r="AQ5824" s="107"/>
      <c r="AR5824" s="107"/>
      <c r="AS5824" s="107"/>
      <c r="AT5824" s="107"/>
    </row>
    <row r="5825" spans="1:46" x14ac:dyDescent="0.25">
      <c r="A5825" s="92"/>
      <c r="B5825" s="93"/>
      <c r="C5825" s="92"/>
      <c r="D5825" s="93"/>
      <c r="E5825" s="92"/>
      <c r="F5825" s="92"/>
      <c r="G5825" s="92"/>
      <c r="H5825" s="92"/>
      <c r="I5825" s="92"/>
      <c r="J5825" s="92"/>
      <c r="K5825" s="92"/>
      <c r="L5825" s="92"/>
      <c r="M5825" s="92"/>
      <c r="N5825" s="94"/>
      <c r="AG5825" s="107"/>
      <c r="AH5825" s="107"/>
      <c r="AI5825" s="107"/>
      <c r="AJ5825" s="117"/>
      <c r="AK5825" s="107"/>
      <c r="AL5825" s="107"/>
      <c r="AM5825" s="107"/>
      <c r="AN5825" s="107"/>
      <c r="AO5825" s="107"/>
      <c r="AP5825" s="107"/>
      <c r="AQ5825" s="107"/>
      <c r="AR5825" s="107"/>
      <c r="AS5825" s="107"/>
      <c r="AT5825" s="107"/>
    </row>
    <row r="5826" spans="1:46" x14ac:dyDescent="0.25">
      <c r="A5826" s="92"/>
      <c r="B5826" s="93"/>
      <c r="C5826" s="92"/>
      <c r="D5826" s="93"/>
      <c r="E5826" s="92"/>
      <c r="F5826" s="92"/>
      <c r="G5826" s="92"/>
      <c r="H5826" s="92"/>
      <c r="I5826" s="92"/>
      <c r="J5826" s="92"/>
      <c r="K5826" s="92"/>
      <c r="L5826" s="92"/>
      <c r="M5826" s="92"/>
      <c r="N5826" s="94"/>
      <c r="AG5826" s="107"/>
      <c r="AH5826" s="107"/>
      <c r="AI5826" s="107"/>
      <c r="AJ5826" s="117"/>
      <c r="AK5826" s="107"/>
      <c r="AL5826" s="107"/>
      <c r="AM5826" s="107"/>
      <c r="AN5826" s="107"/>
      <c r="AO5826" s="107"/>
      <c r="AP5826" s="107"/>
      <c r="AQ5826" s="107"/>
      <c r="AR5826" s="107"/>
      <c r="AS5826" s="107"/>
      <c r="AT5826" s="107"/>
    </row>
    <row r="5827" spans="1:46" x14ac:dyDescent="0.25">
      <c r="A5827" s="92"/>
      <c r="B5827" s="92"/>
      <c r="C5827" s="92"/>
      <c r="D5827" s="92"/>
      <c r="E5827" s="92"/>
      <c r="F5827" s="92"/>
      <c r="G5827" s="92"/>
      <c r="H5827" s="92"/>
      <c r="I5827" s="92"/>
      <c r="J5827" s="92"/>
      <c r="K5827" s="92"/>
      <c r="L5827" s="92"/>
      <c r="M5827" s="92"/>
      <c r="N5827" s="92"/>
      <c r="AG5827" s="107"/>
      <c r="AH5827" s="107"/>
      <c r="AI5827" s="107"/>
      <c r="AJ5827" s="117"/>
      <c r="AK5827" s="107"/>
      <c r="AL5827" s="107"/>
      <c r="AM5827" s="107"/>
      <c r="AN5827" s="107"/>
      <c r="AO5827" s="107"/>
      <c r="AP5827" s="107"/>
      <c r="AQ5827" s="107"/>
      <c r="AR5827" s="107"/>
      <c r="AS5827" s="107"/>
      <c r="AT5827" s="107"/>
    </row>
    <row r="5828" spans="1:46" x14ac:dyDescent="0.25">
      <c r="A5828" s="92"/>
      <c r="B5828" s="92"/>
      <c r="C5828" s="92"/>
      <c r="D5828" s="92"/>
      <c r="E5828" s="92"/>
      <c r="F5828" s="92"/>
      <c r="G5828" s="92"/>
      <c r="H5828" s="92"/>
      <c r="I5828" s="92"/>
      <c r="J5828" s="92"/>
      <c r="K5828" s="92"/>
      <c r="L5828" s="92"/>
      <c r="M5828" s="92"/>
      <c r="N5828" s="92"/>
      <c r="AG5828" s="107"/>
      <c r="AH5828" s="117"/>
      <c r="AI5828" s="117"/>
      <c r="AJ5828" s="117"/>
      <c r="AK5828" s="107"/>
      <c r="AL5828" s="107"/>
      <c r="AM5828" s="107"/>
      <c r="AN5828" s="107"/>
      <c r="AO5828" s="107"/>
      <c r="AP5828" s="107"/>
      <c r="AQ5828" s="107"/>
      <c r="AR5828" s="107"/>
      <c r="AS5828" s="107"/>
      <c r="AT5828" s="39"/>
    </row>
    <row r="5829" spans="1:46" x14ac:dyDescent="0.25">
      <c r="A5829" s="92"/>
      <c r="B5829" s="92"/>
      <c r="C5829" s="92"/>
      <c r="D5829" s="92"/>
      <c r="E5829" s="92"/>
      <c r="F5829" s="92"/>
      <c r="G5829" s="92"/>
      <c r="H5829" s="92"/>
      <c r="I5829" s="92"/>
      <c r="J5829" s="92"/>
      <c r="K5829" s="92"/>
      <c r="L5829" s="92"/>
      <c r="M5829" s="92"/>
      <c r="N5829" s="92"/>
      <c r="AG5829" s="107"/>
      <c r="AH5829" s="117"/>
      <c r="AI5829" s="117"/>
      <c r="AJ5829" s="117"/>
      <c r="AK5829" s="107"/>
      <c r="AL5829" s="107"/>
      <c r="AM5829" s="107"/>
      <c r="AN5829" s="107"/>
      <c r="AO5829" s="107"/>
      <c r="AP5829" s="107"/>
      <c r="AQ5829" s="107"/>
      <c r="AR5829" s="107"/>
      <c r="AS5829" s="107"/>
      <c r="AT5829" s="39"/>
    </row>
    <row r="5830" spans="1:46" x14ac:dyDescent="0.25">
      <c r="A5830" s="92"/>
      <c r="B5830" s="92"/>
      <c r="C5830" s="92"/>
      <c r="D5830" s="92"/>
      <c r="E5830" s="92"/>
      <c r="F5830" s="92"/>
      <c r="G5830" s="92"/>
      <c r="H5830" s="92"/>
      <c r="I5830" s="92"/>
      <c r="J5830" s="92"/>
      <c r="K5830" s="92"/>
      <c r="L5830" s="92"/>
      <c r="M5830" s="92"/>
      <c r="N5830" s="92"/>
      <c r="AG5830" s="107"/>
      <c r="AH5830" s="117"/>
      <c r="AI5830" s="117"/>
      <c r="AJ5830" s="117"/>
      <c r="AK5830" s="107"/>
      <c r="AL5830" s="107"/>
      <c r="AM5830" s="107"/>
      <c r="AN5830" s="107"/>
      <c r="AO5830" s="107"/>
      <c r="AP5830" s="107"/>
      <c r="AQ5830" s="107"/>
      <c r="AR5830" s="107"/>
      <c r="AS5830" s="107"/>
      <c r="AT5830" s="39"/>
    </row>
    <row r="5831" spans="1:46" x14ac:dyDescent="0.25">
      <c r="A5831" s="92"/>
      <c r="B5831" s="93"/>
      <c r="C5831" s="92"/>
      <c r="D5831" s="92"/>
      <c r="E5831" s="92"/>
      <c r="F5831" s="92"/>
      <c r="G5831" s="92"/>
      <c r="H5831" s="92"/>
      <c r="I5831" s="92"/>
      <c r="J5831" s="92"/>
      <c r="K5831" s="92"/>
      <c r="L5831" s="92"/>
      <c r="M5831" s="92"/>
      <c r="N5831" s="94"/>
      <c r="AG5831" s="107"/>
      <c r="AH5831" s="117"/>
      <c r="AI5831" s="117"/>
      <c r="AJ5831" s="117"/>
      <c r="AK5831" s="107"/>
      <c r="AL5831" s="107"/>
      <c r="AM5831" s="107"/>
      <c r="AN5831" s="107"/>
      <c r="AO5831" s="107"/>
      <c r="AP5831" s="107"/>
      <c r="AQ5831" s="107"/>
      <c r="AR5831" s="107"/>
      <c r="AS5831" s="107"/>
      <c r="AT5831" s="39"/>
    </row>
    <row r="5832" spans="1:46" x14ac:dyDescent="0.25">
      <c r="A5832" s="92"/>
      <c r="B5832" s="93"/>
      <c r="C5832" s="92"/>
      <c r="D5832" s="93"/>
      <c r="E5832" s="92"/>
      <c r="F5832" s="92"/>
      <c r="G5832" s="92"/>
      <c r="H5832" s="92"/>
      <c r="I5832" s="92"/>
      <c r="J5832" s="92"/>
      <c r="K5832" s="92"/>
      <c r="L5832" s="92"/>
      <c r="M5832" s="92"/>
      <c r="N5832" s="94"/>
      <c r="AG5832" s="107"/>
      <c r="AH5832" s="117"/>
      <c r="AI5832" s="117"/>
      <c r="AJ5832" s="117"/>
      <c r="AK5832" s="107"/>
      <c r="AL5832" s="107"/>
      <c r="AM5832" s="107"/>
      <c r="AN5832" s="107"/>
      <c r="AO5832" s="107"/>
      <c r="AP5832" s="107"/>
      <c r="AQ5832" s="107"/>
      <c r="AR5832" s="107"/>
      <c r="AS5832" s="107"/>
      <c r="AT5832" s="39"/>
    </row>
    <row r="5833" spans="1:46" x14ac:dyDescent="0.25">
      <c r="A5833" s="92"/>
      <c r="B5833" s="92"/>
      <c r="C5833" s="92"/>
      <c r="D5833" s="92"/>
      <c r="E5833" s="92"/>
      <c r="F5833" s="92"/>
      <c r="G5833" s="92"/>
      <c r="H5833" s="92"/>
      <c r="I5833" s="92"/>
      <c r="J5833" s="92"/>
      <c r="K5833" s="92"/>
      <c r="L5833" s="92"/>
      <c r="M5833" s="92"/>
      <c r="N5833" s="92"/>
      <c r="AG5833" s="107"/>
      <c r="AH5833" s="107"/>
      <c r="AI5833" s="107"/>
      <c r="AJ5833" s="117"/>
      <c r="AK5833" s="107"/>
      <c r="AL5833" s="107"/>
      <c r="AM5833" s="107"/>
      <c r="AN5833" s="107"/>
      <c r="AO5833" s="107"/>
      <c r="AP5833" s="107"/>
      <c r="AQ5833" s="107"/>
      <c r="AR5833" s="107"/>
      <c r="AS5833" s="107"/>
      <c r="AT5833" s="107"/>
    </row>
    <row r="5834" spans="1:46" x14ac:dyDescent="0.25">
      <c r="A5834" s="92"/>
      <c r="B5834" s="92"/>
      <c r="C5834" s="92"/>
      <c r="D5834" s="92"/>
      <c r="E5834" s="92"/>
      <c r="F5834" s="92"/>
      <c r="G5834" s="92"/>
      <c r="H5834" s="92"/>
      <c r="I5834" s="92"/>
      <c r="J5834" s="92"/>
      <c r="K5834" s="92"/>
      <c r="L5834" s="92"/>
      <c r="M5834" s="92"/>
      <c r="N5834" s="92"/>
      <c r="AG5834" s="107"/>
      <c r="AH5834" s="107"/>
      <c r="AI5834" s="107"/>
      <c r="AJ5834" s="117"/>
      <c r="AK5834" s="107"/>
      <c r="AL5834" s="107"/>
      <c r="AM5834" s="107"/>
      <c r="AN5834" s="107"/>
      <c r="AO5834" s="107"/>
      <c r="AP5834" s="107"/>
      <c r="AQ5834" s="107"/>
      <c r="AR5834" s="107"/>
      <c r="AS5834" s="107"/>
      <c r="AT5834" s="107"/>
    </row>
    <row r="5835" spans="1:46" x14ac:dyDescent="0.25">
      <c r="A5835" s="92"/>
      <c r="B5835" s="92"/>
      <c r="C5835" s="92"/>
      <c r="D5835" s="92"/>
      <c r="E5835" s="92"/>
      <c r="F5835" s="92"/>
      <c r="G5835" s="92"/>
      <c r="H5835" s="92"/>
      <c r="I5835" s="92"/>
      <c r="J5835" s="92"/>
      <c r="K5835" s="92"/>
      <c r="L5835" s="92"/>
      <c r="M5835" s="92"/>
      <c r="N5835" s="92"/>
      <c r="AG5835" s="107"/>
      <c r="AH5835" s="107"/>
      <c r="AI5835" s="107"/>
      <c r="AJ5835" s="117"/>
      <c r="AK5835" s="107"/>
      <c r="AL5835" s="107"/>
      <c r="AM5835" s="107"/>
      <c r="AN5835" s="107"/>
      <c r="AO5835" s="107"/>
      <c r="AP5835" s="107"/>
      <c r="AQ5835" s="107"/>
      <c r="AR5835" s="107"/>
      <c r="AS5835" s="107"/>
      <c r="AT5835" s="107"/>
    </row>
    <row r="5836" spans="1:46" x14ac:dyDescent="0.25">
      <c r="A5836" s="92"/>
      <c r="B5836" s="92"/>
      <c r="C5836" s="92"/>
      <c r="D5836" s="92"/>
      <c r="E5836" s="92"/>
      <c r="F5836" s="92"/>
      <c r="G5836" s="92"/>
      <c r="H5836" s="92"/>
      <c r="I5836" s="92"/>
      <c r="J5836" s="92"/>
      <c r="K5836" s="92"/>
      <c r="L5836" s="92"/>
      <c r="M5836" s="92"/>
      <c r="N5836" s="92"/>
      <c r="AG5836" s="107"/>
      <c r="AH5836" s="107"/>
      <c r="AI5836" s="107"/>
      <c r="AJ5836" s="117"/>
      <c r="AK5836" s="107"/>
      <c r="AL5836" s="107"/>
      <c r="AM5836" s="107"/>
      <c r="AN5836" s="107"/>
      <c r="AO5836" s="107"/>
      <c r="AP5836" s="107"/>
      <c r="AQ5836" s="107"/>
      <c r="AR5836" s="107"/>
      <c r="AS5836" s="107"/>
      <c r="AT5836" s="107"/>
    </row>
    <row r="5837" spans="1:46" x14ac:dyDescent="0.25">
      <c r="A5837" s="92"/>
      <c r="B5837" s="92"/>
      <c r="C5837" s="92"/>
      <c r="D5837" s="92"/>
      <c r="E5837" s="92"/>
      <c r="F5837" s="92"/>
      <c r="G5837" s="92"/>
      <c r="H5837" s="92"/>
      <c r="I5837" s="92"/>
      <c r="J5837" s="92"/>
      <c r="K5837" s="92"/>
      <c r="L5837" s="92"/>
      <c r="M5837" s="92"/>
      <c r="N5837" s="92"/>
      <c r="AG5837" s="107"/>
      <c r="AH5837" s="117"/>
      <c r="AI5837" s="117"/>
      <c r="AJ5837" s="117"/>
      <c r="AK5837" s="107"/>
      <c r="AL5837" s="107"/>
      <c r="AM5837" s="107"/>
      <c r="AN5837" s="107"/>
      <c r="AO5837" s="107"/>
      <c r="AP5837" s="107"/>
      <c r="AQ5837" s="107"/>
      <c r="AR5837" s="107"/>
      <c r="AS5837" s="107"/>
      <c r="AT5837" s="39"/>
    </row>
    <row r="5838" spans="1:46" x14ac:dyDescent="0.25">
      <c r="A5838" s="92"/>
      <c r="B5838" s="92"/>
      <c r="C5838" s="92"/>
      <c r="D5838" s="92"/>
      <c r="E5838" s="92"/>
      <c r="F5838" s="92"/>
      <c r="G5838" s="92"/>
      <c r="H5838" s="92"/>
      <c r="I5838" s="92"/>
      <c r="J5838" s="92"/>
      <c r="K5838" s="92"/>
      <c r="L5838" s="92"/>
      <c r="M5838" s="92"/>
      <c r="N5838" s="92"/>
      <c r="AG5838" s="107"/>
      <c r="AH5838" s="117"/>
      <c r="AI5838" s="117"/>
      <c r="AJ5838" s="117"/>
      <c r="AK5838" s="107"/>
      <c r="AL5838" s="107"/>
      <c r="AM5838" s="107"/>
      <c r="AN5838" s="107"/>
      <c r="AO5838" s="107"/>
      <c r="AP5838" s="107"/>
      <c r="AQ5838" s="107"/>
      <c r="AR5838" s="107"/>
      <c r="AS5838" s="107"/>
      <c r="AT5838" s="39"/>
    </row>
    <row r="5839" spans="1:46" x14ac:dyDescent="0.25">
      <c r="A5839" s="92"/>
      <c r="B5839" s="93"/>
      <c r="C5839" s="92"/>
      <c r="D5839" s="93"/>
      <c r="E5839" s="92"/>
      <c r="F5839" s="92"/>
      <c r="G5839" s="92"/>
      <c r="H5839" s="92"/>
      <c r="I5839" s="92"/>
      <c r="J5839" s="92"/>
      <c r="K5839" s="92"/>
      <c r="L5839" s="92"/>
      <c r="M5839" s="92"/>
      <c r="N5839" s="94"/>
      <c r="AG5839" s="107"/>
      <c r="AH5839" s="107"/>
      <c r="AI5839" s="107"/>
      <c r="AJ5839" s="117"/>
      <c r="AK5839" s="107"/>
      <c r="AL5839" s="107"/>
      <c r="AM5839" s="107"/>
      <c r="AN5839" s="107"/>
      <c r="AO5839" s="107"/>
      <c r="AP5839" s="107"/>
      <c r="AQ5839" s="107"/>
      <c r="AR5839" s="107"/>
      <c r="AS5839" s="107"/>
      <c r="AT5839" s="107"/>
    </row>
    <row r="5840" spans="1:46" x14ac:dyDescent="0.25">
      <c r="A5840" s="92"/>
      <c r="B5840" s="93"/>
      <c r="C5840" s="92"/>
      <c r="D5840" s="92"/>
      <c r="E5840" s="92"/>
      <c r="F5840" s="92"/>
      <c r="G5840" s="92"/>
      <c r="H5840" s="92"/>
      <c r="I5840" s="92"/>
      <c r="J5840" s="92"/>
      <c r="K5840" s="92"/>
      <c r="L5840" s="92"/>
      <c r="M5840" s="92"/>
      <c r="N5840" s="94"/>
      <c r="AG5840" s="107"/>
      <c r="AH5840" s="107"/>
      <c r="AI5840" s="107"/>
      <c r="AJ5840" s="117"/>
      <c r="AK5840" s="107"/>
      <c r="AL5840" s="107"/>
      <c r="AM5840" s="107"/>
      <c r="AN5840" s="107"/>
      <c r="AO5840" s="107"/>
      <c r="AP5840" s="107"/>
      <c r="AQ5840" s="107"/>
      <c r="AR5840" s="107"/>
      <c r="AS5840" s="107"/>
      <c r="AT5840" s="107"/>
    </row>
    <row r="5841" spans="1:46" x14ac:dyDescent="0.25">
      <c r="A5841" s="92"/>
      <c r="B5841" s="93"/>
      <c r="C5841" s="92"/>
      <c r="D5841" s="93"/>
      <c r="E5841" s="92"/>
      <c r="F5841" s="92"/>
      <c r="G5841" s="92"/>
      <c r="H5841" s="92"/>
      <c r="I5841" s="92"/>
      <c r="J5841" s="92"/>
      <c r="K5841" s="92"/>
      <c r="L5841" s="92"/>
      <c r="M5841" s="92"/>
      <c r="N5841" s="94"/>
      <c r="AG5841" s="107"/>
      <c r="AH5841" s="107"/>
      <c r="AI5841" s="107"/>
      <c r="AJ5841" s="117"/>
      <c r="AK5841" s="107"/>
      <c r="AL5841" s="107"/>
      <c r="AM5841" s="107"/>
      <c r="AN5841" s="107"/>
      <c r="AO5841" s="107"/>
      <c r="AP5841" s="107"/>
      <c r="AQ5841" s="107"/>
      <c r="AR5841" s="107"/>
      <c r="AS5841" s="107"/>
      <c r="AT5841" s="107"/>
    </row>
    <row r="5842" spans="1:46" x14ac:dyDescent="0.25">
      <c r="A5842" s="92"/>
      <c r="B5842" s="92"/>
      <c r="C5842" s="92"/>
      <c r="D5842" s="92"/>
      <c r="E5842" s="92"/>
      <c r="F5842" s="92"/>
      <c r="G5842" s="92"/>
      <c r="H5842" s="92"/>
      <c r="I5842" s="92"/>
      <c r="J5842" s="92"/>
      <c r="K5842" s="92"/>
      <c r="L5842" s="92"/>
      <c r="M5842" s="92"/>
      <c r="N5842" s="92"/>
      <c r="AG5842" s="107"/>
      <c r="AH5842" s="107"/>
      <c r="AI5842" s="107"/>
      <c r="AJ5842" s="117"/>
      <c r="AK5842" s="107"/>
      <c r="AL5842" s="107"/>
      <c r="AM5842" s="107"/>
      <c r="AN5842" s="107"/>
      <c r="AO5842" s="107"/>
      <c r="AP5842" s="107"/>
      <c r="AQ5842" s="107"/>
      <c r="AR5842" s="107"/>
      <c r="AS5842" s="107"/>
      <c r="AT5842" s="107"/>
    </row>
    <row r="5843" spans="1:46" x14ac:dyDescent="0.25">
      <c r="A5843" s="92"/>
      <c r="B5843" s="92"/>
      <c r="C5843" s="92"/>
      <c r="D5843" s="92"/>
      <c r="E5843" s="92"/>
      <c r="F5843" s="92"/>
      <c r="G5843" s="92"/>
      <c r="H5843" s="92"/>
      <c r="I5843" s="92"/>
      <c r="J5843" s="92"/>
      <c r="K5843" s="92"/>
      <c r="L5843" s="92"/>
      <c r="M5843" s="92"/>
      <c r="N5843" s="92"/>
      <c r="AG5843" s="107"/>
      <c r="AH5843" s="107"/>
      <c r="AI5843" s="107"/>
      <c r="AJ5843" s="117"/>
      <c r="AK5843" s="107"/>
      <c r="AL5843" s="107"/>
      <c r="AM5843" s="107"/>
      <c r="AN5843" s="107"/>
      <c r="AO5843" s="107"/>
      <c r="AP5843" s="107"/>
      <c r="AQ5843" s="107"/>
      <c r="AR5843" s="107"/>
      <c r="AS5843" s="107"/>
      <c r="AT5843" s="107"/>
    </row>
    <row r="5844" spans="1:46" x14ac:dyDescent="0.25">
      <c r="A5844" s="92"/>
      <c r="B5844" s="92"/>
      <c r="C5844" s="92"/>
      <c r="D5844" s="92"/>
      <c r="E5844" s="92"/>
      <c r="F5844" s="92"/>
      <c r="G5844" s="92"/>
      <c r="H5844" s="92"/>
      <c r="I5844" s="92"/>
      <c r="J5844" s="92"/>
      <c r="K5844" s="92"/>
      <c r="L5844" s="92"/>
      <c r="M5844" s="92"/>
      <c r="N5844" s="92"/>
      <c r="AG5844" s="107"/>
      <c r="AH5844" s="117"/>
      <c r="AI5844" s="117"/>
      <c r="AJ5844" s="117"/>
      <c r="AK5844" s="107"/>
      <c r="AL5844" s="107"/>
      <c r="AM5844" s="107"/>
      <c r="AN5844" s="107"/>
      <c r="AO5844" s="107"/>
      <c r="AP5844" s="107"/>
      <c r="AQ5844" s="107"/>
      <c r="AR5844" s="107"/>
      <c r="AS5844" s="107"/>
      <c r="AT5844" s="39"/>
    </row>
    <row r="5845" spans="1:46" x14ac:dyDescent="0.25">
      <c r="A5845" s="92"/>
      <c r="B5845" s="92"/>
      <c r="C5845" s="92"/>
      <c r="D5845" s="92"/>
      <c r="E5845" s="92"/>
      <c r="F5845" s="92"/>
      <c r="G5845" s="92"/>
      <c r="H5845" s="92"/>
      <c r="I5845" s="92"/>
      <c r="J5845" s="92"/>
      <c r="K5845" s="92"/>
      <c r="L5845" s="92"/>
      <c r="M5845" s="92"/>
      <c r="N5845" s="92"/>
      <c r="AG5845" s="107"/>
      <c r="AH5845" s="107"/>
      <c r="AI5845" s="107"/>
      <c r="AJ5845" s="117"/>
      <c r="AK5845" s="107"/>
      <c r="AL5845" s="107"/>
      <c r="AM5845" s="107"/>
      <c r="AN5845" s="107"/>
      <c r="AO5845" s="107"/>
      <c r="AP5845" s="107"/>
      <c r="AQ5845" s="107"/>
      <c r="AR5845" s="107"/>
      <c r="AS5845" s="107"/>
      <c r="AT5845" s="107"/>
    </row>
    <row r="5846" spans="1:46" x14ac:dyDescent="0.25">
      <c r="A5846" s="92"/>
      <c r="B5846" s="92"/>
      <c r="C5846" s="92"/>
      <c r="D5846" s="92"/>
      <c r="E5846" s="92"/>
      <c r="F5846" s="92"/>
      <c r="G5846" s="92"/>
      <c r="H5846" s="92"/>
      <c r="I5846" s="92"/>
      <c r="J5846" s="92"/>
      <c r="K5846" s="92"/>
      <c r="L5846" s="92"/>
      <c r="M5846" s="92"/>
      <c r="N5846" s="92"/>
      <c r="AG5846" s="107"/>
      <c r="AH5846" s="107"/>
      <c r="AI5846" s="107"/>
      <c r="AJ5846" s="117"/>
      <c r="AK5846" s="107"/>
      <c r="AL5846" s="107"/>
      <c r="AM5846" s="107"/>
      <c r="AN5846" s="107"/>
      <c r="AO5846" s="107"/>
      <c r="AP5846" s="107"/>
      <c r="AQ5846" s="107"/>
      <c r="AR5846" s="107"/>
      <c r="AS5846" s="107"/>
      <c r="AT5846" s="107"/>
    </row>
    <row r="5847" spans="1:46" x14ac:dyDescent="0.25">
      <c r="A5847" s="92"/>
      <c r="B5847" s="93"/>
      <c r="C5847" s="92"/>
      <c r="D5847" s="93"/>
      <c r="E5847" s="92"/>
      <c r="F5847" s="92"/>
      <c r="G5847" s="92"/>
      <c r="H5847" s="92"/>
      <c r="I5847" s="92"/>
      <c r="J5847" s="92"/>
      <c r="K5847" s="92"/>
      <c r="L5847" s="92"/>
      <c r="M5847" s="92"/>
      <c r="N5847" s="94"/>
      <c r="AG5847" s="107"/>
      <c r="AH5847" s="107"/>
      <c r="AI5847" s="107"/>
      <c r="AJ5847" s="117"/>
      <c r="AK5847" s="107"/>
      <c r="AL5847" s="107"/>
      <c r="AM5847" s="107"/>
      <c r="AN5847" s="107"/>
      <c r="AO5847" s="107"/>
      <c r="AP5847" s="107"/>
      <c r="AQ5847" s="107"/>
      <c r="AR5847" s="107"/>
      <c r="AS5847" s="107"/>
      <c r="AT5847" s="107"/>
    </row>
    <row r="5848" spans="1:46" x14ac:dyDescent="0.25">
      <c r="A5848" s="92"/>
      <c r="B5848" s="92"/>
      <c r="C5848" s="92"/>
      <c r="D5848" s="92"/>
      <c r="E5848" s="92"/>
      <c r="F5848" s="92"/>
      <c r="G5848" s="92"/>
      <c r="H5848" s="92"/>
      <c r="I5848" s="92"/>
      <c r="J5848" s="92"/>
      <c r="K5848" s="92"/>
      <c r="L5848" s="92"/>
      <c r="M5848" s="92"/>
      <c r="N5848" s="92"/>
      <c r="AG5848" s="107"/>
      <c r="AH5848" s="107"/>
      <c r="AI5848" s="107"/>
      <c r="AJ5848" s="117"/>
      <c r="AK5848" s="107"/>
      <c r="AL5848" s="107"/>
      <c r="AM5848" s="107"/>
      <c r="AN5848" s="107"/>
      <c r="AO5848" s="107"/>
      <c r="AP5848" s="107"/>
      <c r="AQ5848" s="107"/>
      <c r="AR5848" s="107"/>
      <c r="AS5848" s="107"/>
      <c r="AT5848" s="107"/>
    </row>
    <row r="5849" spans="1:46" x14ac:dyDescent="0.25">
      <c r="A5849" s="92"/>
      <c r="B5849" s="92"/>
      <c r="C5849" s="92"/>
      <c r="D5849" s="92"/>
      <c r="E5849" s="92"/>
      <c r="F5849" s="92"/>
      <c r="G5849" s="92"/>
      <c r="H5849" s="92"/>
      <c r="I5849" s="92"/>
      <c r="J5849" s="92"/>
      <c r="K5849" s="92"/>
      <c r="L5849" s="92"/>
      <c r="M5849" s="92"/>
      <c r="N5849" s="92"/>
      <c r="AG5849" s="107"/>
      <c r="AH5849" s="117"/>
      <c r="AI5849" s="117"/>
      <c r="AJ5849" s="117"/>
      <c r="AK5849" s="107"/>
      <c r="AL5849" s="107"/>
      <c r="AM5849" s="107"/>
      <c r="AN5849" s="107"/>
      <c r="AO5849" s="107"/>
      <c r="AP5849" s="107"/>
      <c r="AQ5849" s="107"/>
      <c r="AR5849" s="107"/>
      <c r="AS5849" s="107"/>
      <c r="AT5849" s="39"/>
    </row>
    <row r="5850" spans="1:46" x14ac:dyDescent="0.25">
      <c r="A5850" s="92"/>
      <c r="B5850" s="92"/>
      <c r="C5850" s="92"/>
      <c r="D5850" s="92"/>
      <c r="E5850" s="92"/>
      <c r="F5850" s="92"/>
      <c r="G5850" s="92"/>
      <c r="H5850" s="92"/>
      <c r="I5850" s="92"/>
      <c r="J5850" s="92"/>
      <c r="K5850" s="92"/>
      <c r="L5850" s="92"/>
      <c r="M5850" s="92"/>
      <c r="N5850" s="92"/>
      <c r="AG5850" s="107"/>
      <c r="AH5850" s="107"/>
      <c r="AI5850" s="107"/>
      <c r="AJ5850" s="117"/>
      <c r="AK5850" s="107"/>
      <c r="AL5850" s="107"/>
      <c r="AM5850" s="107"/>
      <c r="AN5850" s="107"/>
      <c r="AO5850" s="107"/>
      <c r="AP5850" s="107"/>
      <c r="AQ5850" s="107"/>
      <c r="AR5850" s="107"/>
      <c r="AS5850" s="107"/>
      <c r="AT5850" s="107"/>
    </row>
    <row r="5851" spans="1:46" x14ac:dyDescent="0.25">
      <c r="A5851" s="92"/>
      <c r="B5851" s="92"/>
      <c r="C5851" s="92"/>
      <c r="D5851" s="92"/>
      <c r="E5851" s="92"/>
      <c r="F5851" s="92"/>
      <c r="G5851" s="92"/>
      <c r="H5851" s="92"/>
      <c r="I5851" s="92"/>
      <c r="J5851" s="92"/>
      <c r="K5851" s="92"/>
      <c r="L5851" s="92"/>
      <c r="M5851" s="92"/>
      <c r="N5851" s="92"/>
      <c r="AG5851" s="107"/>
      <c r="AH5851" s="117"/>
      <c r="AI5851" s="117"/>
      <c r="AJ5851" s="117"/>
      <c r="AK5851" s="107"/>
      <c r="AL5851" s="107"/>
      <c r="AM5851" s="107"/>
      <c r="AN5851" s="107"/>
      <c r="AO5851" s="107"/>
      <c r="AP5851" s="107"/>
      <c r="AQ5851" s="107"/>
      <c r="AR5851" s="107"/>
      <c r="AS5851" s="107"/>
      <c r="AT5851" s="39"/>
    </row>
    <row r="5852" spans="1:46" x14ac:dyDescent="0.25">
      <c r="A5852" s="92"/>
      <c r="B5852" s="92"/>
      <c r="C5852" s="92"/>
      <c r="D5852" s="92"/>
      <c r="E5852" s="92"/>
      <c r="F5852" s="92"/>
      <c r="G5852" s="92"/>
      <c r="H5852" s="92"/>
      <c r="I5852" s="92"/>
      <c r="J5852" s="92"/>
      <c r="K5852" s="92"/>
      <c r="L5852" s="92"/>
      <c r="M5852" s="92"/>
      <c r="N5852" s="92"/>
      <c r="AG5852" s="107"/>
      <c r="AH5852" s="117"/>
      <c r="AI5852" s="117"/>
      <c r="AJ5852" s="117"/>
      <c r="AK5852" s="107"/>
      <c r="AL5852" s="107"/>
      <c r="AM5852" s="107"/>
      <c r="AN5852" s="107"/>
      <c r="AO5852" s="107"/>
      <c r="AP5852" s="107"/>
      <c r="AQ5852" s="107"/>
      <c r="AR5852" s="107"/>
      <c r="AS5852" s="107"/>
      <c r="AT5852" s="39"/>
    </row>
    <row r="5853" spans="1:46" x14ac:dyDescent="0.25">
      <c r="A5853" s="92"/>
      <c r="B5853" s="92"/>
      <c r="C5853" s="92"/>
      <c r="D5853" s="92"/>
      <c r="E5853" s="92"/>
      <c r="F5853" s="92"/>
      <c r="G5853" s="92"/>
      <c r="H5853" s="92"/>
      <c r="I5853" s="92"/>
      <c r="J5853" s="92"/>
      <c r="K5853" s="92"/>
      <c r="L5853" s="92"/>
      <c r="M5853" s="92"/>
      <c r="N5853" s="92"/>
      <c r="AG5853" s="107"/>
      <c r="AH5853" s="117"/>
      <c r="AI5853" s="117"/>
      <c r="AJ5853" s="117"/>
      <c r="AK5853" s="107"/>
      <c r="AL5853" s="107"/>
      <c r="AM5853" s="107"/>
      <c r="AN5853" s="107"/>
      <c r="AO5853" s="107"/>
      <c r="AP5853" s="107"/>
      <c r="AQ5853" s="107"/>
      <c r="AR5853" s="107"/>
      <c r="AS5853" s="107"/>
      <c r="AT5853" s="39"/>
    </row>
    <row r="5854" spans="1:46" x14ac:dyDescent="0.25">
      <c r="A5854" s="92"/>
      <c r="B5854" s="92"/>
      <c r="C5854" s="92"/>
      <c r="D5854" s="92"/>
      <c r="E5854" s="92"/>
      <c r="F5854" s="92"/>
      <c r="G5854" s="92"/>
      <c r="H5854" s="92"/>
      <c r="I5854" s="92"/>
      <c r="J5854" s="92"/>
      <c r="K5854" s="92"/>
      <c r="L5854" s="92"/>
      <c r="M5854" s="92"/>
      <c r="N5854" s="92"/>
      <c r="AG5854" s="107"/>
      <c r="AH5854" s="117"/>
      <c r="AI5854" s="117"/>
      <c r="AJ5854" s="117"/>
      <c r="AK5854" s="107"/>
      <c r="AL5854" s="107"/>
      <c r="AM5854" s="107"/>
      <c r="AN5854" s="107"/>
      <c r="AO5854" s="107"/>
      <c r="AP5854" s="107"/>
      <c r="AQ5854" s="107"/>
      <c r="AR5854" s="107"/>
      <c r="AS5854" s="107"/>
      <c r="AT5854" s="39"/>
    </row>
    <row r="5855" spans="1:46" x14ac:dyDescent="0.25">
      <c r="A5855" s="92"/>
      <c r="B5855" s="92"/>
      <c r="C5855" s="92"/>
      <c r="D5855" s="92"/>
      <c r="E5855" s="92"/>
      <c r="F5855" s="92"/>
      <c r="G5855" s="92"/>
      <c r="H5855" s="92"/>
      <c r="I5855" s="92"/>
      <c r="J5855" s="92"/>
      <c r="K5855" s="92"/>
      <c r="L5855" s="92"/>
      <c r="M5855" s="92"/>
      <c r="N5855" s="92"/>
      <c r="AG5855" s="107"/>
      <c r="AH5855" s="107"/>
      <c r="AI5855" s="107"/>
      <c r="AJ5855" s="117"/>
      <c r="AK5855" s="107"/>
      <c r="AL5855" s="107"/>
      <c r="AM5855" s="107"/>
      <c r="AN5855" s="107"/>
      <c r="AO5855" s="107"/>
      <c r="AP5855" s="107"/>
      <c r="AQ5855" s="107"/>
      <c r="AR5855" s="107"/>
      <c r="AS5855" s="107"/>
      <c r="AT5855" s="107"/>
    </row>
    <row r="5856" spans="1:46" x14ac:dyDescent="0.25">
      <c r="A5856" s="92"/>
      <c r="B5856" s="93"/>
      <c r="C5856" s="92"/>
      <c r="D5856" s="93"/>
      <c r="E5856" s="92"/>
      <c r="F5856" s="92"/>
      <c r="G5856" s="92"/>
      <c r="H5856" s="92"/>
      <c r="I5856" s="92"/>
      <c r="J5856" s="92"/>
      <c r="K5856" s="92"/>
      <c r="L5856" s="92"/>
      <c r="M5856" s="92"/>
      <c r="N5856" s="94"/>
      <c r="AG5856" s="107"/>
      <c r="AH5856" s="107"/>
      <c r="AI5856" s="107"/>
      <c r="AJ5856" s="117"/>
      <c r="AK5856" s="107"/>
      <c r="AL5856" s="107"/>
      <c r="AM5856" s="107"/>
      <c r="AN5856" s="107"/>
      <c r="AO5856" s="107"/>
      <c r="AP5856" s="107"/>
      <c r="AQ5856" s="107"/>
      <c r="AR5856" s="107"/>
      <c r="AS5856" s="107"/>
      <c r="AT5856" s="107"/>
    </row>
    <row r="5857" spans="1:46" x14ac:dyDescent="0.25">
      <c r="A5857" s="92"/>
      <c r="B5857" s="92"/>
      <c r="C5857" s="92"/>
      <c r="D5857" s="93"/>
      <c r="E5857" s="92"/>
      <c r="F5857" s="92"/>
      <c r="G5857" s="92"/>
      <c r="H5857" s="92"/>
      <c r="I5857" s="92"/>
      <c r="J5857" s="92"/>
      <c r="K5857" s="92"/>
      <c r="L5857" s="92"/>
      <c r="M5857" s="92"/>
      <c r="N5857" s="92"/>
      <c r="AG5857" s="107"/>
      <c r="AH5857" s="107"/>
      <c r="AI5857" s="107"/>
      <c r="AJ5857" s="117"/>
      <c r="AK5857" s="107"/>
      <c r="AL5857" s="107"/>
      <c r="AM5857" s="107"/>
      <c r="AN5857" s="107"/>
      <c r="AO5857" s="107"/>
      <c r="AP5857" s="107"/>
      <c r="AQ5857" s="107"/>
      <c r="AR5857" s="107"/>
      <c r="AS5857" s="107"/>
      <c r="AT5857" s="107"/>
    </row>
    <row r="5858" spans="1:46" x14ac:dyDescent="0.25">
      <c r="A5858" s="92"/>
      <c r="B5858" s="92"/>
      <c r="C5858" s="92"/>
      <c r="D5858" s="92"/>
      <c r="E5858" s="92"/>
      <c r="F5858" s="92"/>
      <c r="G5858" s="92"/>
      <c r="H5858" s="92"/>
      <c r="I5858" s="92"/>
      <c r="J5858" s="92"/>
      <c r="K5858" s="92"/>
      <c r="L5858" s="92"/>
      <c r="M5858" s="92"/>
      <c r="N5858" s="92"/>
      <c r="AG5858" s="107"/>
      <c r="AH5858" s="107"/>
      <c r="AI5858" s="107"/>
      <c r="AJ5858" s="117"/>
      <c r="AK5858" s="107"/>
      <c r="AL5858" s="107"/>
      <c r="AM5858" s="107"/>
      <c r="AN5858" s="107"/>
      <c r="AO5858" s="107"/>
      <c r="AP5858" s="107"/>
      <c r="AQ5858" s="107"/>
      <c r="AR5858" s="107"/>
      <c r="AS5858" s="107"/>
      <c r="AT5858" s="107"/>
    </row>
    <row r="5859" spans="1:46" x14ac:dyDescent="0.25">
      <c r="A5859" s="92"/>
      <c r="B5859" s="92"/>
      <c r="C5859" s="92"/>
      <c r="D5859" s="92"/>
      <c r="E5859" s="92"/>
      <c r="F5859" s="92"/>
      <c r="G5859" s="92"/>
      <c r="H5859" s="92"/>
      <c r="I5859" s="92"/>
      <c r="J5859" s="92"/>
      <c r="K5859" s="92"/>
      <c r="L5859" s="92"/>
      <c r="M5859" s="92"/>
      <c r="N5859" s="92"/>
      <c r="AG5859" s="107"/>
      <c r="AH5859" s="117"/>
      <c r="AI5859" s="117"/>
      <c r="AJ5859" s="117"/>
      <c r="AK5859" s="107"/>
      <c r="AL5859" s="107"/>
      <c r="AM5859" s="107"/>
      <c r="AN5859" s="107"/>
      <c r="AO5859" s="107"/>
      <c r="AP5859" s="107"/>
      <c r="AQ5859" s="107"/>
      <c r="AR5859" s="107"/>
      <c r="AS5859" s="107"/>
      <c r="AT5859" s="39"/>
    </row>
    <row r="5860" spans="1:46" x14ac:dyDescent="0.25">
      <c r="A5860" s="92"/>
      <c r="B5860" s="93"/>
      <c r="C5860" s="92"/>
      <c r="D5860" s="93"/>
      <c r="E5860" s="92"/>
      <c r="F5860" s="92"/>
      <c r="G5860" s="92"/>
      <c r="H5860" s="92"/>
      <c r="I5860" s="92"/>
      <c r="J5860" s="92"/>
      <c r="K5860" s="92"/>
      <c r="L5860" s="92"/>
      <c r="M5860" s="92"/>
      <c r="N5860" s="94"/>
      <c r="AG5860" s="107"/>
      <c r="AH5860" s="107"/>
      <c r="AI5860" s="107"/>
      <c r="AJ5860" s="117"/>
      <c r="AK5860" s="107"/>
      <c r="AL5860" s="107"/>
      <c r="AM5860" s="107"/>
      <c r="AN5860" s="107"/>
      <c r="AO5860" s="107"/>
      <c r="AP5860" s="107"/>
      <c r="AQ5860" s="107"/>
      <c r="AR5860" s="107"/>
      <c r="AS5860" s="107"/>
      <c r="AT5860" s="107"/>
    </row>
    <row r="5861" spans="1:46" x14ac:dyDescent="0.25">
      <c r="A5861" s="92"/>
      <c r="B5861" s="93"/>
      <c r="C5861" s="92"/>
      <c r="D5861" s="93"/>
      <c r="E5861" s="92"/>
      <c r="F5861" s="92"/>
      <c r="G5861" s="92"/>
      <c r="H5861" s="92"/>
      <c r="I5861" s="92"/>
      <c r="J5861" s="92"/>
      <c r="K5861" s="92"/>
      <c r="L5861" s="92"/>
      <c r="M5861" s="92"/>
      <c r="N5861" s="94"/>
      <c r="AG5861" s="107"/>
      <c r="AH5861" s="107"/>
      <c r="AI5861" s="107"/>
      <c r="AJ5861" s="117"/>
      <c r="AK5861" s="107"/>
      <c r="AL5861" s="107"/>
      <c r="AM5861" s="107"/>
      <c r="AN5861" s="107"/>
      <c r="AO5861" s="107"/>
      <c r="AP5861" s="107"/>
      <c r="AQ5861" s="107"/>
      <c r="AR5861" s="107"/>
      <c r="AS5861" s="107"/>
      <c r="AT5861" s="107"/>
    </row>
    <row r="5862" spans="1:46" x14ac:dyDescent="0.25">
      <c r="A5862" s="92"/>
      <c r="B5862" s="92"/>
      <c r="C5862" s="92"/>
      <c r="D5862" s="92"/>
      <c r="E5862" s="92"/>
      <c r="F5862" s="92"/>
      <c r="G5862" s="92"/>
      <c r="H5862" s="92"/>
      <c r="I5862" s="92"/>
      <c r="J5862" s="92"/>
      <c r="K5862" s="92"/>
      <c r="L5862" s="92"/>
      <c r="M5862" s="92"/>
      <c r="N5862" s="92"/>
      <c r="AG5862" s="107"/>
      <c r="AH5862" s="107"/>
      <c r="AI5862" s="107"/>
      <c r="AJ5862" s="117"/>
      <c r="AK5862" s="107"/>
      <c r="AL5862" s="107"/>
      <c r="AM5862" s="107"/>
      <c r="AN5862" s="107"/>
      <c r="AO5862" s="107"/>
      <c r="AP5862" s="107"/>
      <c r="AQ5862" s="107"/>
      <c r="AR5862" s="107"/>
      <c r="AS5862" s="107"/>
      <c r="AT5862" s="107"/>
    </row>
    <row r="5863" spans="1:46" x14ac:dyDescent="0.25">
      <c r="A5863" s="92"/>
      <c r="B5863" s="92"/>
      <c r="C5863" s="92"/>
      <c r="D5863" s="92"/>
      <c r="E5863" s="92"/>
      <c r="F5863" s="92"/>
      <c r="G5863" s="92"/>
      <c r="H5863" s="92"/>
      <c r="I5863" s="92"/>
      <c r="J5863" s="92"/>
      <c r="K5863" s="92"/>
      <c r="L5863" s="92"/>
      <c r="M5863" s="92"/>
      <c r="N5863" s="92"/>
      <c r="AG5863" s="107"/>
      <c r="AH5863" s="117"/>
      <c r="AI5863" s="117"/>
      <c r="AJ5863" s="117"/>
      <c r="AK5863" s="107"/>
      <c r="AL5863" s="107"/>
      <c r="AM5863" s="107"/>
      <c r="AN5863" s="107"/>
      <c r="AO5863" s="107"/>
      <c r="AP5863" s="107"/>
      <c r="AQ5863" s="107"/>
      <c r="AR5863" s="107"/>
      <c r="AS5863" s="107"/>
      <c r="AT5863" s="39"/>
    </row>
    <row r="5864" spans="1:46" x14ac:dyDescent="0.25">
      <c r="A5864" s="92"/>
      <c r="B5864" s="92"/>
      <c r="C5864" s="92"/>
      <c r="D5864" s="92"/>
      <c r="E5864" s="92"/>
      <c r="F5864" s="92"/>
      <c r="G5864" s="92"/>
      <c r="H5864" s="92"/>
      <c r="I5864" s="92"/>
      <c r="J5864" s="92"/>
      <c r="K5864" s="92"/>
      <c r="L5864" s="92"/>
      <c r="M5864" s="92"/>
      <c r="N5864" s="92"/>
      <c r="AG5864" s="107"/>
      <c r="AH5864" s="117"/>
      <c r="AI5864" s="117"/>
      <c r="AJ5864" s="117"/>
      <c r="AK5864" s="107"/>
      <c r="AL5864" s="107"/>
      <c r="AM5864" s="107"/>
      <c r="AN5864" s="107"/>
      <c r="AO5864" s="107"/>
      <c r="AP5864" s="107"/>
      <c r="AQ5864" s="107"/>
      <c r="AR5864" s="107"/>
      <c r="AS5864" s="107"/>
      <c r="AT5864" s="39"/>
    </row>
    <row r="5865" spans="1:46" x14ac:dyDescent="0.25">
      <c r="A5865" s="92"/>
      <c r="B5865" s="92"/>
      <c r="C5865" s="92"/>
      <c r="D5865" s="92"/>
      <c r="E5865" s="92"/>
      <c r="F5865" s="92"/>
      <c r="G5865" s="92"/>
      <c r="H5865" s="92"/>
      <c r="I5865" s="92"/>
      <c r="J5865" s="92"/>
      <c r="K5865" s="92"/>
      <c r="L5865" s="92"/>
      <c r="M5865" s="92"/>
      <c r="N5865" s="92"/>
      <c r="AG5865" s="107"/>
      <c r="AH5865" s="117"/>
      <c r="AI5865" s="117"/>
      <c r="AJ5865" s="117"/>
      <c r="AK5865" s="107"/>
      <c r="AL5865" s="107"/>
      <c r="AM5865" s="107"/>
      <c r="AN5865" s="107"/>
      <c r="AO5865" s="107"/>
      <c r="AP5865" s="107"/>
      <c r="AQ5865" s="107"/>
      <c r="AR5865" s="107"/>
      <c r="AS5865" s="107"/>
      <c r="AT5865" s="39"/>
    </row>
    <row r="5866" spans="1:46" x14ac:dyDescent="0.25">
      <c r="A5866" s="92"/>
      <c r="B5866" s="92"/>
      <c r="C5866" s="92"/>
      <c r="D5866" s="92"/>
      <c r="E5866" s="92"/>
      <c r="F5866" s="92"/>
      <c r="G5866" s="92"/>
      <c r="H5866" s="92"/>
      <c r="I5866" s="92"/>
      <c r="J5866" s="92"/>
      <c r="K5866" s="92"/>
      <c r="L5866" s="92"/>
      <c r="M5866" s="92"/>
      <c r="N5866" s="92"/>
      <c r="AG5866" s="107"/>
      <c r="AH5866" s="117"/>
      <c r="AI5866" s="117"/>
      <c r="AJ5866" s="117"/>
      <c r="AK5866" s="107"/>
      <c r="AL5866" s="107"/>
      <c r="AM5866" s="107"/>
      <c r="AN5866" s="107"/>
      <c r="AO5866" s="107"/>
      <c r="AP5866" s="107"/>
      <c r="AQ5866" s="107"/>
      <c r="AR5866" s="107"/>
      <c r="AS5866" s="107"/>
      <c r="AT5866" s="39"/>
    </row>
    <row r="5867" spans="1:46" x14ac:dyDescent="0.25">
      <c r="A5867" s="92"/>
      <c r="B5867" s="93"/>
      <c r="C5867" s="92"/>
      <c r="D5867" s="93"/>
      <c r="E5867" s="92"/>
      <c r="F5867" s="92"/>
      <c r="G5867" s="92"/>
      <c r="H5867" s="92"/>
      <c r="I5867" s="92"/>
      <c r="J5867" s="92"/>
      <c r="K5867" s="92"/>
      <c r="L5867" s="92"/>
      <c r="M5867" s="92"/>
      <c r="N5867" s="94"/>
      <c r="AG5867" s="107"/>
      <c r="AH5867" s="117"/>
      <c r="AI5867" s="117"/>
      <c r="AJ5867" s="117"/>
      <c r="AK5867" s="107"/>
      <c r="AL5867" s="107"/>
      <c r="AM5867" s="107"/>
      <c r="AN5867" s="107"/>
      <c r="AO5867" s="107"/>
      <c r="AP5867" s="107"/>
      <c r="AQ5867" s="107"/>
      <c r="AR5867" s="107"/>
      <c r="AS5867" s="107"/>
      <c r="AT5867" s="39"/>
    </row>
    <row r="5868" spans="1:46" x14ac:dyDescent="0.25">
      <c r="A5868" s="92"/>
      <c r="B5868" s="93"/>
      <c r="C5868" s="93"/>
      <c r="D5868" s="92"/>
      <c r="E5868" s="92"/>
      <c r="F5868" s="92"/>
      <c r="G5868" s="92"/>
      <c r="H5868" s="92"/>
      <c r="I5868" s="92"/>
      <c r="J5868" s="92"/>
      <c r="K5868" s="92"/>
      <c r="L5868" s="92"/>
      <c r="M5868" s="92"/>
      <c r="N5868" s="94"/>
      <c r="AG5868" s="107"/>
      <c r="AH5868" s="117"/>
      <c r="AI5868" s="117"/>
      <c r="AJ5868" s="117"/>
      <c r="AK5868" s="107"/>
      <c r="AL5868" s="107"/>
      <c r="AM5868" s="107"/>
      <c r="AN5868" s="107"/>
      <c r="AO5868" s="107"/>
      <c r="AP5868" s="107"/>
      <c r="AQ5868" s="107"/>
      <c r="AR5868" s="107"/>
      <c r="AS5868" s="107"/>
      <c r="AT5868" s="39"/>
    </row>
    <row r="5869" spans="1:46" x14ac:dyDescent="0.25">
      <c r="A5869" s="92"/>
      <c r="B5869" s="92"/>
      <c r="C5869" s="92"/>
      <c r="D5869" s="92"/>
      <c r="E5869" s="92"/>
      <c r="F5869" s="92"/>
      <c r="G5869" s="92"/>
      <c r="H5869" s="92"/>
      <c r="I5869" s="92"/>
      <c r="J5869" s="92"/>
      <c r="K5869" s="92"/>
      <c r="L5869" s="92"/>
      <c r="M5869" s="92"/>
      <c r="N5869" s="92"/>
      <c r="AG5869" s="107"/>
      <c r="AH5869" s="117"/>
      <c r="AI5869" s="117"/>
      <c r="AJ5869" s="11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39"/>
    </row>
    <row r="5870" spans="1:46" x14ac:dyDescent="0.25">
      <c r="A5870" s="92"/>
      <c r="B5870" s="92"/>
      <c r="C5870" s="92"/>
      <c r="D5870" s="92"/>
      <c r="E5870" s="92"/>
      <c r="F5870" s="92"/>
      <c r="G5870" s="92"/>
      <c r="H5870" s="92"/>
      <c r="I5870" s="92"/>
      <c r="J5870" s="92"/>
      <c r="K5870" s="92"/>
      <c r="L5870" s="92"/>
      <c r="M5870" s="92"/>
      <c r="N5870" s="92"/>
      <c r="AG5870" s="107"/>
      <c r="AH5870" s="107"/>
      <c r="AI5870" s="107"/>
      <c r="AJ5870" s="117"/>
      <c r="AK5870" s="107"/>
      <c r="AL5870" s="107"/>
      <c r="AM5870" s="107"/>
      <c r="AN5870" s="107"/>
      <c r="AO5870" s="107"/>
      <c r="AP5870" s="107"/>
      <c r="AQ5870" s="107"/>
      <c r="AR5870" s="107"/>
      <c r="AS5870" s="107"/>
      <c r="AT5870" s="107"/>
    </row>
    <row r="5871" spans="1:46" x14ac:dyDescent="0.25">
      <c r="A5871" s="92"/>
      <c r="B5871" s="92"/>
      <c r="C5871" s="92"/>
      <c r="D5871" s="92"/>
      <c r="E5871" s="92"/>
      <c r="F5871" s="92"/>
      <c r="G5871" s="92"/>
      <c r="H5871" s="92"/>
      <c r="I5871" s="92"/>
      <c r="J5871" s="92"/>
      <c r="K5871" s="92"/>
      <c r="L5871" s="92"/>
      <c r="M5871" s="92"/>
      <c r="N5871" s="92"/>
      <c r="AG5871" s="107"/>
      <c r="AH5871" s="117"/>
      <c r="AI5871" s="117"/>
      <c r="AJ5871" s="117"/>
      <c r="AK5871" s="107"/>
      <c r="AL5871" s="107"/>
      <c r="AM5871" s="107"/>
      <c r="AN5871" s="107"/>
      <c r="AO5871" s="107"/>
      <c r="AP5871" s="107"/>
      <c r="AQ5871" s="107"/>
      <c r="AR5871" s="107"/>
      <c r="AS5871" s="107"/>
      <c r="AT5871" s="39"/>
    </row>
    <row r="5872" spans="1:46" x14ac:dyDescent="0.25">
      <c r="A5872" s="92"/>
      <c r="B5872" s="93"/>
      <c r="C5872" s="92"/>
      <c r="D5872" s="93"/>
      <c r="E5872" s="92"/>
      <c r="F5872" s="92"/>
      <c r="G5872" s="92"/>
      <c r="H5872" s="92"/>
      <c r="I5872" s="92"/>
      <c r="J5872" s="92"/>
      <c r="K5872" s="92"/>
      <c r="L5872" s="92"/>
      <c r="M5872" s="92"/>
      <c r="N5872" s="94"/>
      <c r="AG5872" s="107"/>
      <c r="AH5872" s="117"/>
      <c r="AI5872" s="117"/>
      <c r="AJ5872" s="117"/>
      <c r="AK5872" s="107"/>
      <c r="AL5872" s="107"/>
      <c r="AM5872" s="107"/>
      <c r="AN5872" s="107"/>
      <c r="AO5872" s="107"/>
      <c r="AP5872" s="107"/>
      <c r="AQ5872" s="107"/>
      <c r="AR5872" s="107"/>
      <c r="AS5872" s="107"/>
      <c r="AT5872" s="39"/>
    </row>
    <row r="5873" spans="1:46" x14ac:dyDescent="0.25">
      <c r="A5873" s="92"/>
      <c r="B5873" s="93"/>
      <c r="C5873" s="92"/>
      <c r="D5873" s="93"/>
      <c r="E5873" s="92"/>
      <c r="F5873" s="92"/>
      <c r="G5873" s="92"/>
      <c r="H5873" s="92"/>
      <c r="I5873" s="92"/>
      <c r="J5873" s="92"/>
      <c r="K5873" s="92"/>
      <c r="L5873" s="92"/>
      <c r="M5873" s="92"/>
      <c r="N5873" s="94"/>
      <c r="AG5873" s="107"/>
      <c r="AH5873" s="117"/>
      <c r="AI5873" s="117"/>
      <c r="AJ5873" s="117"/>
      <c r="AK5873" s="107"/>
      <c r="AL5873" s="107"/>
      <c r="AM5873" s="107"/>
      <c r="AN5873" s="107"/>
      <c r="AO5873" s="107"/>
      <c r="AP5873" s="107"/>
      <c r="AQ5873" s="107"/>
      <c r="AR5873" s="107"/>
      <c r="AS5873" s="107"/>
      <c r="AT5873" s="39"/>
    </row>
    <row r="5874" spans="1:46" x14ac:dyDescent="0.25">
      <c r="A5874" s="92"/>
      <c r="B5874" s="92"/>
      <c r="C5874" s="92"/>
      <c r="D5874" s="92"/>
      <c r="E5874" s="92"/>
      <c r="F5874" s="92"/>
      <c r="G5874" s="92"/>
      <c r="H5874" s="92"/>
      <c r="I5874" s="92"/>
      <c r="J5874" s="92"/>
      <c r="K5874" s="92"/>
      <c r="L5874" s="92"/>
      <c r="M5874" s="92"/>
      <c r="N5874" s="92"/>
      <c r="AG5874" s="107"/>
      <c r="AH5874" s="117"/>
      <c r="AI5874" s="117"/>
      <c r="AJ5874" s="117"/>
      <c r="AK5874" s="107"/>
      <c r="AL5874" s="107"/>
      <c r="AM5874" s="107"/>
      <c r="AN5874" s="107"/>
      <c r="AO5874" s="107"/>
      <c r="AP5874" s="107"/>
      <c r="AQ5874" s="107"/>
      <c r="AR5874" s="107"/>
      <c r="AS5874" s="107"/>
      <c r="AT5874" s="39"/>
    </row>
    <row r="5875" spans="1:46" x14ac:dyDescent="0.25">
      <c r="A5875" s="92"/>
      <c r="B5875" s="92"/>
      <c r="C5875" s="92"/>
      <c r="D5875" s="92"/>
      <c r="E5875" s="92"/>
      <c r="F5875" s="92"/>
      <c r="G5875" s="92"/>
      <c r="H5875" s="92"/>
      <c r="I5875" s="92"/>
      <c r="J5875" s="92"/>
      <c r="K5875" s="92"/>
      <c r="L5875" s="92"/>
      <c r="M5875" s="92"/>
      <c r="N5875" s="92"/>
      <c r="AG5875" s="107"/>
      <c r="AH5875" s="117"/>
      <c r="AI5875" s="117"/>
      <c r="AJ5875" s="117"/>
      <c r="AK5875" s="107"/>
      <c r="AL5875" s="107"/>
      <c r="AM5875" s="107"/>
      <c r="AN5875" s="107"/>
      <c r="AO5875" s="107"/>
      <c r="AP5875" s="107"/>
      <c r="AQ5875" s="107"/>
      <c r="AR5875" s="107"/>
      <c r="AS5875" s="107"/>
      <c r="AT5875" s="39"/>
    </row>
    <row r="5876" spans="1:46" x14ac:dyDescent="0.25">
      <c r="A5876" s="92"/>
      <c r="B5876" s="92"/>
      <c r="C5876" s="92"/>
      <c r="D5876" s="92"/>
      <c r="E5876" s="92"/>
      <c r="F5876" s="92"/>
      <c r="G5876" s="92"/>
      <c r="H5876" s="92"/>
      <c r="I5876" s="92"/>
      <c r="J5876" s="92"/>
      <c r="K5876" s="92"/>
      <c r="L5876" s="92"/>
      <c r="M5876" s="92"/>
      <c r="N5876" s="92"/>
      <c r="AG5876" s="107"/>
      <c r="AH5876" s="117"/>
      <c r="AI5876" s="117"/>
      <c r="AJ5876" s="117"/>
      <c r="AK5876" s="107"/>
      <c r="AL5876" s="107"/>
      <c r="AM5876" s="107"/>
      <c r="AN5876" s="107"/>
      <c r="AO5876" s="107"/>
      <c r="AP5876" s="107"/>
      <c r="AQ5876" s="107"/>
      <c r="AR5876" s="107"/>
      <c r="AS5876" s="107"/>
      <c r="AT5876" s="39"/>
    </row>
    <row r="5877" spans="1:46" x14ac:dyDescent="0.25">
      <c r="AG5877" s="107"/>
      <c r="AH5877" s="107"/>
      <c r="AI5877" s="107"/>
      <c r="AJ5877" s="117"/>
      <c r="AK5877" s="107"/>
      <c r="AL5877" s="107"/>
      <c r="AM5877" s="107"/>
      <c r="AN5877" s="107"/>
      <c r="AO5877" s="107"/>
      <c r="AP5877" s="107"/>
      <c r="AQ5877" s="107"/>
      <c r="AR5877" s="107"/>
      <c r="AS5877" s="107"/>
      <c r="AT5877" s="107"/>
    </row>
    <row r="5878" spans="1:46" x14ac:dyDescent="0.25">
      <c r="AG5878" s="107"/>
      <c r="AH5878" s="117"/>
      <c r="AI5878" s="117"/>
      <c r="AJ5878" s="117"/>
      <c r="AK5878" s="107"/>
      <c r="AL5878" s="107"/>
      <c r="AM5878" s="107"/>
      <c r="AN5878" s="107"/>
      <c r="AO5878" s="107"/>
      <c r="AP5878" s="107"/>
      <c r="AQ5878" s="107"/>
      <c r="AR5878" s="107"/>
      <c r="AS5878" s="107"/>
      <c r="AT5878" s="39"/>
    </row>
    <row r="5879" spans="1:46" x14ac:dyDescent="0.25">
      <c r="AG5879" s="107"/>
      <c r="AH5879" s="117"/>
      <c r="AI5879" s="117"/>
      <c r="AJ5879" s="117"/>
      <c r="AK5879" s="107"/>
      <c r="AL5879" s="107"/>
      <c r="AM5879" s="107"/>
      <c r="AN5879" s="107"/>
      <c r="AO5879" s="107"/>
      <c r="AP5879" s="107"/>
      <c r="AQ5879" s="107"/>
      <c r="AR5879" s="107"/>
      <c r="AS5879" s="107"/>
      <c r="AT5879" s="39"/>
    </row>
    <row r="5880" spans="1:46" x14ac:dyDescent="0.25">
      <c r="AG5880" s="107"/>
      <c r="AH5880" s="117"/>
      <c r="AI5880" s="117"/>
      <c r="AJ5880" s="117"/>
      <c r="AK5880" s="107"/>
      <c r="AL5880" s="107"/>
      <c r="AM5880" s="107"/>
      <c r="AN5880" s="107"/>
      <c r="AO5880" s="107"/>
      <c r="AP5880" s="107"/>
      <c r="AQ5880" s="107"/>
      <c r="AR5880" s="107"/>
      <c r="AS5880" s="107"/>
      <c r="AT5880" s="39"/>
    </row>
    <row r="5881" spans="1:46" x14ac:dyDescent="0.25">
      <c r="AG5881" s="107"/>
      <c r="AH5881" s="117"/>
      <c r="AI5881" s="117"/>
      <c r="AJ5881" s="117"/>
      <c r="AK5881" s="107"/>
      <c r="AL5881" s="107"/>
      <c r="AM5881" s="107"/>
      <c r="AN5881" s="107"/>
      <c r="AO5881" s="107"/>
      <c r="AP5881" s="107"/>
      <c r="AQ5881" s="107"/>
      <c r="AR5881" s="107"/>
      <c r="AS5881" s="107"/>
      <c r="AT5881" s="39"/>
    </row>
    <row r="5882" spans="1:46" x14ac:dyDescent="0.25">
      <c r="AG5882" s="107"/>
      <c r="AH5882" s="117"/>
      <c r="AI5882" s="117"/>
      <c r="AJ5882" s="117"/>
      <c r="AK5882" s="107"/>
      <c r="AL5882" s="107"/>
      <c r="AM5882" s="107"/>
      <c r="AN5882" s="107"/>
      <c r="AO5882" s="107"/>
      <c r="AP5882" s="107"/>
      <c r="AQ5882" s="107"/>
      <c r="AR5882" s="107"/>
      <c r="AS5882" s="107"/>
      <c r="AT5882" s="39"/>
    </row>
    <row r="5883" spans="1:46" x14ac:dyDescent="0.25">
      <c r="AG5883" s="107"/>
      <c r="AH5883" s="117"/>
      <c r="AI5883" s="117"/>
      <c r="AJ5883" s="117"/>
      <c r="AK5883" s="107"/>
      <c r="AL5883" s="107"/>
      <c r="AM5883" s="107"/>
      <c r="AN5883" s="107"/>
      <c r="AO5883" s="107"/>
      <c r="AP5883" s="107"/>
      <c r="AQ5883" s="107"/>
      <c r="AR5883" s="107"/>
      <c r="AS5883" s="107"/>
      <c r="AT5883" s="39"/>
    </row>
    <row r="5884" spans="1:46" x14ac:dyDescent="0.25">
      <c r="AG5884" s="107"/>
      <c r="AH5884" s="117"/>
      <c r="AI5884" s="117"/>
      <c r="AJ5884" s="117"/>
      <c r="AK5884" s="107"/>
      <c r="AL5884" s="107"/>
      <c r="AM5884" s="107"/>
      <c r="AN5884" s="107"/>
      <c r="AO5884" s="107"/>
      <c r="AP5884" s="107"/>
      <c r="AQ5884" s="107"/>
      <c r="AR5884" s="107"/>
      <c r="AS5884" s="107"/>
      <c r="AT5884" s="39"/>
    </row>
    <row r="5885" spans="1:46" x14ac:dyDescent="0.25">
      <c r="AG5885" s="107"/>
      <c r="AH5885" s="117"/>
      <c r="AI5885" s="117"/>
      <c r="AJ5885" s="117"/>
      <c r="AK5885" s="107"/>
      <c r="AL5885" s="107"/>
      <c r="AM5885" s="107"/>
      <c r="AN5885" s="107"/>
      <c r="AO5885" s="107"/>
      <c r="AP5885" s="107"/>
      <c r="AQ5885" s="107"/>
      <c r="AR5885" s="107"/>
      <c r="AS5885" s="107"/>
      <c r="AT5885" s="39"/>
    </row>
    <row r="5886" spans="1:46" x14ac:dyDescent="0.25">
      <c r="AG5886" s="107"/>
      <c r="AH5886" s="117"/>
      <c r="AI5886" s="117"/>
      <c r="AJ5886" s="117"/>
      <c r="AK5886" s="107"/>
      <c r="AL5886" s="107"/>
      <c r="AM5886" s="107"/>
      <c r="AN5886" s="107"/>
      <c r="AO5886" s="107"/>
      <c r="AP5886" s="107"/>
      <c r="AQ5886" s="107"/>
      <c r="AR5886" s="107"/>
      <c r="AS5886" s="107"/>
      <c r="AT5886" s="39"/>
    </row>
    <row r="5887" spans="1:46" x14ac:dyDescent="0.25">
      <c r="AG5887" s="107"/>
      <c r="AH5887" s="117"/>
      <c r="AI5887" s="117"/>
      <c r="AJ5887" s="117"/>
      <c r="AK5887" s="107"/>
      <c r="AL5887" s="107"/>
      <c r="AM5887" s="107"/>
      <c r="AN5887" s="107"/>
      <c r="AO5887" s="107"/>
      <c r="AP5887" s="107"/>
      <c r="AQ5887" s="107"/>
      <c r="AR5887" s="107"/>
      <c r="AS5887" s="107"/>
      <c r="AT5887" s="39"/>
    </row>
    <row r="5888" spans="1:46" x14ac:dyDescent="0.25">
      <c r="AG5888" s="107"/>
      <c r="AH5888" s="117"/>
      <c r="AI5888" s="117"/>
      <c r="AJ5888" s="117"/>
      <c r="AK5888" s="107"/>
      <c r="AL5888" s="107"/>
      <c r="AM5888" s="107"/>
      <c r="AN5888" s="107"/>
      <c r="AO5888" s="107"/>
      <c r="AP5888" s="107"/>
      <c r="AQ5888" s="107"/>
      <c r="AR5888" s="107"/>
      <c r="AS5888" s="107"/>
      <c r="AT5888" s="39"/>
    </row>
    <row r="5889" spans="33:46" x14ac:dyDescent="0.25">
      <c r="AG5889" s="107"/>
      <c r="AH5889" s="117"/>
      <c r="AI5889" s="117"/>
      <c r="AJ5889" s="117"/>
      <c r="AK5889" s="107"/>
      <c r="AL5889" s="107"/>
      <c r="AM5889" s="107"/>
      <c r="AN5889" s="107"/>
      <c r="AO5889" s="107"/>
      <c r="AP5889" s="107"/>
      <c r="AQ5889" s="107"/>
      <c r="AR5889" s="107"/>
      <c r="AS5889" s="107"/>
      <c r="AT5889" s="39"/>
    </row>
    <row r="5890" spans="33:46" x14ac:dyDescent="0.25">
      <c r="AG5890" s="107"/>
      <c r="AH5890" s="107"/>
      <c r="AI5890" s="107"/>
      <c r="AJ5890" s="117"/>
      <c r="AK5890" s="107"/>
      <c r="AL5890" s="107"/>
      <c r="AM5890" s="107"/>
      <c r="AN5890" s="107"/>
      <c r="AO5890" s="107"/>
      <c r="AP5890" s="107"/>
      <c r="AQ5890" s="107"/>
      <c r="AR5890" s="107"/>
      <c r="AS5890" s="107"/>
      <c r="AT5890" s="107"/>
    </row>
    <row r="5891" spans="33:46" x14ac:dyDescent="0.25">
      <c r="AG5891" s="107"/>
      <c r="AH5891" s="117"/>
      <c r="AI5891" s="117"/>
      <c r="AJ5891" s="117"/>
      <c r="AK5891" s="107"/>
      <c r="AL5891" s="107"/>
      <c r="AM5891" s="107"/>
      <c r="AN5891" s="107"/>
      <c r="AO5891" s="107"/>
      <c r="AP5891" s="107"/>
      <c r="AQ5891" s="107"/>
      <c r="AR5891" s="107"/>
      <c r="AS5891" s="107"/>
      <c r="AT5891" s="39"/>
    </row>
    <row r="5892" spans="33:46" x14ac:dyDescent="0.25">
      <c r="AG5892" s="107"/>
      <c r="AH5892" s="117"/>
      <c r="AI5892" s="117"/>
      <c r="AJ5892" s="117"/>
      <c r="AK5892" s="107"/>
      <c r="AL5892" s="107"/>
      <c r="AM5892" s="107"/>
      <c r="AN5892" s="107"/>
      <c r="AO5892" s="107"/>
      <c r="AP5892" s="107"/>
      <c r="AQ5892" s="107"/>
      <c r="AR5892" s="107"/>
      <c r="AS5892" s="107"/>
      <c r="AT5892" s="39"/>
    </row>
    <row r="5893" spans="33:46" x14ac:dyDescent="0.25">
      <c r="AG5893" s="107"/>
      <c r="AH5893" s="117"/>
      <c r="AI5893" s="117"/>
      <c r="AJ5893" s="117"/>
      <c r="AK5893" s="107"/>
      <c r="AL5893" s="107"/>
      <c r="AM5893" s="107"/>
      <c r="AN5893" s="107"/>
      <c r="AO5893" s="107"/>
      <c r="AP5893" s="107"/>
      <c r="AQ5893" s="107"/>
      <c r="AR5893" s="107"/>
      <c r="AS5893" s="107"/>
      <c r="AT5893" s="39"/>
    </row>
    <row r="5894" spans="33:46" x14ac:dyDescent="0.25">
      <c r="AG5894" s="107"/>
      <c r="AH5894" s="117"/>
      <c r="AI5894" s="117"/>
      <c r="AJ5894" s="117"/>
      <c r="AK5894" s="107"/>
      <c r="AL5894" s="107"/>
      <c r="AM5894" s="107"/>
      <c r="AN5894" s="107"/>
      <c r="AO5894" s="107"/>
      <c r="AP5894" s="107"/>
      <c r="AQ5894" s="107"/>
      <c r="AR5894" s="107"/>
      <c r="AS5894" s="107"/>
      <c r="AT5894" s="39"/>
    </row>
    <row r="5895" spans="33:46" x14ac:dyDescent="0.25">
      <c r="AG5895" s="107"/>
      <c r="AH5895" s="117"/>
      <c r="AI5895" s="117"/>
      <c r="AJ5895" s="117"/>
      <c r="AK5895" s="107"/>
      <c r="AL5895" s="107"/>
      <c r="AM5895" s="107"/>
      <c r="AN5895" s="107"/>
      <c r="AO5895" s="107"/>
      <c r="AP5895" s="107"/>
      <c r="AQ5895" s="107"/>
      <c r="AR5895" s="107"/>
      <c r="AS5895" s="107"/>
      <c r="AT5895" s="39"/>
    </row>
    <row r="5896" spans="33:46" x14ac:dyDescent="0.25">
      <c r="AG5896" s="107"/>
      <c r="AH5896" s="117"/>
      <c r="AI5896" s="117"/>
      <c r="AJ5896" s="117"/>
      <c r="AK5896" s="107"/>
      <c r="AL5896" s="107"/>
      <c r="AM5896" s="107"/>
      <c r="AN5896" s="107"/>
      <c r="AO5896" s="107"/>
      <c r="AP5896" s="107"/>
      <c r="AQ5896" s="107"/>
      <c r="AR5896" s="107"/>
      <c r="AS5896" s="107"/>
      <c r="AT5896" s="39"/>
    </row>
    <row r="5897" spans="33:46" x14ac:dyDescent="0.25">
      <c r="AG5897" s="107"/>
      <c r="AH5897" s="117"/>
      <c r="AI5897" s="117"/>
      <c r="AJ5897" s="117"/>
      <c r="AK5897" s="107"/>
      <c r="AL5897" s="107"/>
      <c r="AM5897" s="107"/>
      <c r="AN5897" s="107"/>
      <c r="AO5897" s="107"/>
      <c r="AP5897" s="107"/>
      <c r="AQ5897" s="107"/>
      <c r="AR5897" s="107"/>
      <c r="AS5897" s="107"/>
      <c r="AT5897" s="39"/>
    </row>
    <row r="5898" spans="33:46" x14ac:dyDescent="0.25">
      <c r="AG5898" s="107"/>
      <c r="AH5898" s="107"/>
      <c r="AI5898" s="107"/>
      <c r="AJ5898" s="117"/>
      <c r="AK5898" s="107"/>
      <c r="AL5898" s="107"/>
      <c r="AM5898" s="107"/>
      <c r="AN5898" s="107"/>
      <c r="AO5898" s="107"/>
      <c r="AP5898" s="107"/>
      <c r="AQ5898" s="107"/>
      <c r="AR5898" s="107"/>
      <c r="AS5898" s="107"/>
      <c r="AT5898" s="107"/>
    </row>
    <row r="5899" spans="33:46" x14ac:dyDescent="0.25">
      <c r="AG5899" s="107"/>
      <c r="AH5899" s="107"/>
      <c r="AI5899" s="107"/>
      <c r="AJ5899" s="117"/>
      <c r="AK5899" s="107"/>
      <c r="AL5899" s="107"/>
      <c r="AM5899" s="107"/>
      <c r="AN5899" s="107"/>
      <c r="AO5899" s="107"/>
      <c r="AP5899" s="107"/>
      <c r="AQ5899" s="107"/>
      <c r="AR5899" s="107"/>
      <c r="AS5899" s="107"/>
      <c r="AT5899" s="107"/>
    </row>
    <row r="5900" spans="33:46" x14ac:dyDescent="0.25">
      <c r="AG5900" s="107"/>
      <c r="AH5900" s="117"/>
      <c r="AI5900" s="117"/>
      <c r="AJ5900" s="117"/>
      <c r="AK5900" s="107"/>
      <c r="AL5900" s="107"/>
      <c r="AM5900" s="107"/>
      <c r="AN5900" s="107"/>
      <c r="AO5900" s="107"/>
      <c r="AP5900" s="107"/>
      <c r="AQ5900" s="107"/>
      <c r="AR5900" s="107"/>
      <c r="AS5900" s="107"/>
      <c r="AT5900" s="39"/>
    </row>
    <row r="5901" spans="33:46" x14ac:dyDescent="0.25">
      <c r="AG5901" s="107"/>
      <c r="AH5901" s="117"/>
      <c r="AI5901" s="117"/>
      <c r="AJ5901" s="11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39"/>
    </row>
    <row r="5902" spans="33:46" x14ac:dyDescent="0.25">
      <c r="AG5902" s="107"/>
      <c r="AH5902" s="117"/>
      <c r="AI5902" s="117"/>
      <c r="AJ5902" s="117"/>
      <c r="AK5902" s="107"/>
      <c r="AL5902" s="107"/>
      <c r="AM5902" s="107"/>
      <c r="AN5902" s="107"/>
      <c r="AO5902" s="107"/>
      <c r="AP5902" s="107"/>
      <c r="AQ5902" s="107"/>
      <c r="AR5902" s="107"/>
      <c r="AS5902" s="107"/>
      <c r="AT5902" s="39"/>
    </row>
    <row r="5903" spans="33:46" x14ac:dyDescent="0.25">
      <c r="AG5903" s="107"/>
      <c r="AH5903" s="117"/>
      <c r="AI5903" s="117"/>
      <c r="AJ5903" s="117"/>
      <c r="AK5903" s="107"/>
      <c r="AL5903" s="107"/>
      <c r="AM5903" s="107"/>
      <c r="AN5903" s="107"/>
      <c r="AO5903" s="107"/>
      <c r="AP5903" s="107"/>
      <c r="AQ5903" s="107"/>
      <c r="AR5903" s="107"/>
      <c r="AS5903" s="107"/>
      <c r="AT5903" s="39"/>
    </row>
    <row r="5904" spans="33:46" x14ac:dyDescent="0.25">
      <c r="AG5904" s="107"/>
      <c r="AH5904" s="117"/>
      <c r="AI5904" s="117"/>
      <c r="AJ5904" s="117"/>
      <c r="AK5904" s="107"/>
      <c r="AL5904" s="107"/>
      <c r="AM5904" s="107"/>
      <c r="AN5904" s="107"/>
      <c r="AO5904" s="107"/>
      <c r="AP5904" s="107"/>
      <c r="AQ5904" s="107"/>
      <c r="AR5904" s="107"/>
      <c r="AS5904" s="107"/>
      <c r="AT5904" s="39"/>
    </row>
    <row r="5905" spans="33:46" x14ac:dyDescent="0.25">
      <c r="AG5905" s="107"/>
      <c r="AH5905" s="117"/>
      <c r="AI5905" s="117"/>
      <c r="AJ5905" s="117"/>
      <c r="AK5905" s="107"/>
      <c r="AL5905" s="107"/>
      <c r="AM5905" s="107"/>
      <c r="AN5905" s="107"/>
      <c r="AO5905" s="107"/>
      <c r="AP5905" s="107"/>
      <c r="AQ5905" s="107"/>
      <c r="AR5905" s="107"/>
      <c r="AS5905" s="107"/>
      <c r="AT5905" s="39"/>
    </row>
    <row r="5906" spans="33:46" x14ac:dyDescent="0.25">
      <c r="AG5906" s="107"/>
      <c r="AH5906" s="107"/>
      <c r="AI5906" s="107"/>
      <c r="AJ5906" s="117"/>
      <c r="AK5906" s="107"/>
      <c r="AL5906" s="107"/>
      <c r="AM5906" s="107"/>
      <c r="AN5906" s="107"/>
      <c r="AO5906" s="107"/>
      <c r="AP5906" s="107"/>
      <c r="AQ5906" s="107"/>
      <c r="AR5906" s="107"/>
      <c r="AS5906" s="107"/>
      <c r="AT5906" s="107"/>
    </row>
    <row r="5907" spans="33:46" x14ac:dyDescent="0.25">
      <c r="AG5907" s="107"/>
      <c r="AH5907" s="117"/>
      <c r="AI5907" s="107"/>
      <c r="AJ5907" s="117"/>
      <c r="AK5907" s="107"/>
      <c r="AL5907" s="107"/>
      <c r="AM5907" s="107"/>
      <c r="AN5907" s="107"/>
      <c r="AO5907" s="107"/>
      <c r="AP5907" s="107"/>
      <c r="AQ5907" s="107"/>
      <c r="AR5907" s="107"/>
      <c r="AS5907" s="107"/>
      <c r="AT5907" s="39"/>
    </row>
    <row r="5908" spans="33:46" x14ac:dyDescent="0.25">
      <c r="AG5908" s="107"/>
      <c r="AH5908" s="117"/>
      <c r="AI5908" s="107"/>
      <c r="AJ5908" s="117"/>
      <c r="AK5908" s="107"/>
      <c r="AL5908" s="107"/>
      <c r="AM5908" s="107"/>
      <c r="AN5908" s="107"/>
      <c r="AO5908" s="107"/>
      <c r="AP5908" s="107"/>
      <c r="AQ5908" s="107"/>
      <c r="AR5908" s="107"/>
      <c r="AS5908" s="107"/>
      <c r="AT5908" s="39"/>
    </row>
    <row r="5909" spans="33:46" x14ac:dyDescent="0.25">
      <c r="AG5909" s="107"/>
      <c r="AH5909" s="117"/>
      <c r="AI5909" s="117"/>
      <c r="AJ5909" s="117"/>
      <c r="AK5909" s="107"/>
      <c r="AL5909" s="107"/>
      <c r="AM5909" s="107"/>
      <c r="AN5909" s="107"/>
      <c r="AO5909" s="107"/>
      <c r="AP5909" s="107"/>
      <c r="AQ5909" s="107"/>
      <c r="AR5909" s="107"/>
      <c r="AS5909" s="107"/>
      <c r="AT5909" s="39"/>
    </row>
    <row r="5910" spans="33:46" x14ac:dyDescent="0.25">
      <c r="AG5910" s="107"/>
      <c r="AH5910" s="117"/>
      <c r="AI5910" s="117"/>
      <c r="AJ5910" s="117"/>
      <c r="AK5910" s="107"/>
      <c r="AL5910" s="107"/>
      <c r="AM5910" s="107"/>
      <c r="AN5910" s="107"/>
      <c r="AO5910" s="107"/>
      <c r="AP5910" s="107"/>
      <c r="AQ5910" s="107"/>
      <c r="AR5910" s="107"/>
      <c r="AS5910" s="107"/>
      <c r="AT5910" s="39"/>
    </row>
    <row r="5911" spans="33:46" x14ac:dyDescent="0.25">
      <c r="AG5911" s="107"/>
      <c r="AH5911" s="117"/>
      <c r="AI5911" s="117"/>
      <c r="AJ5911" s="117"/>
      <c r="AK5911" s="107"/>
      <c r="AL5911" s="107"/>
      <c r="AM5911" s="107"/>
      <c r="AN5911" s="107"/>
      <c r="AO5911" s="107"/>
      <c r="AP5911" s="107"/>
      <c r="AQ5911" s="107"/>
      <c r="AR5911" s="107"/>
      <c r="AS5911" s="107"/>
      <c r="AT5911" s="39"/>
    </row>
    <row r="5912" spans="33:46" x14ac:dyDescent="0.25">
      <c r="AG5912" s="107"/>
      <c r="AH5912" s="117"/>
      <c r="AI5912" s="117"/>
      <c r="AJ5912" s="117"/>
      <c r="AK5912" s="107"/>
      <c r="AL5912" s="107"/>
      <c r="AM5912" s="107"/>
      <c r="AN5912" s="107"/>
      <c r="AO5912" s="107"/>
      <c r="AP5912" s="107"/>
      <c r="AQ5912" s="107"/>
      <c r="AR5912" s="107"/>
      <c r="AS5912" s="107"/>
      <c r="AT5912" s="39"/>
    </row>
    <row r="5913" spans="33:46" x14ac:dyDescent="0.25">
      <c r="AG5913" s="107"/>
      <c r="AH5913" s="107"/>
      <c r="AI5913" s="107"/>
      <c r="AJ5913" s="117"/>
      <c r="AK5913" s="107"/>
      <c r="AL5913" s="107"/>
      <c r="AM5913" s="107"/>
      <c r="AN5913" s="107"/>
      <c r="AO5913" s="107"/>
      <c r="AP5913" s="107"/>
      <c r="AQ5913" s="107"/>
      <c r="AR5913" s="107"/>
      <c r="AS5913" s="107"/>
      <c r="AT5913" s="107"/>
    </row>
    <row r="5914" spans="33:46" x14ac:dyDescent="0.25">
      <c r="AG5914" s="107"/>
      <c r="AH5914" s="117"/>
      <c r="AI5914" s="117"/>
      <c r="AJ5914" s="117"/>
      <c r="AK5914" s="107"/>
      <c r="AL5914" s="107"/>
      <c r="AM5914" s="107"/>
      <c r="AN5914" s="107"/>
      <c r="AO5914" s="107"/>
      <c r="AP5914" s="107"/>
      <c r="AQ5914" s="107"/>
      <c r="AR5914" s="107"/>
      <c r="AS5914" s="107"/>
      <c r="AT5914" s="39"/>
    </row>
    <row r="5915" spans="33:46" x14ac:dyDescent="0.25">
      <c r="AG5915" s="107"/>
      <c r="AH5915" s="117"/>
      <c r="AI5915" s="117"/>
      <c r="AJ5915" s="117"/>
      <c r="AK5915" s="107"/>
      <c r="AL5915" s="107"/>
      <c r="AM5915" s="107"/>
      <c r="AN5915" s="107"/>
      <c r="AO5915" s="107"/>
      <c r="AP5915" s="107"/>
      <c r="AQ5915" s="107"/>
      <c r="AR5915" s="107"/>
      <c r="AS5915" s="107"/>
      <c r="AT5915" s="39"/>
    </row>
    <row r="5916" spans="33:46" x14ac:dyDescent="0.25">
      <c r="AG5916" s="107"/>
      <c r="AH5916" s="117"/>
      <c r="AI5916" s="117"/>
      <c r="AJ5916" s="117"/>
      <c r="AK5916" s="107"/>
      <c r="AL5916" s="107"/>
      <c r="AM5916" s="107"/>
      <c r="AN5916" s="107"/>
      <c r="AO5916" s="107"/>
      <c r="AP5916" s="107"/>
      <c r="AQ5916" s="107"/>
      <c r="AR5916" s="107"/>
      <c r="AS5916" s="107"/>
      <c r="AT5916" s="39"/>
    </row>
    <row r="5917" spans="33:46" x14ac:dyDescent="0.25">
      <c r="AG5917" s="107"/>
      <c r="AH5917" s="107"/>
      <c r="AI5917" s="107"/>
      <c r="AJ5917" s="117"/>
      <c r="AK5917" s="107"/>
      <c r="AL5917" s="107"/>
      <c r="AM5917" s="107"/>
      <c r="AN5917" s="107"/>
      <c r="AO5917" s="107"/>
      <c r="AP5917" s="107"/>
      <c r="AQ5917" s="107"/>
      <c r="AR5917" s="107"/>
      <c r="AS5917" s="107"/>
      <c r="AT5917" s="107"/>
    </row>
    <row r="5918" spans="33:46" x14ac:dyDescent="0.25">
      <c r="AG5918" s="107"/>
      <c r="AH5918" s="117"/>
      <c r="AI5918" s="117"/>
      <c r="AJ5918" s="117"/>
      <c r="AK5918" s="107"/>
      <c r="AL5918" s="107"/>
      <c r="AM5918" s="107"/>
      <c r="AN5918" s="107"/>
      <c r="AO5918" s="107"/>
      <c r="AP5918" s="107"/>
      <c r="AQ5918" s="107"/>
      <c r="AR5918" s="107"/>
      <c r="AS5918" s="107"/>
      <c r="AT5918" s="39"/>
    </row>
    <row r="5919" spans="33:46" x14ac:dyDescent="0.25">
      <c r="AG5919" s="107"/>
      <c r="AH5919" s="117"/>
      <c r="AI5919" s="117"/>
      <c r="AJ5919" s="117"/>
      <c r="AK5919" s="107"/>
      <c r="AL5919" s="107"/>
      <c r="AM5919" s="107"/>
      <c r="AN5919" s="107"/>
      <c r="AO5919" s="107"/>
      <c r="AP5919" s="107"/>
      <c r="AQ5919" s="107"/>
      <c r="AR5919" s="107"/>
      <c r="AS5919" s="107"/>
      <c r="AT5919" s="39"/>
    </row>
    <row r="5920" spans="33:46" x14ac:dyDescent="0.25">
      <c r="AG5920" s="107"/>
      <c r="AH5920" s="117"/>
      <c r="AI5920" s="117"/>
      <c r="AJ5920" s="117"/>
      <c r="AK5920" s="107"/>
      <c r="AL5920" s="107"/>
      <c r="AM5920" s="107"/>
      <c r="AN5920" s="107"/>
      <c r="AO5920" s="107"/>
      <c r="AP5920" s="107"/>
      <c r="AQ5920" s="107"/>
      <c r="AR5920" s="107"/>
      <c r="AS5920" s="107"/>
      <c r="AT5920" s="39"/>
    </row>
    <row r="5921" spans="33:46" x14ac:dyDescent="0.25">
      <c r="AG5921" s="107"/>
      <c r="AH5921" s="107"/>
      <c r="AI5921" s="107"/>
      <c r="AJ5921" s="117"/>
      <c r="AK5921" s="107"/>
      <c r="AL5921" s="107"/>
      <c r="AM5921" s="107"/>
      <c r="AN5921" s="107"/>
      <c r="AO5921" s="107"/>
      <c r="AP5921" s="107"/>
      <c r="AQ5921" s="107"/>
      <c r="AR5921" s="107"/>
      <c r="AS5921" s="107"/>
      <c r="AT5921" s="107"/>
    </row>
    <row r="5922" spans="33:46" x14ac:dyDescent="0.25">
      <c r="AG5922" s="107"/>
      <c r="AH5922" s="107"/>
      <c r="AI5922" s="107"/>
      <c r="AJ5922" s="117"/>
      <c r="AK5922" s="107"/>
      <c r="AL5922" s="107"/>
      <c r="AM5922" s="107"/>
      <c r="AN5922" s="107"/>
      <c r="AO5922" s="107"/>
      <c r="AP5922" s="107"/>
      <c r="AQ5922" s="107"/>
      <c r="AR5922" s="107"/>
      <c r="AS5922" s="107"/>
      <c r="AT5922" s="107"/>
    </row>
    <row r="5923" spans="33:46" x14ac:dyDescent="0.25">
      <c r="AG5923" s="107"/>
      <c r="AH5923" s="117"/>
      <c r="AI5923" s="117"/>
      <c r="AJ5923" s="117"/>
      <c r="AK5923" s="107"/>
      <c r="AL5923" s="107"/>
      <c r="AM5923" s="107"/>
      <c r="AN5923" s="107"/>
      <c r="AO5923" s="107"/>
      <c r="AP5923" s="107"/>
      <c r="AQ5923" s="107"/>
      <c r="AR5923" s="107"/>
      <c r="AS5923" s="107"/>
      <c r="AT5923" s="39"/>
    </row>
    <row r="5924" spans="33:46" x14ac:dyDescent="0.25">
      <c r="AG5924" s="107"/>
      <c r="AH5924" s="107"/>
      <c r="AI5924" s="107"/>
      <c r="AJ5924" s="117"/>
      <c r="AK5924" s="107"/>
      <c r="AL5924" s="107"/>
      <c r="AM5924" s="107"/>
      <c r="AN5924" s="107"/>
      <c r="AO5924" s="107"/>
      <c r="AP5924" s="107"/>
      <c r="AQ5924" s="107"/>
      <c r="AR5924" s="107"/>
      <c r="AS5924" s="107"/>
      <c r="AT5924" s="107"/>
    </row>
    <row r="5925" spans="33:46" x14ac:dyDescent="0.25">
      <c r="AG5925" s="107"/>
      <c r="AH5925" s="107"/>
      <c r="AI5925" s="107"/>
      <c r="AJ5925" s="117"/>
      <c r="AK5925" s="107"/>
      <c r="AL5925" s="107"/>
      <c r="AM5925" s="107"/>
      <c r="AN5925" s="107"/>
      <c r="AO5925" s="107"/>
      <c r="AP5925" s="107"/>
      <c r="AQ5925" s="107"/>
      <c r="AR5925" s="107"/>
      <c r="AS5925" s="107"/>
      <c r="AT5925" s="107"/>
    </row>
    <row r="5926" spans="33:46" x14ac:dyDescent="0.25">
      <c r="AG5926" s="107"/>
      <c r="AH5926" s="107"/>
      <c r="AI5926" s="107"/>
      <c r="AJ5926" s="117"/>
      <c r="AK5926" s="107"/>
      <c r="AL5926" s="107"/>
      <c r="AM5926" s="107"/>
      <c r="AN5926" s="107"/>
      <c r="AO5926" s="107"/>
      <c r="AP5926" s="107"/>
      <c r="AQ5926" s="107"/>
      <c r="AR5926" s="107"/>
      <c r="AS5926" s="107"/>
      <c r="AT5926" s="107"/>
    </row>
    <row r="5927" spans="33:46" x14ac:dyDescent="0.25">
      <c r="AG5927" s="107"/>
      <c r="AH5927" s="107"/>
      <c r="AI5927" s="107"/>
      <c r="AJ5927" s="117"/>
      <c r="AK5927" s="107"/>
      <c r="AL5927" s="107"/>
      <c r="AM5927" s="107"/>
      <c r="AN5927" s="107"/>
      <c r="AO5927" s="107"/>
      <c r="AP5927" s="107"/>
      <c r="AQ5927" s="107"/>
      <c r="AR5927" s="107"/>
      <c r="AS5927" s="107"/>
      <c r="AT5927" s="107"/>
    </row>
    <row r="5928" spans="33:46" x14ac:dyDescent="0.25">
      <c r="AG5928" s="107"/>
      <c r="AH5928" s="117"/>
      <c r="AI5928" s="117"/>
      <c r="AJ5928" s="117"/>
      <c r="AK5928" s="107"/>
      <c r="AL5928" s="107"/>
      <c r="AM5928" s="107"/>
      <c r="AN5928" s="107"/>
      <c r="AO5928" s="107"/>
      <c r="AP5928" s="107"/>
      <c r="AQ5928" s="107"/>
      <c r="AR5928" s="107"/>
      <c r="AS5928" s="107"/>
      <c r="AT5928" s="39"/>
    </row>
    <row r="5929" spans="33:46" x14ac:dyDescent="0.25">
      <c r="AG5929" s="107"/>
      <c r="AH5929" s="107"/>
      <c r="AI5929" s="107"/>
      <c r="AJ5929" s="117"/>
      <c r="AK5929" s="107"/>
      <c r="AL5929" s="107"/>
      <c r="AM5929" s="107"/>
      <c r="AN5929" s="107"/>
      <c r="AO5929" s="107"/>
      <c r="AP5929" s="107"/>
      <c r="AQ5929" s="107"/>
      <c r="AR5929" s="107"/>
      <c r="AS5929" s="107"/>
      <c r="AT5929" s="107"/>
    </row>
    <row r="5930" spans="33:46" x14ac:dyDescent="0.25">
      <c r="AG5930" s="107"/>
      <c r="AH5930" s="107"/>
      <c r="AI5930" s="107"/>
      <c r="AJ5930" s="117"/>
      <c r="AK5930" s="107"/>
      <c r="AL5930" s="107"/>
      <c r="AM5930" s="107"/>
      <c r="AN5930" s="107"/>
      <c r="AO5930" s="107"/>
      <c r="AP5930" s="107"/>
      <c r="AQ5930" s="107"/>
      <c r="AR5930" s="107"/>
      <c r="AS5930" s="107"/>
      <c r="AT5930" s="107"/>
    </row>
    <row r="5931" spans="33:46" x14ac:dyDescent="0.25">
      <c r="AG5931" s="107"/>
      <c r="AH5931" s="117"/>
      <c r="AI5931" s="117"/>
      <c r="AJ5931" s="117"/>
      <c r="AK5931" s="107"/>
      <c r="AL5931" s="107"/>
      <c r="AM5931" s="107"/>
      <c r="AN5931" s="107"/>
      <c r="AO5931" s="107"/>
      <c r="AP5931" s="107"/>
      <c r="AQ5931" s="107"/>
      <c r="AR5931" s="107"/>
      <c r="AS5931" s="107"/>
      <c r="AT5931" s="39"/>
    </row>
    <row r="5932" spans="33:46" x14ac:dyDescent="0.25">
      <c r="AG5932" s="107"/>
      <c r="AH5932" s="117"/>
      <c r="AI5932" s="117"/>
      <c r="AJ5932" s="117"/>
      <c r="AK5932" s="107"/>
      <c r="AL5932" s="107"/>
      <c r="AM5932" s="107"/>
      <c r="AN5932" s="107"/>
      <c r="AO5932" s="107"/>
      <c r="AP5932" s="107"/>
      <c r="AQ5932" s="107"/>
      <c r="AR5932" s="107"/>
      <c r="AS5932" s="107"/>
      <c r="AT5932" s="39"/>
    </row>
    <row r="5933" spans="33:46" x14ac:dyDescent="0.25">
      <c r="AG5933" s="107"/>
      <c r="AH5933" s="107"/>
      <c r="AI5933" s="107"/>
      <c r="AJ5933" s="117"/>
      <c r="AK5933" s="107"/>
      <c r="AL5933" s="107"/>
      <c r="AM5933" s="107"/>
      <c r="AN5933" s="107"/>
      <c r="AO5933" s="107"/>
      <c r="AP5933" s="107"/>
      <c r="AQ5933" s="107"/>
      <c r="AR5933" s="107"/>
      <c r="AS5933" s="107"/>
      <c r="AT5933" s="107"/>
    </row>
    <row r="5934" spans="33:46" x14ac:dyDescent="0.25">
      <c r="AG5934" s="107"/>
      <c r="AH5934" s="117"/>
      <c r="AI5934" s="117"/>
      <c r="AJ5934" s="117"/>
      <c r="AK5934" s="107"/>
      <c r="AL5934" s="107"/>
      <c r="AM5934" s="107"/>
      <c r="AN5934" s="107"/>
      <c r="AO5934" s="107"/>
      <c r="AP5934" s="107"/>
      <c r="AQ5934" s="107"/>
      <c r="AR5934" s="107"/>
      <c r="AS5934" s="107"/>
      <c r="AT5934" s="39"/>
    </row>
    <row r="5935" spans="33:46" x14ac:dyDescent="0.25">
      <c r="AG5935" s="107"/>
      <c r="AH5935" s="117"/>
      <c r="AI5935" s="117"/>
      <c r="AJ5935" s="117"/>
      <c r="AK5935" s="107"/>
      <c r="AL5935" s="107"/>
      <c r="AM5935" s="107"/>
      <c r="AN5935" s="107"/>
      <c r="AO5935" s="107"/>
      <c r="AP5935" s="107"/>
      <c r="AQ5935" s="107"/>
      <c r="AR5935" s="107"/>
      <c r="AS5935" s="107"/>
      <c r="AT5935" s="39"/>
    </row>
    <row r="5936" spans="33:46" x14ac:dyDescent="0.25">
      <c r="AG5936" s="107"/>
      <c r="AH5936" s="117"/>
      <c r="AI5936" s="117"/>
      <c r="AJ5936" s="117"/>
      <c r="AK5936" s="107"/>
      <c r="AL5936" s="107"/>
      <c r="AM5936" s="107"/>
      <c r="AN5936" s="107"/>
      <c r="AO5936" s="107"/>
      <c r="AP5936" s="107"/>
      <c r="AQ5936" s="107"/>
      <c r="AR5936" s="107"/>
      <c r="AS5936" s="107"/>
      <c r="AT5936" s="39"/>
    </row>
    <row r="5937" spans="33:46" x14ac:dyDescent="0.25">
      <c r="AG5937" s="107"/>
      <c r="AH5937" s="117"/>
      <c r="AI5937" s="117"/>
      <c r="AJ5937" s="117"/>
      <c r="AK5937" s="107"/>
      <c r="AL5937" s="107"/>
      <c r="AM5937" s="107"/>
      <c r="AN5937" s="107"/>
      <c r="AO5937" s="107"/>
      <c r="AP5937" s="107"/>
      <c r="AQ5937" s="107"/>
      <c r="AR5937" s="107"/>
      <c r="AS5937" s="107"/>
      <c r="AT5937" s="39"/>
    </row>
    <row r="5938" spans="33:46" x14ac:dyDescent="0.25">
      <c r="AG5938" s="107"/>
      <c r="AH5938" s="107"/>
      <c r="AI5938" s="107"/>
      <c r="AJ5938" s="117"/>
      <c r="AK5938" s="107"/>
      <c r="AL5938" s="107"/>
      <c r="AM5938" s="107"/>
      <c r="AN5938" s="107"/>
      <c r="AO5938" s="107"/>
      <c r="AP5938" s="107"/>
      <c r="AQ5938" s="107"/>
      <c r="AR5938" s="107"/>
      <c r="AS5938" s="107"/>
      <c r="AT5938" s="107"/>
    </row>
    <row r="5939" spans="33:46" x14ac:dyDescent="0.25">
      <c r="AG5939" s="107"/>
      <c r="AH5939" s="107"/>
      <c r="AI5939" s="107"/>
      <c r="AJ5939" s="117"/>
      <c r="AK5939" s="107"/>
      <c r="AL5939" s="107"/>
      <c r="AM5939" s="107"/>
      <c r="AN5939" s="107"/>
      <c r="AO5939" s="107"/>
      <c r="AP5939" s="107"/>
      <c r="AQ5939" s="107"/>
      <c r="AR5939" s="107"/>
      <c r="AS5939" s="107"/>
      <c r="AT5939" s="107"/>
    </row>
    <row r="5940" spans="33:46" x14ac:dyDescent="0.25">
      <c r="AG5940" s="107"/>
      <c r="AH5940" s="107"/>
      <c r="AI5940" s="107"/>
      <c r="AJ5940" s="117"/>
      <c r="AK5940" s="107"/>
      <c r="AL5940" s="107"/>
      <c r="AM5940" s="107"/>
      <c r="AN5940" s="107"/>
      <c r="AO5940" s="107"/>
      <c r="AP5940" s="107"/>
      <c r="AQ5940" s="107"/>
      <c r="AR5940" s="107"/>
      <c r="AS5940" s="107"/>
      <c r="AT5940" s="107"/>
    </row>
    <row r="5941" spans="33:46" x14ac:dyDescent="0.25">
      <c r="AG5941" s="107"/>
      <c r="AH5941" s="107"/>
      <c r="AI5941" s="107"/>
      <c r="AJ5941" s="117"/>
      <c r="AK5941" s="107"/>
      <c r="AL5941" s="107"/>
      <c r="AM5941" s="107"/>
      <c r="AN5941" s="107"/>
      <c r="AO5941" s="107"/>
      <c r="AP5941" s="107"/>
      <c r="AQ5941" s="107"/>
      <c r="AR5941" s="107"/>
      <c r="AS5941" s="107"/>
      <c r="AT5941" s="107"/>
    </row>
    <row r="5942" spans="33:46" x14ac:dyDescent="0.25">
      <c r="AG5942" s="107"/>
      <c r="AH5942" s="107"/>
      <c r="AI5942" s="107"/>
      <c r="AJ5942" s="117"/>
      <c r="AK5942" s="107"/>
      <c r="AL5942" s="107"/>
      <c r="AM5942" s="107"/>
      <c r="AN5942" s="107"/>
      <c r="AO5942" s="107"/>
      <c r="AP5942" s="107"/>
      <c r="AQ5942" s="107"/>
      <c r="AR5942" s="107"/>
      <c r="AS5942" s="107"/>
      <c r="AT5942" s="107"/>
    </row>
    <row r="5943" spans="33:46" x14ac:dyDescent="0.25">
      <c r="AG5943" s="107"/>
      <c r="AH5943" s="107"/>
      <c r="AI5943" s="107"/>
      <c r="AJ5943" s="117"/>
      <c r="AK5943" s="107"/>
      <c r="AL5943" s="107"/>
      <c r="AM5943" s="107"/>
      <c r="AN5943" s="107"/>
      <c r="AO5943" s="107"/>
      <c r="AP5943" s="107"/>
      <c r="AQ5943" s="107"/>
      <c r="AR5943" s="107"/>
      <c r="AS5943" s="107"/>
      <c r="AT5943" s="107"/>
    </row>
    <row r="5944" spans="33:46" x14ac:dyDescent="0.25">
      <c r="AG5944" s="107"/>
      <c r="AH5944" s="107"/>
      <c r="AI5944" s="107"/>
      <c r="AJ5944" s="117"/>
      <c r="AK5944" s="107"/>
      <c r="AL5944" s="107"/>
      <c r="AM5944" s="107"/>
      <c r="AN5944" s="107"/>
      <c r="AO5944" s="107"/>
      <c r="AP5944" s="107"/>
      <c r="AQ5944" s="107"/>
      <c r="AR5944" s="107"/>
      <c r="AS5944" s="107"/>
      <c r="AT5944" s="107"/>
    </row>
    <row r="5945" spans="33:46" x14ac:dyDescent="0.25">
      <c r="AG5945" s="107"/>
      <c r="AH5945" s="107"/>
      <c r="AI5945" s="107"/>
      <c r="AJ5945" s="117"/>
      <c r="AK5945" s="107"/>
      <c r="AL5945" s="107"/>
      <c r="AM5945" s="107"/>
      <c r="AN5945" s="107"/>
      <c r="AO5945" s="107"/>
      <c r="AP5945" s="107"/>
      <c r="AQ5945" s="107"/>
      <c r="AR5945" s="107"/>
      <c r="AS5945" s="107"/>
      <c r="AT5945" s="107"/>
    </row>
    <row r="5946" spans="33:46" x14ac:dyDescent="0.25">
      <c r="AG5946" s="107"/>
      <c r="AH5946" s="117"/>
      <c r="AI5946" s="117"/>
      <c r="AJ5946" s="117"/>
      <c r="AK5946" s="107"/>
      <c r="AL5946" s="107"/>
      <c r="AM5946" s="107"/>
      <c r="AN5946" s="107"/>
      <c r="AO5946" s="107"/>
      <c r="AP5946" s="107"/>
      <c r="AQ5946" s="107"/>
      <c r="AR5946" s="107"/>
      <c r="AS5946" s="107"/>
      <c r="AT5946" s="39"/>
    </row>
    <row r="5947" spans="33:46" x14ac:dyDescent="0.25">
      <c r="AG5947" s="107"/>
      <c r="AH5947" s="107"/>
      <c r="AI5947" s="107"/>
      <c r="AJ5947" s="11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</row>
    <row r="5948" spans="33:46" x14ac:dyDescent="0.25">
      <c r="AG5948" s="107"/>
      <c r="AH5948" s="107"/>
      <c r="AI5948" s="107"/>
      <c r="AJ5948" s="117"/>
      <c r="AK5948" s="107"/>
      <c r="AL5948" s="107"/>
      <c r="AM5948" s="107"/>
      <c r="AN5948" s="107"/>
      <c r="AO5948" s="107"/>
      <c r="AP5948" s="107"/>
      <c r="AQ5948" s="107"/>
      <c r="AR5948" s="107"/>
      <c r="AS5948" s="107"/>
      <c r="AT5948" s="107"/>
    </row>
    <row r="5949" spans="33:46" x14ac:dyDescent="0.25">
      <c r="AG5949" s="107"/>
      <c r="AH5949" s="117"/>
      <c r="AI5949" s="117"/>
      <c r="AJ5949" s="117"/>
      <c r="AK5949" s="107"/>
      <c r="AL5949" s="107"/>
      <c r="AM5949" s="107"/>
      <c r="AN5949" s="107"/>
      <c r="AO5949" s="107"/>
      <c r="AP5949" s="107"/>
      <c r="AQ5949" s="107"/>
      <c r="AR5949" s="107"/>
      <c r="AS5949" s="107"/>
      <c r="AT5949" s="39"/>
    </row>
    <row r="5950" spans="33:46" x14ac:dyDescent="0.25">
      <c r="AG5950" s="107"/>
      <c r="AH5950" s="117"/>
      <c r="AI5950" s="117"/>
      <c r="AJ5950" s="117"/>
      <c r="AK5950" s="107"/>
      <c r="AL5950" s="107"/>
      <c r="AM5950" s="107"/>
      <c r="AN5950" s="107"/>
      <c r="AO5950" s="107"/>
      <c r="AP5950" s="107"/>
      <c r="AQ5950" s="107"/>
      <c r="AR5950" s="107"/>
      <c r="AS5950" s="107"/>
      <c r="AT5950" s="39"/>
    </row>
    <row r="5951" spans="33:46" x14ac:dyDescent="0.25">
      <c r="AG5951" s="107"/>
      <c r="AH5951" s="107"/>
      <c r="AI5951" s="107"/>
      <c r="AJ5951" s="117"/>
      <c r="AK5951" s="107"/>
      <c r="AL5951" s="107"/>
      <c r="AM5951" s="107"/>
      <c r="AN5951" s="107"/>
      <c r="AO5951" s="107"/>
      <c r="AP5951" s="107"/>
      <c r="AQ5951" s="107"/>
      <c r="AR5951" s="107"/>
      <c r="AS5951" s="107"/>
      <c r="AT5951" s="107"/>
    </row>
    <row r="5952" spans="33:46" x14ac:dyDescent="0.25">
      <c r="AG5952" s="107"/>
      <c r="AH5952" s="117"/>
      <c r="AI5952" s="117"/>
      <c r="AJ5952" s="117"/>
      <c r="AK5952" s="107"/>
      <c r="AL5952" s="107"/>
      <c r="AM5952" s="107"/>
      <c r="AN5952" s="107"/>
      <c r="AO5952" s="107"/>
      <c r="AP5952" s="107"/>
      <c r="AQ5952" s="107"/>
      <c r="AR5952" s="107"/>
      <c r="AS5952" s="107"/>
      <c r="AT5952" s="39"/>
    </row>
    <row r="5953" spans="33:46" x14ac:dyDescent="0.25">
      <c r="AG5953" s="107"/>
      <c r="AH5953" s="117"/>
      <c r="AI5953" s="117"/>
      <c r="AJ5953" s="117"/>
      <c r="AK5953" s="107"/>
      <c r="AL5953" s="107"/>
      <c r="AM5953" s="107"/>
      <c r="AN5953" s="107"/>
      <c r="AO5953" s="107"/>
      <c r="AP5953" s="107"/>
      <c r="AQ5953" s="107"/>
      <c r="AR5953" s="107"/>
      <c r="AS5953" s="107"/>
      <c r="AT5953" s="39"/>
    </row>
    <row r="5954" spans="33:46" x14ac:dyDescent="0.25">
      <c r="AG5954" s="107"/>
      <c r="AH5954" s="117"/>
      <c r="AI5954" s="117"/>
      <c r="AJ5954" s="117"/>
      <c r="AK5954" s="107"/>
      <c r="AL5954" s="107"/>
      <c r="AM5954" s="107"/>
      <c r="AN5954" s="107"/>
      <c r="AO5954" s="107"/>
      <c r="AP5954" s="107"/>
      <c r="AQ5954" s="107"/>
      <c r="AR5954" s="107"/>
      <c r="AS5954" s="107"/>
      <c r="AT5954" s="39"/>
    </row>
    <row r="5955" spans="33:46" x14ac:dyDescent="0.25">
      <c r="AG5955" s="107"/>
      <c r="AH5955" s="117"/>
      <c r="AI5955" s="117"/>
      <c r="AJ5955" s="117"/>
      <c r="AK5955" s="107"/>
      <c r="AL5955" s="107"/>
      <c r="AM5955" s="107"/>
      <c r="AN5955" s="107"/>
      <c r="AO5955" s="107"/>
      <c r="AP5955" s="107"/>
      <c r="AQ5955" s="107"/>
      <c r="AR5955" s="107"/>
      <c r="AS5955" s="107"/>
      <c r="AT5955" s="39"/>
    </row>
    <row r="5956" spans="33:46" x14ac:dyDescent="0.25">
      <c r="AG5956" s="107"/>
      <c r="AH5956" s="117"/>
      <c r="AI5956" s="117"/>
      <c r="AJ5956" s="117"/>
      <c r="AK5956" s="107"/>
      <c r="AL5956" s="107"/>
      <c r="AM5956" s="107"/>
      <c r="AN5956" s="107"/>
      <c r="AO5956" s="107"/>
      <c r="AP5956" s="107"/>
      <c r="AQ5956" s="107"/>
      <c r="AR5956" s="107"/>
      <c r="AS5956" s="107"/>
      <c r="AT5956" s="39"/>
    </row>
    <row r="5957" spans="33:46" x14ac:dyDescent="0.25">
      <c r="AG5957" s="107"/>
      <c r="AH5957" s="117"/>
      <c r="AI5957" s="117"/>
      <c r="AJ5957" s="117"/>
      <c r="AK5957" s="107"/>
      <c r="AL5957" s="107"/>
      <c r="AM5957" s="107"/>
      <c r="AN5957" s="107"/>
      <c r="AO5957" s="107"/>
      <c r="AP5957" s="107"/>
      <c r="AQ5957" s="107"/>
      <c r="AR5957" s="107"/>
      <c r="AS5957" s="107"/>
      <c r="AT5957" s="39"/>
    </row>
    <row r="5958" spans="33:46" x14ac:dyDescent="0.25">
      <c r="AG5958" s="107"/>
      <c r="AH5958" s="117"/>
      <c r="AI5958" s="117"/>
      <c r="AJ5958" s="117"/>
      <c r="AK5958" s="107"/>
      <c r="AL5958" s="107"/>
      <c r="AM5958" s="107"/>
      <c r="AN5958" s="107"/>
      <c r="AO5958" s="107"/>
      <c r="AP5958" s="107"/>
      <c r="AQ5958" s="107"/>
      <c r="AR5958" s="107"/>
      <c r="AS5958" s="107"/>
      <c r="AT5958" s="39"/>
    </row>
    <row r="5959" spans="33:46" x14ac:dyDescent="0.25">
      <c r="AG5959" s="107"/>
      <c r="AH5959" s="107"/>
      <c r="AI5959" s="107"/>
      <c r="AJ5959" s="117"/>
      <c r="AK5959" s="107"/>
      <c r="AL5959" s="107"/>
      <c r="AM5959" s="107"/>
      <c r="AN5959" s="107"/>
      <c r="AO5959" s="107"/>
      <c r="AP5959" s="107"/>
      <c r="AQ5959" s="107"/>
      <c r="AR5959" s="107"/>
      <c r="AS5959" s="107"/>
      <c r="AT5959" s="107"/>
    </row>
    <row r="5960" spans="33:46" x14ac:dyDescent="0.25">
      <c r="AG5960" s="107"/>
      <c r="AH5960" s="117"/>
      <c r="AI5960" s="117"/>
      <c r="AJ5960" s="117"/>
      <c r="AK5960" s="107"/>
      <c r="AL5960" s="107"/>
      <c r="AM5960" s="107"/>
      <c r="AN5960" s="107"/>
      <c r="AO5960" s="107"/>
      <c r="AP5960" s="107"/>
      <c r="AQ5960" s="107"/>
      <c r="AR5960" s="107"/>
      <c r="AS5960" s="107"/>
      <c r="AT5960" s="39"/>
    </row>
    <row r="5961" spans="33:46" x14ac:dyDescent="0.25">
      <c r="AG5961" s="107"/>
      <c r="AH5961" s="117"/>
      <c r="AI5961" s="117"/>
      <c r="AJ5961" s="117"/>
      <c r="AK5961" s="107"/>
      <c r="AL5961" s="107"/>
      <c r="AM5961" s="107"/>
      <c r="AN5961" s="107"/>
      <c r="AO5961" s="107"/>
      <c r="AP5961" s="107"/>
      <c r="AQ5961" s="107"/>
      <c r="AR5961" s="107"/>
      <c r="AS5961" s="107"/>
      <c r="AT5961" s="39"/>
    </row>
    <row r="5962" spans="33:46" x14ac:dyDescent="0.25">
      <c r="AG5962" s="107"/>
      <c r="AH5962" s="107"/>
      <c r="AI5962" s="107"/>
      <c r="AJ5962" s="117"/>
      <c r="AK5962" s="107"/>
      <c r="AL5962" s="107"/>
      <c r="AM5962" s="107"/>
      <c r="AN5962" s="107"/>
      <c r="AO5962" s="107"/>
      <c r="AP5962" s="107"/>
      <c r="AQ5962" s="107"/>
      <c r="AR5962" s="107"/>
      <c r="AS5962" s="107"/>
      <c r="AT5962" s="107"/>
    </row>
    <row r="5963" spans="33:46" x14ac:dyDescent="0.25">
      <c r="AG5963" s="107"/>
      <c r="AH5963" s="117"/>
      <c r="AI5963" s="117"/>
      <c r="AJ5963" s="117"/>
      <c r="AK5963" s="107"/>
      <c r="AL5963" s="107"/>
      <c r="AM5963" s="107"/>
      <c r="AN5963" s="107"/>
      <c r="AO5963" s="107"/>
      <c r="AP5963" s="107"/>
      <c r="AQ5963" s="107"/>
      <c r="AR5963" s="107"/>
      <c r="AS5963" s="107"/>
      <c r="AT5963" s="39"/>
    </row>
    <row r="5964" spans="33:46" x14ac:dyDescent="0.25">
      <c r="AG5964" s="107"/>
      <c r="AH5964" s="117"/>
      <c r="AI5964" s="117"/>
      <c r="AJ5964" s="117"/>
      <c r="AK5964" s="107"/>
      <c r="AL5964" s="107"/>
      <c r="AM5964" s="107"/>
      <c r="AN5964" s="107"/>
      <c r="AO5964" s="107"/>
      <c r="AP5964" s="107"/>
      <c r="AQ5964" s="107"/>
      <c r="AR5964" s="107"/>
      <c r="AS5964" s="107"/>
      <c r="AT5964" s="39"/>
    </row>
    <row r="5965" spans="33:46" x14ac:dyDescent="0.25">
      <c r="AG5965" s="107"/>
      <c r="AH5965" s="117"/>
      <c r="AI5965" s="117"/>
      <c r="AJ5965" s="117"/>
      <c r="AK5965" s="107"/>
      <c r="AL5965" s="107"/>
      <c r="AM5965" s="107"/>
      <c r="AN5965" s="107"/>
      <c r="AO5965" s="107"/>
      <c r="AP5965" s="107"/>
      <c r="AQ5965" s="107"/>
      <c r="AR5965" s="107"/>
      <c r="AS5965" s="107"/>
      <c r="AT5965" s="39"/>
    </row>
    <row r="5966" spans="33:46" x14ac:dyDescent="0.25">
      <c r="AG5966" s="107"/>
      <c r="AH5966" s="117"/>
      <c r="AI5966" s="117"/>
      <c r="AJ5966" s="117"/>
      <c r="AK5966" s="107"/>
      <c r="AL5966" s="107"/>
      <c r="AM5966" s="107"/>
      <c r="AN5966" s="107"/>
      <c r="AO5966" s="107"/>
      <c r="AP5966" s="107"/>
      <c r="AQ5966" s="107"/>
      <c r="AR5966" s="107"/>
      <c r="AS5966" s="107"/>
      <c r="AT5966" s="39"/>
    </row>
    <row r="5967" spans="33:46" x14ac:dyDescent="0.25">
      <c r="AG5967" s="107"/>
      <c r="AH5967" s="117"/>
      <c r="AI5967" s="117"/>
      <c r="AJ5967" s="117"/>
      <c r="AK5967" s="107"/>
      <c r="AL5967" s="107"/>
      <c r="AM5967" s="107"/>
      <c r="AN5967" s="107"/>
      <c r="AO5967" s="107"/>
      <c r="AP5967" s="107"/>
      <c r="AQ5967" s="107"/>
      <c r="AR5967" s="107"/>
      <c r="AS5967" s="107"/>
      <c r="AT5967" s="39"/>
    </row>
    <row r="5968" spans="33:46" x14ac:dyDescent="0.25">
      <c r="AG5968" s="107"/>
      <c r="AH5968" s="117"/>
      <c r="AI5968" s="117"/>
      <c r="AJ5968" s="117"/>
      <c r="AK5968" s="107"/>
      <c r="AL5968" s="107"/>
      <c r="AM5968" s="107"/>
      <c r="AN5968" s="107"/>
      <c r="AO5968" s="107"/>
      <c r="AP5968" s="107"/>
      <c r="AQ5968" s="107"/>
      <c r="AR5968" s="107"/>
      <c r="AS5968" s="107"/>
      <c r="AT5968" s="39"/>
    </row>
    <row r="5969" spans="33:46" x14ac:dyDescent="0.25">
      <c r="AG5969" s="107"/>
      <c r="AH5969" s="107"/>
      <c r="AI5969" s="107"/>
      <c r="AJ5969" s="117"/>
      <c r="AK5969" s="107"/>
      <c r="AL5969" s="107"/>
      <c r="AM5969" s="107"/>
      <c r="AN5969" s="107"/>
      <c r="AO5969" s="107"/>
      <c r="AP5969" s="107"/>
      <c r="AQ5969" s="107"/>
      <c r="AR5969" s="107"/>
      <c r="AS5969" s="107"/>
      <c r="AT5969" s="107"/>
    </row>
    <row r="5970" spans="33:46" x14ac:dyDescent="0.25">
      <c r="AG5970" s="107"/>
      <c r="AH5970" s="107"/>
      <c r="AI5970" s="107"/>
      <c r="AJ5970" s="117"/>
      <c r="AK5970" s="107"/>
      <c r="AL5970" s="107"/>
      <c r="AM5970" s="107"/>
      <c r="AN5970" s="107"/>
      <c r="AO5970" s="107"/>
      <c r="AP5970" s="107"/>
      <c r="AQ5970" s="107"/>
      <c r="AR5970" s="107"/>
      <c r="AS5970" s="107"/>
      <c r="AT5970" s="107"/>
    </row>
    <row r="5971" spans="33:46" x14ac:dyDescent="0.25">
      <c r="AG5971" s="107"/>
      <c r="AH5971" s="117"/>
      <c r="AI5971" s="117"/>
      <c r="AJ5971" s="117"/>
      <c r="AK5971" s="107"/>
      <c r="AL5971" s="107"/>
      <c r="AM5971" s="107"/>
      <c r="AN5971" s="107"/>
      <c r="AO5971" s="107"/>
      <c r="AP5971" s="107"/>
      <c r="AQ5971" s="107"/>
      <c r="AR5971" s="107"/>
      <c r="AS5971" s="107"/>
      <c r="AT5971" s="39"/>
    </row>
    <row r="5972" spans="33:46" x14ac:dyDescent="0.25">
      <c r="AG5972" s="107"/>
      <c r="AH5972" s="117"/>
      <c r="AI5972" s="117"/>
      <c r="AJ5972" s="117"/>
      <c r="AK5972" s="107"/>
      <c r="AL5972" s="107"/>
      <c r="AM5972" s="107"/>
      <c r="AN5972" s="107"/>
      <c r="AO5972" s="107"/>
      <c r="AP5972" s="107"/>
      <c r="AQ5972" s="107"/>
      <c r="AR5972" s="107"/>
      <c r="AS5972" s="107"/>
      <c r="AT5972" s="39"/>
    </row>
    <row r="5973" spans="33:46" x14ac:dyDescent="0.25">
      <c r="AG5973" s="107"/>
      <c r="AH5973" s="107"/>
      <c r="AI5973" s="107"/>
      <c r="AJ5973" s="117"/>
      <c r="AK5973" s="107"/>
      <c r="AL5973" s="107"/>
      <c r="AM5973" s="107"/>
      <c r="AN5973" s="107"/>
      <c r="AO5973" s="107"/>
      <c r="AP5973" s="107"/>
      <c r="AQ5973" s="107"/>
      <c r="AR5973" s="107"/>
      <c r="AS5973" s="107"/>
      <c r="AT5973" s="107"/>
    </row>
    <row r="5974" spans="33:46" x14ac:dyDescent="0.25">
      <c r="AG5974" s="107"/>
      <c r="AH5974" s="117"/>
      <c r="AI5974" s="117"/>
      <c r="AJ5974" s="117"/>
      <c r="AK5974" s="107"/>
      <c r="AL5974" s="107"/>
      <c r="AM5974" s="107"/>
      <c r="AN5974" s="107"/>
      <c r="AO5974" s="107"/>
      <c r="AP5974" s="107"/>
      <c r="AQ5974" s="107"/>
      <c r="AR5974" s="107"/>
      <c r="AS5974" s="107"/>
      <c r="AT5974" s="39"/>
    </row>
    <row r="5975" spans="33:46" x14ac:dyDescent="0.25">
      <c r="AG5975" s="107"/>
      <c r="AH5975" s="107"/>
      <c r="AI5975" s="107"/>
      <c r="AJ5975" s="117"/>
      <c r="AK5975" s="107"/>
      <c r="AL5975" s="107"/>
      <c r="AM5975" s="107"/>
      <c r="AN5975" s="107"/>
      <c r="AO5975" s="107"/>
      <c r="AP5975" s="107"/>
      <c r="AQ5975" s="107"/>
      <c r="AR5975" s="107"/>
      <c r="AS5975" s="107"/>
      <c r="AT5975" s="107"/>
    </row>
    <row r="5976" spans="33:46" x14ac:dyDescent="0.25">
      <c r="AG5976" s="107"/>
      <c r="AH5976" s="107"/>
      <c r="AI5976" s="107"/>
      <c r="AJ5976" s="117"/>
      <c r="AK5976" s="107"/>
      <c r="AL5976" s="107"/>
      <c r="AM5976" s="107"/>
      <c r="AN5976" s="107"/>
      <c r="AO5976" s="107"/>
      <c r="AP5976" s="107"/>
      <c r="AQ5976" s="107"/>
      <c r="AR5976" s="107"/>
      <c r="AS5976" s="107"/>
      <c r="AT5976" s="107"/>
    </row>
    <row r="5977" spans="33:46" x14ac:dyDescent="0.25">
      <c r="AG5977" s="107"/>
      <c r="AH5977" s="107"/>
      <c r="AI5977" s="107"/>
      <c r="AJ5977" s="117"/>
      <c r="AK5977" s="107"/>
      <c r="AL5977" s="107"/>
      <c r="AM5977" s="107"/>
      <c r="AN5977" s="107"/>
      <c r="AO5977" s="107"/>
      <c r="AP5977" s="107"/>
      <c r="AQ5977" s="107"/>
      <c r="AR5977" s="107"/>
      <c r="AS5977" s="107"/>
      <c r="AT5977" s="107"/>
    </row>
    <row r="5978" spans="33:46" x14ac:dyDescent="0.25">
      <c r="AG5978" s="107"/>
      <c r="AH5978" s="107"/>
      <c r="AI5978" s="107"/>
      <c r="AJ5978" s="117"/>
      <c r="AK5978" s="107"/>
      <c r="AL5978" s="107"/>
      <c r="AM5978" s="107"/>
      <c r="AN5978" s="107"/>
      <c r="AO5978" s="107"/>
      <c r="AP5978" s="107"/>
      <c r="AQ5978" s="107"/>
      <c r="AR5978" s="107"/>
      <c r="AS5978" s="107"/>
      <c r="AT5978" s="107"/>
    </row>
    <row r="5979" spans="33:46" x14ac:dyDescent="0.25">
      <c r="AG5979" s="107"/>
      <c r="AH5979" s="107"/>
      <c r="AI5979" s="107"/>
      <c r="AJ5979" s="117"/>
      <c r="AK5979" s="107"/>
      <c r="AL5979" s="107"/>
      <c r="AM5979" s="107"/>
      <c r="AN5979" s="107"/>
      <c r="AO5979" s="107"/>
      <c r="AP5979" s="107"/>
      <c r="AQ5979" s="107"/>
      <c r="AR5979" s="107"/>
      <c r="AS5979" s="107"/>
      <c r="AT5979" s="107"/>
    </row>
    <row r="5980" spans="33:46" x14ac:dyDescent="0.25">
      <c r="AG5980" s="107"/>
      <c r="AH5980" s="107"/>
      <c r="AI5980" s="107"/>
      <c r="AJ5980" s="117"/>
      <c r="AK5980" s="107"/>
      <c r="AL5980" s="107"/>
      <c r="AM5980" s="107"/>
      <c r="AN5980" s="107"/>
      <c r="AO5980" s="107"/>
      <c r="AP5980" s="107"/>
      <c r="AQ5980" s="107"/>
      <c r="AR5980" s="107"/>
      <c r="AS5980" s="107"/>
      <c r="AT5980" s="107"/>
    </row>
    <row r="5981" spans="33:46" x14ac:dyDescent="0.25">
      <c r="AG5981" s="107"/>
      <c r="AH5981" s="117"/>
      <c r="AI5981" s="117"/>
      <c r="AJ5981" s="117"/>
      <c r="AK5981" s="107"/>
      <c r="AL5981" s="107"/>
      <c r="AM5981" s="107"/>
      <c r="AN5981" s="107"/>
      <c r="AO5981" s="107"/>
      <c r="AP5981" s="107"/>
      <c r="AQ5981" s="107"/>
      <c r="AR5981" s="107"/>
      <c r="AS5981" s="107"/>
      <c r="AT5981" s="39"/>
    </row>
    <row r="5982" spans="33:46" x14ac:dyDescent="0.25">
      <c r="AG5982" s="107"/>
      <c r="AH5982" s="117"/>
      <c r="AI5982" s="117"/>
      <c r="AJ5982" s="117"/>
      <c r="AK5982" s="107"/>
      <c r="AL5982" s="107"/>
      <c r="AM5982" s="107"/>
      <c r="AN5982" s="107"/>
      <c r="AO5982" s="107"/>
      <c r="AP5982" s="107"/>
      <c r="AQ5982" s="107"/>
      <c r="AR5982" s="107"/>
      <c r="AS5982" s="107"/>
      <c r="AT5982" s="39"/>
    </row>
    <row r="5983" spans="33:46" x14ac:dyDescent="0.25">
      <c r="AG5983" s="107"/>
      <c r="AH5983" s="117"/>
      <c r="AI5983" s="117"/>
      <c r="AJ5983" s="117"/>
      <c r="AK5983" s="107"/>
      <c r="AL5983" s="107"/>
      <c r="AM5983" s="107"/>
      <c r="AN5983" s="107"/>
      <c r="AO5983" s="107"/>
      <c r="AP5983" s="107"/>
      <c r="AQ5983" s="107"/>
      <c r="AR5983" s="107"/>
      <c r="AS5983" s="107"/>
      <c r="AT5983" s="39"/>
    </row>
    <row r="5984" spans="33:46" x14ac:dyDescent="0.25">
      <c r="AG5984" s="107"/>
      <c r="AH5984" s="117"/>
      <c r="AI5984" s="117"/>
      <c r="AJ5984" s="117"/>
      <c r="AK5984" s="107"/>
      <c r="AL5984" s="107"/>
      <c r="AM5984" s="107"/>
      <c r="AN5984" s="107"/>
      <c r="AO5984" s="107"/>
      <c r="AP5984" s="107"/>
      <c r="AQ5984" s="107"/>
      <c r="AR5984" s="107"/>
      <c r="AS5984" s="107"/>
      <c r="AT5984" s="39"/>
    </row>
    <row r="5985" spans="33:46" x14ac:dyDescent="0.25">
      <c r="AG5985" s="107"/>
      <c r="AH5985" s="117"/>
      <c r="AI5985" s="117"/>
      <c r="AJ5985" s="117"/>
      <c r="AK5985" s="107"/>
      <c r="AL5985" s="107"/>
      <c r="AM5985" s="107"/>
      <c r="AN5985" s="107"/>
      <c r="AO5985" s="107"/>
      <c r="AP5985" s="107"/>
      <c r="AQ5985" s="107"/>
      <c r="AR5985" s="107"/>
      <c r="AS5985" s="107"/>
      <c r="AT5985" s="39"/>
    </row>
    <row r="5986" spans="33:46" x14ac:dyDescent="0.25">
      <c r="AG5986" s="107"/>
      <c r="AH5986" s="117"/>
      <c r="AI5986" s="117"/>
      <c r="AJ5986" s="117"/>
      <c r="AK5986" s="107"/>
      <c r="AL5986" s="107"/>
      <c r="AM5986" s="107"/>
      <c r="AN5986" s="107"/>
      <c r="AO5986" s="107"/>
      <c r="AP5986" s="107"/>
      <c r="AQ5986" s="107"/>
      <c r="AR5986" s="107"/>
      <c r="AS5986" s="107"/>
      <c r="AT5986" s="39"/>
    </row>
    <row r="5987" spans="33:46" x14ac:dyDescent="0.25">
      <c r="AG5987" s="107"/>
      <c r="AH5987" s="117"/>
      <c r="AI5987" s="117"/>
      <c r="AJ5987" s="117"/>
      <c r="AK5987" s="107"/>
      <c r="AL5987" s="107"/>
      <c r="AM5987" s="107"/>
      <c r="AN5987" s="107"/>
      <c r="AO5987" s="107"/>
      <c r="AP5987" s="107"/>
      <c r="AQ5987" s="107"/>
      <c r="AR5987" s="107"/>
      <c r="AS5987" s="107"/>
      <c r="AT5987" s="39"/>
    </row>
    <row r="5988" spans="33:46" x14ac:dyDescent="0.25">
      <c r="AG5988" s="107"/>
      <c r="AH5988" s="107"/>
      <c r="AI5988" s="107"/>
      <c r="AJ5988" s="117"/>
      <c r="AK5988" s="107"/>
      <c r="AL5988" s="107"/>
      <c r="AM5988" s="107"/>
      <c r="AN5988" s="107"/>
      <c r="AO5988" s="107"/>
      <c r="AP5988" s="107"/>
      <c r="AQ5988" s="107"/>
      <c r="AR5988" s="107"/>
      <c r="AS5988" s="107"/>
      <c r="AT5988" s="107"/>
    </row>
    <row r="5989" spans="33:46" x14ac:dyDescent="0.25">
      <c r="AG5989" s="107"/>
      <c r="AH5989" s="107"/>
      <c r="AI5989" s="107"/>
      <c r="AJ5989" s="117"/>
      <c r="AK5989" s="107"/>
      <c r="AL5989" s="107"/>
      <c r="AM5989" s="107"/>
      <c r="AN5989" s="107"/>
      <c r="AO5989" s="107"/>
      <c r="AP5989" s="107"/>
      <c r="AQ5989" s="107"/>
      <c r="AR5989" s="107"/>
      <c r="AS5989" s="107"/>
      <c r="AT5989" s="107"/>
    </row>
    <row r="5990" spans="33:46" x14ac:dyDescent="0.25">
      <c r="AG5990" s="107"/>
      <c r="AH5990" s="107"/>
      <c r="AI5990" s="107"/>
      <c r="AJ5990" s="117"/>
      <c r="AK5990" s="107"/>
      <c r="AL5990" s="107"/>
      <c r="AM5990" s="107"/>
      <c r="AN5990" s="107"/>
      <c r="AO5990" s="107"/>
      <c r="AP5990" s="107"/>
      <c r="AQ5990" s="107"/>
      <c r="AR5990" s="107"/>
      <c r="AS5990" s="107"/>
      <c r="AT5990" s="107"/>
    </row>
    <row r="5991" spans="33:46" x14ac:dyDescent="0.25">
      <c r="AG5991" s="107"/>
      <c r="AH5991" s="117"/>
      <c r="AI5991" s="117"/>
      <c r="AJ5991" s="117"/>
      <c r="AK5991" s="107"/>
      <c r="AL5991" s="107"/>
      <c r="AM5991" s="107"/>
      <c r="AN5991" s="107"/>
      <c r="AO5991" s="107"/>
      <c r="AP5991" s="107"/>
      <c r="AQ5991" s="107"/>
      <c r="AR5991" s="107"/>
      <c r="AS5991" s="107"/>
      <c r="AT5991" s="39"/>
    </row>
    <row r="5992" spans="33:46" x14ac:dyDescent="0.25">
      <c r="AG5992" s="107"/>
      <c r="AH5992" s="117"/>
      <c r="AI5992" s="117"/>
      <c r="AJ5992" s="117"/>
      <c r="AK5992" s="107"/>
      <c r="AL5992" s="107"/>
      <c r="AM5992" s="107"/>
      <c r="AN5992" s="107"/>
      <c r="AO5992" s="107"/>
      <c r="AP5992" s="107"/>
      <c r="AQ5992" s="107"/>
      <c r="AR5992" s="107"/>
      <c r="AS5992" s="107"/>
      <c r="AT5992" s="39"/>
    </row>
    <row r="5993" spans="33:46" x14ac:dyDescent="0.25">
      <c r="AG5993" s="107"/>
      <c r="AH5993" s="107"/>
      <c r="AI5993" s="107"/>
      <c r="AJ5993" s="117"/>
      <c r="AK5993" s="107"/>
      <c r="AL5993" s="107"/>
      <c r="AM5993" s="107"/>
      <c r="AN5993" s="107"/>
      <c r="AO5993" s="107"/>
      <c r="AP5993" s="107"/>
      <c r="AQ5993" s="107"/>
      <c r="AR5993" s="107"/>
      <c r="AS5993" s="107"/>
      <c r="AT5993" s="107"/>
    </row>
    <row r="5994" spans="33:46" x14ac:dyDescent="0.25">
      <c r="AG5994" s="107"/>
      <c r="AH5994" s="107"/>
      <c r="AI5994" s="107"/>
      <c r="AJ5994" s="117"/>
      <c r="AK5994" s="107"/>
      <c r="AL5994" s="107"/>
      <c r="AM5994" s="107"/>
      <c r="AN5994" s="107"/>
      <c r="AO5994" s="107"/>
      <c r="AP5994" s="107"/>
      <c r="AQ5994" s="107"/>
      <c r="AR5994" s="107"/>
      <c r="AS5994" s="107"/>
      <c r="AT5994" s="107"/>
    </row>
    <row r="5995" spans="33:46" x14ac:dyDescent="0.25">
      <c r="AG5995" s="107"/>
      <c r="AH5995" s="117"/>
      <c r="AI5995" s="117"/>
      <c r="AJ5995" s="117"/>
      <c r="AK5995" s="107"/>
      <c r="AL5995" s="107"/>
      <c r="AM5995" s="107"/>
      <c r="AN5995" s="107"/>
      <c r="AO5995" s="107"/>
      <c r="AP5995" s="107"/>
      <c r="AQ5995" s="107"/>
      <c r="AR5995" s="107"/>
      <c r="AS5995" s="107"/>
      <c r="AT5995" s="39"/>
    </row>
    <row r="5996" spans="33:46" x14ac:dyDescent="0.25">
      <c r="AG5996" s="107"/>
      <c r="AH5996" s="117"/>
      <c r="AI5996" s="117"/>
      <c r="AJ5996" s="117"/>
      <c r="AK5996" s="107"/>
      <c r="AL5996" s="107"/>
      <c r="AM5996" s="107"/>
      <c r="AN5996" s="107"/>
      <c r="AO5996" s="107"/>
      <c r="AP5996" s="107"/>
      <c r="AQ5996" s="107"/>
      <c r="AR5996" s="107"/>
      <c r="AS5996" s="107"/>
      <c r="AT5996" s="39"/>
    </row>
    <row r="5997" spans="33:46" x14ac:dyDescent="0.25">
      <c r="AG5997" s="107"/>
      <c r="AH5997" s="117"/>
      <c r="AI5997" s="117"/>
      <c r="AJ5997" s="117"/>
      <c r="AK5997" s="107"/>
      <c r="AL5997" s="107"/>
      <c r="AM5997" s="107"/>
      <c r="AN5997" s="107"/>
      <c r="AO5997" s="107"/>
      <c r="AP5997" s="107"/>
      <c r="AQ5997" s="107"/>
      <c r="AR5997" s="107"/>
      <c r="AS5997" s="107"/>
      <c r="AT5997" s="39"/>
    </row>
    <row r="5998" spans="33:46" x14ac:dyDescent="0.25">
      <c r="AG5998" s="107"/>
      <c r="AH5998" s="117"/>
      <c r="AI5998" s="117"/>
      <c r="AJ5998" s="117"/>
      <c r="AK5998" s="107"/>
      <c r="AL5998" s="107"/>
      <c r="AM5998" s="107"/>
      <c r="AN5998" s="107"/>
      <c r="AO5998" s="107"/>
      <c r="AP5998" s="107"/>
      <c r="AQ5998" s="107"/>
      <c r="AR5998" s="107"/>
      <c r="AS5998" s="107"/>
      <c r="AT5998" s="39"/>
    </row>
    <row r="5999" spans="33:46" x14ac:dyDescent="0.25">
      <c r="AG5999" s="107"/>
      <c r="AH5999" s="117"/>
      <c r="AI5999" s="107"/>
      <c r="AJ5999" s="117"/>
      <c r="AK5999" s="107"/>
      <c r="AL5999" s="107"/>
      <c r="AM5999" s="107"/>
      <c r="AN5999" s="107"/>
      <c r="AO5999" s="107"/>
      <c r="AP5999" s="107"/>
      <c r="AQ5999" s="107"/>
      <c r="AR5999" s="107"/>
      <c r="AS5999" s="107"/>
      <c r="AT5999" s="39"/>
    </row>
    <row r="6000" spans="33:46" x14ac:dyDescent="0.25">
      <c r="AG6000" s="107"/>
      <c r="AH6000" s="117"/>
      <c r="AI6000" s="107"/>
      <c r="AJ6000" s="117"/>
      <c r="AK6000" s="107"/>
      <c r="AL6000" s="107"/>
      <c r="AM6000" s="107"/>
      <c r="AN6000" s="107"/>
      <c r="AO6000" s="107"/>
      <c r="AP6000" s="107"/>
      <c r="AQ6000" s="107"/>
      <c r="AR6000" s="107"/>
      <c r="AS6000" s="107"/>
      <c r="AT6000" s="39"/>
    </row>
    <row r="6001" spans="33:46" x14ac:dyDescent="0.25">
      <c r="AG6001" s="107"/>
      <c r="AH6001" s="107"/>
      <c r="AI6001" s="107"/>
      <c r="AJ6001" s="117"/>
      <c r="AK6001" s="107"/>
      <c r="AL6001" s="107"/>
      <c r="AM6001" s="107"/>
      <c r="AN6001" s="107"/>
      <c r="AO6001" s="107"/>
      <c r="AP6001" s="107"/>
      <c r="AQ6001" s="107"/>
      <c r="AR6001" s="107"/>
      <c r="AS6001" s="107"/>
      <c r="AT6001" s="107"/>
    </row>
    <row r="6002" spans="33:46" x14ac:dyDescent="0.25">
      <c r="AG6002" s="107"/>
      <c r="AH6002" s="107"/>
      <c r="AI6002" s="107"/>
      <c r="AJ6002" s="117"/>
      <c r="AK6002" s="107"/>
      <c r="AL6002" s="107"/>
      <c r="AM6002" s="107"/>
      <c r="AN6002" s="107"/>
      <c r="AO6002" s="107"/>
      <c r="AP6002" s="107"/>
      <c r="AQ6002" s="107"/>
      <c r="AR6002" s="107"/>
      <c r="AS6002" s="107"/>
      <c r="AT6002" s="107"/>
    </row>
    <row r="6003" spans="33:46" x14ac:dyDescent="0.25">
      <c r="AG6003" s="107"/>
      <c r="AH6003" s="107"/>
      <c r="AI6003" s="107"/>
      <c r="AJ6003" s="117"/>
      <c r="AK6003" s="107"/>
      <c r="AL6003" s="107"/>
      <c r="AM6003" s="107"/>
      <c r="AN6003" s="107"/>
      <c r="AO6003" s="107"/>
      <c r="AP6003" s="107"/>
      <c r="AQ6003" s="107"/>
      <c r="AR6003" s="107"/>
      <c r="AS6003" s="107"/>
      <c r="AT6003" s="107"/>
    </row>
    <row r="6004" spans="33:46" x14ac:dyDescent="0.25">
      <c r="AG6004" s="107"/>
      <c r="AH6004" s="117"/>
      <c r="AI6004" s="107"/>
      <c r="AJ6004" s="117"/>
      <c r="AK6004" s="107"/>
      <c r="AL6004" s="107"/>
      <c r="AM6004" s="107"/>
      <c r="AN6004" s="107"/>
      <c r="AO6004" s="107"/>
      <c r="AP6004" s="107"/>
      <c r="AQ6004" s="107"/>
      <c r="AR6004" s="107"/>
      <c r="AS6004" s="107"/>
      <c r="AT6004" s="39"/>
    </row>
    <row r="6005" spans="33:46" x14ac:dyDescent="0.25">
      <c r="AG6005" s="107"/>
      <c r="AH6005" s="107"/>
      <c r="AI6005" s="107"/>
      <c r="AJ6005" s="117"/>
      <c r="AK6005" s="107"/>
      <c r="AL6005" s="107"/>
      <c r="AM6005" s="107"/>
      <c r="AN6005" s="107"/>
      <c r="AO6005" s="107"/>
      <c r="AP6005" s="107"/>
      <c r="AQ6005" s="107"/>
      <c r="AR6005" s="107"/>
      <c r="AS6005" s="107"/>
      <c r="AT6005" s="107"/>
    </row>
    <row r="6006" spans="33:46" x14ac:dyDescent="0.25">
      <c r="AG6006" s="107"/>
      <c r="AH6006" s="117"/>
      <c r="AI6006" s="117"/>
      <c r="AJ6006" s="117"/>
      <c r="AK6006" s="107"/>
      <c r="AL6006" s="107"/>
      <c r="AM6006" s="107"/>
      <c r="AN6006" s="107"/>
      <c r="AO6006" s="107"/>
      <c r="AP6006" s="107"/>
      <c r="AQ6006" s="107"/>
      <c r="AR6006" s="107"/>
      <c r="AS6006" s="107"/>
      <c r="AT6006" s="39"/>
    </row>
    <row r="6007" spans="33:46" x14ac:dyDescent="0.25">
      <c r="AG6007" s="107"/>
      <c r="AH6007" s="117"/>
      <c r="AI6007" s="117"/>
      <c r="AJ6007" s="117"/>
      <c r="AK6007" s="107"/>
      <c r="AL6007" s="107"/>
      <c r="AM6007" s="107"/>
      <c r="AN6007" s="107"/>
      <c r="AO6007" s="107"/>
      <c r="AP6007" s="107"/>
      <c r="AQ6007" s="107"/>
      <c r="AR6007" s="107"/>
      <c r="AS6007" s="107"/>
      <c r="AT6007" s="39"/>
    </row>
    <row r="6008" spans="33:46" x14ac:dyDescent="0.25">
      <c r="AG6008" s="107"/>
      <c r="AH6008" s="107"/>
      <c r="AI6008" s="107"/>
      <c r="AJ6008" s="117"/>
      <c r="AK6008" s="107"/>
      <c r="AL6008" s="107"/>
      <c r="AM6008" s="107"/>
      <c r="AN6008" s="107"/>
      <c r="AO6008" s="107"/>
      <c r="AP6008" s="107"/>
      <c r="AQ6008" s="107"/>
      <c r="AR6008" s="107"/>
      <c r="AS6008" s="107"/>
      <c r="AT6008" s="107"/>
    </row>
    <row r="6009" spans="33:46" x14ac:dyDescent="0.25">
      <c r="AG6009" s="107"/>
      <c r="AH6009" s="117"/>
      <c r="AI6009" s="117"/>
      <c r="AJ6009" s="117"/>
      <c r="AK6009" s="107"/>
      <c r="AL6009" s="107"/>
      <c r="AM6009" s="107"/>
      <c r="AN6009" s="107"/>
      <c r="AO6009" s="107"/>
      <c r="AP6009" s="107"/>
      <c r="AQ6009" s="107"/>
      <c r="AR6009" s="107"/>
      <c r="AS6009" s="107"/>
      <c r="AT6009" s="39"/>
    </row>
    <row r="6010" spans="33:46" x14ac:dyDescent="0.25">
      <c r="AG6010" s="107"/>
      <c r="AH6010" s="107"/>
      <c r="AI6010" s="107"/>
      <c r="AJ6010" s="117"/>
      <c r="AK6010" s="107"/>
      <c r="AL6010" s="107"/>
      <c r="AM6010" s="107"/>
      <c r="AN6010" s="107"/>
      <c r="AO6010" s="107"/>
      <c r="AP6010" s="107"/>
      <c r="AQ6010" s="107"/>
      <c r="AR6010" s="107"/>
      <c r="AS6010" s="107"/>
      <c r="AT6010" s="107"/>
    </row>
    <row r="6011" spans="33:46" x14ac:dyDescent="0.25">
      <c r="AG6011" s="107"/>
      <c r="AH6011" s="117"/>
      <c r="AI6011" s="117"/>
      <c r="AJ6011" s="117"/>
      <c r="AK6011" s="107"/>
      <c r="AL6011" s="107"/>
      <c r="AM6011" s="107"/>
      <c r="AN6011" s="107"/>
      <c r="AO6011" s="107"/>
      <c r="AP6011" s="107"/>
      <c r="AQ6011" s="107"/>
      <c r="AR6011" s="107"/>
      <c r="AS6011" s="107"/>
      <c r="AT6011" s="39"/>
    </row>
    <row r="6012" spans="33:46" x14ac:dyDescent="0.25">
      <c r="AG6012" s="107"/>
      <c r="AH6012" s="107"/>
      <c r="AI6012" s="107"/>
      <c r="AJ6012" s="117"/>
      <c r="AK6012" s="107"/>
      <c r="AL6012" s="107"/>
      <c r="AM6012" s="107"/>
      <c r="AN6012" s="107"/>
      <c r="AO6012" s="107"/>
      <c r="AP6012" s="107"/>
      <c r="AQ6012" s="107"/>
      <c r="AR6012" s="107"/>
      <c r="AS6012" s="107"/>
      <c r="AT6012" s="107"/>
    </row>
    <row r="6013" spans="33:46" x14ac:dyDescent="0.25">
      <c r="AG6013" s="107"/>
      <c r="AH6013" s="107"/>
      <c r="AI6013" s="107"/>
      <c r="AJ6013" s="117"/>
      <c r="AK6013" s="107"/>
      <c r="AL6013" s="107"/>
      <c r="AM6013" s="107"/>
      <c r="AN6013" s="107"/>
      <c r="AO6013" s="107"/>
      <c r="AP6013" s="107"/>
      <c r="AQ6013" s="107"/>
      <c r="AR6013" s="107"/>
      <c r="AS6013" s="107"/>
      <c r="AT6013" s="107"/>
    </row>
    <row r="6014" spans="33:46" x14ac:dyDescent="0.25">
      <c r="AG6014" s="107"/>
      <c r="AH6014" s="117"/>
      <c r="AI6014" s="117"/>
      <c r="AJ6014" s="117"/>
      <c r="AK6014" s="107"/>
      <c r="AL6014" s="107"/>
      <c r="AM6014" s="107"/>
      <c r="AN6014" s="107"/>
      <c r="AO6014" s="107"/>
      <c r="AP6014" s="107"/>
      <c r="AQ6014" s="107"/>
      <c r="AR6014" s="107"/>
      <c r="AS6014" s="107"/>
      <c r="AT6014" s="39"/>
    </row>
    <row r="6015" spans="33:46" x14ac:dyDescent="0.25">
      <c r="AG6015" s="107"/>
      <c r="AH6015" s="117"/>
      <c r="AI6015" s="117"/>
      <c r="AJ6015" s="117"/>
      <c r="AK6015" s="107"/>
      <c r="AL6015" s="107"/>
      <c r="AM6015" s="107"/>
      <c r="AN6015" s="107"/>
      <c r="AO6015" s="107"/>
      <c r="AP6015" s="107"/>
      <c r="AQ6015" s="107"/>
      <c r="AR6015" s="107"/>
      <c r="AS6015" s="107"/>
      <c r="AT6015" s="39"/>
    </row>
    <row r="6016" spans="33:46" x14ac:dyDescent="0.25">
      <c r="AG6016" s="107"/>
      <c r="AH6016" s="117"/>
      <c r="AI6016" s="117"/>
      <c r="AJ6016" s="117"/>
      <c r="AK6016" s="107"/>
      <c r="AL6016" s="107"/>
      <c r="AM6016" s="107"/>
      <c r="AN6016" s="107"/>
      <c r="AO6016" s="107"/>
      <c r="AP6016" s="107"/>
      <c r="AQ6016" s="107"/>
      <c r="AR6016" s="107"/>
      <c r="AS6016" s="107"/>
      <c r="AT6016" s="39"/>
    </row>
    <row r="6017" spans="33:46" x14ac:dyDescent="0.25">
      <c r="AG6017" s="107"/>
      <c r="AH6017" s="117"/>
      <c r="AI6017" s="117"/>
      <c r="AJ6017" s="117"/>
      <c r="AK6017" s="107"/>
      <c r="AL6017" s="107"/>
      <c r="AM6017" s="107"/>
      <c r="AN6017" s="107"/>
      <c r="AO6017" s="107"/>
      <c r="AP6017" s="107"/>
      <c r="AQ6017" s="107"/>
      <c r="AR6017" s="107"/>
      <c r="AS6017" s="107"/>
      <c r="AT6017" s="39"/>
    </row>
    <row r="6018" spans="33:46" x14ac:dyDescent="0.25">
      <c r="AG6018" s="107"/>
      <c r="AH6018" s="117"/>
      <c r="AI6018" s="117"/>
      <c r="AJ6018" s="117"/>
      <c r="AK6018" s="107"/>
      <c r="AL6018" s="107"/>
      <c r="AM6018" s="107"/>
      <c r="AN6018" s="107"/>
      <c r="AO6018" s="107"/>
      <c r="AP6018" s="107"/>
      <c r="AQ6018" s="107"/>
      <c r="AR6018" s="107"/>
      <c r="AS6018" s="107"/>
      <c r="AT6018" s="39"/>
    </row>
    <row r="6019" spans="33:46" x14ac:dyDescent="0.25">
      <c r="AG6019" s="107"/>
      <c r="AH6019" s="117"/>
      <c r="AI6019" s="117"/>
      <c r="AJ6019" s="117"/>
      <c r="AK6019" s="107"/>
      <c r="AL6019" s="107"/>
      <c r="AM6019" s="107"/>
      <c r="AN6019" s="107"/>
      <c r="AO6019" s="107"/>
      <c r="AP6019" s="107"/>
      <c r="AQ6019" s="107"/>
      <c r="AR6019" s="107"/>
      <c r="AS6019" s="107"/>
      <c r="AT6019" s="39"/>
    </row>
    <row r="6020" spans="33:46" x14ac:dyDescent="0.25">
      <c r="AG6020" s="107"/>
      <c r="AH6020" s="117"/>
      <c r="AI6020" s="117"/>
      <c r="AJ6020" s="117"/>
      <c r="AK6020" s="107"/>
      <c r="AL6020" s="107"/>
      <c r="AM6020" s="107"/>
      <c r="AN6020" s="107"/>
      <c r="AO6020" s="107"/>
      <c r="AP6020" s="107"/>
      <c r="AQ6020" s="107"/>
      <c r="AR6020" s="107"/>
      <c r="AS6020" s="107"/>
      <c r="AT6020" s="39"/>
    </row>
    <row r="6021" spans="33:46" x14ac:dyDescent="0.25">
      <c r="AG6021" s="107"/>
      <c r="AH6021" s="117"/>
      <c r="AI6021" s="117"/>
      <c r="AJ6021" s="117"/>
      <c r="AK6021" s="107"/>
      <c r="AL6021" s="107"/>
      <c r="AM6021" s="107"/>
      <c r="AN6021" s="107"/>
      <c r="AO6021" s="107"/>
      <c r="AP6021" s="107"/>
      <c r="AQ6021" s="107"/>
      <c r="AR6021" s="107"/>
      <c r="AS6021" s="107"/>
      <c r="AT6021" s="39"/>
    </row>
    <row r="6022" spans="33:46" x14ac:dyDescent="0.25">
      <c r="AG6022" s="107"/>
      <c r="AH6022" s="117"/>
      <c r="AI6022" s="117"/>
      <c r="AJ6022" s="117"/>
      <c r="AK6022" s="107"/>
      <c r="AL6022" s="107"/>
      <c r="AM6022" s="107"/>
      <c r="AN6022" s="107"/>
      <c r="AO6022" s="107"/>
      <c r="AP6022" s="107"/>
      <c r="AQ6022" s="107"/>
      <c r="AR6022" s="107"/>
      <c r="AS6022" s="107"/>
      <c r="AT6022" s="39"/>
    </row>
    <row r="6023" spans="33:46" x14ac:dyDescent="0.25">
      <c r="AG6023" s="107"/>
      <c r="AH6023" s="117"/>
      <c r="AI6023" s="117"/>
      <c r="AJ6023" s="117"/>
      <c r="AK6023" s="107"/>
      <c r="AL6023" s="107"/>
      <c r="AM6023" s="107"/>
      <c r="AN6023" s="107"/>
      <c r="AO6023" s="107"/>
      <c r="AP6023" s="107"/>
      <c r="AQ6023" s="107"/>
      <c r="AR6023" s="107"/>
      <c r="AS6023" s="107"/>
      <c r="AT6023" s="39"/>
    </row>
    <row r="6024" spans="33:46" x14ac:dyDescent="0.25">
      <c r="AG6024" s="107"/>
      <c r="AH6024" s="117"/>
      <c r="AI6024" s="117"/>
      <c r="AJ6024" s="11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39"/>
    </row>
    <row r="6025" spans="33:46" x14ac:dyDescent="0.25">
      <c r="AG6025" s="107"/>
      <c r="AH6025" s="117"/>
      <c r="AI6025" s="117"/>
      <c r="AJ6025" s="117"/>
      <c r="AK6025" s="107"/>
      <c r="AL6025" s="107"/>
      <c r="AM6025" s="107"/>
      <c r="AN6025" s="107"/>
      <c r="AO6025" s="107"/>
      <c r="AP6025" s="107"/>
      <c r="AQ6025" s="107"/>
      <c r="AR6025" s="107"/>
      <c r="AS6025" s="107"/>
      <c r="AT6025" s="39"/>
    </row>
    <row r="6026" spans="33:46" x14ac:dyDescent="0.25">
      <c r="AG6026" s="107"/>
      <c r="AH6026" s="117"/>
      <c r="AI6026" s="117"/>
      <c r="AJ6026" s="117"/>
      <c r="AK6026" s="107"/>
      <c r="AL6026" s="107"/>
      <c r="AM6026" s="107"/>
      <c r="AN6026" s="107"/>
      <c r="AO6026" s="107"/>
      <c r="AP6026" s="107"/>
      <c r="AQ6026" s="107"/>
      <c r="AR6026" s="107"/>
      <c r="AS6026" s="107"/>
      <c r="AT6026" s="39"/>
    </row>
    <row r="6027" spans="33:46" x14ac:dyDescent="0.25">
      <c r="AG6027" s="107"/>
      <c r="AH6027" s="107"/>
      <c r="AI6027" s="107"/>
      <c r="AJ6027" s="117"/>
      <c r="AK6027" s="107"/>
      <c r="AL6027" s="107"/>
      <c r="AM6027" s="107"/>
      <c r="AN6027" s="107"/>
      <c r="AO6027" s="107"/>
      <c r="AP6027" s="107"/>
      <c r="AQ6027" s="107"/>
      <c r="AR6027" s="107"/>
      <c r="AS6027" s="107"/>
      <c r="AT6027" s="107"/>
    </row>
    <row r="6028" spans="33:46" x14ac:dyDescent="0.25">
      <c r="AG6028" s="107"/>
      <c r="AH6028" s="117"/>
      <c r="AI6028" s="117"/>
      <c r="AJ6028" s="117"/>
      <c r="AK6028" s="107"/>
      <c r="AL6028" s="107"/>
      <c r="AM6028" s="107"/>
      <c r="AN6028" s="107"/>
      <c r="AO6028" s="107"/>
      <c r="AP6028" s="107"/>
      <c r="AQ6028" s="107"/>
      <c r="AR6028" s="107"/>
      <c r="AS6028" s="107"/>
      <c r="AT6028" s="39"/>
    </row>
    <row r="6029" spans="33:46" x14ac:dyDescent="0.25">
      <c r="AG6029" s="107"/>
      <c r="AH6029" s="107"/>
      <c r="AI6029" s="107"/>
      <c r="AJ6029" s="117"/>
      <c r="AK6029" s="107"/>
      <c r="AL6029" s="107"/>
      <c r="AM6029" s="107"/>
      <c r="AN6029" s="107"/>
      <c r="AO6029" s="107"/>
      <c r="AP6029" s="107"/>
      <c r="AQ6029" s="107"/>
      <c r="AR6029" s="107"/>
      <c r="AS6029" s="107"/>
      <c r="AT6029" s="107"/>
    </row>
    <row r="6030" spans="33:46" x14ac:dyDescent="0.25">
      <c r="AG6030" s="107"/>
      <c r="AH6030" s="117"/>
      <c r="AI6030" s="117"/>
      <c r="AJ6030" s="117"/>
      <c r="AK6030" s="107"/>
      <c r="AL6030" s="107"/>
      <c r="AM6030" s="107"/>
      <c r="AN6030" s="107"/>
      <c r="AO6030" s="107"/>
      <c r="AP6030" s="107"/>
      <c r="AQ6030" s="107"/>
      <c r="AR6030" s="107"/>
      <c r="AS6030" s="107"/>
      <c r="AT6030" s="39"/>
    </row>
    <row r="6031" spans="33:46" x14ac:dyDescent="0.25">
      <c r="AG6031" s="107"/>
      <c r="AH6031" s="117"/>
      <c r="AI6031" s="117"/>
      <c r="AJ6031" s="117"/>
      <c r="AK6031" s="107"/>
      <c r="AL6031" s="107"/>
      <c r="AM6031" s="107"/>
      <c r="AN6031" s="107"/>
      <c r="AO6031" s="107"/>
      <c r="AP6031" s="107"/>
      <c r="AQ6031" s="107"/>
      <c r="AR6031" s="107"/>
      <c r="AS6031" s="107"/>
      <c r="AT6031" s="39"/>
    </row>
    <row r="6032" spans="33:46" x14ac:dyDescent="0.25">
      <c r="AG6032" s="107"/>
      <c r="AH6032" s="117"/>
      <c r="AI6032" s="117"/>
      <c r="AJ6032" s="117"/>
      <c r="AK6032" s="107"/>
      <c r="AL6032" s="107"/>
      <c r="AM6032" s="107"/>
      <c r="AN6032" s="107"/>
      <c r="AO6032" s="107"/>
      <c r="AP6032" s="107"/>
      <c r="AQ6032" s="107"/>
      <c r="AR6032" s="107"/>
      <c r="AS6032" s="107"/>
      <c r="AT6032" s="39"/>
    </row>
    <row r="6033" spans="33:46" x14ac:dyDescent="0.25">
      <c r="AG6033" s="107"/>
      <c r="AH6033" s="117"/>
      <c r="AI6033" s="117"/>
      <c r="AJ6033" s="117"/>
      <c r="AK6033" s="107"/>
      <c r="AL6033" s="107"/>
      <c r="AM6033" s="107"/>
      <c r="AN6033" s="107"/>
      <c r="AO6033" s="107"/>
      <c r="AP6033" s="107"/>
      <c r="AQ6033" s="107"/>
      <c r="AR6033" s="107"/>
      <c r="AS6033" s="107"/>
      <c r="AT6033" s="39"/>
    </row>
    <row r="6034" spans="33:46" x14ac:dyDescent="0.25">
      <c r="AG6034" s="107"/>
      <c r="AH6034" s="117"/>
      <c r="AI6034" s="117"/>
      <c r="AJ6034" s="117"/>
      <c r="AK6034" s="107"/>
      <c r="AL6034" s="107"/>
      <c r="AM6034" s="107"/>
      <c r="AN6034" s="107"/>
      <c r="AO6034" s="107"/>
      <c r="AP6034" s="107"/>
      <c r="AQ6034" s="107"/>
      <c r="AR6034" s="107"/>
      <c r="AS6034" s="107"/>
      <c r="AT6034" s="39"/>
    </row>
    <row r="6035" spans="33:46" x14ac:dyDescent="0.25">
      <c r="AG6035" s="107"/>
      <c r="AH6035" s="117"/>
      <c r="AI6035" s="117"/>
      <c r="AJ6035" s="117"/>
      <c r="AK6035" s="107"/>
      <c r="AL6035" s="107"/>
      <c r="AM6035" s="107"/>
      <c r="AN6035" s="107"/>
      <c r="AO6035" s="107"/>
      <c r="AP6035" s="107"/>
      <c r="AQ6035" s="107"/>
      <c r="AR6035" s="107"/>
      <c r="AS6035" s="107"/>
      <c r="AT6035" s="39"/>
    </row>
    <row r="6036" spans="33:46" x14ac:dyDescent="0.25">
      <c r="AG6036" s="107"/>
      <c r="AH6036" s="117"/>
      <c r="AI6036" s="117"/>
      <c r="AJ6036" s="117"/>
      <c r="AK6036" s="107"/>
      <c r="AL6036" s="107"/>
      <c r="AM6036" s="107"/>
      <c r="AN6036" s="107"/>
      <c r="AO6036" s="107"/>
      <c r="AP6036" s="107"/>
      <c r="AQ6036" s="107"/>
      <c r="AR6036" s="107"/>
      <c r="AS6036" s="107"/>
      <c r="AT6036" s="39"/>
    </row>
    <row r="6037" spans="33:46" x14ac:dyDescent="0.25">
      <c r="AG6037" s="107"/>
      <c r="AH6037" s="117"/>
      <c r="AI6037" s="117"/>
      <c r="AJ6037" s="117"/>
      <c r="AK6037" s="107"/>
      <c r="AL6037" s="107"/>
      <c r="AM6037" s="107"/>
      <c r="AN6037" s="107"/>
      <c r="AO6037" s="107"/>
      <c r="AP6037" s="107"/>
      <c r="AQ6037" s="107"/>
      <c r="AR6037" s="107"/>
      <c r="AS6037" s="107"/>
      <c r="AT6037" s="39"/>
    </row>
    <row r="6038" spans="33:46" x14ac:dyDescent="0.25">
      <c r="AG6038" s="107"/>
      <c r="AH6038" s="107"/>
      <c r="AI6038" s="107"/>
      <c r="AJ6038" s="117"/>
      <c r="AK6038" s="107"/>
      <c r="AL6038" s="107"/>
      <c r="AM6038" s="107"/>
      <c r="AN6038" s="107"/>
      <c r="AO6038" s="107"/>
      <c r="AP6038" s="107"/>
      <c r="AQ6038" s="107"/>
      <c r="AR6038" s="107"/>
      <c r="AS6038" s="107"/>
      <c r="AT6038" s="107"/>
    </row>
    <row r="6039" spans="33:46" x14ac:dyDescent="0.25">
      <c r="AG6039" s="107"/>
      <c r="AH6039" s="117"/>
      <c r="AI6039" s="117"/>
      <c r="AJ6039" s="117"/>
      <c r="AK6039" s="107"/>
      <c r="AL6039" s="107"/>
      <c r="AM6039" s="107"/>
      <c r="AN6039" s="107"/>
      <c r="AO6039" s="107"/>
      <c r="AP6039" s="107"/>
      <c r="AQ6039" s="107"/>
      <c r="AR6039" s="107"/>
      <c r="AS6039" s="107"/>
      <c r="AT6039" s="39"/>
    </row>
    <row r="6040" spans="33:46" x14ac:dyDescent="0.25">
      <c r="AG6040" s="107"/>
      <c r="AH6040" s="117"/>
      <c r="AI6040" s="117"/>
      <c r="AJ6040" s="117"/>
      <c r="AK6040" s="107"/>
      <c r="AL6040" s="107"/>
      <c r="AM6040" s="107"/>
      <c r="AN6040" s="107"/>
      <c r="AO6040" s="107"/>
      <c r="AP6040" s="107"/>
      <c r="AQ6040" s="107"/>
      <c r="AR6040" s="107"/>
      <c r="AS6040" s="107"/>
      <c r="AT6040" s="39"/>
    </row>
    <row r="6041" spans="33:46" x14ac:dyDescent="0.25">
      <c r="AG6041" s="107"/>
      <c r="AH6041" s="117"/>
      <c r="AI6041" s="117"/>
      <c r="AJ6041" s="117"/>
      <c r="AK6041" s="107"/>
      <c r="AL6041" s="107"/>
      <c r="AM6041" s="107"/>
      <c r="AN6041" s="107"/>
      <c r="AO6041" s="107"/>
      <c r="AP6041" s="107"/>
      <c r="AQ6041" s="107"/>
      <c r="AR6041" s="107"/>
      <c r="AS6041" s="107"/>
      <c r="AT6041" s="39"/>
    </row>
    <row r="6042" spans="33:46" x14ac:dyDescent="0.25">
      <c r="AG6042" s="107"/>
      <c r="AH6042" s="117"/>
      <c r="AI6042" s="117"/>
      <c r="AJ6042" s="117"/>
      <c r="AK6042" s="107"/>
      <c r="AL6042" s="107"/>
      <c r="AM6042" s="107"/>
      <c r="AN6042" s="107"/>
      <c r="AO6042" s="107"/>
      <c r="AP6042" s="107"/>
      <c r="AQ6042" s="107"/>
      <c r="AR6042" s="107"/>
      <c r="AS6042" s="107"/>
      <c r="AT6042" s="39"/>
    </row>
    <row r="6043" spans="33:46" x14ac:dyDescent="0.25">
      <c r="AG6043" s="107"/>
      <c r="AH6043" s="117"/>
      <c r="AI6043" s="117"/>
      <c r="AJ6043" s="117"/>
      <c r="AK6043" s="107"/>
      <c r="AL6043" s="107"/>
      <c r="AM6043" s="107"/>
      <c r="AN6043" s="107"/>
      <c r="AO6043" s="107"/>
      <c r="AP6043" s="107"/>
      <c r="AQ6043" s="107"/>
      <c r="AR6043" s="107"/>
      <c r="AS6043" s="107"/>
      <c r="AT6043" s="39"/>
    </row>
    <row r="6044" spans="33:46" x14ac:dyDescent="0.25">
      <c r="AG6044" s="107"/>
      <c r="AH6044" s="117"/>
      <c r="AI6044" s="117"/>
      <c r="AJ6044" s="117"/>
      <c r="AK6044" s="107"/>
      <c r="AL6044" s="107"/>
      <c r="AM6044" s="107"/>
      <c r="AN6044" s="107"/>
      <c r="AO6044" s="107"/>
      <c r="AP6044" s="107"/>
      <c r="AQ6044" s="107"/>
      <c r="AR6044" s="107"/>
      <c r="AS6044" s="107"/>
      <c r="AT6044" s="39"/>
    </row>
    <row r="6045" spans="33:46" x14ac:dyDescent="0.25">
      <c r="AG6045" s="107"/>
      <c r="AH6045" s="117"/>
      <c r="AI6045" s="117"/>
      <c r="AJ6045" s="117"/>
      <c r="AK6045" s="107"/>
      <c r="AL6045" s="107"/>
      <c r="AM6045" s="107"/>
      <c r="AN6045" s="107"/>
      <c r="AO6045" s="107"/>
      <c r="AP6045" s="107"/>
      <c r="AQ6045" s="107"/>
      <c r="AR6045" s="107"/>
      <c r="AS6045" s="107"/>
      <c r="AT6045" s="39"/>
    </row>
    <row r="6046" spans="33:46" x14ac:dyDescent="0.25">
      <c r="AG6046" s="107"/>
      <c r="AH6046" s="107"/>
      <c r="AI6046" s="107"/>
      <c r="AJ6046" s="117"/>
      <c r="AK6046" s="107"/>
      <c r="AL6046" s="107"/>
      <c r="AM6046" s="107"/>
      <c r="AN6046" s="107"/>
      <c r="AO6046" s="107"/>
      <c r="AP6046" s="107"/>
      <c r="AQ6046" s="107"/>
      <c r="AR6046" s="107"/>
      <c r="AS6046" s="107"/>
      <c r="AT6046" s="107"/>
    </row>
    <row r="6047" spans="33:46" x14ac:dyDescent="0.25">
      <c r="AG6047" s="107"/>
      <c r="AH6047" s="117"/>
      <c r="AI6047" s="117"/>
      <c r="AJ6047" s="117"/>
      <c r="AK6047" s="107"/>
      <c r="AL6047" s="107"/>
      <c r="AM6047" s="107"/>
      <c r="AN6047" s="107"/>
      <c r="AO6047" s="107"/>
      <c r="AP6047" s="107"/>
      <c r="AQ6047" s="107"/>
      <c r="AR6047" s="107"/>
      <c r="AS6047" s="107"/>
      <c r="AT6047" s="39"/>
    </row>
    <row r="6048" spans="33:46" x14ac:dyDescent="0.25">
      <c r="AG6048" s="107"/>
      <c r="AH6048" s="107"/>
      <c r="AI6048" s="107"/>
      <c r="AJ6048" s="117"/>
      <c r="AK6048" s="107"/>
      <c r="AL6048" s="107"/>
      <c r="AM6048" s="107"/>
      <c r="AN6048" s="107"/>
      <c r="AO6048" s="107"/>
      <c r="AP6048" s="107"/>
      <c r="AQ6048" s="107"/>
      <c r="AR6048" s="107"/>
      <c r="AS6048" s="107"/>
      <c r="AT6048" s="107"/>
    </row>
    <row r="6049" spans="33:46" x14ac:dyDescent="0.25">
      <c r="AG6049" s="107"/>
      <c r="AH6049" s="117"/>
      <c r="AI6049" s="117"/>
      <c r="AJ6049" s="117"/>
      <c r="AK6049" s="107"/>
      <c r="AL6049" s="107"/>
      <c r="AM6049" s="107"/>
      <c r="AN6049" s="107"/>
      <c r="AO6049" s="107"/>
      <c r="AP6049" s="107"/>
      <c r="AQ6049" s="107"/>
      <c r="AR6049" s="107"/>
      <c r="AS6049" s="107"/>
      <c r="AT6049" s="39"/>
    </row>
    <row r="6050" spans="33:46" x14ac:dyDescent="0.25">
      <c r="AG6050" s="107"/>
      <c r="AH6050" s="117"/>
      <c r="AI6050" s="117"/>
      <c r="AJ6050" s="117"/>
      <c r="AK6050" s="107"/>
      <c r="AL6050" s="107"/>
      <c r="AM6050" s="107"/>
      <c r="AN6050" s="107"/>
      <c r="AO6050" s="107"/>
      <c r="AP6050" s="107"/>
      <c r="AQ6050" s="107"/>
      <c r="AR6050" s="107"/>
      <c r="AS6050" s="107"/>
      <c r="AT6050" s="39"/>
    </row>
    <row r="6051" spans="33:46" x14ac:dyDescent="0.25">
      <c r="AG6051" s="107"/>
      <c r="AH6051" s="117"/>
      <c r="AI6051" s="117"/>
      <c r="AJ6051" s="11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39"/>
    </row>
    <row r="6052" spans="33:46" x14ac:dyDescent="0.25">
      <c r="AG6052" s="107"/>
      <c r="AH6052" s="117"/>
      <c r="AI6052" s="117"/>
      <c r="AJ6052" s="117"/>
      <c r="AK6052" s="107"/>
      <c r="AL6052" s="107"/>
      <c r="AM6052" s="107"/>
      <c r="AN6052" s="107"/>
      <c r="AO6052" s="107"/>
      <c r="AP6052" s="107"/>
      <c r="AQ6052" s="107"/>
      <c r="AR6052" s="107"/>
      <c r="AS6052" s="107"/>
      <c r="AT6052" s="39"/>
    </row>
    <row r="6053" spans="33:46" x14ac:dyDescent="0.25">
      <c r="AG6053" s="107"/>
      <c r="AH6053" s="107"/>
      <c r="AI6053" s="107"/>
      <c r="AJ6053" s="117"/>
      <c r="AK6053" s="107"/>
      <c r="AL6053" s="107"/>
      <c r="AM6053" s="107"/>
      <c r="AN6053" s="107"/>
      <c r="AO6053" s="107"/>
      <c r="AP6053" s="107"/>
      <c r="AQ6053" s="107"/>
      <c r="AR6053" s="107"/>
      <c r="AS6053" s="107"/>
      <c r="AT6053" s="107"/>
    </row>
    <row r="6054" spans="33:46" x14ac:dyDescent="0.25">
      <c r="AG6054" s="107"/>
      <c r="AH6054" s="107"/>
      <c r="AI6054" s="107"/>
      <c r="AJ6054" s="117"/>
      <c r="AK6054" s="107"/>
      <c r="AL6054" s="107"/>
      <c r="AM6054" s="107"/>
      <c r="AN6054" s="107"/>
      <c r="AO6054" s="107"/>
      <c r="AP6054" s="107"/>
      <c r="AQ6054" s="107"/>
      <c r="AR6054" s="107"/>
      <c r="AS6054" s="107"/>
      <c r="AT6054" s="107"/>
    </row>
    <row r="6055" spans="33:46" x14ac:dyDescent="0.25">
      <c r="AG6055" s="107"/>
      <c r="AH6055" s="117"/>
      <c r="AI6055" s="117"/>
      <c r="AJ6055" s="117"/>
      <c r="AK6055" s="107"/>
      <c r="AL6055" s="107"/>
      <c r="AM6055" s="107"/>
      <c r="AN6055" s="107"/>
      <c r="AO6055" s="107"/>
      <c r="AP6055" s="107"/>
      <c r="AQ6055" s="107"/>
      <c r="AR6055" s="107"/>
      <c r="AS6055" s="107"/>
      <c r="AT6055" s="39"/>
    </row>
    <row r="6056" spans="33:46" x14ac:dyDescent="0.25">
      <c r="AG6056" s="107"/>
      <c r="AH6056" s="107"/>
      <c r="AI6056" s="107"/>
      <c r="AJ6056" s="117"/>
      <c r="AK6056" s="107"/>
      <c r="AL6056" s="107"/>
      <c r="AM6056" s="107"/>
      <c r="AN6056" s="107"/>
      <c r="AO6056" s="107"/>
      <c r="AP6056" s="107"/>
      <c r="AQ6056" s="107"/>
      <c r="AR6056" s="107"/>
      <c r="AS6056" s="107"/>
      <c r="AT6056" s="107"/>
    </row>
    <row r="6057" spans="33:46" x14ac:dyDescent="0.25">
      <c r="AG6057" s="107"/>
      <c r="AH6057" s="117"/>
      <c r="AI6057" s="117"/>
      <c r="AJ6057" s="117"/>
      <c r="AK6057" s="107"/>
      <c r="AL6057" s="107"/>
      <c r="AM6057" s="107"/>
      <c r="AN6057" s="107"/>
      <c r="AO6057" s="107"/>
      <c r="AP6057" s="107"/>
      <c r="AQ6057" s="107"/>
      <c r="AR6057" s="107"/>
      <c r="AS6057" s="107"/>
      <c r="AT6057" s="39"/>
    </row>
    <row r="6058" spans="33:46" x14ac:dyDescent="0.25">
      <c r="AG6058" s="107"/>
      <c r="AH6058" s="117"/>
      <c r="AI6058" s="117"/>
      <c r="AJ6058" s="117"/>
      <c r="AK6058" s="107"/>
      <c r="AL6058" s="107"/>
      <c r="AM6058" s="107"/>
      <c r="AN6058" s="107"/>
      <c r="AO6058" s="107"/>
      <c r="AP6058" s="107"/>
      <c r="AQ6058" s="107"/>
      <c r="AR6058" s="107"/>
      <c r="AS6058" s="107"/>
      <c r="AT6058" s="39"/>
    </row>
    <row r="6059" spans="33:46" x14ac:dyDescent="0.25">
      <c r="AG6059" s="107"/>
      <c r="AH6059" s="117"/>
      <c r="AI6059" s="117"/>
      <c r="AJ6059" s="117"/>
      <c r="AK6059" s="107"/>
      <c r="AL6059" s="107"/>
      <c r="AM6059" s="107"/>
      <c r="AN6059" s="107"/>
      <c r="AO6059" s="107"/>
      <c r="AP6059" s="107"/>
      <c r="AQ6059" s="107"/>
      <c r="AR6059" s="107"/>
      <c r="AS6059" s="107"/>
      <c r="AT6059" s="39"/>
    </row>
    <row r="6060" spans="33:46" x14ac:dyDescent="0.25">
      <c r="AG6060" s="107"/>
      <c r="AH6060" s="107"/>
      <c r="AI6060" s="107"/>
      <c r="AJ6060" s="117"/>
      <c r="AK6060" s="107"/>
      <c r="AL6060" s="107"/>
      <c r="AM6060" s="107"/>
      <c r="AN6060" s="107"/>
      <c r="AO6060" s="107"/>
      <c r="AP6060" s="107"/>
      <c r="AQ6060" s="107"/>
      <c r="AR6060" s="107"/>
      <c r="AS6060" s="107"/>
      <c r="AT6060" s="107"/>
    </row>
    <row r="6061" spans="33:46" x14ac:dyDescent="0.25">
      <c r="AG6061" s="107"/>
      <c r="AH6061" s="107"/>
      <c r="AI6061" s="107"/>
      <c r="AJ6061" s="117"/>
      <c r="AK6061" s="107"/>
      <c r="AL6061" s="107"/>
      <c r="AM6061" s="107"/>
      <c r="AN6061" s="107"/>
      <c r="AO6061" s="107"/>
      <c r="AP6061" s="107"/>
      <c r="AQ6061" s="107"/>
      <c r="AR6061" s="107"/>
      <c r="AS6061" s="107"/>
      <c r="AT6061" s="107"/>
    </row>
    <row r="6062" spans="33:46" x14ac:dyDescent="0.25">
      <c r="AG6062" s="107"/>
      <c r="AH6062" s="107"/>
      <c r="AI6062" s="107"/>
      <c r="AJ6062" s="117"/>
      <c r="AK6062" s="107"/>
      <c r="AL6062" s="107"/>
      <c r="AM6062" s="107"/>
      <c r="AN6062" s="107"/>
      <c r="AO6062" s="107"/>
      <c r="AP6062" s="107"/>
      <c r="AQ6062" s="107"/>
      <c r="AR6062" s="107"/>
      <c r="AS6062" s="107"/>
      <c r="AT6062" s="107"/>
    </row>
    <row r="6063" spans="33:46" x14ac:dyDescent="0.25">
      <c r="AG6063" s="107"/>
      <c r="AH6063" s="117"/>
      <c r="AI6063" s="117"/>
      <c r="AJ6063" s="117"/>
      <c r="AK6063" s="107"/>
      <c r="AL6063" s="107"/>
      <c r="AM6063" s="107"/>
      <c r="AN6063" s="107"/>
      <c r="AO6063" s="107"/>
      <c r="AP6063" s="107"/>
      <c r="AQ6063" s="107"/>
      <c r="AR6063" s="107"/>
      <c r="AS6063" s="107"/>
      <c r="AT6063" s="39"/>
    </row>
    <row r="6064" spans="33:46" x14ac:dyDescent="0.25">
      <c r="AG6064" s="107"/>
      <c r="AH6064" s="117"/>
      <c r="AI6064" s="117"/>
      <c r="AJ6064" s="117"/>
      <c r="AK6064" s="107"/>
      <c r="AL6064" s="107"/>
      <c r="AM6064" s="107"/>
      <c r="AN6064" s="107"/>
      <c r="AO6064" s="107"/>
      <c r="AP6064" s="107"/>
      <c r="AQ6064" s="107"/>
      <c r="AR6064" s="107"/>
      <c r="AS6064" s="107"/>
      <c r="AT6064" s="39"/>
    </row>
    <row r="6065" spans="33:46" x14ac:dyDescent="0.25">
      <c r="AG6065" s="107"/>
      <c r="AH6065" s="107"/>
      <c r="AI6065" s="107"/>
      <c r="AJ6065" s="117"/>
      <c r="AK6065" s="107"/>
      <c r="AL6065" s="107"/>
      <c r="AM6065" s="107"/>
      <c r="AN6065" s="107"/>
      <c r="AO6065" s="107"/>
      <c r="AP6065" s="107"/>
      <c r="AQ6065" s="107"/>
      <c r="AR6065" s="107"/>
      <c r="AS6065" s="107"/>
      <c r="AT6065" s="107"/>
    </row>
    <row r="6066" spans="33:46" x14ac:dyDescent="0.25">
      <c r="AG6066" s="107"/>
      <c r="AH6066" s="117"/>
      <c r="AI6066" s="117"/>
      <c r="AJ6066" s="117"/>
      <c r="AK6066" s="107"/>
      <c r="AL6066" s="107"/>
      <c r="AM6066" s="107"/>
      <c r="AN6066" s="107"/>
      <c r="AO6066" s="107"/>
      <c r="AP6066" s="107"/>
      <c r="AQ6066" s="107"/>
      <c r="AR6066" s="107"/>
      <c r="AS6066" s="107"/>
      <c r="AT6066" s="39"/>
    </row>
    <row r="6067" spans="33:46" x14ac:dyDescent="0.25">
      <c r="AG6067" s="107"/>
      <c r="AH6067" s="117"/>
      <c r="AI6067" s="117"/>
      <c r="AJ6067" s="117"/>
      <c r="AK6067" s="107"/>
      <c r="AL6067" s="107"/>
      <c r="AM6067" s="107"/>
      <c r="AN6067" s="107"/>
      <c r="AO6067" s="107"/>
      <c r="AP6067" s="107"/>
      <c r="AQ6067" s="107"/>
      <c r="AR6067" s="107"/>
      <c r="AS6067" s="107"/>
      <c r="AT6067" s="39"/>
    </row>
    <row r="6068" spans="33:46" x14ac:dyDescent="0.25">
      <c r="AG6068" s="107"/>
      <c r="AH6068" s="117"/>
      <c r="AI6068" s="117"/>
      <c r="AJ6068" s="117"/>
      <c r="AK6068" s="107"/>
      <c r="AL6068" s="107"/>
      <c r="AM6068" s="107"/>
      <c r="AN6068" s="107"/>
      <c r="AO6068" s="107"/>
      <c r="AP6068" s="107"/>
      <c r="AQ6068" s="107"/>
      <c r="AR6068" s="107"/>
      <c r="AS6068" s="107"/>
      <c r="AT6068" s="39"/>
    </row>
    <row r="6069" spans="33:46" x14ac:dyDescent="0.25">
      <c r="AG6069" s="107"/>
      <c r="AH6069" s="107"/>
      <c r="AI6069" s="107"/>
      <c r="AJ6069" s="117"/>
      <c r="AK6069" s="107"/>
      <c r="AL6069" s="107"/>
      <c r="AM6069" s="107"/>
      <c r="AN6069" s="107"/>
      <c r="AO6069" s="107"/>
      <c r="AP6069" s="107"/>
      <c r="AQ6069" s="107"/>
      <c r="AR6069" s="107"/>
      <c r="AS6069" s="107"/>
      <c r="AT6069" s="107"/>
    </row>
    <row r="6070" spans="33:46" x14ac:dyDescent="0.25">
      <c r="AG6070" s="107"/>
      <c r="AH6070" s="117"/>
      <c r="AI6070" s="117"/>
      <c r="AJ6070" s="117"/>
      <c r="AK6070" s="107"/>
      <c r="AL6070" s="107"/>
      <c r="AM6070" s="107"/>
      <c r="AN6070" s="107"/>
      <c r="AO6070" s="107"/>
      <c r="AP6070" s="107"/>
      <c r="AQ6070" s="107"/>
      <c r="AR6070" s="107"/>
      <c r="AS6070" s="107"/>
      <c r="AT6070" s="39"/>
    </row>
    <row r="6071" spans="33:46" x14ac:dyDescent="0.25">
      <c r="AG6071" s="107"/>
      <c r="AH6071" s="107"/>
      <c r="AI6071" s="107"/>
      <c r="AJ6071" s="117"/>
      <c r="AK6071" s="107"/>
      <c r="AL6071" s="107"/>
      <c r="AM6071" s="107"/>
      <c r="AN6071" s="107"/>
      <c r="AO6071" s="107"/>
      <c r="AP6071" s="107"/>
      <c r="AQ6071" s="107"/>
      <c r="AR6071" s="107"/>
      <c r="AS6071" s="107"/>
      <c r="AT6071" s="107"/>
    </row>
    <row r="6072" spans="33:46" x14ac:dyDescent="0.25">
      <c r="AG6072" s="107"/>
      <c r="AH6072" s="107"/>
      <c r="AI6072" s="107"/>
      <c r="AJ6072" s="117"/>
      <c r="AK6072" s="107"/>
      <c r="AL6072" s="107"/>
      <c r="AM6072" s="107"/>
      <c r="AN6072" s="107"/>
      <c r="AO6072" s="107"/>
      <c r="AP6072" s="107"/>
      <c r="AQ6072" s="107"/>
      <c r="AR6072" s="107"/>
      <c r="AS6072" s="107"/>
      <c r="AT6072" s="107"/>
    </row>
    <row r="6073" spans="33:46" x14ac:dyDescent="0.25">
      <c r="AG6073" s="107"/>
      <c r="AH6073" s="107"/>
      <c r="AI6073" s="107"/>
      <c r="AJ6073" s="117"/>
      <c r="AK6073" s="107"/>
      <c r="AL6073" s="107"/>
      <c r="AM6073" s="107"/>
      <c r="AN6073" s="107"/>
      <c r="AO6073" s="107"/>
      <c r="AP6073" s="107"/>
      <c r="AQ6073" s="107"/>
      <c r="AR6073" s="107"/>
      <c r="AS6073" s="107"/>
      <c r="AT6073" s="107"/>
    </row>
    <row r="6074" spans="33:46" x14ac:dyDescent="0.25">
      <c r="AG6074" s="107"/>
      <c r="AH6074" s="107"/>
      <c r="AI6074" s="107"/>
      <c r="AJ6074" s="117"/>
      <c r="AK6074" s="107"/>
      <c r="AL6074" s="107"/>
      <c r="AM6074" s="107"/>
      <c r="AN6074" s="107"/>
      <c r="AO6074" s="107"/>
      <c r="AP6074" s="107"/>
      <c r="AQ6074" s="107"/>
      <c r="AR6074" s="107"/>
      <c r="AS6074" s="107"/>
      <c r="AT6074" s="107"/>
    </row>
    <row r="6075" spans="33:46" x14ac:dyDescent="0.25">
      <c r="AG6075" s="107"/>
      <c r="AH6075" s="117"/>
      <c r="AI6075" s="117"/>
      <c r="AJ6075" s="117"/>
      <c r="AK6075" s="107"/>
      <c r="AL6075" s="107"/>
      <c r="AM6075" s="107"/>
      <c r="AN6075" s="107"/>
      <c r="AO6075" s="107"/>
      <c r="AP6075" s="107"/>
      <c r="AQ6075" s="107"/>
      <c r="AR6075" s="107"/>
      <c r="AS6075" s="107"/>
      <c r="AT6075" s="39"/>
    </row>
    <row r="6076" spans="33:46" x14ac:dyDescent="0.25">
      <c r="AG6076" s="107"/>
      <c r="AH6076" s="117"/>
      <c r="AI6076" s="117"/>
      <c r="AJ6076" s="117"/>
      <c r="AK6076" s="107"/>
      <c r="AL6076" s="107"/>
      <c r="AM6076" s="107"/>
      <c r="AN6076" s="107"/>
      <c r="AO6076" s="107"/>
      <c r="AP6076" s="107"/>
      <c r="AQ6076" s="107"/>
      <c r="AR6076" s="107"/>
      <c r="AS6076" s="107"/>
      <c r="AT6076" s="39"/>
    </row>
    <row r="6077" spans="33:46" x14ac:dyDescent="0.25">
      <c r="AG6077" s="107"/>
      <c r="AH6077" s="117"/>
      <c r="AI6077" s="117"/>
      <c r="AJ6077" s="117"/>
      <c r="AK6077" s="107"/>
      <c r="AL6077" s="107"/>
      <c r="AM6077" s="107"/>
      <c r="AN6077" s="107"/>
      <c r="AO6077" s="107"/>
      <c r="AP6077" s="107"/>
      <c r="AQ6077" s="107"/>
      <c r="AR6077" s="107"/>
      <c r="AS6077" s="107"/>
      <c r="AT6077" s="39"/>
    </row>
    <row r="6078" spans="33:46" x14ac:dyDescent="0.25">
      <c r="AG6078" s="107"/>
      <c r="AH6078" s="117"/>
      <c r="AI6078" s="117"/>
      <c r="AJ6078" s="117"/>
      <c r="AK6078" s="107"/>
      <c r="AL6078" s="107"/>
      <c r="AM6078" s="107"/>
      <c r="AN6078" s="107"/>
      <c r="AO6078" s="107"/>
      <c r="AP6078" s="107"/>
      <c r="AQ6078" s="107"/>
      <c r="AR6078" s="107"/>
      <c r="AS6078" s="107"/>
      <c r="AT6078" s="39"/>
    </row>
    <row r="6079" spans="33:46" x14ac:dyDescent="0.25">
      <c r="AG6079" s="107"/>
      <c r="AH6079" s="117"/>
      <c r="AI6079" s="117"/>
      <c r="AJ6079" s="117"/>
      <c r="AK6079" s="107"/>
      <c r="AL6079" s="107"/>
      <c r="AM6079" s="107"/>
      <c r="AN6079" s="107"/>
      <c r="AO6079" s="107"/>
      <c r="AP6079" s="107"/>
      <c r="AQ6079" s="107"/>
      <c r="AR6079" s="107"/>
      <c r="AS6079" s="107"/>
      <c r="AT6079" s="39"/>
    </row>
    <row r="6080" spans="33:46" x14ac:dyDescent="0.25">
      <c r="AG6080" s="107"/>
      <c r="AH6080" s="117"/>
      <c r="AI6080" s="117"/>
      <c r="AJ6080" s="117"/>
      <c r="AK6080" s="107"/>
      <c r="AL6080" s="107"/>
      <c r="AM6080" s="107"/>
      <c r="AN6080" s="107"/>
      <c r="AO6080" s="107"/>
      <c r="AP6080" s="107"/>
      <c r="AQ6080" s="107"/>
      <c r="AR6080" s="107"/>
      <c r="AS6080" s="107"/>
      <c r="AT6080" s="39"/>
    </row>
    <row r="6081" spans="33:46" x14ac:dyDescent="0.25">
      <c r="AG6081" s="107"/>
      <c r="AH6081" s="117"/>
      <c r="AI6081" s="117"/>
      <c r="AJ6081" s="117"/>
      <c r="AK6081" s="107"/>
      <c r="AL6081" s="107"/>
      <c r="AM6081" s="107"/>
      <c r="AN6081" s="107"/>
      <c r="AO6081" s="107"/>
      <c r="AP6081" s="107"/>
      <c r="AQ6081" s="107"/>
      <c r="AR6081" s="107"/>
      <c r="AS6081" s="107"/>
      <c r="AT6081" s="39"/>
    </row>
    <row r="6082" spans="33:46" x14ac:dyDescent="0.25">
      <c r="AG6082" s="107"/>
      <c r="AH6082" s="107"/>
      <c r="AI6082" s="107"/>
      <c r="AJ6082" s="117"/>
      <c r="AK6082" s="107"/>
      <c r="AL6082" s="107"/>
      <c r="AM6082" s="107"/>
      <c r="AN6082" s="107"/>
      <c r="AO6082" s="107"/>
      <c r="AP6082" s="107"/>
      <c r="AQ6082" s="107"/>
      <c r="AR6082" s="107"/>
      <c r="AS6082" s="107"/>
      <c r="AT6082" s="107"/>
    </row>
    <row r="6083" spans="33:46" x14ac:dyDescent="0.25">
      <c r="AG6083" s="107"/>
      <c r="AH6083" s="107"/>
      <c r="AI6083" s="107"/>
      <c r="AJ6083" s="11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</row>
    <row r="6084" spans="33:46" x14ac:dyDescent="0.25">
      <c r="AG6084" s="107"/>
      <c r="AH6084" s="107"/>
      <c r="AI6084" s="107"/>
      <c r="AJ6084" s="117"/>
      <c r="AK6084" s="107"/>
      <c r="AL6084" s="107"/>
      <c r="AM6084" s="107"/>
      <c r="AN6084" s="107"/>
      <c r="AO6084" s="107"/>
      <c r="AP6084" s="107"/>
      <c r="AQ6084" s="107"/>
      <c r="AR6084" s="107"/>
      <c r="AS6084" s="107"/>
      <c r="AT6084" s="107"/>
    </row>
    <row r="6085" spans="33:46" x14ac:dyDescent="0.25">
      <c r="AG6085" s="107"/>
      <c r="AH6085" s="117"/>
      <c r="AI6085" s="117"/>
      <c r="AJ6085" s="117"/>
      <c r="AK6085" s="107"/>
      <c r="AL6085" s="107"/>
      <c r="AM6085" s="107"/>
      <c r="AN6085" s="107"/>
      <c r="AO6085" s="107"/>
      <c r="AP6085" s="107"/>
      <c r="AQ6085" s="107"/>
      <c r="AR6085" s="107"/>
      <c r="AS6085" s="107"/>
      <c r="AT6085" s="39"/>
    </row>
    <row r="6086" spans="33:46" x14ac:dyDescent="0.25">
      <c r="AG6086" s="107"/>
      <c r="AH6086" s="117"/>
      <c r="AI6086" s="117"/>
      <c r="AJ6086" s="117"/>
      <c r="AK6086" s="107"/>
      <c r="AL6086" s="107"/>
      <c r="AM6086" s="107"/>
      <c r="AN6086" s="107"/>
      <c r="AO6086" s="107"/>
      <c r="AP6086" s="107"/>
      <c r="AQ6086" s="107"/>
      <c r="AR6086" s="107"/>
      <c r="AS6086" s="107"/>
      <c r="AT6086" s="39"/>
    </row>
    <row r="6087" spans="33:46" x14ac:dyDescent="0.25">
      <c r="AG6087" s="107"/>
      <c r="AH6087" s="117"/>
      <c r="AI6087" s="117"/>
      <c r="AJ6087" s="117"/>
      <c r="AK6087" s="107"/>
      <c r="AL6087" s="107"/>
      <c r="AM6087" s="107"/>
      <c r="AN6087" s="107"/>
      <c r="AO6087" s="107"/>
      <c r="AP6087" s="107"/>
      <c r="AQ6087" s="107"/>
      <c r="AR6087" s="107"/>
      <c r="AS6087" s="107"/>
      <c r="AT6087" s="39"/>
    </row>
    <row r="6088" spans="33:46" x14ac:dyDescent="0.25">
      <c r="AG6088" s="107"/>
      <c r="AH6088" s="107"/>
      <c r="AI6088" s="107"/>
      <c r="AJ6088" s="117"/>
      <c r="AK6088" s="107"/>
      <c r="AL6088" s="107"/>
      <c r="AM6088" s="107"/>
      <c r="AN6088" s="107"/>
      <c r="AO6088" s="107"/>
      <c r="AP6088" s="107"/>
      <c r="AQ6088" s="107"/>
      <c r="AR6088" s="107"/>
      <c r="AS6088" s="107"/>
      <c r="AT6088" s="107"/>
    </row>
    <row r="6089" spans="33:46" x14ac:dyDescent="0.25">
      <c r="AG6089" s="107"/>
      <c r="AH6089" s="117"/>
      <c r="AI6089" s="117"/>
      <c r="AJ6089" s="117"/>
      <c r="AK6089" s="107"/>
      <c r="AL6089" s="107"/>
      <c r="AM6089" s="107"/>
      <c r="AN6089" s="107"/>
      <c r="AO6089" s="107"/>
      <c r="AP6089" s="107"/>
      <c r="AQ6089" s="107"/>
      <c r="AR6089" s="107"/>
      <c r="AS6089" s="107"/>
      <c r="AT6089" s="39"/>
    </row>
    <row r="6090" spans="33:46" x14ac:dyDescent="0.25">
      <c r="AG6090" s="107"/>
      <c r="AH6090" s="107"/>
      <c r="AI6090" s="107"/>
      <c r="AJ6090" s="117"/>
      <c r="AK6090" s="107"/>
      <c r="AL6090" s="107"/>
      <c r="AM6090" s="107"/>
      <c r="AN6090" s="107"/>
      <c r="AO6090" s="107"/>
      <c r="AP6090" s="107"/>
      <c r="AQ6090" s="107"/>
      <c r="AR6090" s="107"/>
      <c r="AS6090" s="107"/>
      <c r="AT6090" s="107"/>
    </row>
    <row r="6091" spans="33:46" x14ac:dyDescent="0.25">
      <c r="AG6091" s="107"/>
      <c r="AH6091" s="117"/>
      <c r="AI6091" s="117"/>
      <c r="AJ6091" s="117"/>
      <c r="AK6091" s="107"/>
      <c r="AL6091" s="107"/>
      <c r="AM6091" s="107"/>
      <c r="AN6091" s="107"/>
      <c r="AO6091" s="107"/>
      <c r="AP6091" s="107"/>
      <c r="AQ6091" s="107"/>
      <c r="AR6091" s="107"/>
      <c r="AS6091" s="107"/>
      <c r="AT6091" s="39"/>
    </row>
    <row r="6092" spans="33:46" x14ac:dyDescent="0.25">
      <c r="AG6092" s="107"/>
      <c r="AH6092" s="117"/>
      <c r="AI6092" s="117"/>
      <c r="AJ6092" s="117"/>
      <c r="AK6092" s="107"/>
      <c r="AL6092" s="107"/>
      <c r="AM6092" s="107"/>
      <c r="AN6092" s="107"/>
      <c r="AO6092" s="107"/>
      <c r="AP6092" s="107"/>
      <c r="AQ6092" s="107"/>
      <c r="AR6092" s="107"/>
      <c r="AS6092" s="107"/>
      <c r="AT6092" s="39"/>
    </row>
    <row r="6093" spans="33:46" x14ac:dyDescent="0.25">
      <c r="AG6093" s="107"/>
      <c r="AH6093" s="117"/>
      <c r="AI6093" s="117"/>
      <c r="AJ6093" s="117"/>
      <c r="AK6093" s="107"/>
      <c r="AL6093" s="107"/>
      <c r="AM6093" s="107"/>
      <c r="AN6093" s="107"/>
      <c r="AO6093" s="107"/>
      <c r="AP6093" s="107"/>
      <c r="AQ6093" s="107"/>
      <c r="AR6093" s="107"/>
      <c r="AS6093" s="107"/>
      <c r="AT6093" s="39"/>
    </row>
    <row r="6094" spans="33:46" x14ac:dyDescent="0.25">
      <c r="AG6094" s="107"/>
      <c r="AH6094" s="117"/>
      <c r="AI6094" s="117"/>
      <c r="AJ6094" s="117"/>
      <c r="AK6094" s="107"/>
      <c r="AL6094" s="107"/>
      <c r="AM6094" s="107"/>
      <c r="AN6094" s="107"/>
      <c r="AO6094" s="107"/>
      <c r="AP6094" s="107"/>
      <c r="AQ6094" s="107"/>
      <c r="AR6094" s="107"/>
      <c r="AS6094" s="107"/>
      <c r="AT6094" s="39"/>
    </row>
    <row r="6095" spans="33:46" x14ac:dyDescent="0.25">
      <c r="AG6095" s="107"/>
      <c r="AH6095" s="107"/>
      <c r="AI6095" s="107"/>
      <c r="AJ6095" s="117"/>
      <c r="AK6095" s="107"/>
      <c r="AL6095" s="107"/>
      <c r="AM6095" s="107"/>
      <c r="AN6095" s="107"/>
      <c r="AO6095" s="107"/>
      <c r="AP6095" s="107"/>
      <c r="AQ6095" s="107"/>
      <c r="AR6095" s="107"/>
      <c r="AS6095" s="107"/>
      <c r="AT6095" s="107"/>
    </row>
    <row r="6096" spans="33:46" x14ac:dyDescent="0.25">
      <c r="AG6096" s="107"/>
      <c r="AH6096" s="117"/>
      <c r="AI6096" s="107"/>
      <c r="AJ6096" s="117"/>
      <c r="AK6096" s="107"/>
      <c r="AL6096" s="107"/>
      <c r="AM6096" s="107"/>
      <c r="AN6096" s="107"/>
      <c r="AO6096" s="107"/>
      <c r="AP6096" s="107"/>
      <c r="AQ6096" s="107"/>
      <c r="AR6096" s="107"/>
      <c r="AS6096" s="107"/>
      <c r="AT6096" s="39"/>
    </row>
    <row r="6097" spans="33:46" x14ac:dyDescent="0.25">
      <c r="AG6097" s="107"/>
      <c r="AH6097" s="117"/>
      <c r="AI6097" s="107"/>
      <c r="AJ6097" s="117"/>
      <c r="AK6097" s="107"/>
      <c r="AL6097" s="107"/>
      <c r="AM6097" s="107"/>
      <c r="AN6097" s="107"/>
      <c r="AO6097" s="107"/>
      <c r="AP6097" s="107"/>
      <c r="AQ6097" s="107"/>
      <c r="AR6097" s="107"/>
      <c r="AS6097" s="107"/>
      <c r="AT6097" s="39"/>
    </row>
    <row r="6098" spans="33:46" x14ac:dyDescent="0.25">
      <c r="AG6098" s="107"/>
      <c r="AH6098" s="117"/>
      <c r="AI6098" s="107"/>
      <c r="AJ6098" s="117"/>
      <c r="AK6098" s="107"/>
      <c r="AL6098" s="107"/>
      <c r="AM6098" s="107"/>
      <c r="AN6098" s="107"/>
      <c r="AO6098" s="107"/>
      <c r="AP6098" s="107"/>
      <c r="AQ6098" s="107"/>
      <c r="AR6098" s="107"/>
      <c r="AS6098" s="107"/>
      <c r="AT6098" s="39"/>
    </row>
    <row r="6099" spans="33:46" x14ac:dyDescent="0.25">
      <c r="AG6099" s="107"/>
      <c r="AH6099" s="117"/>
      <c r="AI6099" s="117"/>
      <c r="AJ6099" s="117"/>
      <c r="AK6099" s="107"/>
      <c r="AL6099" s="107"/>
      <c r="AM6099" s="107"/>
      <c r="AN6099" s="107"/>
      <c r="AO6099" s="107"/>
      <c r="AP6099" s="107"/>
      <c r="AQ6099" s="107"/>
      <c r="AR6099" s="107"/>
      <c r="AS6099" s="107"/>
      <c r="AT6099" s="39"/>
    </row>
    <row r="6100" spans="33:46" x14ac:dyDescent="0.25">
      <c r="AG6100" s="107"/>
      <c r="AH6100" s="117"/>
      <c r="AI6100" s="117"/>
      <c r="AJ6100" s="117"/>
      <c r="AK6100" s="107"/>
      <c r="AL6100" s="107"/>
      <c r="AM6100" s="107"/>
      <c r="AN6100" s="107"/>
      <c r="AO6100" s="107"/>
      <c r="AP6100" s="107"/>
      <c r="AQ6100" s="107"/>
      <c r="AR6100" s="107"/>
      <c r="AS6100" s="107"/>
      <c r="AT6100" s="39"/>
    </row>
    <row r="6101" spans="33:46" x14ac:dyDescent="0.25">
      <c r="AG6101" s="107"/>
      <c r="AH6101" s="107"/>
      <c r="AI6101" s="107"/>
      <c r="AJ6101" s="117"/>
      <c r="AK6101" s="107"/>
      <c r="AL6101" s="107"/>
      <c r="AM6101" s="107"/>
      <c r="AN6101" s="107"/>
      <c r="AO6101" s="107"/>
      <c r="AP6101" s="107"/>
      <c r="AQ6101" s="107"/>
      <c r="AR6101" s="107"/>
      <c r="AS6101" s="107"/>
      <c r="AT6101" s="107"/>
    </row>
    <row r="6102" spans="33:46" x14ac:dyDescent="0.25">
      <c r="AG6102" s="107"/>
      <c r="AH6102" s="117"/>
      <c r="AI6102" s="117"/>
      <c r="AJ6102" s="117"/>
      <c r="AK6102" s="107"/>
      <c r="AL6102" s="107"/>
      <c r="AM6102" s="107"/>
      <c r="AN6102" s="107"/>
      <c r="AO6102" s="107"/>
      <c r="AP6102" s="107"/>
      <c r="AQ6102" s="107"/>
      <c r="AR6102" s="107"/>
      <c r="AS6102" s="107"/>
      <c r="AT6102" s="39"/>
    </row>
    <row r="6103" spans="33:46" x14ac:dyDescent="0.25">
      <c r="AG6103" s="107"/>
      <c r="AH6103" s="117"/>
      <c r="AI6103" s="117"/>
      <c r="AJ6103" s="117"/>
      <c r="AK6103" s="107"/>
      <c r="AL6103" s="107"/>
      <c r="AM6103" s="107"/>
      <c r="AN6103" s="107"/>
      <c r="AO6103" s="107"/>
      <c r="AP6103" s="107"/>
      <c r="AQ6103" s="107"/>
      <c r="AR6103" s="107"/>
      <c r="AS6103" s="107"/>
      <c r="AT6103" s="39"/>
    </row>
    <row r="6104" spans="33:46" x14ac:dyDescent="0.25">
      <c r="AG6104" s="107"/>
      <c r="AH6104" s="117"/>
      <c r="AI6104" s="117"/>
      <c r="AJ6104" s="117"/>
      <c r="AK6104" s="107"/>
      <c r="AL6104" s="107"/>
      <c r="AM6104" s="107"/>
      <c r="AN6104" s="107"/>
      <c r="AO6104" s="107"/>
      <c r="AP6104" s="107"/>
      <c r="AQ6104" s="107"/>
      <c r="AR6104" s="107"/>
      <c r="AS6104" s="107"/>
      <c r="AT6104" s="39"/>
    </row>
    <row r="6105" spans="33:46" x14ac:dyDescent="0.25">
      <c r="AG6105" s="107"/>
      <c r="AH6105" s="117"/>
      <c r="AI6105" s="117"/>
      <c r="AJ6105" s="117"/>
      <c r="AK6105" s="107"/>
      <c r="AL6105" s="107"/>
      <c r="AM6105" s="107"/>
      <c r="AN6105" s="107"/>
      <c r="AO6105" s="107"/>
      <c r="AP6105" s="107"/>
      <c r="AQ6105" s="107"/>
      <c r="AR6105" s="107"/>
      <c r="AS6105" s="107"/>
      <c r="AT6105" s="39"/>
    </row>
    <row r="6106" spans="33:46" x14ac:dyDescent="0.25">
      <c r="AG6106" s="107"/>
      <c r="AH6106" s="117"/>
      <c r="AI6106" s="117"/>
      <c r="AJ6106" s="117"/>
      <c r="AK6106" s="107"/>
      <c r="AL6106" s="107"/>
      <c r="AM6106" s="107"/>
      <c r="AN6106" s="107"/>
      <c r="AO6106" s="107"/>
      <c r="AP6106" s="107"/>
      <c r="AQ6106" s="107"/>
      <c r="AR6106" s="107"/>
      <c r="AS6106" s="107"/>
      <c r="AT6106" s="39"/>
    </row>
    <row r="6107" spans="33:46" x14ac:dyDescent="0.25">
      <c r="AG6107" s="107"/>
      <c r="AH6107" s="117"/>
      <c r="AI6107" s="117"/>
      <c r="AJ6107" s="117"/>
      <c r="AK6107" s="107"/>
      <c r="AL6107" s="107"/>
      <c r="AM6107" s="107"/>
      <c r="AN6107" s="107"/>
      <c r="AO6107" s="107"/>
      <c r="AP6107" s="107"/>
      <c r="AQ6107" s="107"/>
      <c r="AR6107" s="107"/>
      <c r="AS6107" s="107"/>
      <c r="AT6107" s="39"/>
    </row>
    <row r="6108" spans="33:46" x14ac:dyDescent="0.25">
      <c r="AG6108" s="107"/>
      <c r="AH6108" s="117"/>
      <c r="AI6108" s="117"/>
      <c r="AJ6108" s="117"/>
      <c r="AK6108" s="107"/>
      <c r="AL6108" s="107"/>
      <c r="AM6108" s="107"/>
      <c r="AN6108" s="107"/>
      <c r="AO6108" s="107"/>
      <c r="AP6108" s="107"/>
      <c r="AQ6108" s="107"/>
      <c r="AR6108" s="107"/>
      <c r="AS6108" s="107"/>
      <c r="AT6108" s="39"/>
    </row>
    <row r="6109" spans="33:46" x14ac:dyDescent="0.25">
      <c r="AG6109" s="107"/>
      <c r="AH6109" s="117"/>
      <c r="AI6109" s="117"/>
      <c r="AJ6109" s="117"/>
      <c r="AK6109" s="107"/>
      <c r="AL6109" s="107"/>
      <c r="AM6109" s="107"/>
      <c r="AN6109" s="107"/>
      <c r="AO6109" s="107"/>
      <c r="AP6109" s="107"/>
      <c r="AQ6109" s="107"/>
      <c r="AR6109" s="107"/>
      <c r="AS6109" s="107"/>
      <c r="AT6109" s="39"/>
    </row>
    <row r="6110" spans="33:46" x14ac:dyDescent="0.25">
      <c r="AG6110" s="107"/>
      <c r="AH6110" s="107"/>
      <c r="AI6110" s="107"/>
      <c r="AJ6110" s="117"/>
      <c r="AK6110" s="107"/>
      <c r="AL6110" s="107"/>
      <c r="AM6110" s="107"/>
      <c r="AN6110" s="107"/>
      <c r="AO6110" s="107"/>
      <c r="AP6110" s="107"/>
      <c r="AQ6110" s="107"/>
      <c r="AR6110" s="107"/>
      <c r="AS6110" s="107"/>
      <c r="AT6110" s="107"/>
    </row>
    <row r="6111" spans="33:46" x14ac:dyDescent="0.25">
      <c r="AG6111" s="107"/>
      <c r="AH6111" s="117"/>
      <c r="AI6111" s="117"/>
      <c r="AJ6111" s="117"/>
      <c r="AK6111" s="107"/>
      <c r="AL6111" s="107"/>
      <c r="AM6111" s="107"/>
      <c r="AN6111" s="107"/>
      <c r="AO6111" s="107"/>
      <c r="AP6111" s="107"/>
      <c r="AQ6111" s="107"/>
      <c r="AR6111" s="107"/>
      <c r="AS6111" s="107"/>
      <c r="AT6111" s="39"/>
    </row>
    <row r="6112" spans="33:46" x14ac:dyDescent="0.25">
      <c r="AG6112" s="107"/>
      <c r="AH6112" s="107"/>
      <c r="AI6112" s="107"/>
      <c r="AJ6112" s="117"/>
      <c r="AK6112" s="107"/>
      <c r="AL6112" s="107"/>
      <c r="AM6112" s="107"/>
      <c r="AN6112" s="107"/>
      <c r="AO6112" s="107"/>
      <c r="AP6112" s="107"/>
      <c r="AQ6112" s="107"/>
      <c r="AR6112" s="107"/>
      <c r="AS6112" s="107"/>
      <c r="AT6112" s="107"/>
    </row>
    <row r="6113" spans="33:46" x14ac:dyDescent="0.25">
      <c r="AG6113" s="107"/>
      <c r="AH6113" s="107"/>
      <c r="AI6113" s="107"/>
      <c r="AJ6113" s="117"/>
      <c r="AK6113" s="107"/>
      <c r="AL6113" s="107"/>
      <c r="AM6113" s="107"/>
      <c r="AN6113" s="107"/>
      <c r="AO6113" s="107"/>
      <c r="AP6113" s="107"/>
      <c r="AQ6113" s="107"/>
      <c r="AR6113" s="107"/>
      <c r="AS6113" s="107"/>
      <c r="AT6113" s="107"/>
    </row>
    <row r="6114" spans="33:46" x14ac:dyDescent="0.25">
      <c r="AG6114" s="107"/>
      <c r="AH6114" s="107"/>
      <c r="AI6114" s="107"/>
      <c r="AJ6114" s="117"/>
      <c r="AK6114" s="107"/>
      <c r="AL6114" s="107"/>
      <c r="AM6114" s="107"/>
      <c r="AN6114" s="107"/>
      <c r="AO6114" s="107"/>
      <c r="AP6114" s="107"/>
      <c r="AQ6114" s="107"/>
      <c r="AR6114" s="107"/>
      <c r="AS6114" s="107"/>
      <c r="AT6114" s="107"/>
    </row>
    <row r="6115" spans="33:46" x14ac:dyDescent="0.25">
      <c r="AG6115" s="107"/>
      <c r="AH6115" s="107"/>
      <c r="AI6115" s="107"/>
      <c r="AJ6115" s="117"/>
      <c r="AK6115" s="107"/>
      <c r="AL6115" s="107"/>
      <c r="AM6115" s="107"/>
      <c r="AN6115" s="107"/>
      <c r="AO6115" s="107"/>
      <c r="AP6115" s="107"/>
      <c r="AQ6115" s="107"/>
      <c r="AR6115" s="107"/>
      <c r="AS6115" s="107"/>
      <c r="AT6115" s="107"/>
    </row>
    <row r="6116" spans="33:46" x14ac:dyDescent="0.25">
      <c r="AG6116" s="107"/>
      <c r="AH6116" s="107"/>
      <c r="AI6116" s="107"/>
      <c r="AJ6116" s="117"/>
      <c r="AK6116" s="107"/>
      <c r="AL6116" s="107"/>
      <c r="AM6116" s="107"/>
      <c r="AN6116" s="107"/>
      <c r="AO6116" s="107"/>
      <c r="AP6116" s="107"/>
      <c r="AQ6116" s="107"/>
      <c r="AR6116" s="107"/>
      <c r="AS6116" s="107"/>
      <c r="AT6116" s="107"/>
    </row>
    <row r="6117" spans="33:46" x14ac:dyDescent="0.25">
      <c r="AG6117" s="107"/>
      <c r="AH6117" s="107"/>
      <c r="AI6117" s="107"/>
      <c r="AJ6117" s="117"/>
      <c r="AK6117" s="107"/>
      <c r="AL6117" s="107"/>
      <c r="AM6117" s="107"/>
      <c r="AN6117" s="107"/>
      <c r="AO6117" s="107"/>
      <c r="AP6117" s="107"/>
      <c r="AQ6117" s="107"/>
      <c r="AR6117" s="107"/>
      <c r="AS6117" s="107"/>
      <c r="AT6117" s="107"/>
    </row>
    <row r="6118" spans="33:46" x14ac:dyDescent="0.25">
      <c r="AG6118" s="107"/>
      <c r="AH6118" s="107"/>
      <c r="AI6118" s="107"/>
      <c r="AJ6118" s="117"/>
      <c r="AK6118" s="107"/>
      <c r="AL6118" s="107"/>
      <c r="AM6118" s="107"/>
      <c r="AN6118" s="107"/>
      <c r="AO6118" s="107"/>
      <c r="AP6118" s="107"/>
      <c r="AQ6118" s="107"/>
      <c r="AR6118" s="107"/>
      <c r="AS6118" s="107"/>
      <c r="AT6118" s="107"/>
    </row>
    <row r="6119" spans="33:46" x14ac:dyDescent="0.25">
      <c r="AG6119" s="107"/>
      <c r="AH6119" s="107"/>
      <c r="AI6119" s="107"/>
      <c r="AJ6119" s="117"/>
      <c r="AK6119" s="107"/>
      <c r="AL6119" s="107"/>
      <c r="AM6119" s="107"/>
      <c r="AN6119" s="107"/>
      <c r="AO6119" s="107"/>
      <c r="AP6119" s="107"/>
      <c r="AQ6119" s="107"/>
      <c r="AR6119" s="107"/>
      <c r="AS6119" s="107"/>
      <c r="AT6119" s="107"/>
    </row>
    <row r="6120" spans="33:46" x14ac:dyDescent="0.25">
      <c r="AG6120" s="107"/>
      <c r="AH6120" s="107"/>
      <c r="AI6120" s="107"/>
      <c r="AJ6120" s="117"/>
      <c r="AK6120" s="107"/>
      <c r="AL6120" s="107"/>
      <c r="AM6120" s="107"/>
      <c r="AN6120" s="107"/>
      <c r="AO6120" s="107"/>
      <c r="AP6120" s="107"/>
      <c r="AQ6120" s="107"/>
      <c r="AR6120" s="107"/>
      <c r="AS6120" s="107"/>
      <c r="AT6120" s="107"/>
    </row>
    <row r="6121" spans="33:46" x14ac:dyDescent="0.25">
      <c r="AG6121" s="107"/>
      <c r="AH6121" s="107"/>
      <c r="AI6121" s="107"/>
      <c r="AJ6121" s="117"/>
      <c r="AK6121" s="107"/>
      <c r="AL6121" s="107"/>
      <c r="AM6121" s="107"/>
      <c r="AN6121" s="107"/>
      <c r="AO6121" s="107"/>
      <c r="AP6121" s="107"/>
      <c r="AQ6121" s="107"/>
      <c r="AR6121" s="107"/>
      <c r="AS6121" s="107"/>
      <c r="AT6121" s="107"/>
    </row>
    <row r="6122" spans="33:46" x14ac:dyDescent="0.25">
      <c r="AG6122" s="107"/>
      <c r="AH6122" s="107"/>
      <c r="AI6122" s="107"/>
      <c r="AJ6122" s="117"/>
      <c r="AK6122" s="107"/>
      <c r="AL6122" s="107"/>
      <c r="AM6122" s="107"/>
      <c r="AN6122" s="107"/>
      <c r="AO6122" s="107"/>
      <c r="AP6122" s="107"/>
      <c r="AQ6122" s="107"/>
      <c r="AR6122" s="107"/>
      <c r="AS6122" s="107"/>
      <c r="AT6122" s="107"/>
    </row>
    <row r="6123" spans="33:46" x14ac:dyDescent="0.25">
      <c r="AG6123" s="107"/>
      <c r="AH6123" s="107"/>
      <c r="AI6123" s="107"/>
      <c r="AJ6123" s="117"/>
      <c r="AK6123" s="107"/>
      <c r="AL6123" s="107"/>
      <c r="AM6123" s="107"/>
      <c r="AN6123" s="107"/>
      <c r="AO6123" s="107"/>
      <c r="AP6123" s="107"/>
      <c r="AQ6123" s="107"/>
      <c r="AR6123" s="107"/>
      <c r="AS6123" s="107"/>
      <c r="AT6123" s="107"/>
    </row>
    <row r="6124" spans="33:46" x14ac:dyDescent="0.25">
      <c r="AG6124" s="107"/>
      <c r="AH6124" s="107"/>
      <c r="AI6124" s="107"/>
      <c r="AJ6124" s="117"/>
      <c r="AK6124" s="107"/>
      <c r="AL6124" s="107"/>
      <c r="AM6124" s="107"/>
      <c r="AN6124" s="107"/>
      <c r="AO6124" s="107"/>
      <c r="AP6124" s="107"/>
      <c r="AQ6124" s="107"/>
      <c r="AR6124" s="107"/>
      <c r="AS6124" s="107"/>
      <c r="AT6124" s="107"/>
    </row>
    <row r="6125" spans="33:46" x14ac:dyDescent="0.25">
      <c r="AG6125" s="107"/>
      <c r="AH6125" s="117"/>
      <c r="AI6125" s="117"/>
      <c r="AJ6125" s="117"/>
      <c r="AK6125" s="107"/>
      <c r="AL6125" s="107"/>
      <c r="AM6125" s="107"/>
      <c r="AN6125" s="107"/>
      <c r="AO6125" s="107"/>
      <c r="AP6125" s="107"/>
      <c r="AQ6125" s="107"/>
      <c r="AR6125" s="107"/>
      <c r="AS6125" s="107"/>
      <c r="AT6125" s="39"/>
    </row>
    <row r="6126" spans="33:46" x14ac:dyDescent="0.25">
      <c r="AG6126" s="107"/>
      <c r="AH6126" s="107"/>
      <c r="AI6126" s="107"/>
      <c r="AJ6126" s="117"/>
      <c r="AK6126" s="107"/>
      <c r="AL6126" s="107"/>
      <c r="AM6126" s="107"/>
      <c r="AN6126" s="107"/>
      <c r="AO6126" s="107"/>
      <c r="AP6126" s="107"/>
      <c r="AQ6126" s="107"/>
      <c r="AR6126" s="107"/>
      <c r="AS6126" s="107"/>
      <c r="AT6126" s="107"/>
    </row>
    <row r="6127" spans="33:46" x14ac:dyDescent="0.25">
      <c r="AG6127" s="107"/>
      <c r="AH6127" s="117"/>
      <c r="AI6127" s="117"/>
      <c r="AJ6127" s="117"/>
      <c r="AK6127" s="107"/>
      <c r="AL6127" s="107"/>
      <c r="AM6127" s="107"/>
      <c r="AN6127" s="107"/>
      <c r="AO6127" s="107"/>
      <c r="AP6127" s="107"/>
      <c r="AQ6127" s="107"/>
      <c r="AR6127" s="107"/>
      <c r="AS6127" s="107"/>
      <c r="AT6127" s="39"/>
    </row>
    <row r="6128" spans="33:46" x14ac:dyDescent="0.25">
      <c r="AG6128" s="107"/>
      <c r="AH6128" s="117"/>
      <c r="AI6128" s="117"/>
      <c r="AJ6128" s="117"/>
      <c r="AK6128" s="107"/>
      <c r="AL6128" s="107"/>
      <c r="AM6128" s="107"/>
      <c r="AN6128" s="107"/>
      <c r="AO6128" s="107"/>
      <c r="AP6128" s="107"/>
      <c r="AQ6128" s="107"/>
      <c r="AR6128" s="107"/>
      <c r="AS6128" s="107"/>
      <c r="AT6128" s="39"/>
    </row>
    <row r="6129" spans="33:46" x14ac:dyDescent="0.25">
      <c r="AG6129" s="107"/>
      <c r="AH6129" s="117"/>
      <c r="AI6129" s="117"/>
      <c r="AJ6129" s="117"/>
      <c r="AK6129" s="107"/>
      <c r="AL6129" s="107"/>
      <c r="AM6129" s="107"/>
      <c r="AN6129" s="107"/>
      <c r="AO6129" s="107"/>
      <c r="AP6129" s="107"/>
      <c r="AQ6129" s="107"/>
      <c r="AR6129" s="107"/>
      <c r="AS6129" s="107"/>
      <c r="AT6129" s="39"/>
    </row>
    <row r="6130" spans="33:46" x14ac:dyDescent="0.25">
      <c r="AG6130" s="107"/>
      <c r="AH6130" s="107"/>
      <c r="AI6130" s="107"/>
      <c r="AJ6130" s="117"/>
      <c r="AK6130" s="107"/>
      <c r="AL6130" s="107"/>
      <c r="AM6130" s="107"/>
      <c r="AN6130" s="107"/>
      <c r="AO6130" s="107"/>
      <c r="AP6130" s="107"/>
      <c r="AQ6130" s="107"/>
      <c r="AR6130" s="107"/>
      <c r="AS6130" s="107"/>
      <c r="AT6130" s="107"/>
    </row>
    <row r="6131" spans="33:46" x14ac:dyDescent="0.25">
      <c r="AG6131" s="107"/>
      <c r="AH6131" s="107"/>
      <c r="AI6131" s="107"/>
      <c r="AJ6131" s="117"/>
      <c r="AK6131" s="107"/>
      <c r="AL6131" s="107"/>
      <c r="AM6131" s="107"/>
      <c r="AN6131" s="107"/>
      <c r="AO6131" s="107"/>
      <c r="AP6131" s="107"/>
      <c r="AQ6131" s="107"/>
      <c r="AR6131" s="107"/>
      <c r="AS6131" s="107"/>
      <c r="AT6131" s="107"/>
    </row>
    <row r="6132" spans="33:46" x14ac:dyDescent="0.25">
      <c r="AG6132" s="107"/>
      <c r="AH6132" s="107"/>
      <c r="AI6132" s="107"/>
      <c r="AJ6132" s="117"/>
      <c r="AK6132" s="107"/>
      <c r="AL6132" s="107"/>
      <c r="AM6132" s="107"/>
      <c r="AN6132" s="107"/>
      <c r="AO6132" s="107"/>
      <c r="AP6132" s="107"/>
      <c r="AQ6132" s="107"/>
      <c r="AR6132" s="107"/>
      <c r="AS6132" s="107"/>
      <c r="AT6132" s="107"/>
    </row>
    <row r="6133" spans="33:46" x14ac:dyDescent="0.25">
      <c r="AG6133" s="107"/>
      <c r="AH6133" s="107"/>
      <c r="AI6133" s="107"/>
      <c r="AJ6133" s="117"/>
      <c r="AK6133" s="107"/>
      <c r="AL6133" s="107"/>
      <c r="AM6133" s="107"/>
      <c r="AN6133" s="107"/>
      <c r="AO6133" s="107"/>
      <c r="AP6133" s="107"/>
      <c r="AQ6133" s="107"/>
      <c r="AR6133" s="107"/>
      <c r="AS6133" s="107"/>
      <c r="AT6133" s="107"/>
    </row>
    <row r="6134" spans="33:46" x14ac:dyDescent="0.25">
      <c r="AG6134" s="107"/>
      <c r="AH6134" s="117"/>
      <c r="AI6134" s="117"/>
      <c r="AJ6134" s="117"/>
      <c r="AK6134" s="107"/>
      <c r="AL6134" s="107"/>
      <c r="AM6134" s="107"/>
      <c r="AN6134" s="107"/>
      <c r="AO6134" s="107"/>
      <c r="AP6134" s="107"/>
      <c r="AQ6134" s="107"/>
      <c r="AR6134" s="107"/>
      <c r="AS6134" s="107"/>
      <c r="AT6134" s="39"/>
    </row>
    <row r="6135" spans="33:46" x14ac:dyDescent="0.25">
      <c r="AG6135" s="107"/>
      <c r="AH6135" s="117"/>
      <c r="AI6135" s="117"/>
      <c r="AJ6135" s="117"/>
      <c r="AK6135" s="107"/>
      <c r="AL6135" s="107"/>
      <c r="AM6135" s="107"/>
      <c r="AN6135" s="107"/>
      <c r="AO6135" s="107"/>
      <c r="AP6135" s="107"/>
      <c r="AQ6135" s="107"/>
      <c r="AR6135" s="107"/>
      <c r="AS6135" s="107"/>
      <c r="AT6135" s="39"/>
    </row>
    <row r="6136" spans="33:46" x14ac:dyDescent="0.25">
      <c r="AG6136" s="107"/>
      <c r="AH6136" s="107"/>
      <c r="AI6136" s="107"/>
      <c r="AJ6136" s="117"/>
      <c r="AK6136" s="107"/>
      <c r="AL6136" s="107"/>
      <c r="AM6136" s="107"/>
      <c r="AN6136" s="107"/>
      <c r="AO6136" s="107"/>
      <c r="AP6136" s="107"/>
      <c r="AQ6136" s="107"/>
      <c r="AR6136" s="107"/>
      <c r="AS6136" s="107"/>
      <c r="AT6136" s="107"/>
    </row>
    <row r="6137" spans="33:46" x14ac:dyDescent="0.25">
      <c r="AG6137" s="107"/>
      <c r="AH6137" s="117"/>
      <c r="AI6137" s="117"/>
      <c r="AJ6137" s="117"/>
      <c r="AK6137" s="107"/>
      <c r="AL6137" s="107"/>
      <c r="AM6137" s="107"/>
      <c r="AN6137" s="107"/>
      <c r="AO6137" s="107"/>
      <c r="AP6137" s="107"/>
      <c r="AQ6137" s="107"/>
      <c r="AR6137" s="107"/>
      <c r="AS6137" s="107"/>
      <c r="AT6137" s="39"/>
    </row>
    <row r="6138" spans="33:46" x14ac:dyDescent="0.25">
      <c r="AG6138" s="107"/>
      <c r="AH6138" s="107"/>
      <c r="AI6138" s="107"/>
      <c r="AJ6138" s="117"/>
      <c r="AK6138" s="107"/>
      <c r="AL6138" s="107"/>
      <c r="AM6138" s="107"/>
      <c r="AN6138" s="107"/>
      <c r="AO6138" s="107"/>
      <c r="AP6138" s="107"/>
      <c r="AQ6138" s="107"/>
      <c r="AR6138" s="107"/>
      <c r="AS6138" s="107"/>
      <c r="AT6138" s="107"/>
    </row>
    <row r="6139" spans="33:46" x14ac:dyDescent="0.25">
      <c r="AG6139" s="107"/>
      <c r="AH6139" s="107"/>
      <c r="AI6139" s="107"/>
      <c r="AJ6139" s="117"/>
      <c r="AK6139" s="107"/>
      <c r="AL6139" s="107"/>
      <c r="AM6139" s="107"/>
      <c r="AN6139" s="107"/>
      <c r="AO6139" s="107"/>
      <c r="AP6139" s="107"/>
      <c r="AQ6139" s="107"/>
      <c r="AR6139" s="107"/>
      <c r="AS6139" s="107"/>
      <c r="AT6139" s="107"/>
    </row>
    <row r="6140" spans="33:46" x14ac:dyDescent="0.25">
      <c r="AG6140" s="107"/>
      <c r="AH6140" s="107"/>
      <c r="AI6140" s="107"/>
      <c r="AJ6140" s="117"/>
      <c r="AK6140" s="107"/>
      <c r="AL6140" s="107"/>
      <c r="AM6140" s="107"/>
      <c r="AN6140" s="107"/>
      <c r="AO6140" s="107"/>
      <c r="AP6140" s="107"/>
      <c r="AQ6140" s="107"/>
      <c r="AR6140" s="107"/>
      <c r="AS6140" s="107"/>
      <c r="AT6140" s="107"/>
    </row>
    <row r="6141" spans="33:46" x14ac:dyDescent="0.25">
      <c r="AG6141" s="107"/>
      <c r="AH6141" s="117"/>
      <c r="AI6141" s="117"/>
      <c r="AJ6141" s="117"/>
      <c r="AK6141" s="107"/>
      <c r="AL6141" s="107"/>
      <c r="AM6141" s="107"/>
      <c r="AN6141" s="107"/>
      <c r="AO6141" s="107"/>
      <c r="AP6141" s="107"/>
      <c r="AQ6141" s="107"/>
      <c r="AR6141" s="107"/>
      <c r="AS6141" s="107"/>
      <c r="AT6141" s="39"/>
    </row>
    <row r="6142" spans="33:46" x14ac:dyDescent="0.25">
      <c r="AG6142" s="107"/>
      <c r="AH6142" s="107"/>
      <c r="AI6142" s="107"/>
      <c r="AJ6142" s="117"/>
      <c r="AK6142" s="107"/>
      <c r="AL6142" s="107"/>
      <c r="AM6142" s="107"/>
      <c r="AN6142" s="107"/>
      <c r="AO6142" s="107"/>
      <c r="AP6142" s="107"/>
      <c r="AQ6142" s="107"/>
      <c r="AR6142" s="107"/>
      <c r="AS6142" s="107"/>
      <c r="AT6142" s="107"/>
    </row>
    <row r="6143" spans="33:46" x14ac:dyDescent="0.25">
      <c r="AG6143" s="107"/>
      <c r="AH6143" s="107"/>
      <c r="AI6143" s="107"/>
      <c r="AJ6143" s="117"/>
      <c r="AK6143" s="107"/>
      <c r="AL6143" s="107"/>
      <c r="AM6143" s="107"/>
      <c r="AN6143" s="107"/>
      <c r="AO6143" s="107"/>
      <c r="AP6143" s="107"/>
      <c r="AQ6143" s="107"/>
      <c r="AR6143" s="107"/>
      <c r="AS6143" s="107"/>
      <c r="AT6143" s="107"/>
    </row>
    <row r="6144" spans="33:46" x14ac:dyDescent="0.25">
      <c r="AG6144" s="107"/>
      <c r="AH6144" s="107"/>
      <c r="AI6144" s="107"/>
      <c r="AJ6144" s="117"/>
      <c r="AK6144" s="107"/>
      <c r="AL6144" s="107"/>
      <c r="AM6144" s="107"/>
      <c r="AN6144" s="107"/>
      <c r="AO6144" s="107"/>
      <c r="AP6144" s="107"/>
      <c r="AQ6144" s="107"/>
      <c r="AR6144" s="107"/>
      <c r="AS6144" s="107"/>
      <c r="AT6144" s="107"/>
    </row>
    <row r="6145" spans="33:46" x14ac:dyDescent="0.25">
      <c r="AG6145" s="107"/>
      <c r="AH6145" s="107"/>
      <c r="AI6145" s="107"/>
      <c r="AJ6145" s="117"/>
      <c r="AK6145" s="107"/>
      <c r="AL6145" s="107"/>
      <c r="AM6145" s="107"/>
      <c r="AN6145" s="107"/>
      <c r="AO6145" s="107"/>
      <c r="AP6145" s="107"/>
      <c r="AQ6145" s="107"/>
      <c r="AR6145" s="107"/>
      <c r="AS6145" s="107"/>
      <c r="AT6145" s="107"/>
    </row>
    <row r="6146" spans="33:46" x14ac:dyDescent="0.25">
      <c r="AG6146" s="107"/>
      <c r="AH6146" s="107"/>
      <c r="AI6146" s="107"/>
      <c r="AJ6146" s="117"/>
      <c r="AK6146" s="107"/>
      <c r="AL6146" s="107"/>
      <c r="AM6146" s="107"/>
      <c r="AN6146" s="107"/>
      <c r="AO6146" s="107"/>
      <c r="AP6146" s="107"/>
      <c r="AQ6146" s="107"/>
      <c r="AR6146" s="107"/>
      <c r="AS6146" s="107"/>
      <c r="AT6146" s="107"/>
    </row>
    <row r="6147" spans="33:46" x14ac:dyDescent="0.25">
      <c r="AG6147" s="107"/>
      <c r="AH6147" s="107"/>
      <c r="AI6147" s="107"/>
      <c r="AJ6147" s="117"/>
      <c r="AK6147" s="107"/>
      <c r="AL6147" s="107"/>
      <c r="AM6147" s="107"/>
      <c r="AN6147" s="107"/>
      <c r="AO6147" s="107"/>
      <c r="AP6147" s="107"/>
      <c r="AQ6147" s="107"/>
      <c r="AR6147" s="107"/>
      <c r="AS6147" s="107"/>
      <c r="AT6147" s="107"/>
    </row>
    <row r="6148" spans="33:46" x14ac:dyDescent="0.25">
      <c r="AG6148" s="107"/>
      <c r="AH6148" s="117"/>
      <c r="AI6148" s="117"/>
      <c r="AJ6148" s="117"/>
      <c r="AK6148" s="107"/>
      <c r="AL6148" s="107"/>
      <c r="AM6148" s="107"/>
      <c r="AN6148" s="107"/>
      <c r="AO6148" s="107"/>
      <c r="AP6148" s="107"/>
      <c r="AQ6148" s="107"/>
      <c r="AR6148" s="107"/>
      <c r="AS6148" s="107"/>
      <c r="AT6148" s="39"/>
    </row>
    <row r="6149" spans="33:46" x14ac:dyDescent="0.25">
      <c r="AG6149" s="107"/>
      <c r="AH6149" s="117"/>
      <c r="AI6149" s="117"/>
      <c r="AJ6149" s="117"/>
      <c r="AK6149" s="107"/>
      <c r="AL6149" s="107"/>
      <c r="AM6149" s="107"/>
      <c r="AN6149" s="107"/>
      <c r="AO6149" s="107"/>
      <c r="AP6149" s="107"/>
      <c r="AQ6149" s="107"/>
      <c r="AR6149" s="107"/>
      <c r="AS6149" s="107"/>
      <c r="AT6149" s="39"/>
    </row>
    <row r="6150" spans="33:46" x14ac:dyDescent="0.25">
      <c r="AG6150" s="107"/>
      <c r="AH6150" s="107"/>
      <c r="AI6150" s="107"/>
      <c r="AJ6150" s="117"/>
      <c r="AK6150" s="107"/>
      <c r="AL6150" s="107"/>
      <c r="AM6150" s="107"/>
      <c r="AN6150" s="107"/>
      <c r="AO6150" s="107"/>
      <c r="AP6150" s="107"/>
      <c r="AQ6150" s="107"/>
      <c r="AR6150" s="107"/>
      <c r="AS6150" s="107"/>
      <c r="AT6150" s="107"/>
    </row>
    <row r="6151" spans="33:46" x14ac:dyDescent="0.25">
      <c r="AG6151" s="107"/>
      <c r="AH6151" s="107"/>
      <c r="AI6151" s="107"/>
      <c r="AJ6151" s="117"/>
      <c r="AK6151" s="107"/>
      <c r="AL6151" s="107"/>
      <c r="AM6151" s="107"/>
      <c r="AN6151" s="107"/>
      <c r="AO6151" s="107"/>
      <c r="AP6151" s="107"/>
      <c r="AQ6151" s="107"/>
      <c r="AR6151" s="107"/>
      <c r="AS6151" s="107"/>
      <c r="AT6151" s="107"/>
    </row>
    <row r="6152" spans="33:46" x14ac:dyDescent="0.25">
      <c r="AG6152" s="107"/>
      <c r="AH6152" s="107"/>
      <c r="AI6152" s="107"/>
      <c r="AJ6152" s="117"/>
      <c r="AK6152" s="107"/>
      <c r="AL6152" s="107"/>
      <c r="AM6152" s="107"/>
      <c r="AN6152" s="107"/>
      <c r="AO6152" s="107"/>
      <c r="AP6152" s="107"/>
      <c r="AQ6152" s="107"/>
      <c r="AR6152" s="107"/>
      <c r="AS6152" s="107"/>
      <c r="AT6152" s="107"/>
    </row>
    <row r="6153" spans="33:46" x14ac:dyDescent="0.25">
      <c r="AG6153" s="107"/>
      <c r="AH6153" s="107"/>
      <c r="AI6153" s="107"/>
      <c r="AJ6153" s="117"/>
      <c r="AK6153" s="107"/>
      <c r="AL6153" s="107"/>
      <c r="AM6153" s="107"/>
      <c r="AN6153" s="107"/>
      <c r="AO6153" s="107"/>
      <c r="AP6153" s="107"/>
      <c r="AQ6153" s="107"/>
      <c r="AR6153" s="107"/>
      <c r="AS6153" s="107"/>
      <c r="AT6153" s="107"/>
    </row>
    <row r="6154" spans="33:46" x14ac:dyDescent="0.25">
      <c r="AG6154" s="107"/>
      <c r="AH6154" s="117"/>
      <c r="AI6154" s="117"/>
      <c r="AJ6154" s="117"/>
      <c r="AK6154" s="107"/>
      <c r="AL6154" s="107"/>
      <c r="AM6154" s="107"/>
      <c r="AN6154" s="107"/>
      <c r="AO6154" s="107"/>
      <c r="AP6154" s="107"/>
      <c r="AQ6154" s="107"/>
      <c r="AR6154" s="107"/>
      <c r="AS6154" s="107"/>
      <c r="AT6154" s="39"/>
    </row>
    <row r="6155" spans="33:46" x14ac:dyDescent="0.25">
      <c r="AG6155" s="107"/>
      <c r="AH6155" s="117"/>
      <c r="AI6155" s="117"/>
      <c r="AJ6155" s="117"/>
      <c r="AK6155" s="107"/>
      <c r="AL6155" s="107"/>
      <c r="AM6155" s="107"/>
      <c r="AN6155" s="107"/>
      <c r="AO6155" s="107"/>
      <c r="AP6155" s="107"/>
      <c r="AQ6155" s="107"/>
      <c r="AR6155" s="107"/>
      <c r="AS6155" s="107"/>
      <c r="AT6155" s="39"/>
    </row>
    <row r="6156" spans="33:46" x14ac:dyDescent="0.25">
      <c r="AG6156" s="107"/>
      <c r="AH6156" s="117"/>
      <c r="AI6156" s="117"/>
      <c r="AJ6156" s="117"/>
      <c r="AK6156" s="107"/>
      <c r="AL6156" s="107"/>
      <c r="AM6156" s="107"/>
      <c r="AN6156" s="107"/>
      <c r="AO6156" s="107"/>
      <c r="AP6156" s="107"/>
      <c r="AQ6156" s="107"/>
      <c r="AR6156" s="107"/>
      <c r="AS6156" s="107"/>
      <c r="AT6156" s="39"/>
    </row>
    <row r="6157" spans="33:46" x14ac:dyDescent="0.25">
      <c r="AG6157" s="107"/>
      <c r="AH6157" s="107"/>
      <c r="AI6157" s="107"/>
      <c r="AJ6157" s="117"/>
      <c r="AK6157" s="107"/>
      <c r="AL6157" s="107"/>
      <c r="AM6157" s="107"/>
      <c r="AN6157" s="107"/>
      <c r="AO6157" s="107"/>
      <c r="AP6157" s="107"/>
      <c r="AQ6157" s="107"/>
      <c r="AR6157" s="107"/>
      <c r="AS6157" s="107"/>
      <c r="AT6157" s="107"/>
    </row>
    <row r="6158" spans="33:46" x14ac:dyDescent="0.25">
      <c r="AG6158" s="107"/>
      <c r="AH6158" s="107"/>
      <c r="AI6158" s="107"/>
      <c r="AJ6158" s="117"/>
      <c r="AK6158" s="107"/>
      <c r="AL6158" s="107"/>
      <c r="AM6158" s="107"/>
      <c r="AN6158" s="107"/>
      <c r="AO6158" s="107"/>
      <c r="AP6158" s="107"/>
      <c r="AQ6158" s="107"/>
      <c r="AR6158" s="107"/>
      <c r="AS6158" s="107"/>
      <c r="AT6158" s="107"/>
    </row>
    <row r="6159" spans="33:46" x14ac:dyDescent="0.25">
      <c r="AG6159" s="107"/>
      <c r="AH6159" s="107"/>
      <c r="AI6159" s="107"/>
      <c r="AJ6159" s="117"/>
      <c r="AK6159" s="107"/>
      <c r="AL6159" s="107"/>
      <c r="AM6159" s="107"/>
      <c r="AN6159" s="107"/>
      <c r="AO6159" s="107"/>
      <c r="AP6159" s="107"/>
      <c r="AQ6159" s="107"/>
      <c r="AR6159" s="107"/>
      <c r="AS6159" s="107"/>
      <c r="AT6159" s="107"/>
    </row>
    <row r="6160" spans="33:46" x14ac:dyDescent="0.25">
      <c r="AG6160" s="107"/>
      <c r="AH6160" s="117"/>
      <c r="AI6160" s="117"/>
      <c r="AJ6160" s="117"/>
      <c r="AK6160" s="107"/>
      <c r="AL6160" s="107"/>
      <c r="AM6160" s="107"/>
      <c r="AN6160" s="107"/>
      <c r="AO6160" s="107"/>
      <c r="AP6160" s="107"/>
      <c r="AQ6160" s="107"/>
      <c r="AR6160" s="107"/>
      <c r="AS6160" s="107"/>
      <c r="AT6160" s="39"/>
    </row>
    <row r="6161" spans="33:46" x14ac:dyDescent="0.25">
      <c r="AG6161" s="107"/>
      <c r="AH6161" s="117"/>
      <c r="AI6161" s="117"/>
      <c r="AJ6161" s="117"/>
      <c r="AK6161" s="107"/>
      <c r="AL6161" s="107"/>
      <c r="AM6161" s="107"/>
      <c r="AN6161" s="107"/>
      <c r="AO6161" s="107"/>
      <c r="AP6161" s="107"/>
      <c r="AQ6161" s="107"/>
      <c r="AR6161" s="107"/>
      <c r="AS6161" s="107"/>
      <c r="AT6161" s="39"/>
    </row>
    <row r="6162" spans="33:46" x14ac:dyDescent="0.25">
      <c r="AG6162" s="107"/>
      <c r="AH6162" s="107"/>
      <c r="AI6162" s="107"/>
      <c r="AJ6162" s="117"/>
      <c r="AK6162" s="107"/>
      <c r="AL6162" s="107"/>
      <c r="AM6162" s="107"/>
      <c r="AN6162" s="107"/>
      <c r="AO6162" s="107"/>
      <c r="AP6162" s="107"/>
      <c r="AQ6162" s="107"/>
      <c r="AR6162" s="107"/>
      <c r="AS6162" s="107"/>
      <c r="AT6162" s="107"/>
    </row>
    <row r="6163" spans="33:46" x14ac:dyDescent="0.25">
      <c r="AG6163" s="107"/>
      <c r="AH6163" s="107"/>
      <c r="AI6163" s="107"/>
      <c r="AJ6163" s="117"/>
      <c r="AK6163" s="107"/>
      <c r="AL6163" s="107"/>
      <c r="AM6163" s="107"/>
      <c r="AN6163" s="107"/>
      <c r="AO6163" s="107"/>
      <c r="AP6163" s="107"/>
      <c r="AQ6163" s="107"/>
      <c r="AR6163" s="107"/>
      <c r="AS6163" s="107"/>
      <c r="AT6163" s="107"/>
    </row>
    <row r="6164" spans="33:46" x14ac:dyDescent="0.25">
      <c r="AG6164" s="107"/>
      <c r="AH6164" s="117"/>
      <c r="AI6164" s="117"/>
      <c r="AJ6164" s="117"/>
      <c r="AK6164" s="107"/>
      <c r="AL6164" s="107"/>
      <c r="AM6164" s="107"/>
      <c r="AN6164" s="107"/>
      <c r="AO6164" s="107"/>
      <c r="AP6164" s="107"/>
      <c r="AQ6164" s="107"/>
      <c r="AR6164" s="107"/>
      <c r="AS6164" s="107"/>
      <c r="AT6164" s="39"/>
    </row>
    <row r="6165" spans="33:46" x14ac:dyDescent="0.25">
      <c r="AG6165" s="107"/>
      <c r="AH6165" s="117"/>
      <c r="AI6165" s="117"/>
      <c r="AJ6165" s="117"/>
      <c r="AK6165" s="107"/>
      <c r="AL6165" s="107"/>
      <c r="AM6165" s="107"/>
      <c r="AN6165" s="107"/>
      <c r="AO6165" s="107"/>
      <c r="AP6165" s="107"/>
      <c r="AQ6165" s="107"/>
      <c r="AR6165" s="107"/>
      <c r="AS6165" s="107"/>
      <c r="AT6165" s="39"/>
    </row>
    <row r="6166" spans="33:46" x14ac:dyDescent="0.25">
      <c r="AG6166" s="107"/>
      <c r="AH6166" s="117"/>
      <c r="AI6166" s="117"/>
      <c r="AJ6166" s="117"/>
      <c r="AK6166" s="107"/>
      <c r="AL6166" s="107"/>
      <c r="AM6166" s="107"/>
      <c r="AN6166" s="107"/>
      <c r="AO6166" s="107"/>
      <c r="AP6166" s="107"/>
      <c r="AQ6166" s="107"/>
      <c r="AR6166" s="107"/>
      <c r="AS6166" s="107"/>
      <c r="AT6166" s="39"/>
    </row>
    <row r="6167" spans="33:46" x14ac:dyDescent="0.25">
      <c r="AG6167" s="107"/>
      <c r="AH6167" s="117"/>
      <c r="AI6167" s="117"/>
      <c r="AJ6167" s="117"/>
      <c r="AK6167" s="107"/>
      <c r="AL6167" s="107"/>
      <c r="AM6167" s="107"/>
      <c r="AN6167" s="107"/>
      <c r="AO6167" s="107"/>
      <c r="AP6167" s="107"/>
      <c r="AQ6167" s="107"/>
      <c r="AR6167" s="107"/>
      <c r="AS6167" s="107"/>
      <c r="AT6167" s="39"/>
    </row>
    <row r="6168" spans="33:46" x14ac:dyDescent="0.25">
      <c r="AG6168" s="107"/>
      <c r="AH6168" s="117"/>
      <c r="AI6168" s="117"/>
      <c r="AJ6168" s="117"/>
      <c r="AK6168" s="107"/>
      <c r="AL6168" s="107"/>
      <c r="AM6168" s="107"/>
      <c r="AN6168" s="107"/>
      <c r="AO6168" s="107"/>
      <c r="AP6168" s="107"/>
      <c r="AQ6168" s="107"/>
      <c r="AR6168" s="107"/>
      <c r="AS6168" s="107"/>
      <c r="AT6168" s="39"/>
    </row>
    <row r="6169" spans="33:46" x14ac:dyDescent="0.25">
      <c r="AG6169" s="107"/>
      <c r="AH6169" s="117"/>
      <c r="AI6169" s="117"/>
      <c r="AJ6169" s="117"/>
      <c r="AK6169" s="107"/>
      <c r="AL6169" s="107"/>
      <c r="AM6169" s="107"/>
      <c r="AN6169" s="107"/>
      <c r="AO6169" s="107"/>
      <c r="AP6169" s="107"/>
      <c r="AQ6169" s="107"/>
      <c r="AR6169" s="107"/>
      <c r="AS6169" s="107"/>
      <c r="AT6169" s="39"/>
    </row>
    <row r="6170" spans="33:46" x14ac:dyDescent="0.25">
      <c r="AG6170" s="107"/>
      <c r="AH6170" s="107"/>
      <c r="AI6170" s="107"/>
      <c r="AJ6170" s="117"/>
      <c r="AK6170" s="107"/>
      <c r="AL6170" s="107"/>
      <c r="AM6170" s="107"/>
      <c r="AN6170" s="107"/>
      <c r="AO6170" s="107"/>
      <c r="AP6170" s="107"/>
      <c r="AQ6170" s="107"/>
      <c r="AR6170" s="107"/>
      <c r="AS6170" s="107"/>
      <c r="AT6170" s="107"/>
    </row>
    <row r="6171" spans="33:46" x14ac:dyDescent="0.25">
      <c r="AG6171" s="107"/>
      <c r="AH6171" s="107"/>
      <c r="AI6171" s="107"/>
      <c r="AJ6171" s="117"/>
      <c r="AK6171" s="107"/>
      <c r="AL6171" s="107"/>
      <c r="AM6171" s="107"/>
      <c r="AN6171" s="107"/>
      <c r="AO6171" s="107"/>
      <c r="AP6171" s="107"/>
      <c r="AQ6171" s="107"/>
      <c r="AR6171" s="107"/>
      <c r="AS6171" s="107"/>
      <c r="AT6171" s="107"/>
    </row>
    <row r="6172" spans="33:46" x14ac:dyDescent="0.25">
      <c r="AG6172" s="107"/>
      <c r="AH6172" s="117"/>
      <c r="AI6172" s="117"/>
      <c r="AJ6172" s="117"/>
      <c r="AK6172" s="107"/>
      <c r="AL6172" s="107"/>
      <c r="AM6172" s="107"/>
      <c r="AN6172" s="107"/>
      <c r="AO6172" s="107"/>
      <c r="AP6172" s="107"/>
      <c r="AQ6172" s="107"/>
      <c r="AR6172" s="107"/>
      <c r="AS6172" s="107"/>
      <c r="AT6172" s="39"/>
    </row>
    <row r="6173" spans="33:46" x14ac:dyDescent="0.25">
      <c r="AG6173" s="107"/>
      <c r="AH6173" s="107"/>
      <c r="AI6173" s="107"/>
      <c r="AJ6173" s="117"/>
      <c r="AK6173" s="107"/>
      <c r="AL6173" s="107"/>
      <c r="AM6173" s="107"/>
      <c r="AN6173" s="107"/>
      <c r="AO6173" s="107"/>
      <c r="AP6173" s="107"/>
      <c r="AQ6173" s="107"/>
      <c r="AR6173" s="107"/>
      <c r="AS6173" s="107"/>
      <c r="AT6173" s="107"/>
    </row>
    <row r="6174" spans="33:46" x14ac:dyDescent="0.25">
      <c r="AG6174" s="107"/>
      <c r="AH6174" s="107"/>
      <c r="AI6174" s="107"/>
      <c r="AJ6174" s="117"/>
      <c r="AK6174" s="107"/>
      <c r="AL6174" s="107"/>
      <c r="AM6174" s="107"/>
      <c r="AN6174" s="107"/>
      <c r="AO6174" s="107"/>
      <c r="AP6174" s="107"/>
      <c r="AQ6174" s="107"/>
      <c r="AR6174" s="107"/>
      <c r="AS6174" s="107"/>
      <c r="AT6174" s="107"/>
    </row>
    <row r="6175" spans="33:46" x14ac:dyDescent="0.25">
      <c r="AG6175" s="107"/>
      <c r="AH6175" s="107"/>
      <c r="AI6175" s="107"/>
      <c r="AJ6175" s="117"/>
      <c r="AK6175" s="107"/>
      <c r="AL6175" s="107"/>
      <c r="AM6175" s="107"/>
      <c r="AN6175" s="107"/>
      <c r="AO6175" s="107"/>
      <c r="AP6175" s="107"/>
      <c r="AQ6175" s="107"/>
      <c r="AR6175" s="107"/>
      <c r="AS6175" s="107"/>
      <c r="AT6175" s="107"/>
    </row>
    <row r="6176" spans="33:46" x14ac:dyDescent="0.25">
      <c r="AG6176" s="107"/>
      <c r="AH6176" s="107"/>
      <c r="AI6176" s="107"/>
      <c r="AJ6176" s="117"/>
      <c r="AK6176" s="107"/>
      <c r="AL6176" s="107"/>
      <c r="AM6176" s="107"/>
      <c r="AN6176" s="107"/>
      <c r="AO6176" s="107"/>
      <c r="AP6176" s="107"/>
      <c r="AQ6176" s="107"/>
      <c r="AR6176" s="107"/>
      <c r="AS6176" s="107"/>
      <c r="AT6176" s="107"/>
    </row>
    <row r="6177" spans="33:46" x14ac:dyDescent="0.25">
      <c r="AG6177" s="107"/>
      <c r="AH6177" s="117"/>
      <c r="AI6177" s="117"/>
      <c r="AJ6177" s="117"/>
      <c r="AK6177" s="107"/>
      <c r="AL6177" s="107"/>
      <c r="AM6177" s="107"/>
      <c r="AN6177" s="107"/>
      <c r="AO6177" s="107"/>
      <c r="AP6177" s="107"/>
      <c r="AQ6177" s="107"/>
      <c r="AR6177" s="107"/>
      <c r="AS6177" s="107"/>
      <c r="AT6177" s="39"/>
    </row>
    <row r="6178" spans="33:46" x14ac:dyDescent="0.25">
      <c r="AG6178" s="107"/>
      <c r="AH6178" s="107"/>
      <c r="AI6178" s="107"/>
      <c r="AJ6178" s="117"/>
      <c r="AK6178" s="107"/>
      <c r="AL6178" s="107"/>
      <c r="AM6178" s="107"/>
      <c r="AN6178" s="107"/>
      <c r="AO6178" s="107"/>
      <c r="AP6178" s="107"/>
      <c r="AQ6178" s="107"/>
      <c r="AR6178" s="107"/>
      <c r="AS6178" s="107"/>
      <c r="AT6178" s="107"/>
    </row>
    <row r="6179" spans="33:46" x14ac:dyDescent="0.25">
      <c r="AG6179" s="107"/>
      <c r="AH6179" s="117"/>
      <c r="AI6179" s="117"/>
      <c r="AJ6179" s="117"/>
      <c r="AK6179" s="107"/>
      <c r="AL6179" s="107"/>
      <c r="AM6179" s="107"/>
      <c r="AN6179" s="107"/>
      <c r="AO6179" s="107"/>
      <c r="AP6179" s="107"/>
      <c r="AQ6179" s="107"/>
      <c r="AR6179" s="107"/>
      <c r="AS6179" s="107"/>
      <c r="AT6179" s="39"/>
    </row>
    <row r="6180" spans="33:46" x14ac:dyDescent="0.25">
      <c r="AG6180" s="107"/>
      <c r="AH6180" s="117"/>
      <c r="AI6180" s="117"/>
      <c r="AJ6180" s="117"/>
      <c r="AK6180" s="107"/>
      <c r="AL6180" s="107"/>
      <c r="AM6180" s="107"/>
      <c r="AN6180" s="107"/>
      <c r="AO6180" s="107"/>
      <c r="AP6180" s="107"/>
      <c r="AQ6180" s="107"/>
      <c r="AR6180" s="107"/>
      <c r="AS6180" s="107"/>
      <c r="AT6180" s="39"/>
    </row>
    <row r="6181" spans="33:46" x14ac:dyDescent="0.25">
      <c r="AG6181" s="107"/>
      <c r="AH6181" s="117"/>
      <c r="AI6181" s="117"/>
      <c r="AJ6181" s="117"/>
      <c r="AK6181" s="107"/>
      <c r="AL6181" s="107"/>
      <c r="AM6181" s="107"/>
      <c r="AN6181" s="107"/>
      <c r="AO6181" s="107"/>
      <c r="AP6181" s="107"/>
      <c r="AQ6181" s="107"/>
      <c r="AR6181" s="107"/>
      <c r="AS6181" s="107"/>
      <c r="AT6181" s="39"/>
    </row>
    <row r="6182" spans="33:46" x14ac:dyDescent="0.25">
      <c r="AG6182" s="107"/>
      <c r="AH6182" s="117"/>
      <c r="AI6182" s="117"/>
      <c r="AJ6182" s="117"/>
      <c r="AK6182" s="107"/>
      <c r="AL6182" s="107"/>
      <c r="AM6182" s="107"/>
      <c r="AN6182" s="107"/>
      <c r="AO6182" s="107"/>
      <c r="AP6182" s="107"/>
      <c r="AQ6182" s="107"/>
      <c r="AR6182" s="107"/>
      <c r="AS6182" s="107"/>
      <c r="AT6182" s="39"/>
    </row>
    <row r="6183" spans="33:46" x14ac:dyDescent="0.25">
      <c r="AG6183" s="107"/>
      <c r="AH6183" s="107"/>
      <c r="AI6183" s="107"/>
      <c r="AJ6183" s="117"/>
      <c r="AK6183" s="107"/>
      <c r="AL6183" s="107"/>
      <c r="AM6183" s="107"/>
      <c r="AN6183" s="107"/>
      <c r="AO6183" s="107"/>
      <c r="AP6183" s="107"/>
      <c r="AQ6183" s="107"/>
      <c r="AR6183" s="107"/>
      <c r="AS6183" s="107"/>
      <c r="AT6183" s="107"/>
    </row>
    <row r="6184" spans="33:46" x14ac:dyDescent="0.25">
      <c r="AG6184" s="107"/>
      <c r="AH6184" s="117"/>
      <c r="AI6184" s="117"/>
      <c r="AJ6184" s="117"/>
      <c r="AK6184" s="107"/>
      <c r="AL6184" s="107"/>
      <c r="AM6184" s="107"/>
      <c r="AN6184" s="107"/>
      <c r="AO6184" s="107"/>
      <c r="AP6184" s="107"/>
      <c r="AQ6184" s="107"/>
      <c r="AR6184" s="107"/>
      <c r="AS6184" s="107"/>
      <c r="AT6184" s="39"/>
    </row>
    <row r="6185" spans="33:46" x14ac:dyDescent="0.25">
      <c r="AG6185" s="107"/>
      <c r="AH6185" s="117"/>
      <c r="AI6185" s="117"/>
      <c r="AJ6185" s="117"/>
      <c r="AK6185" s="107"/>
      <c r="AL6185" s="107"/>
      <c r="AM6185" s="107"/>
      <c r="AN6185" s="107"/>
      <c r="AO6185" s="107"/>
      <c r="AP6185" s="107"/>
      <c r="AQ6185" s="107"/>
      <c r="AR6185" s="107"/>
      <c r="AS6185" s="107"/>
      <c r="AT6185" s="39"/>
    </row>
    <row r="6186" spans="33:46" x14ac:dyDescent="0.25">
      <c r="AG6186" s="107"/>
      <c r="AH6186" s="117"/>
      <c r="AI6186" s="117"/>
      <c r="AJ6186" s="117"/>
      <c r="AK6186" s="107"/>
      <c r="AL6186" s="107"/>
      <c r="AM6186" s="107"/>
      <c r="AN6186" s="107"/>
      <c r="AO6186" s="107"/>
      <c r="AP6186" s="107"/>
      <c r="AQ6186" s="107"/>
      <c r="AR6186" s="107"/>
      <c r="AS6186" s="107"/>
      <c r="AT6186" s="39"/>
    </row>
    <row r="6187" spans="33:46" x14ac:dyDescent="0.25">
      <c r="AG6187" s="107"/>
      <c r="AH6187" s="117"/>
      <c r="AI6187" s="117"/>
      <c r="AJ6187" s="117"/>
      <c r="AK6187" s="107"/>
      <c r="AL6187" s="107"/>
      <c r="AM6187" s="107"/>
      <c r="AN6187" s="107"/>
      <c r="AO6187" s="107"/>
      <c r="AP6187" s="107"/>
      <c r="AQ6187" s="107"/>
      <c r="AR6187" s="107"/>
      <c r="AS6187" s="107"/>
      <c r="AT6187" s="39"/>
    </row>
    <row r="6188" spans="33:46" x14ac:dyDescent="0.25">
      <c r="AG6188" s="107"/>
      <c r="AH6188" s="117"/>
      <c r="AI6188" s="117"/>
      <c r="AJ6188" s="117"/>
      <c r="AK6188" s="107"/>
      <c r="AL6188" s="107"/>
      <c r="AM6188" s="107"/>
      <c r="AN6188" s="107"/>
      <c r="AO6188" s="107"/>
      <c r="AP6188" s="107"/>
      <c r="AQ6188" s="107"/>
      <c r="AR6188" s="107"/>
      <c r="AS6188" s="107"/>
      <c r="AT6188" s="39"/>
    </row>
    <row r="6189" spans="33:46" x14ac:dyDescent="0.25">
      <c r="AG6189" s="107"/>
      <c r="AH6189" s="107"/>
      <c r="AI6189" s="107"/>
      <c r="AJ6189" s="117"/>
      <c r="AK6189" s="107"/>
      <c r="AL6189" s="107"/>
      <c r="AM6189" s="107"/>
      <c r="AN6189" s="107"/>
      <c r="AO6189" s="107"/>
      <c r="AP6189" s="107"/>
      <c r="AQ6189" s="107"/>
      <c r="AR6189" s="107"/>
      <c r="AS6189" s="107"/>
      <c r="AT6189" s="107"/>
    </row>
    <row r="6190" spans="33:46" x14ac:dyDescent="0.25">
      <c r="AG6190" s="107"/>
      <c r="AH6190" s="107"/>
      <c r="AI6190" s="107"/>
      <c r="AJ6190" s="117"/>
      <c r="AK6190" s="107"/>
      <c r="AL6190" s="107"/>
      <c r="AM6190" s="107"/>
      <c r="AN6190" s="107"/>
      <c r="AO6190" s="107"/>
      <c r="AP6190" s="107"/>
      <c r="AQ6190" s="107"/>
      <c r="AR6190" s="107"/>
      <c r="AS6190" s="107"/>
      <c r="AT6190" s="107"/>
    </row>
    <row r="6191" spans="33:46" x14ac:dyDescent="0.25">
      <c r="AG6191" s="107"/>
      <c r="AH6191" s="117"/>
      <c r="AI6191" s="117"/>
      <c r="AJ6191" s="117"/>
      <c r="AK6191" s="107"/>
      <c r="AL6191" s="107"/>
      <c r="AM6191" s="107"/>
      <c r="AN6191" s="107"/>
      <c r="AO6191" s="107"/>
      <c r="AP6191" s="107"/>
      <c r="AQ6191" s="107"/>
      <c r="AR6191" s="107"/>
      <c r="AS6191" s="107"/>
      <c r="AT6191" s="39"/>
    </row>
    <row r="6192" spans="33:46" x14ac:dyDescent="0.25">
      <c r="AG6192" s="107"/>
      <c r="AH6192" s="107"/>
      <c r="AI6192" s="107"/>
      <c r="AJ6192" s="117"/>
      <c r="AK6192" s="107"/>
      <c r="AL6192" s="107"/>
      <c r="AM6192" s="107"/>
      <c r="AN6192" s="107"/>
      <c r="AO6192" s="107"/>
      <c r="AP6192" s="107"/>
      <c r="AQ6192" s="107"/>
      <c r="AR6192" s="107"/>
      <c r="AS6192" s="107"/>
      <c r="AT6192" s="107"/>
    </row>
    <row r="6193" spans="33:46" x14ac:dyDescent="0.25">
      <c r="AG6193" s="107"/>
      <c r="AH6193" s="107"/>
      <c r="AI6193" s="107"/>
      <c r="AJ6193" s="117"/>
      <c r="AK6193" s="107"/>
      <c r="AL6193" s="107"/>
      <c r="AM6193" s="107"/>
      <c r="AN6193" s="107"/>
      <c r="AO6193" s="107"/>
      <c r="AP6193" s="107"/>
      <c r="AQ6193" s="107"/>
      <c r="AR6193" s="107"/>
      <c r="AS6193" s="107"/>
      <c r="AT6193" s="107"/>
    </row>
    <row r="6194" spans="33:46" x14ac:dyDescent="0.25">
      <c r="AG6194" s="107"/>
      <c r="AH6194" s="117"/>
      <c r="AI6194" s="117"/>
      <c r="AJ6194" s="117"/>
      <c r="AK6194" s="107"/>
      <c r="AL6194" s="107"/>
      <c r="AM6194" s="107"/>
      <c r="AN6194" s="107"/>
      <c r="AO6194" s="107"/>
      <c r="AP6194" s="107"/>
      <c r="AQ6194" s="107"/>
      <c r="AR6194" s="107"/>
      <c r="AS6194" s="107"/>
      <c r="AT6194" s="39"/>
    </row>
    <row r="6195" spans="33:46" x14ac:dyDescent="0.25">
      <c r="AG6195" s="107"/>
      <c r="AH6195" s="117"/>
      <c r="AI6195" s="117"/>
      <c r="AJ6195" s="117"/>
      <c r="AK6195" s="107"/>
      <c r="AL6195" s="107"/>
      <c r="AM6195" s="107"/>
      <c r="AN6195" s="107"/>
      <c r="AO6195" s="107"/>
      <c r="AP6195" s="107"/>
      <c r="AQ6195" s="107"/>
      <c r="AR6195" s="107"/>
      <c r="AS6195" s="107"/>
      <c r="AT6195" s="39"/>
    </row>
    <row r="6196" spans="33:46" x14ac:dyDescent="0.25">
      <c r="AG6196" s="107"/>
      <c r="AH6196" s="117"/>
      <c r="AI6196" s="117"/>
      <c r="AJ6196" s="117"/>
      <c r="AK6196" s="107"/>
      <c r="AL6196" s="107"/>
      <c r="AM6196" s="107"/>
      <c r="AN6196" s="107"/>
      <c r="AO6196" s="107"/>
      <c r="AP6196" s="107"/>
      <c r="AQ6196" s="107"/>
      <c r="AR6196" s="107"/>
      <c r="AS6196" s="107"/>
      <c r="AT6196" s="39"/>
    </row>
    <row r="6197" spans="33:46" x14ac:dyDescent="0.25">
      <c r="AG6197" s="107"/>
      <c r="AH6197" s="117"/>
      <c r="AI6197" s="117"/>
      <c r="AJ6197" s="117"/>
      <c r="AK6197" s="107"/>
      <c r="AL6197" s="107"/>
      <c r="AM6197" s="107"/>
      <c r="AN6197" s="107"/>
      <c r="AO6197" s="107"/>
      <c r="AP6197" s="107"/>
      <c r="AQ6197" s="107"/>
      <c r="AR6197" s="107"/>
      <c r="AS6197" s="107"/>
      <c r="AT6197" s="39"/>
    </row>
    <row r="6198" spans="33:46" x14ac:dyDescent="0.25">
      <c r="AG6198" s="107"/>
      <c r="AH6198" s="107"/>
      <c r="AI6198" s="107"/>
      <c r="AJ6198" s="117"/>
      <c r="AK6198" s="107"/>
      <c r="AL6198" s="107"/>
      <c r="AM6198" s="107"/>
      <c r="AN6198" s="107"/>
      <c r="AO6198" s="107"/>
      <c r="AP6198" s="107"/>
      <c r="AQ6198" s="107"/>
      <c r="AR6198" s="107"/>
      <c r="AS6198" s="107"/>
      <c r="AT6198" s="107"/>
    </row>
    <row r="6199" spans="33:46" x14ac:dyDescent="0.25">
      <c r="AG6199" s="107"/>
      <c r="AH6199" s="107"/>
      <c r="AI6199" s="107"/>
      <c r="AJ6199" s="117"/>
      <c r="AK6199" s="107"/>
      <c r="AL6199" s="107"/>
      <c r="AM6199" s="107"/>
      <c r="AN6199" s="107"/>
      <c r="AO6199" s="107"/>
      <c r="AP6199" s="107"/>
      <c r="AQ6199" s="107"/>
      <c r="AR6199" s="107"/>
      <c r="AS6199" s="107"/>
      <c r="AT6199" s="107"/>
    </row>
    <row r="6200" spans="33:46" x14ac:dyDescent="0.25">
      <c r="AG6200" s="107"/>
      <c r="AH6200" s="107"/>
      <c r="AI6200" s="107"/>
      <c r="AJ6200" s="117"/>
      <c r="AK6200" s="107"/>
      <c r="AL6200" s="107"/>
      <c r="AM6200" s="107"/>
      <c r="AN6200" s="107"/>
      <c r="AO6200" s="107"/>
      <c r="AP6200" s="107"/>
      <c r="AQ6200" s="107"/>
      <c r="AR6200" s="107"/>
      <c r="AS6200" s="107"/>
      <c r="AT6200" s="107"/>
    </row>
    <row r="6201" spans="33:46" x14ac:dyDescent="0.25">
      <c r="AG6201" s="107"/>
      <c r="AH6201" s="117"/>
      <c r="AI6201" s="117"/>
      <c r="AJ6201" s="117"/>
      <c r="AK6201" s="107"/>
      <c r="AL6201" s="107"/>
      <c r="AM6201" s="107"/>
      <c r="AN6201" s="107"/>
      <c r="AO6201" s="107"/>
      <c r="AP6201" s="107"/>
      <c r="AQ6201" s="107"/>
      <c r="AR6201" s="107"/>
      <c r="AS6201" s="107"/>
      <c r="AT6201" s="39"/>
    </row>
    <row r="6202" spans="33:46" x14ac:dyDescent="0.25">
      <c r="AG6202" s="107"/>
      <c r="AH6202" s="117"/>
      <c r="AI6202" s="117"/>
      <c r="AJ6202" s="117"/>
      <c r="AK6202" s="107"/>
      <c r="AL6202" s="107"/>
      <c r="AM6202" s="107"/>
      <c r="AN6202" s="107"/>
      <c r="AO6202" s="107"/>
      <c r="AP6202" s="107"/>
      <c r="AQ6202" s="107"/>
      <c r="AR6202" s="107"/>
      <c r="AS6202" s="107"/>
      <c r="AT6202" s="39"/>
    </row>
    <row r="6203" spans="33:46" x14ac:dyDescent="0.25">
      <c r="AG6203" s="107"/>
      <c r="AH6203" s="107"/>
      <c r="AI6203" s="107"/>
      <c r="AJ6203" s="117"/>
      <c r="AK6203" s="107"/>
      <c r="AL6203" s="107"/>
      <c r="AM6203" s="107"/>
      <c r="AN6203" s="107"/>
      <c r="AO6203" s="107"/>
      <c r="AP6203" s="107"/>
      <c r="AQ6203" s="107"/>
      <c r="AR6203" s="107"/>
      <c r="AS6203" s="107"/>
      <c r="AT6203" s="107"/>
    </row>
    <row r="6204" spans="33:46" x14ac:dyDescent="0.25">
      <c r="AG6204" s="107"/>
      <c r="AH6204" s="117"/>
      <c r="AI6204" s="117"/>
      <c r="AJ6204" s="117"/>
      <c r="AK6204" s="107"/>
      <c r="AL6204" s="107"/>
      <c r="AM6204" s="107"/>
      <c r="AN6204" s="107"/>
      <c r="AO6204" s="107"/>
      <c r="AP6204" s="107"/>
      <c r="AQ6204" s="107"/>
      <c r="AR6204" s="107"/>
      <c r="AS6204" s="107"/>
      <c r="AT6204" s="39"/>
    </row>
    <row r="6205" spans="33:46" x14ac:dyDescent="0.25">
      <c r="AG6205" s="107"/>
      <c r="AH6205" s="117"/>
      <c r="AI6205" s="117"/>
      <c r="AJ6205" s="117"/>
      <c r="AK6205" s="107"/>
      <c r="AL6205" s="107"/>
      <c r="AM6205" s="107"/>
      <c r="AN6205" s="107"/>
      <c r="AO6205" s="107"/>
      <c r="AP6205" s="107"/>
      <c r="AQ6205" s="107"/>
      <c r="AR6205" s="107"/>
      <c r="AS6205" s="107"/>
      <c r="AT6205" s="39"/>
    </row>
    <row r="6206" spans="33:46" x14ac:dyDescent="0.25">
      <c r="AG6206" s="107"/>
      <c r="AH6206" s="117"/>
      <c r="AI6206" s="117"/>
      <c r="AJ6206" s="117"/>
      <c r="AK6206" s="107"/>
      <c r="AL6206" s="107"/>
      <c r="AM6206" s="107"/>
      <c r="AN6206" s="107"/>
      <c r="AO6206" s="107"/>
      <c r="AP6206" s="107"/>
      <c r="AQ6206" s="107"/>
      <c r="AR6206" s="107"/>
      <c r="AS6206" s="107"/>
      <c r="AT6206" s="39"/>
    </row>
    <row r="6207" spans="33:46" x14ac:dyDescent="0.25">
      <c r="AG6207" s="107"/>
      <c r="AH6207" s="117"/>
      <c r="AI6207" s="117"/>
      <c r="AJ6207" s="117"/>
      <c r="AK6207" s="107"/>
      <c r="AL6207" s="107"/>
      <c r="AM6207" s="107"/>
      <c r="AN6207" s="107"/>
      <c r="AO6207" s="107"/>
      <c r="AP6207" s="107"/>
      <c r="AQ6207" s="107"/>
      <c r="AR6207" s="107"/>
      <c r="AS6207" s="107"/>
      <c r="AT6207" s="39"/>
    </row>
    <row r="6208" spans="33:46" x14ac:dyDescent="0.25">
      <c r="AG6208" s="107"/>
      <c r="AH6208" s="107"/>
      <c r="AI6208" s="107"/>
      <c r="AJ6208" s="117"/>
      <c r="AK6208" s="107"/>
      <c r="AL6208" s="107"/>
      <c r="AM6208" s="107"/>
      <c r="AN6208" s="107"/>
      <c r="AO6208" s="107"/>
      <c r="AP6208" s="107"/>
      <c r="AQ6208" s="107"/>
      <c r="AR6208" s="107"/>
      <c r="AS6208" s="107"/>
      <c r="AT6208" s="107"/>
    </row>
    <row r="6209" spans="33:46" x14ac:dyDescent="0.25">
      <c r="AG6209" s="107"/>
      <c r="AH6209" s="117"/>
      <c r="AI6209" s="117"/>
      <c r="AJ6209" s="117"/>
      <c r="AK6209" s="107"/>
      <c r="AL6209" s="107"/>
      <c r="AM6209" s="107"/>
      <c r="AN6209" s="107"/>
      <c r="AO6209" s="107"/>
      <c r="AP6209" s="107"/>
      <c r="AQ6209" s="107"/>
      <c r="AR6209" s="107"/>
      <c r="AS6209" s="107"/>
      <c r="AT6209" s="39"/>
    </row>
    <row r="6210" spans="33:46" x14ac:dyDescent="0.25">
      <c r="AG6210" s="107"/>
      <c r="AH6210" s="117"/>
      <c r="AI6210" s="107"/>
      <c r="AJ6210" s="117"/>
      <c r="AK6210" s="107"/>
      <c r="AL6210" s="107"/>
      <c r="AM6210" s="107"/>
      <c r="AN6210" s="107"/>
      <c r="AO6210" s="107"/>
      <c r="AP6210" s="107"/>
      <c r="AQ6210" s="107"/>
      <c r="AR6210" s="107"/>
      <c r="AS6210" s="107"/>
      <c r="AT6210" s="39"/>
    </row>
    <row r="6211" spans="33:46" x14ac:dyDescent="0.25">
      <c r="AG6211" s="107"/>
      <c r="AH6211" s="117"/>
      <c r="AI6211" s="107"/>
      <c r="AJ6211" s="117"/>
      <c r="AK6211" s="107"/>
      <c r="AL6211" s="107"/>
      <c r="AM6211" s="107"/>
      <c r="AN6211" s="107"/>
      <c r="AO6211" s="107"/>
      <c r="AP6211" s="107"/>
      <c r="AQ6211" s="107"/>
      <c r="AR6211" s="107"/>
      <c r="AS6211" s="107"/>
      <c r="AT6211" s="39"/>
    </row>
    <row r="6212" spans="33:46" x14ac:dyDescent="0.25">
      <c r="AG6212" s="107"/>
      <c r="AH6212" s="107"/>
      <c r="AI6212" s="107"/>
      <c r="AJ6212" s="117"/>
      <c r="AK6212" s="107"/>
      <c r="AL6212" s="107"/>
      <c r="AM6212" s="107"/>
      <c r="AN6212" s="107"/>
      <c r="AO6212" s="107"/>
      <c r="AP6212" s="107"/>
      <c r="AQ6212" s="107"/>
      <c r="AR6212" s="107"/>
      <c r="AS6212" s="107"/>
      <c r="AT6212" s="107"/>
    </row>
    <row r="6213" spans="33:46" x14ac:dyDescent="0.25">
      <c r="AG6213" s="107"/>
      <c r="AH6213" s="117"/>
      <c r="AI6213" s="107"/>
      <c r="AJ6213" s="117"/>
      <c r="AK6213" s="107"/>
      <c r="AL6213" s="107"/>
      <c r="AM6213" s="107"/>
      <c r="AN6213" s="107"/>
      <c r="AO6213" s="107"/>
      <c r="AP6213" s="107"/>
      <c r="AQ6213" s="107"/>
      <c r="AR6213" s="107"/>
      <c r="AS6213" s="107"/>
      <c r="AT6213" s="39"/>
    </row>
    <row r="6214" spans="33:46" x14ac:dyDescent="0.25">
      <c r="AG6214" s="107"/>
      <c r="AH6214" s="117"/>
      <c r="AI6214" s="117"/>
      <c r="AJ6214" s="117"/>
      <c r="AK6214" s="107"/>
      <c r="AL6214" s="107"/>
      <c r="AM6214" s="107"/>
      <c r="AN6214" s="107"/>
      <c r="AO6214" s="107"/>
      <c r="AP6214" s="107"/>
      <c r="AQ6214" s="107"/>
      <c r="AR6214" s="107"/>
      <c r="AS6214" s="107"/>
      <c r="AT6214" s="39"/>
    </row>
    <row r="6215" spans="33:46" x14ac:dyDescent="0.25">
      <c r="AG6215" s="107"/>
      <c r="AH6215" s="117"/>
      <c r="AI6215" s="117"/>
      <c r="AJ6215" s="117"/>
      <c r="AK6215" s="107"/>
      <c r="AL6215" s="107"/>
      <c r="AM6215" s="107"/>
      <c r="AN6215" s="107"/>
      <c r="AO6215" s="107"/>
      <c r="AP6215" s="107"/>
      <c r="AQ6215" s="107"/>
      <c r="AR6215" s="107"/>
      <c r="AS6215" s="107"/>
      <c r="AT6215" s="39"/>
    </row>
    <row r="6216" spans="33:46" x14ac:dyDescent="0.25">
      <c r="AG6216" s="107"/>
      <c r="AH6216" s="107"/>
      <c r="AI6216" s="107"/>
      <c r="AJ6216" s="117"/>
      <c r="AK6216" s="107"/>
      <c r="AL6216" s="107"/>
      <c r="AM6216" s="107"/>
      <c r="AN6216" s="107"/>
      <c r="AO6216" s="107"/>
      <c r="AP6216" s="107"/>
      <c r="AQ6216" s="107"/>
      <c r="AR6216" s="107"/>
      <c r="AS6216" s="107"/>
      <c r="AT6216" s="107"/>
    </row>
    <row r="6217" spans="33:46" x14ac:dyDescent="0.25">
      <c r="AG6217" s="107"/>
      <c r="AH6217" s="117"/>
      <c r="AI6217" s="117"/>
      <c r="AJ6217" s="117"/>
      <c r="AK6217" s="107"/>
      <c r="AL6217" s="107"/>
      <c r="AM6217" s="107"/>
      <c r="AN6217" s="107"/>
      <c r="AO6217" s="107"/>
      <c r="AP6217" s="107"/>
      <c r="AQ6217" s="107"/>
      <c r="AR6217" s="107"/>
      <c r="AS6217" s="107"/>
      <c r="AT6217" s="39"/>
    </row>
    <row r="6218" spans="33:46" x14ac:dyDescent="0.25">
      <c r="AG6218" s="107"/>
      <c r="AH6218" s="107"/>
      <c r="AI6218" s="107"/>
      <c r="AJ6218" s="117"/>
      <c r="AK6218" s="107"/>
      <c r="AL6218" s="107"/>
      <c r="AM6218" s="107"/>
      <c r="AN6218" s="107"/>
      <c r="AO6218" s="107"/>
      <c r="AP6218" s="107"/>
      <c r="AQ6218" s="107"/>
      <c r="AR6218" s="107"/>
      <c r="AS6218" s="107"/>
      <c r="AT6218" s="107"/>
    </row>
    <row r="6219" spans="33:46" x14ac:dyDescent="0.25">
      <c r="AG6219" s="107"/>
      <c r="AH6219" s="107"/>
      <c r="AI6219" s="107"/>
      <c r="AJ6219" s="117"/>
      <c r="AK6219" s="107"/>
      <c r="AL6219" s="107"/>
      <c r="AM6219" s="107"/>
      <c r="AN6219" s="107"/>
      <c r="AO6219" s="107"/>
      <c r="AP6219" s="107"/>
      <c r="AQ6219" s="107"/>
      <c r="AR6219" s="107"/>
      <c r="AS6219" s="107"/>
      <c r="AT6219" s="107"/>
    </row>
    <row r="6220" spans="33:46" x14ac:dyDescent="0.25">
      <c r="AG6220" s="107"/>
      <c r="AH6220" s="117"/>
      <c r="AI6220" s="117"/>
      <c r="AJ6220" s="117"/>
      <c r="AK6220" s="107"/>
      <c r="AL6220" s="107"/>
      <c r="AM6220" s="107"/>
      <c r="AN6220" s="107"/>
      <c r="AO6220" s="107"/>
      <c r="AP6220" s="107"/>
      <c r="AQ6220" s="107"/>
      <c r="AR6220" s="107"/>
      <c r="AS6220" s="107"/>
      <c r="AT6220" s="39"/>
    </row>
    <row r="6221" spans="33:46" x14ac:dyDescent="0.25">
      <c r="AG6221" s="107"/>
      <c r="AH6221" s="117"/>
      <c r="AI6221" s="117"/>
      <c r="AJ6221" s="117"/>
      <c r="AK6221" s="107"/>
      <c r="AL6221" s="107"/>
      <c r="AM6221" s="107"/>
      <c r="AN6221" s="107"/>
      <c r="AO6221" s="107"/>
      <c r="AP6221" s="107"/>
      <c r="AQ6221" s="107"/>
      <c r="AR6221" s="107"/>
      <c r="AS6221" s="107"/>
      <c r="AT6221" s="39"/>
    </row>
    <row r="6222" spans="33:46" x14ac:dyDescent="0.25">
      <c r="AG6222" s="107"/>
      <c r="AH6222" s="117"/>
      <c r="AI6222" s="117"/>
      <c r="AJ6222" s="117"/>
      <c r="AK6222" s="107"/>
      <c r="AL6222" s="107"/>
      <c r="AM6222" s="107"/>
      <c r="AN6222" s="107"/>
      <c r="AO6222" s="107"/>
      <c r="AP6222" s="107"/>
      <c r="AQ6222" s="107"/>
      <c r="AR6222" s="107"/>
      <c r="AS6222" s="107"/>
      <c r="AT6222" s="39"/>
    </row>
    <row r="6223" spans="33:46" x14ac:dyDescent="0.25">
      <c r="AG6223" s="107"/>
      <c r="AH6223" s="117"/>
      <c r="AI6223" s="117"/>
      <c r="AJ6223" s="117"/>
      <c r="AK6223" s="107"/>
      <c r="AL6223" s="107"/>
      <c r="AM6223" s="107"/>
      <c r="AN6223" s="107"/>
      <c r="AO6223" s="107"/>
      <c r="AP6223" s="107"/>
      <c r="AQ6223" s="107"/>
      <c r="AR6223" s="107"/>
      <c r="AS6223" s="107"/>
      <c r="AT6223" s="39"/>
    </row>
    <row r="6224" spans="33:46" x14ac:dyDescent="0.25">
      <c r="AG6224" s="107"/>
      <c r="AH6224" s="117"/>
      <c r="AI6224" s="117"/>
      <c r="AJ6224" s="117"/>
      <c r="AK6224" s="107"/>
      <c r="AL6224" s="107"/>
      <c r="AM6224" s="107"/>
      <c r="AN6224" s="107"/>
      <c r="AO6224" s="107"/>
      <c r="AP6224" s="107"/>
      <c r="AQ6224" s="107"/>
      <c r="AR6224" s="107"/>
      <c r="AS6224" s="107"/>
      <c r="AT6224" s="39"/>
    </row>
    <row r="6225" spans="33:46" x14ac:dyDescent="0.25">
      <c r="AG6225" s="107"/>
      <c r="AH6225" s="107"/>
      <c r="AI6225" s="107"/>
      <c r="AJ6225" s="117"/>
      <c r="AK6225" s="107"/>
      <c r="AL6225" s="107"/>
      <c r="AM6225" s="107"/>
      <c r="AN6225" s="107"/>
      <c r="AO6225" s="107"/>
      <c r="AP6225" s="107"/>
      <c r="AQ6225" s="107"/>
      <c r="AR6225" s="107"/>
      <c r="AS6225" s="107"/>
      <c r="AT6225" s="107"/>
    </row>
    <row r="6226" spans="33:46" x14ac:dyDescent="0.25">
      <c r="AG6226" s="107"/>
      <c r="AH6226" s="107"/>
      <c r="AI6226" s="107"/>
      <c r="AJ6226" s="117"/>
      <c r="AK6226" s="107"/>
      <c r="AL6226" s="107"/>
      <c r="AM6226" s="107"/>
      <c r="AN6226" s="107"/>
      <c r="AO6226" s="107"/>
      <c r="AP6226" s="107"/>
      <c r="AQ6226" s="107"/>
      <c r="AR6226" s="107"/>
      <c r="AS6226" s="107"/>
      <c r="AT6226" s="107"/>
    </row>
    <row r="6227" spans="33:46" x14ac:dyDescent="0.25">
      <c r="AG6227" s="107"/>
      <c r="AH6227" s="107"/>
      <c r="AI6227" s="107"/>
      <c r="AJ6227" s="117"/>
      <c r="AK6227" s="107"/>
      <c r="AL6227" s="107"/>
      <c r="AM6227" s="107"/>
      <c r="AN6227" s="107"/>
      <c r="AO6227" s="107"/>
      <c r="AP6227" s="107"/>
      <c r="AQ6227" s="107"/>
      <c r="AR6227" s="107"/>
      <c r="AS6227" s="107"/>
      <c r="AT6227" s="107"/>
    </row>
    <row r="6228" spans="33:46" x14ac:dyDescent="0.25">
      <c r="AG6228" s="107"/>
      <c r="AH6228" s="107"/>
      <c r="AI6228" s="107"/>
      <c r="AJ6228" s="117"/>
      <c r="AK6228" s="107"/>
      <c r="AL6228" s="107"/>
      <c r="AM6228" s="107"/>
      <c r="AN6228" s="107"/>
      <c r="AO6228" s="107"/>
      <c r="AP6228" s="107"/>
      <c r="AQ6228" s="107"/>
      <c r="AR6228" s="107"/>
      <c r="AS6228" s="107"/>
      <c r="AT6228" s="107"/>
    </row>
    <row r="6229" spans="33:46" x14ac:dyDescent="0.25">
      <c r="AG6229" s="107"/>
      <c r="AH6229" s="107"/>
      <c r="AI6229" s="107"/>
      <c r="AJ6229" s="11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</row>
    <row r="6230" spans="33:46" x14ac:dyDescent="0.25">
      <c r="AG6230" s="107"/>
      <c r="AH6230" s="107"/>
      <c r="AI6230" s="107"/>
      <c r="AJ6230" s="117"/>
      <c r="AK6230" s="107"/>
      <c r="AL6230" s="107"/>
      <c r="AM6230" s="107"/>
      <c r="AN6230" s="107"/>
      <c r="AO6230" s="107"/>
      <c r="AP6230" s="107"/>
      <c r="AQ6230" s="107"/>
      <c r="AR6230" s="107"/>
      <c r="AS6230" s="107"/>
      <c r="AT6230" s="107"/>
    </row>
    <row r="6231" spans="33:46" x14ac:dyDescent="0.25">
      <c r="AG6231" s="107"/>
      <c r="AH6231" s="107"/>
      <c r="AI6231" s="107"/>
      <c r="AJ6231" s="117"/>
      <c r="AK6231" s="107"/>
      <c r="AL6231" s="107"/>
      <c r="AM6231" s="107"/>
      <c r="AN6231" s="107"/>
      <c r="AO6231" s="107"/>
      <c r="AP6231" s="107"/>
      <c r="AQ6231" s="107"/>
      <c r="AR6231" s="107"/>
      <c r="AS6231" s="107"/>
      <c r="AT6231" s="107"/>
    </row>
    <row r="6232" spans="33:46" x14ac:dyDescent="0.25">
      <c r="AG6232" s="107"/>
      <c r="AH6232" s="107"/>
      <c r="AI6232" s="107"/>
      <c r="AJ6232" s="117"/>
      <c r="AK6232" s="107"/>
      <c r="AL6232" s="107"/>
      <c r="AM6232" s="107"/>
      <c r="AN6232" s="107"/>
      <c r="AO6232" s="107"/>
      <c r="AP6232" s="107"/>
      <c r="AQ6232" s="107"/>
      <c r="AR6232" s="107"/>
      <c r="AS6232" s="107"/>
      <c r="AT6232" s="107"/>
    </row>
    <row r="6233" spans="33:46" x14ac:dyDescent="0.25">
      <c r="AG6233" s="107"/>
      <c r="AH6233" s="107"/>
      <c r="AI6233" s="107"/>
      <c r="AJ6233" s="117"/>
      <c r="AK6233" s="107"/>
      <c r="AL6233" s="107"/>
      <c r="AM6233" s="107"/>
      <c r="AN6233" s="107"/>
      <c r="AO6233" s="107"/>
      <c r="AP6233" s="107"/>
      <c r="AQ6233" s="107"/>
      <c r="AR6233" s="107"/>
      <c r="AS6233" s="107"/>
      <c r="AT6233" s="107"/>
    </row>
    <row r="6234" spans="33:46" x14ac:dyDescent="0.25">
      <c r="AG6234" s="107"/>
      <c r="AH6234" s="107"/>
      <c r="AI6234" s="107"/>
      <c r="AJ6234" s="117"/>
      <c r="AK6234" s="107"/>
      <c r="AL6234" s="107"/>
      <c r="AM6234" s="107"/>
      <c r="AN6234" s="107"/>
      <c r="AO6234" s="107"/>
      <c r="AP6234" s="107"/>
      <c r="AQ6234" s="107"/>
      <c r="AR6234" s="107"/>
      <c r="AS6234" s="107"/>
      <c r="AT6234" s="107"/>
    </row>
    <row r="6235" spans="33:46" x14ac:dyDescent="0.25">
      <c r="AG6235" s="107"/>
      <c r="AH6235" s="107"/>
      <c r="AI6235" s="107"/>
      <c r="AJ6235" s="117"/>
      <c r="AK6235" s="107"/>
      <c r="AL6235" s="107"/>
      <c r="AM6235" s="107"/>
      <c r="AN6235" s="107"/>
      <c r="AO6235" s="107"/>
      <c r="AP6235" s="107"/>
      <c r="AQ6235" s="107"/>
      <c r="AR6235" s="107"/>
      <c r="AS6235" s="107"/>
      <c r="AT6235" s="107"/>
    </row>
    <row r="6236" spans="33:46" x14ac:dyDescent="0.25">
      <c r="AG6236" s="107"/>
      <c r="AH6236" s="107"/>
      <c r="AI6236" s="107"/>
      <c r="AJ6236" s="117"/>
      <c r="AK6236" s="107"/>
      <c r="AL6236" s="107"/>
      <c r="AM6236" s="107"/>
      <c r="AN6236" s="107"/>
      <c r="AO6236" s="107"/>
      <c r="AP6236" s="107"/>
      <c r="AQ6236" s="107"/>
      <c r="AR6236" s="107"/>
      <c r="AS6236" s="107"/>
      <c r="AT6236" s="107"/>
    </row>
    <row r="6237" spans="33:46" x14ac:dyDescent="0.25">
      <c r="AG6237" s="107"/>
      <c r="AH6237" s="107"/>
      <c r="AI6237" s="107"/>
      <c r="AJ6237" s="117"/>
      <c r="AK6237" s="107"/>
      <c r="AL6237" s="107"/>
      <c r="AM6237" s="107"/>
      <c r="AN6237" s="107"/>
      <c r="AO6237" s="107"/>
      <c r="AP6237" s="107"/>
      <c r="AQ6237" s="107"/>
      <c r="AR6237" s="107"/>
      <c r="AS6237" s="107"/>
      <c r="AT6237" s="107"/>
    </row>
    <row r="6238" spans="33:46" x14ac:dyDescent="0.25">
      <c r="AG6238" s="107"/>
      <c r="AH6238" s="107"/>
      <c r="AI6238" s="107"/>
      <c r="AJ6238" s="117"/>
      <c r="AK6238" s="107"/>
      <c r="AL6238" s="107"/>
      <c r="AM6238" s="107"/>
      <c r="AN6238" s="107"/>
      <c r="AO6238" s="107"/>
      <c r="AP6238" s="107"/>
      <c r="AQ6238" s="107"/>
      <c r="AR6238" s="107"/>
      <c r="AS6238" s="107"/>
      <c r="AT6238" s="107"/>
    </row>
    <row r="6239" spans="33:46" x14ac:dyDescent="0.25">
      <c r="AG6239" s="107"/>
      <c r="AH6239" s="117"/>
      <c r="AI6239" s="117"/>
      <c r="AJ6239" s="117"/>
      <c r="AK6239" s="107"/>
      <c r="AL6239" s="107"/>
      <c r="AM6239" s="107"/>
      <c r="AN6239" s="107"/>
      <c r="AO6239" s="107"/>
      <c r="AP6239" s="107"/>
      <c r="AQ6239" s="107"/>
      <c r="AR6239" s="107"/>
      <c r="AS6239" s="107"/>
      <c r="AT6239" s="39"/>
    </row>
    <row r="6240" spans="33:46" x14ac:dyDescent="0.25">
      <c r="AG6240" s="107"/>
      <c r="AH6240" s="117"/>
      <c r="AI6240" s="117"/>
      <c r="AJ6240" s="117"/>
      <c r="AK6240" s="107"/>
      <c r="AL6240" s="107"/>
      <c r="AM6240" s="107"/>
      <c r="AN6240" s="107"/>
      <c r="AO6240" s="107"/>
      <c r="AP6240" s="107"/>
      <c r="AQ6240" s="107"/>
      <c r="AR6240" s="107"/>
      <c r="AS6240" s="107"/>
      <c r="AT6240" s="39"/>
    </row>
    <row r="6241" spans="33:46" x14ac:dyDescent="0.25">
      <c r="AG6241" s="107"/>
      <c r="AH6241" s="107"/>
      <c r="AI6241" s="107"/>
      <c r="AJ6241" s="11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</row>
    <row r="6242" spans="33:46" x14ac:dyDescent="0.25">
      <c r="AG6242" s="107"/>
      <c r="AH6242" s="107"/>
      <c r="AI6242" s="107"/>
      <c r="AJ6242" s="117"/>
      <c r="AK6242" s="107"/>
      <c r="AL6242" s="107"/>
      <c r="AM6242" s="107"/>
      <c r="AN6242" s="107"/>
      <c r="AO6242" s="107"/>
      <c r="AP6242" s="107"/>
      <c r="AQ6242" s="107"/>
      <c r="AR6242" s="107"/>
      <c r="AS6242" s="107"/>
      <c r="AT6242" s="107"/>
    </row>
    <row r="6243" spans="33:46" x14ac:dyDescent="0.25">
      <c r="AG6243" s="107"/>
      <c r="AH6243" s="117"/>
      <c r="AI6243" s="117"/>
      <c r="AJ6243" s="117"/>
      <c r="AK6243" s="107"/>
      <c r="AL6243" s="107"/>
      <c r="AM6243" s="107"/>
      <c r="AN6243" s="107"/>
      <c r="AO6243" s="107"/>
      <c r="AP6243" s="107"/>
      <c r="AQ6243" s="107"/>
      <c r="AR6243" s="107"/>
      <c r="AS6243" s="107"/>
      <c r="AT6243" s="39"/>
    </row>
    <row r="6244" spans="33:46" x14ac:dyDescent="0.25">
      <c r="AG6244" s="107"/>
      <c r="AH6244" s="107"/>
      <c r="AI6244" s="107"/>
      <c r="AJ6244" s="117"/>
      <c r="AK6244" s="107"/>
      <c r="AL6244" s="107"/>
      <c r="AM6244" s="107"/>
      <c r="AN6244" s="107"/>
      <c r="AO6244" s="107"/>
      <c r="AP6244" s="107"/>
      <c r="AQ6244" s="107"/>
      <c r="AR6244" s="107"/>
      <c r="AS6244" s="107"/>
      <c r="AT6244" s="107"/>
    </row>
    <row r="6245" spans="33:46" x14ac:dyDescent="0.25">
      <c r="AG6245" s="107"/>
      <c r="AH6245" s="107"/>
      <c r="AI6245" s="107"/>
      <c r="AJ6245" s="117"/>
      <c r="AK6245" s="107"/>
      <c r="AL6245" s="107"/>
      <c r="AM6245" s="107"/>
      <c r="AN6245" s="107"/>
      <c r="AO6245" s="107"/>
      <c r="AP6245" s="107"/>
      <c r="AQ6245" s="107"/>
      <c r="AR6245" s="107"/>
      <c r="AS6245" s="107"/>
      <c r="AT6245" s="107"/>
    </row>
    <row r="6246" spans="33:46" x14ac:dyDescent="0.25">
      <c r="AG6246" s="107"/>
      <c r="AH6246" s="107"/>
      <c r="AI6246" s="107"/>
      <c r="AJ6246" s="117"/>
      <c r="AK6246" s="107"/>
      <c r="AL6246" s="107"/>
      <c r="AM6246" s="107"/>
      <c r="AN6246" s="107"/>
      <c r="AO6246" s="107"/>
      <c r="AP6246" s="107"/>
      <c r="AQ6246" s="107"/>
      <c r="AR6246" s="107"/>
      <c r="AS6246" s="107"/>
      <c r="AT6246" s="107"/>
    </row>
    <row r="6247" spans="33:46" x14ac:dyDescent="0.25">
      <c r="AG6247" s="107"/>
      <c r="AH6247" s="117"/>
      <c r="AI6247" s="117"/>
      <c r="AJ6247" s="117"/>
      <c r="AK6247" s="107"/>
      <c r="AL6247" s="107"/>
      <c r="AM6247" s="107"/>
      <c r="AN6247" s="107"/>
      <c r="AO6247" s="107"/>
      <c r="AP6247" s="107"/>
      <c r="AQ6247" s="107"/>
      <c r="AR6247" s="107"/>
      <c r="AS6247" s="107"/>
      <c r="AT6247" s="39"/>
    </row>
    <row r="6248" spans="33:46" x14ac:dyDescent="0.25">
      <c r="AG6248" s="107"/>
      <c r="AH6248" s="117"/>
      <c r="AI6248" s="117"/>
      <c r="AJ6248" s="117"/>
      <c r="AK6248" s="107"/>
      <c r="AL6248" s="107"/>
      <c r="AM6248" s="107"/>
      <c r="AN6248" s="107"/>
      <c r="AO6248" s="107"/>
      <c r="AP6248" s="107"/>
      <c r="AQ6248" s="107"/>
      <c r="AR6248" s="107"/>
      <c r="AS6248" s="107"/>
      <c r="AT6248" s="39"/>
    </row>
    <row r="6249" spans="33:46" x14ac:dyDescent="0.25">
      <c r="AG6249" s="107"/>
      <c r="AH6249" s="107"/>
      <c r="AI6249" s="107"/>
      <c r="AJ6249" s="117"/>
      <c r="AK6249" s="107"/>
      <c r="AL6249" s="107"/>
      <c r="AM6249" s="107"/>
      <c r="AN6249" s="107"/>
      <c r="AO6249" s="107"/>
      <c r="AP6249" s="107"/>
      <c r="AQ6249" s="107"/>
      <c r="AR6249" s="107"/>
      <c r="AS6249" s="107"/>
      <c r="AT6249" s="107"/>
    </row>
    <row r="6250" spans="33:46" x14ac:dyDescent="0.25">
      <c r="AG6250" s="107"/>
      <c r="AH6250" s="117"/>
      <c r="AI6250" s="117"/>
      <c r="AJ6250" s="117"/>
      <c r="AK6250" s="107"/>
      <c r="AL6250" s="107"/>
      <c r="AM6250" s="107"/>
      <c r="AN6250" s="107"/>
      <c r="AO6250" s="107"/>
      <c r="AP6250" s="107"/>
      <c r="AQ6250" s="107"/>
      <c r="AR6250" s="107"/>
      <c r="AS6250" s="107"/>
      <c r="AT6250" s="39"/>
    </row>
    <row r="6251" spans="33:46" x14ac:dyDescent="0.25">
      <c r="AG6251" s="107"/>
      <c r="AH6251" s="117"/>
      <c r="AI6251" s="117"/>
      <c r="AJ6251" s="117"/>
      <c r="AK6251" s="107"/>
      <c r="AL6251" s="107"/>
      <c r="AM6251" s="107"/>
      <c r="AN6251" s="107"/>
      <c r="AO6251" s="107"/>
      <c r="AP6251" s="107"/>
      <c r="AQ6251" s="107"/>
      <c r="AR6251" s="107"/>
      <c r="AS6251" s="107"/>
      <c r="AT6251" s="39"/>
    </row>
    <row r="6252" spans="33:46" x14ac:dyDescent="0.25">
      <c r="AG6252" s="107"/>
      <c r="AH6252" s="117"/>
      <c r="AI6252" s="117"/>
      <c r="AJ6252" s="117"/>
      <c r="AK6252" s="107"/>
      <c r="AL6252" s="107"/>
      <c r="AM6252" s="107"/>
      <c r="AN6252" s="107"/>
      <c r="AO6252" s="107"/>
      <c r="AP6252" s="107"/>
      <c r="AQ6252" s="107"/>
      <c r="AR6252" s="107"/>
      <c r="AS6252" s="107"/>
      <c r="AT6252" s="39"/>
    </row>
    <row r="6253" spans="33:46" x14ac:dyDescent="0.25">
      <c r="AG6253" s="107"/>
      <c r="AH6253" s="117"/>
      <c r="AI6253" s="117"/>
      <c r="AJ6253" s="117"/>
      <c r="AK6253" s="107"/>
      <c r="AL6253" s="107"/>
      <c r="AM6253" s="107"/>
      <c r="AN6253" s="107"/>
      <c r="AO6253" s="107"/>
      <c r="AP6253" s="107"/>
      <c r="AQ6253" s="107"/>
      <c r="AR6253" s="107"/>
      <c r="AS6253" s="107"/>
      <c r="AT6253" s="39"/>
    </row>
    <row r="6254" spans="33:46" x14ac:dyDescent="0.25">
      <c r="AG6254" s="107"/>
      <c r="AH6254" s="107"/>
      <c r="AI6254" s="107"/>
      <c r="AJ6254" s="117"/>
      <c r="AK6254" s="107"/>
      <c r="AL6254" s="107"/>
      <c r="AM6254" s="107"/>
      <c r="AN6254" s="107"/>
      <c r="AO6254" s="107"/>
      <c r="AP6254" s="107"/>
      <c r="AQ6254" s="107"/>
      <c r="AR6254" s="107"/>
      <c r="AS6254" s="107"/>
      <c r="AT6254" s="107"/>
    </row>
    <row r="6255" spans="33:46" x14ac:dyDescent="0.25">
      <c r="AG6255" s="107"/>
      <c r="AH6255" s="117"/>
      <c r="AI6255" s="117"/>
      <c r="AJ6255" s="117"/>
      <c r="AK6255" s="107"/>
      <c r="AL6255" s="107"/>
      <c r="AM6255" s="107"/>
      <c r="AN6255" s="107"/>
      <c r="AO6255" s="107"/>
      <c r="AP6255" s="107"/>
      <c r="AQ6255" s="107"/>
      <c r="AR6255" s="107"/>
      <c r="AS6255" s="107"/>
      <c r="AT6255" s="39"/>
    </row>
    <row r="6256" spans="33:46" x14ac:dyDescent="0.25">
      <c r="AG6256" s="107"/>
      <c r="AH6256" s="117"/>
      <c r="AI6256" s="117"/>
      <c r="AJ6256" s="117"/>
      <c r="AK6256" s="107"/>
      <c r="AL6256" s="107"/>
      <c r="AM6256" s="107"/>
      <c r="AN6256" s="107"/>
      <c r="AO6256" s="107"/>
      <c r="AP6256" s="107"/>
      <c r="AQ6256" s="107"/>
      <c r="AR6256" s="107"/>
      <c r="AS6256" s="107"/>
      <c r="AT6256" s="39"/>
    </row>
    <row r="6257" spans="33:46" x14ac:dyDescent="0.25">
      <c r="AG6257" s="107"/>
      <c r="AH6257" s="107"/>
      <c r="AI6257" s="107"/>
      <c r="AJ6257" s="117"/>
      <c r="AK6257" s="107"/>
      <c r="AL6257" s="107"/>
      <c r="AM6257" s="107"/>
      <c r="AN6257" s="107"/>
      <c r="AO6257" s="107"/>
      <c r="AP6257" s="107"/>
      <c r="AQ6257" s="107"/>
      <c r="AR6257" s="107"/>
      <c r="AS6257" s="107"/>
      <c r="AT6257" s="107"/>
    </row>
    <row r="6258" spans="33:46" x14ac:dyDescent="0.25">
      <c r="AG6258" s="107"/>
      <c r="AH6258" s="117"/>
      <c r="AI6258" s="117"/>
      <c r="AJ6258" s="117"/>
      <c r="AK6258" s="107"/>
      <c r="AL6258" s="107"/>
      <c r="AM6258" s="107"/>
      <c r="AN6258" s="107"/>
      <c r="AO6258" s="107"/>
      <c r="AP6258" s="107"/>
      <c r="AQ6258" s="107"/>
      <c r="AR6258" s="107"/>
      <c r="AS6258" s="107"/>
      <c r="AT6258" s="39"/>
    </row>
    <row r="6259" spans="33:46" x14ac:dyDescent="0.25">
      <c r="AG6259" s="107"/>
      <c r="AH6259" s="117"/>
      <c r="AI6259" s="117"/>
      <c r="AJ6259" s="117"/>
      <c r="AK6259" s="107"/>
      <c r="AL6259" s="107"/>
      <c r="AM6259" s="107"/>
      <c r="AN6259" s="107"/>
      <c r="AO6259" s="107"/>
      <c r="AP6259" s="107"/>
      <c r="AQ6259" s="107"/>
      <c r="AR6259" s="107"/>
      <c r="AS6259" s="107"/>
      <c r="AT6259" s="39"/>
    </row>
    <row r="6260" spans="33:46" x14ac:dyDescent="0.25">
      <c r="AG6260" s="107"/>
      <c r="AH6260" s="117"/>
      <c r="AI6260" s="117"/>
      <c r="AJ6260" s="117"/>
      <c r="AK6260" s="107"/>
      <c r="AL6260" s="107"/>
      <c r="AM6260" s="107"/>
      <c r="AN6260" s="107"/>
      <c r="AO6260" s="107"/>
      <c r="AP6260" s="107"/>
      <c r="AQ6260" s="107"/>
      <c r="AR6260" s="107"/>
      <c r="AS6260" s="107"/>
      <c r="AT6260" s="39"/>
    </row>
    <row r="6261" spans="33:46" x14ac:dyDescent="0.25">
      <c r="AG6261" s="107"/>
      <c r="AH6261" s="117"/>
      <c r="AI6261" s="117"/>
      <c r="AJ6261" s="117"/>
      <c r="AK6261" s="107"/>
      <c r="AL6261" s="107"/>
      <c r="AM6261" s="107"/>
      <c r="AN6261" s="107"/>
      <c r="AO6261" s="107"/>
      <c r="AP6261" s="107"/>
      <c r="AQ6261" s="107"/>
      <c r="AR6261" s="107"/>
      <c r="AS6261" s="107"/>
      <c r="AT6261" s="39"/>
    </row>
    <row r="6262" spans="33:46" x14ac:dyDescent="0.25">
      <c r="AG6262" s="107"/>
      <c r="AH6262" s="107"/>
      <c r="AI6262" s="107"/>
      <c r="AJ6262" s="117"/>
      <c r="AK6262" s="107"/>
      <c r="AL6262" s="107"/>
      <c r="AM6262" s="107"/>
      <c r="AN6262" s="107"/>
      <c r="AO6262" s="107"/>
      <c r="AP6262" s="107"/>
      <c r="AQ6262" s="107"/>
      <c r="AR6262" s="107"/>
      <c r="AS6262" s="107"/>
      <c r="AT6262" s="107"/>
    </row>
    <row r="6263" spans="33:46" x14ac:dyDescent="0.25">
      <c r="AG6263" s="107"/>
      <c r="AH6263" s="107"/>
      <c r="AI6263" s="107"/>
      <c r="AJ6263" s="117"/>
      <c r="AK6263" s="107"/>
      <c r="AL6263" s="107"/>
      <c r="AM6263" s="107"/>
      <c r="AN6263" s="107"/>
      <c r="AO6263" s="107"/>
      <c r="AP6263" s="107"/>
      <c r="AQ6263" s="107"/>
      <c r="AR6263" s="107"/>
      <c r="AS6263" s="107"/>
      <c r="AT6263" s="107"/>
    </row>
    <row r="6264" spans="33:46" x14ac:dyDescent="0.25">
      <c r="AG6264" s="107"/>
      <c r="AH6264" s="107"/>
      <c r="AI6264" s="107"/>
      <c r="AJ6264" s="117"/>
      <c r="AK6264" s="107"/>
      <c r="AL6264" s="107"/>
      <c r="AM6264" s="107"/>
      <c r="AN6264" s="107"/>
      <c r="AO6264" s="107"/>
      <c r="AP6264" s="107"/>
      <c r="AQ6264" s="107"/>
      <c r="AR6264" s="107"/>
      <c r="AS6264" s="107"/>
      <c r="AT6264" s="107"/>
    </row>
    <row r="6265" spans="33:46" x14ac:dyDescent="0.25">
      <c r="AG6265" s="107"/>
      <c r="AH6265" s="117"/>
      <c r="AI6265" s="117"/>
      <c r="AJ6265" s="117"/>
      <c r="AK6265" s="107"/>
      <c r="AL6265" s="107"/>
      <c r="AM6265" s="107"/>
      <c r="AN6265" s="107"/>
      <c r="AO6265" s="107"/>
      <c r="AP6265" s="107"/>
      <c r="AQ6265" s="107"/>
      <c r="AR6265" s="107"/>
      <c r="AS6265" s="107"/>
      <c r="AT6265" s="39"/>
    </row>
    <row r="6266" spans="33:46" x14ac:dyDescent="0.25">
      <c r="AG6266" s="107"/>
      <c r="AH6266" s="117"/>
      <c r="AI6266" s="117"/>
      <c r="AJ6266" s="11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39"/>
    </row>
    <row r="6267" spans="33:46" x14ac:dyDescent="0.25">
      <c r="AG6267" s="107"/>
      <c r="AH6267" s="107"/>
      <c r="AI6267" s="107"/>
      <c r="AJ6267" s="117"/>
      <c r="AK6267" s="107"/>
      <c r="AL6267" s="107"/>
      <c r="AM6267" s="107"/>
      <c r="AN6267" s="107"/>
      <c r="AO6267" s="107"/>
      <c r="AP6267" s="107"/>
      <c r="AQ6267" s="107"/>
      <c r="AR6267" s="107"/>
      <c r="AS6267" s="107"/>
      <c r="AT6267" s="107"/>
    </row>
    <row r="6268" spans="33:46" x14ac:dyDescent="0.25">
      <c r="AG6268" s="107"/>
      <c r="AH6268" s="117"/>
      <c r="AI6268" s="117"/>
      <c r="AJ6268" s="117"/>
      <c r="AK6268" s="107"/>
      <c r="AL6268" s="107"/>
      <c r="AM6268" s="107"/>
      <c r="AN6268" s="107"/>
      <c r="AO6268" s="107"/>
      <c r="AP6268" s="107"/>
      <c r="AQ6268" s="107"/>
      <c r="AR6268" s="107"/>
      <c r="AS6268" s="107"/>
      <c r="AT6268" s="39"/>
    </row>
    <row r="6269" spans="33:46" x14ac:dyDescent="0.25">
      <c r="AG6269" s="107"/>
      <c r="AH6269" s="117"/>
      <c r="AI6269" s="117"/>
      <c r="AJ6269" s="117"/>
      <c r="AK6269" s="107"/>
      <c r="AL6269" s="107"/>
      <c r="AM6269" s="107"/>
      <c r="AN6269" s="107"/>
      <c r="AO6269" s="107"/>
      <c r="AP6269" s="107"/>
      <c r="AQ6269" s="107"/>
      <c r="AR6269" s="107"/>
      <c r="AS6269" s="107"/>
      <c r="AT6269" s="39"/>
    </row>
    <row r="6270" spans="33:46" x14ac:dyDescent="0.25">
      <c r="AG6270" s="107"/>
      <c r="AH6270" s="107"/>
      <c r="AI6270" s="107"/>
      <c r="AJ6270" s="117"/>
      <c r="AK6270" s="107"/>
      <c r="AL6270" s="107"/>
      <c r="AM6270" s="107"/>
      <c r="AN6270" s="107"/>
      <c r="AO6270" s="107"/>
      <c r="AP6270" s="107"/>
      <c r="AQ6270" s="107"/>
      <c r="AR6270" s="107"/>
      <c r="AS6270" s="107"/>
      <c r="AT6270" s="107"/>
    </row>
    <row r="6271" spans="33:46" x14ac:dyDescent="0.25">
      <c r="AG6271" s="107"/>
      <c r="AH6271" s="117"/>
      <c r="AI6271" s="117"/>
      <c r="AJ6271" s="117"/>
      <c r="AK6271" s="107"/>
      <c r="AL6271" s="107"/>
      <c r="AM6271" s="107"/>
      <c r="AN6271" s="107"/>
      <c r="AO6271" s="107"/>
      <c r="AP6271" s="107"/>
      <c r="AQ6271" s="107"/>
      <c r="AR6271" s="107"/>
      <c r="AS6271" s="107"/>
      <c r="AT6271" s="39"/>
    </row>
    <row r="6272" spans="33:46" x14ac:dyDescent="0.25">
      <c r="AG6272" s="107"/>
      <c r="AH6272" s="117"/>
      <c r="AI6272" s="117"/>
      <c r="AJ6272" s="117"/>
      <c r="AK6272" s="107"/>
      <c r="AL6272" s="107"/>
      <c r="AM6272" s="107"/>
      <c r="AN6272" s="107"/>
      <c r="AO6272" s="107"/>
      <c r="AP6272" s="107"/>
      <c r="AQ6272" s="107"/>
      <c r="AR6272" s="107"/>
      <c r="AS6272" s="107"/>
      <c r="AT6272" s="39"/>
    </row>
    <row r="6273" spans="33:46" x14ac:dyDescent="0.25">
      <c r="AG6273" s="107"/>
      <c r="AH6273" s="107"/>
      <c r="AI6273" s="107"/>
      <c r="AJ6273" s="117"/>
      <c r="AK6273" s="107"/>
      <c r="AL6273" s="107"/>
      <c r="AM6273" s="107"/>
      <c r="AN6273" s="107"/>
      <c r="AO6273" s="107"/>
      <c r="AP6273" s="107"/>
      <c r="AQ6273" s="107"/>
      <c r="AR6273" s="107"/>
      <c r="AS6273" s="107"/>
      <c r="AT6273" s="107"/>
    </row>
    <row r="6274" spans="33:46" x14ac:dyDescent="0.25">
      <c r="AG6274" s="107"/>
      <c r="AH6274" s="107"/>
      <c r="AI6274" s="107"/>
      <c r="AJ6274" s="117"/>
      <c r="AK6274" s="107"/>
      <c r="AL6274" s="107"/>
      <c r="AM6274" s="107"/>
      <c r="AN6274" s="107"/>
      <c r="AO6274" s="107"/>
      <c r="AP6274" s="107"/>
      <c r="AQ6274" s="107"/>
      <c r="AR6274" s="107"/>
      <c r="AS6274" s="107"/>
      <c r="AT6274" s="107"/>
    </row>
    <row r="6275" spans="33:46" x14ac:dyDescent="0.25">
      <c r="AG6275" s="107"/>
      <c r="AH6275" s="107"/>
      <c r="AI6275" s="107"/>
      <c r="AJ6275" s="117"/>
      <c r="AK6275" s="107"/>
      <c r="AL6275" s="107"/>
      <c r="AM6275" s="107"/>
      <c r="AN6275" s="107"/>
      <c r="AO6275" s="107"/>
      <c r="AP6275" s="107"/>
      <c r="AQ6275" s="107"/>
      <c r="AR6275" s="107"/>
      <c r="AS6275" s="107"/>
      <c r="AT6275" s="107"/>
    </row>
    <row r="6276" spans="33:46" x14ac:dyDescent="0.25">
      <c r="AG6276" s="107"/>
      <c r="AH6276" s="117"/>
      <c r="AI6276" s="117"/>
      <c r="AJ6276" s="117"/>
      <c r="AK6276" s="107"/>
      <c r="AL6276" s="107"/>
      <c r="AM6276" s="107"/>
      <c r="AN6276" s="107"/>
      <c r="AO6276" s="107"/>
      <c r="AP6276" s="107"/>
      <c r="AQ6276" s="107"/>
      <c r="AR6276" s="107"/>
      <c r="AS6276" s="107"/>
      <c r="AT6276" s="39"/>
    </row>
    <row r="6277" spans="33:46" x14ac:dyDescent="0.25">
      <c r="AG6277" s="107"/>
      <c r="AH6277" s="107"/>
      <c r="AI6277" s="107"/>
      <c r="AJ6277" s="117"/>
      <c r="AK6277" s="107"/>
      <c r="AL6277" s="107"/>
      <c r="AM6277" s="107"/>
      <c r="AN6277" s="107"/>
      <c r="AO6277" s="107"/>
      <c r="AP6277" s="107"/>
      <c r="AQ6277" s="107"/>
      <c r="AR6277" s="107"/>
      <c r="AS6277" s="107"/>
      <c r="AT6277" s="107"/>
    </row>
    <row r="6278" spans="33:46" x14ac:dyDescent="0.25">
      <c r="AG6278" s="107"/>
      <c r="AH6278" s="107"/>
      <c r="AI6278" s="107"/>
      <c r="AJ6278" s="117"/>
      <c r="AK6278" s="107"/>
      <c r="AL6278" s="107"/>
      <c r="AM6278" s="107"/>
      <c r="AN6278" s="107"/>
      <c r="AO6278" s="107"/>
      <c r="AP6278" s="107"/>
      <c r="AQ6278" s="107"/>
      <c r="AR6278" s="107"/>
      <c r="AS6278" s="107"/>
      <c r="AT6278" s="107"/>
    </row>
    <row r="6279" spans="33:46" x14ac:dyDescent="0.25">
      <c r="AG6279" s="107"/>
      <c r="AH6279" s="107"/>
      <c r="AI6279" s="107"/>
      <c r="AJ6279" s="117"/>
      <c r="AK6279" s="107"/>
      <c r="AL6279" s="107"/>
      <c r="AM6279" s="107"/>
      <c r="AN6279" s="107"/>
      <c r="AO6279" s="107"/>
      <c r="AP6279" s="107"/>
      <c r="AQ6279" s="107"/>
      <c r="AR6279" s="107"/>
      <c r="AS6279" s="107"/>
      <c r="AT6279" s="107"/>
    </row>
    <row r="6280" spans="33:46" x14ac:dyDescent="0.25">
      <c r="AG6280" s="107"/>
      <c r="AH6280" s="107"/>
      <c r="AI6280" s="107"/>
      <c r="AJ6280" s="117"/>
      <c r="AK6280" s="107"/>
      <c r="AL6280" s="107"/>
      <c r="AM6280" s="107"/>
      <c r="AN6280" s="107"/>
      <c r="AO6280" s="107"/>
      <c r="AP6280" s="107"/>
      <c r="AQ6280" s="107"/>
      <c r="AR6280" s="107"/>
      <c r="AS6280" s="107"/>
      <c r="AT6280" s="107"/>
    </row>
    <row r="6281" spans="33:46" x14ac:dyDescent="0.25">
      <c r="AG6281" s="107"/>
      <c r="AH6281" s="117"/>
      <c r="AI6281" s="117"/>
      <c r="AJ6281" s="117"/>
      <c r="AK6281" s="107"/>
      <c r="AL6281" s="107"/>
      <c r="AM6281" s="107"/>
      <c r="AN6281" s="107"/>
      <c r="AO6281" s="107"/>
      <c r="AP6281" s="107"/>
      <c r="AQ6281" s="107"/>
      <c r="AR6281" s="107"/>
      <c r="AS6281" s="107"/>
      <c r="AT6281" s="39"/>
    </row>
    <row r="6282" spans="33:46" x14ac:dyDescent="0.25">
      <c r="AG6282" s="107"/>
      <c r="AH6282" s="107"/>
      <c r="AI6282" s="107"/>
      <c r="AJ6282" s="117"/>
      <c r="AK6282" s="107"/>
      <c r="AL6282" s="107"/>
      <c r="AM6282" s="107"/>
      <c r="AN6282" s="107"/>
      <c r="AO6282" s="107"/>
      <c r="AP6282" s="107"/>
      <c r="AQ6282" s="107"/>
      <c r="AR6282" s="107"/>
      <c r="AS6282" s="107"/>
      <c r="AT6282" s="107"/>
    </row>
    <row r="6283" spans="33:46" x14ac:dyDescent="0.25">
      <c r="AG6283" s="107"/>
      <c r="AH6283" s="107"/>
      <c r="AI6283" s="107"/>
      <c r="AJ6283" s="117"/>
      <c r="AK6283" s="107"/>
      <c r="AL6283" s="107"/>
      <c r="AM6283" s="107"/>
      <c r="AN6283" s="107"/>
      <c r="AO6283" s="107"/>
      <c r="AP6283" s="107"/>
      <c r="AQ6283" s="107"/>
      <c r="AR6283" s="107"/>
      <c r="AS6283" s="107"/>
      <c r="AT6283" s="107"/>
    </row>
    <row r="6284" spans="33:46" x14ac:dyDescent="0.25">
      <c r="AG6284" s="107"/>
      <c r="AH6284" s="117"/>
      <c r="AI6284" s="117"/>
      <c r="AJ6284" s="117"/>
      <c r="AK6284" s="107"/>
      <c r="AL6284" s="107"/>
      <c r="AM6284" s="107"/>
      <c r="AN6284" s="107"/>
      <c r="AO6284" s="107"/>
      <c r="AP6284" s="107"/>
      <c r="AQ6284" s="107"/>
      <c r="AR6284" s="107"/>
      <c r="AS6284" s="107"/>
      <c r="AT6284" s="39"/>
    </row>
    <row r="6285" spans="33:46" x14ac:dyDescent="0.25">
      <c r="AG6285" s="107"/>
      <c r="AH6285" s="107"/>
      <c r="AI6285" s="107"/>
      <c r="AJ6285" s="117"/>
      <c r="AK6285" s="107"/>
      <c r="AL6285" s="107"/>
      <c r="AM6285" s="107"/>
      <c r="AN6285" s="107"/>
      <c r="AO6285" s="107"/>
      <c r="AP6285" s="107"/>
      <c r="AQ6285" s="107"/>
      <c r="AR6285" s="107"/>
      <c r="AS6285" s="107"/>
      <c r="AT6285" s="107"/>
    </row>
    <row r="6286" spans="33:46" x14ac:dyDescent="0.25">
      <c r="AG6286" s="107"/>
      <c r="AH6286" s="107"/>
      <c r="AI6286" s="107"/>
      <c r="AJ6286" s="117"/>
      <c r="AK6286" s="107"/>
      <c r="AL6286" s="107"/>
      <c r="AM6286" s="107"/>
      <c r="AN6286" s="107"/>
      <c r="AO6286" s="107"/>
      <c r="AP6286" s="107"/>
      <c r="AQ6286" s="107"/>
      <c r="AR6286" s="107"/>
      <c r="AS6286" s="107"/>
      <c r="AT6286" s="107"/>
    </row>
    <row r="6287" spans="33:46" x14ac:dyDescent="0.25">
      <c r="AG6287" s="107"/>
      <c r="AH6287" s="117"/>
      <c r="AI6287" s="117"/>
      <c r="AJ6287" s="117"/>
      <c r="AK6287" s="107"/>
      <c r="AL6287" s="107"/>
      <c r="AM6287" s="107"/>
      <c r="AN6287" s="107"/>
      <c r="AO6287" s="107"/>
      <c r="AP6287" s="107"/>
      <c r="AQ6287" s="107"/>
      <c r="AR6287" s="107"/>
      <c r="AS6287" s="107"/>
      <c r="AT6287" s="39"/>
    </row>
    <row r="6288" spans="33:46" x14ac:dyDescent="0.25">
      <c r="AG6288" s="107"/>
      <c r="AH6288" s="107"/>
      <c r="AI6288" s="107"/>
      <c r="AJ6288" s="117"/>
      <c r="AK6288" s="107"/>
      <c r="AL6288" s="107"/>
      <c r="AM6288" s="107"/>
      <c r="AN6288" s="107"/>
      <c r="AO6288" s="107"/>
      <c r="AP6288" s="107"/>
      <c r="AQ6288" s="107"/>
      <c r="AR6288" s="107"/>
      <c r="AS6288" s="107"/>
      <c r="AT6288" s="107"/>
    </row>
    <row r="6289" spans="33:46" x14ac:dyDescent="0.25">
      <c r="AG6289" s="107"/>
      <c r="AH6289" s="117"/>
      <c r="AI6289" s="117"/>
      <c r="AJ6289" s="117"/>
      <c r="AK6289" s="107"/>
      <c r="AL6289" s="107"/>
      <c r="AM6289" s="107"/>
      <c r="AN6289" s="107"/>
      <c r="AO6289" s="107"/>
      <c r="AP6289" s="107"/>
      <c r="AQ6289" s="107"/>
      <c r="AR6289" s="107"/>
      <c r="AS6289" s="107"/>
      <c r="AT6289" s="39"/>
    </row>
    <row r="6290" spans="33:46" x14ac:dyDescent="0.25">
      <c r="AG6290" s="107"/>
      <c r="AH6290" s="107"/>
      <c r="AI6290" s="107"/>
      <c r="AJ6290" s="117"/>
      <c r="AK6290" s="107"/>
      <c r="AL6290" s="107"/>
      <c r="AM6290" s="107"/>
      <c r="AN6290" s="107"/>
      <c r="AO6290" s="107"/>
      <c r="AP6290" s="107"/>
      <c r="AQ6290" s="107"/>
      <c r="AR6290" s="107"/>
      <c r="AS6290" s="107"/>
      <c r="AT6290" s="107"/>
    </row>
    <row r="6291" spans="33:46" x14ac:dyDescent="0.25">
      <c r="AG6291" s="107"/>
      <c r="AH6291" s="117"/>
      <c r="AI6291" s="117"/>
      <c r="AJ6291" s="117"/>
      <c r="AK6291" s="107"/>
      <c r="AL6291" s="107"/>
      <c r="AM6291" s="107"/>
      <c r="AN6291" s="107"/>
      <c r="AO6291" s="107"/>
      <c r="AP6291" s="107"/>
      <c r="AQ6291" s="107"/>
      <c r="AR6291" s="107"/>
      <c r="AS6291" s="107"/>
      <c r="AT6291" s="39"/>
    </row>
    <row r="6292" spans="33:46" x14ac:dyDescent="0.25">
      <c r="AG6292" s="107"/>
      <c r="AH6292" s="117"/>
      <c r="AI6292" s="117"/>
      <c r="AJ6292" s="117"/>
      <c r="AK6292" s="107"/>
      <c r="AL6292" s="107"/>
      <c r="AM6292" s="107"/>
      <c r="AN6292" s="107"/>
      <c r="AO6292" s="107"/>
      <c r="AP6292" s="107"/>
      <c r="AQ6292" s="107"/>
      <c r="AR6292" s="107"/>
      <c r="AS6292" s="107"/>
      <c r="AT6292" s="39"/>
    </row>
    <row r="6293" spans="33:46" x14ac:dyDescent="0.25">
      <c r="AG6293" s="107"/>
      <c r="AH6293" s="107"/>
      <c r="AI6293" s="107"/>
      <c r="AJ6293" s="117"/>
      <c r="AK6293" s="107"/>
      <c r="AL6293" s="107"/>
      <c r="AM6293" s="107"/>
      <c r="AN6293" s="107"/>
      <c r="AO6293" s="107"/>
      <c r="AP6293" s="107"/>
      <c r="AQ6293" s="107"/>
      <c r="AR6293" s="107"/>
      <c r="AS6293" s="107"/>
      <c r="AT6293" s="107"/>
    </row>
    <row r="6294" spans="33:46" x14ac:dyDescent="0.25">
      <c r="AG6294" s="107"/>
      <c r="AH6294" s="107"/>
      <c r="AI6294" s="107"/>
      <c r="AJ6294" s="117"/>
      <c r="AK6294" s="107"/>
      <c r="AL6294" s="107"/>
      <c r="AM6294" s="107"/>
      <c r="AN6294" s="107"/>
      <c r="AO6294" s="107"/>
      <c r="AP6294" s="107"/>
      <c r="AQ6294" s="107"/>
      <c r="AR6294" s="107"/>
      <c r="AS6294" s="107"/>
      <c r="AT6294" s="107"/>
    </row>
    <row r="6295" spans="33:46" x14ac:dyDescent="0.25">
      <c r="AG6295" s="107"/>
      <c r="AH6295" s="107"/>
      <c r="AI6295" s="107"/>
      <c r="AJ6295" s="117"/>
      <c r="AK6295" s="107"/>
      <c r="AL6295" s="107"/>
      <c r="AM6295" s="107"/>
      <c r="AN6295" s="107"/>
      <c r="AO6295" s="107"/>
      <c r="AP6295" s="107"/>
      <c r="AQ6295" s="107"/>
      <c r="AR6295" s="107"/>
      <c r="AS6295" s="107"/>
      <c r="AT6295" s="107"/>
    </row>
    <row r="6296" spans="33:46" x14ac:dyDescent="0.25">
      <c r="AG6296" s="107"/>
      <c r="AH6296" s="107"/>
      <c r="AI6296" s="107"/>
      <c r="AJ6296" s="11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</row>
    <row r="6297" spans="33:46" x14ac:dyDescent="0.25">
      <c r="AG6297" s="107"/>
      <c r="AH6297" s="117"/>
      <c r="AI6297" s="117"/>
      <c r="AJ6297" s="117"/>
      <c r="AK6297" s="107"/>
      <c r="AL6297" s="107"/>
      <c r="AM6297" s="107"/>
      <c r="AN6297" s="107"/>
      <c r="AO6297" s="107"/>
      <c r="AP6297" s="107"/>
      <c r="AQ6297" s="107"/>
      <c r="AR6297" s="107"/>
      <c r="AS6297" s="107"/>
      <c r="AT6297" s="39"/>
    </row>
    <row r="6298" spans="33:46" x14ac:dyDescent="0.25">
      <c r="AG6298" s="107"/>
      <c r="AH6298" s="117"/>
      <c r="AI6298" s="117"/>
      <c r="AJ6298" s="117"/>
      <c r="AK6298" s="107"/>
      <c r="AL6298" s="107"/>
      <c r="AM6298" s="107"/>
      <c r="AN6298" s="107"/>
      <c r="AO6298" s="107"/>
      <c r="AP6298" s="107"/>
      <c r="AQ6298" s="107"/>
      <c r="AR6298" s="107"/>
      <c r="AS6298" s="107"/>
      <c r="AT6298" s="39"/>
    </row>
    <row r="6299" spans="33:46" x14ac:dyDescent="0.25">
      <c r="AG6299" s="107"/>
      <c r="AH6299" s="117"/>
      <c r="AI6299" s="117"/>
      <c r="AJ6299" s="117"/>
      <c r="AK6299" s="107"/>
      <c r="AL6299" s="107"/>
      <c r="AM6299" s="107"/>
      <c r="AN6299" s="107"/>
      <c r="AO6299" s="107"/>
      <c r="AP6299" s="107"/>
      <c r="AQ6299" s="107"/>
      <c r="AR6299" s="107"/>
      <c r="AS6299" s="107"/>
      <c r="AT6299" s="39"/>
    </row>
    <row r="6300" spans="33:46" x14ac:dyDescent="0.25">
      <c r="AG6300" s="107"/>
      <c r="AH6300" s="117"/>
      <c r="AI6300" s="117"/>
      <c r="AJ6300" s="117"/>
      <c r="AK6300" s="107"/>
      <c r="AL6300" s="107"/>
      <c r="AM6300" s="107"/>
      <c r="AN6300" s="107"/>
      <c r="AO6300" s="107"/>
      <c r="AP6300" s="107"/>
      <c r="AQ6300" s="107"/>
      <c r="AR6300" s="107"/>
      <c r="AS6300" s="107"/>
      <c r="AT6300" s="39"/>
    </row>
    <row r="6301" spans="33:46" x14ac:dyDescent="0.25">
      <c r="AG6301" s="107"/>
      <c r="AH6301" s="117"/>
      <c r="AI6301" s="117"/>
      <c r="AJ6301" s="117"/>
      <c r="AK6301" s="107"/>
      <c r="AL6301" s="107"/>
      <c r="AM6301" s="107"/>
      <c r="AN6301" s="107"/>
      <c r="AO6301" s="107"/>
      <c r="AP6301" s="107"/>
      <c r="AQ6301" s="107"/>
      <c r="AR6301" s="107"/>
      <c r="AS6301" s="107"/>
      <c r="AT6301" s="39"/>
    </row>
    <row r="6302" spans="33:46" x14ac:dyDescent="0.25">
      <c r="AG6302" s="107"/>
      <c r="AH6302" s="117"/>
      <c r="AI6302" s="117"/>
      <c r="AJ6302" s="117"/>
      <c r="AK6302" s="107"/>
      <c r="AL6302" s="107"/>
      <c r="AM6302" s="107"/>
      <c r="AN6302" s="107"/>
      <c r="AO6302" s="107"/>
      <c r="AP6302" s="107"/>
      <c r="AQ6302" s="107"/>
      <c r="AR6302" s="107"/>
      <c r="AS6302" s="107"/>
      <c r="AT6302" s="39"/>
    </row>
    <row r="6303" spans="33:46" x14ac:dyDescent="0.25">
      <c r="AG6303" s="107"/>
      <c r="AH6303" s="117"/>
      <c r="AI6303" s="117"/>
      <c r="AJ6303" s="11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39"/>
    </row>
    <row r="6304" spans="33:46" x14ac:dyDescent="0.25">
      <c r="AG6304" s="107"/>
      <c r="AH6304" s="117"/>
      <c r="AI6304" s="117"/>
      <c r="AJ6304" s="117"/>
      <c r="AK6304" s="107"/>
      <c r="AL6304" s="107"/>
      <c r="AM6304" s="107"/>
      <c r="AN6304" s="107"/>
      <c r="AO6304" s="107"/>
      <c r="AP6304" s="107"/>
      <c r="AQ6304" s="107"/>
      <c r="AR6304" s="107"/>
      <c r="AS6304" s="107"/>
      <c r="AT6304" s="39"/>
    </row>
    <row r="6305" spans="33:46" x14ac:dyDescent="0.25">
      <c r="AG6305" s="107"/>
      <c r="AH6305" s="117"/>
      <c r="AI6305" s="117"/>
      <c r="AJ6305" s="117"/>
      <c r="AK6305" s="107"/>
      <c r="AL6305" s="107"/>
      <c r="AM6305" s="107"/>
      <c r="AN6305" s="107"/>
      <c r="AO6305" s="107"/>
      <c r="AP6305" s="107"/>
      <c r="AQ6305" s="107"/>
      <c r="AR6305" s="107"/>
      <c r="AS6305" s="107"/>
      <c r="AT6305" s="39"/>
    </row>
    <row r="6306" spans="33:46" x14ac:dyDescent="0.25">
      <c r="AG6306" s="107"/>
      <c r="AH6306" s="117"/>
      <c r="AI6306" s="117"/>
      <c r="AJ6306" s="117"/>
      <c r="AK6306" s="107"/>
      <c r="AL6306" s="107"/>
      <c r="AM6306" s="107"/>
      <c r="AN6306" s="107"/>
      <c r="AO6306" s="107"/>
      <c r="AP6306" s="107"/>
      <c r="AQ6306" s="107"/>
      <c r="AR6306" s="107"/>
      <c r="AS6306" s="107"/>
      <c r="AT6306" s="39"/>
    </row>
    <row r="6307" spans="33:46" x14ac:dyDescent="0.25">
      <c r="AG6307" s="107"/>
      <c r="AH6307" s="117"/>
      <c r="AI6307" s="117"/>
      <c r="AJ6307" s="117"/>
      <c r="AK6307" s="107"/>
      <c r="AL6307" s="107"/>
      <c r="AM6307" s="107"/>
      <c r="AN6307" s="107"/>
      <c r="AO6307" s="107"/>
      <c r="AP6307" s="107"/>
      <c r="AQ6307" s="107"/>
      <c r="AR6307" s="107"/>
      <c r="AS6307" s="107"/>
      <c r="AT6307" s="39"/>
    </row>
    <row r="6308" spans="33:46" x14ac:dyDescent="0.25">
      <c r="AG6308" s="107"/>
      <c r="AH6308" s="117"/>
      <c r="AI6308" s="117"/>
      <c r="AJ6308" s="117"/>
      <c r="AK6308" s="107"/>
      <c r="AL6308" s="107"/>
      <c r="AM6308" s="107"/>
      <c r="AN6308" s="107"/>
      <c r="AO6308" s="107"/>
      <c r="AP6308" s="107"/>
      <c r="AQ6308" s="107"/>
      <c r="AR6308" s="107"/>
      <c r="AS6308" s="107"/>
      <c r="AT6308" s="39"/>
    </row>
    <row r="6309" spans="33:46" x14ac:dyDescent="0.25">
      <c r="AG6309" s="107"/>
      <c r="AH6309" s="107"/>
      <c r="AI6309" s="107"/>
      <c r="AJ6309" s="11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</row>
    <row r="6310" spans="33:46" x14ac:dyDescent="0.25">
      <c r="AG6310" s="107"/>
      <c r="AH6310" s="117"/>
      <c r="AI6310" s="117"/>
      <c r="AJ6310" s="117"/>
      <c r="AK6310" s="107"/>
      <c r="AL6310" s="107"/>
      <c r="AM6310" s="107"/>
      <c r="AN6310" s="107"/>
      <c r="AO6310" s="107"/>
      <c r="AP6310" s="107"/>
      <c r="AQ6310" s="107"/>
      <c r="AR6310" s="107"/>
      <c r="AS6310" s="107"/>
      <c r="AT6310" s="39"/>
    </row>
    <row r="6311" spans="33:46" x14ac:dyDescent="0.25">
      <c r="AG6311" s="107"/>
      <c r="AH6311" s="107"/>
      <c r="AI6311" s="107"/>
      <c r="AJ6311" s="117"/>
      <c r="AK6311" s="107"/>
      <c r="AL6311" s="107"/>
      <c r="AM6311" s="107"/>
      <c r="AN6311" s="107"/>
      <c r="AO6311" s="107"/>
      <c r="AP6311" s="107"/>
      <c r="AQ6311" s="107"/>
      <c r="AR6311" s="107"/>
      <c r="AS6311" s="107"/>
      <c r="AT6311" s="107"/>
    </row>
    <row r="6312" spans="33:46" x14ac:dyDescent="0.25">
      <c r="AG6312" s="107"/>
      <c r="AH6312" s="107"/>
      <c r="AI6312" s="107"/>
      <c r="AJ6312" s="117"/>
      <c r="AK6312" s="107"/>
      <c r="AL6312" s="107"/>
      <c r="AM6312" s="107"/>
      <c r="AN6312" s="107"/>
      <c r="AO6312" s="107"/>
      <c r="AP6312" s="107"/>
      <c r="AQ6312" s="107"/>
      <c r="AR6312" s="107"/>
      <c r="AS6312" s="107"/>
      <c r="AT6312" s="107"/>
    </row>
    <row r="6313" spans="33:46" x14ac:dyDescent="0.25">
      <c r="AG6313" s="107"/>
      <c r="AH6313" s="107"/>
      <c r="AI6313" s="107"/>
      <c r="AJ6313" s="117"/>
      <c r="AK6313" s="107"/>
      <c r="AL6313" s="107"/>
      <c r="AM6313" s="107"/>
      <c r="AN6313" s="107"/>
      <c r="AO6313" s="107"/>
      <c r="AP6313" s="107"/>
      <c r="AQ6313" s="107"/>
      <c r="AR6313" s="107"/>
      <c r="AS6313" s="107"/>
      <c r="AT6313" s="107"/>
    </row>
    <row r="6314" spans="33:46" x14ac:dyDescent="0.25">
      <c r="AG6314" s="107"/>
      <c r="AH6314" s="107"/>
      <c r="AI6314" s="107"/>
      <c r="AJ6314" s="117"/>
      <c r="AK6314" s="107"/>
      <c r="AL6314" s="107"/>
      <c r="AM6314" s="107"/>
      <c r="AN6314" s="107"/>
      <c r="AO6314" s="107"/>
      <c r="AP6314" s="107"/>
      <c r="AQ6314" s="107"/>
      <c r="AR6314" s="107"/>
      <c r="AS6314" s="107"/>
      <c r="AT6314" s="107"/>
    </row>
    <row r="6315" spans="33:46" x14ac:dyDescent="0.25">
      <c r="AG6315" s="107"/>
      <c r="AH6315" s="107"/>
      <c r="AI6315" s="107"/>
      <c r="AJ6315" s="117"/>
      <c r="AK6315" s="107"/>
      <c r="AL6315" s="107"/>
      <c r="AM6315" s="107"/>
      <c r="AN6315" s="107"/>
      <c r="AO6315" s="107"/>
      <c r="AP6315" s="107"/>
      <c r="AQ6315" s="107"/>
      <c r="AR6315" s="107"/>
      <c r="AS6315" s="107"/>
      <c r="AT6315" s="107"/>
    </row>
    <row r="6316" spans="33:46" x14ac:dyDescent="0.25">
      <c r="AG6316" s="107"/>
      <c r="AH6316" s="117"/>
      <c r="AI6316" s="117"/>
      <c r="AJ6316" s="117"/>
      <c r="AK6316" s="107"/>
      <c r="AL6316" s="107"/>
      <c r="AM6316" s="107"/>
      <c r="AN6316" s="107"/>
      <c r="AO6316" s="107"/>
      <c r="AP6316" s="107"/>
      <c r="AQ6316" s="107"/>
      <c r="AR6316" s="107"/>
      <c r="AS6316" s="107"/>
      <c r="AT6316" s="39"/>
    </row>
    <row r="6317" spans="33:46" x14ac:dyDescent="0.25">
      <c r="AG6317" s="107"/>
      <c r="AH6317" s="117"/>
      <c r="AI6317" s="117"/>
      <c r="AJ6317" s="117"/>
      <c r="AK6317" s="107"/>
      <c r="AL6317" s="107"/>
      <c r="AM6317" s="107"/>
      <c r="AN6317" s="107"/>
      <c r="AO6317" s="107"/>
      <c r="AP6317" s="107"/>
      <c r="AQ6317" s="107"/>
      <c r="AR6317" s="107"/>
      <c r="AS6317" s="107"/>
      <c r="AT6317" s="39"/>
    </row>
    <row r="6318" spans="33:46" x14ac:dyDescent="0.25">
      <c r="AG6318" s="107"/>
      <c r="AH6318" s="107"/>
      <c r="AI6318" s="107"/>
      <c r="AJ6318" s="117"/>
      <c r="AK6318" s="107"/>
      <c r="AL6318" s="107"/>
      <c r="AM6318" s="107"/>
      <c r="AN6318" s="107"/>
      <c r="AO6318" s="107"/>
      <c r="AP6318" s="107"/>
      <c r="AQ6318" s="107"/>
      <c r="AR6318" s="107"/>
      <c r="AS6318" s="107"/>
      <c r="AT6318" s="107"/>
    </row>
    <row r="6319" spans="33:46" x14ac:dyDescent="0.25">
      <c r="AG6319" s="107"/>
      <c r="AH6319" s="107"/>
      <c r="AI6319" s="107"/>
      <c r="AJ6319" s="117"/>
      <c r="AK6319" s="107"/>
      <c r="AL6319" s="107"/>
      <c r="AM6319" s="107"/>
      <c r="AN6319" s="107"/>
      <c r="AO6319" s="107"/>
      <c r="AP6319" s="107"/>
      <c r="AQ6319" s="107"/>
      <c r="AR6319" s="107"/>
      <c r="AS6319" s="107"/>
      <c r="AT6319" s="107"/>
    </row>
    <row r="6320" spans="33:46" x14ac:dyDescent="0.25">
      <c r="AG6320" s="107"/>
      <c r="AH6320" s="107"/>
      <c r="AI6320" s="107"/>
      <c r="AJ6320" s="117"/>
      <c r="AK6320" s="107"/>
      <c r="AL6320" s="107"/>
      <c r="AM6320" s="107"/>
      <c r="AN6320" s="107"/>
      <c r="AO6320" s="107"/>
      <c r="AP6320" s="107"/>
      <c r="AQ6320" s="107"/>
      <c r="AR6320" s="107"/>
      <c r="AS6320" s="107"/>
      <c r="AT6320" s="107"/>
    </row>
    <row r="6321" spans="33:46" x14ac:dyDescent="0.25">
      <c r="AG6321" s="107"/>
      <c r="AH6321" s="117"/>
      <c r="AI6321" s="117"/>
      <c r="AJ6321" s="117"/>
      <c r="AK6321" s="107"/>
      <c r="AL6321" s="107"/>
      <c r="AM6321" s="107"/>
      <c r="AN6321" s="107"/>
      <c r="AO6321" s="107"/>
      <c r="AP6321" s="107"/>
      <c r="AQ6321" s="107"/>
      <c r="AR6321" s="107"/>
      <c r="AS6321" s="107"/>
      <c r="AT6321" s="39"/>
    </row>
    <row r="6322" spans="33:46" x14ac:dyDescent="0.25">
      <c r="AG6322" s="107"/>
      <c r="AH6322" s="117"/>
      <c r="AI6322" s="117"/>
      <c r="AJ6322" s="11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39"/>
    </row>
    <row r="6323" spans="33:46" x14ac:dyDescent="0.25">
      <c r="AG6323" s="107"/>
      <c r="AH6323" s="117"/>
      <c r="AI6323" s="117"/>
      <c r="AJ6323" s="117"/>
      <c r="AK6323" s="107"/>
      <c r="AL6323" s="107"/>
      <c r="AM6323" s="107"/>
      <c r="AN6323" s="107"/>
      <c r="AO6323" s="107"/>
      <c r="AP6323" s="107"/>
      <c r="AQ6323" s="107"/>
      <c r="AR6323" s="107"/>
      <c r="AS6323" s="107"/>
      <c r="AT6323" s="39"/>
    </row>
    <row r="6324" spans="33:46" x14ac:dyDescent="0.25">
      <c r="AG6324" s="107"/>
      <c r="AH6324" s="117"/>
      <c r="AI6324" s="117"/>
      <c r="AJ6324" s="117"/>
      <c r="AK6324" s="107"/>
      <c r="AL6324" s="107"/>
      <c r="AM6324" s="107"/>
      <c r="AN6324" s="107"/>
      <c r="AO6324" s="107"/>
      <c r="AP6324" s="107"/>
      <c r="AQ6324" s="107"/>
      <c r="AR6324" s="107"/>
      <c r="AS6324" s="107"/>
      <c r="AT6324" s="39"/>
    </row>
    <row r="6325" spans="33:46" x14ac:dyDescent="0.25">
      <c r="AG6325" s="107"/>
      <c r="AH6325" s="117"/>
      <c r="AI6325" s="117"/>
      <c r="AJ6325" s="117"/>
      <c r="AK6325" s="107"/>
      <c r="AL6325" s="107"/>
      <c r="AM6325" s="107"/>
      <c r="AN6325" s="107"/>
      <c r="AO6325" s="107"/>
      <c r="AP6325" s="107"/>
      <c r="AQ6325" s="107"/>
      <c r="AR6325" s="107"/>
      <c r="AS6325" s="107"/>
      <c r="AT6325" s="39"/>
    </row>
    <row r="6326" spans="33:46" x14ac:dyDescent="0.25">
      <c r="AG6326" s="107"/>
      <c r="AH6326" s="117"/>
      <c r="AI6326" s="117"/>
      <c r="AJ6326" s="117"/>
      <c r="AK6326" s="107"/>
      <c r="AL6326" s="107"/>
      <c r="AM6326" s="107"/>
      <c r="AN6326" s="107"/>
      <c r="AO6326" s="107"/>
      <c r="AP6326" s="107"/>
      <c r="AQ6326" s="107"/>
      <c r="AR6326" s="107"/>
      <c r="AS6326" s="107"/>
      <c r="AT6326" s="39"/>
    </row>
    <row r="6327" spans="33:46" x14ac:dyDescent="0.25">
      <c r="AG6327" s="107"/>
      <c r="AH6327" s="117"/>
      <c r="AI6327" s="117"/>
      <c r="AJ6327" s="117"/>
      <c r="AK6327" s="107"/>
      <c r="AL6327" s="107"/>
      <c r="AM6327" s="107"/>
      <c r="AN6327" s="107"/>
      <c r="AO6327" s="107"/>
      <c r="AP6327" s="107"/>
      <c r="AQ6327" s="107"/>
      <c r="AR6327" s="107"/>
      <c r="AS6327" s="107"/>
      <c r="AT6327" s="39"/>
    </row>
    <row r="6328" spans="33:46" x14ac:dyDescent="0.25">
      <c r="AG6328" s="107"/>
      <c r="AH6328" s="107"/>
      <c r="AI6328" s="107"/>
      <c r="AJ6328" s="11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</row>
    <row r="6329" spans="33:46" x14ac:dyDescent="0.25">
      <c r="AG6329" s="107"/>
      <c r="AH6329" s="107"/>
      <c r="AI6329" s="107"/>
      <c r="AJ6329" s="117"/>
      <c r="AK6329" s="107"/>
      <c r="AL6329" s="107"/>
      <c r="AM6329" s="107"/>
      <c r="AN6329" s="107"/>
      <c r="AO6329" s="107"/>
      <c r="AP6329" s="107"/>
      <c r="AQ6329" s="107"/>
      <c r="AR6329" s="107"/>
      <c r="AS6329" s="107"/>
      <c r="AT6329" s="107"/>
    </row>
    <row r="6330" spans="33:46" x14ac:dyDescent="0.25">
      <c r="AG6330" s="107"/>
      <c r="AH6330" s="107"/>
      <c r="AI6330" s="107"/>
      <c r="AJ6330" s="117"/>
      <c r="AK6330" s="107"/>
      <c r="AL6330" s="107"/>
      <c r="AM6330" s="107"/>
      <c r="AN6330" s="107"/>
      <c r="AO6330" s="107"/>
      <c r="AP6330" s="107"/>
      <c r="AQ6330" s="107"/>
      <c r="AR6330" s="107"/>
      <c r="AS6330" s="107"/>
      <c r="AT6330" s="107"/>
    </row>
    <row r="6331" spans="33:46" x14ac:dyDescent="0.25">
      <c r="AG6331" s="107"/>
      <c r="AH6331" s="107"/>
      <c r="AI6331" s="107"/>
      <c r="AJ6331" s="117"/>
      <c r="AK6331" s="107"/>
      <c r="AL6331" s="107"/>
      <c r="AM6331" s="107"/>
      <c r="AN6331" s="107"/>
      <c r="AO6331" s="107"/>
      <c r="AP6331" s="107"/>
      <c r="AQ6331" s="107"/>
      <c r="AR6331" s="107"/>
      <c r="AS6331" s="107"/>
      <c r="AT6331" s="107"/>
    </row>
    <row r="6332" spans="33:46" x14ac:dyDescent="0.25">
      <c r="AG6332" s="107"/>
      <c r="AH6332" s="107"/>
      <c r="AI6332" s="107"/>
      <c r="AJ6332" s="117"/>
      <c r="AK6332" s="107"/>
      <c r="AL6332" s="107"/>
      <c r="AM6332" s="107"/>
      <c r="AN6332" s="107"/>
      <c r="AO6332" s="107"/>
      <c r="AP6332" s="107"/>
      <c r="AQ6332" s="107"/>
      <c r="AR6332" s="107"/>
      <c r="AS6332" s="107"/>
      <c r="AT6332" s="107"/>
    </row>
    <row r="6333" spans="33:46" x14ac:dyDescent="0.25">
      <c r="AG6333" s="107"/>
      <c r="AH6333" s="107"/>
      <c r="AI6333" s="107"/>
      <c r="AJ6333" s="117"/>
      <c r="AK6333" s="107"/>
      <c r="AL6333" s="107"/>
      <c r="AM6333" s="107"/>
      <c r="AN6333" s="107"/>
      <c r="AO6333" s="107"/>
      <c r="AP6333" s="107"/>
      <c r="AQ6333" s="107"/>
      <c r="AR6333" s="107"/>
      <c r="AS6333" s="107"/>
      <c r="AT6333" s="107"/>
    </row>
    <row r="6334" spans="33:46" x14ac:dyDescent="0.25">
      <c r="AG6334" s="107"/>
      <c r="AH6334" s="107"/>
      <c r="AI6334" s="107"/>
      <c r="AJ6334" s="11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</row>
    <row r="6335" spans="33:46" x14ac:dyDescent="0.25">
      <c r="AG6335" s="107"/>
      <c r="AH6335" s="107"/>
      <c r="AI6335" s="107"/>
      <c r="AJ6335" s="117"/>
      <c r="AK6335" s="107"/>
      <c r="AL6335" s="107"/>
      <c r="AM6335" s="107"/>
      <c r="AN6335" s="107"/>
      <c r="AO6335" s="107"/>
      <c r="AP6335" s="107"/>
      <c r="AQ6335" s="107"/>
      <c r="AR6335" s="107"/>
      <c r="AS6335" s="107"/>
      <c r="AT6335" s="107"/>
    </row>
    <row r="6336" spans="33:46" x14ac:dyDescent="0.25">
      <c r="AG6336" s="107"/>
      <c r="AH6336" s="107"/>
      <c r="AI6336" s="107"/>
      <c r="AJ6336" s="117"/>
      <c r="AK6336" s="107"/>
      <c r="AL6336" s="107"/>
      <c r="AM6336" s="107"/>
      <c r="AN6336" s="107"/>
      <c r="AO6336" s="107"/>
      <c r="AP6336" s="107"/>
      <c r="AQ6336" s="107"/>
      <c r="AR6336" s="107"/>
      <c r="AS6336" s="107"/>
      <c r="AT6336" s="107"/>
    </row>
    <row r="6337" spans="33:46" x14ac:dyDescent="0.25">
      <c r="AG6337" s="107"/>
      <c r="AH6337" s="117"/>
      <c r="AI6337" s="117"/>
      <c r="AJ6337" s="117"/>
      <c r="AK6337" s="107"/>
      <c r="AL6337" s="107"/>
      <c r="AM6337" s="107"/>
      <c r="AN6337" s="107"/>
      <c r="AO6337" s="107"/>
      <c r="AP6337" s="107"/>
      <c r="AQ6337" s="107"/>
      <c r="AR6337" s="107"/>
      <c r="AS6337" s="107"/>
      <c r="AT6337" s="39"/>
    </row>
    <row r="6338" spans="33:46" x14ac:dyDescent="0.25">
      <c r="AG6338" s="107"/>
      <c r="AH6338" s="117"/>
      <c r="AI6338" s="117"/>
      <c r="AJ6338" s="117"/>
      <c r="AK6338" s="107"/>
      <c r="AL6338" s="107"/>
      <c r="AM6338" s="107"/>
      <c r="AN6338" s="107"/>
      <c r="AO6338" s="107"/>
      <c r="AP6338" s="107"/>
      <c r="AQ6338" s="107"/>
      <c r="AR6338" s="107"/>
      <c r="AS6338" s="107"/>
      <c r="AT6338" s="39"/>
    </row>
    <row r="6339" spans="33:46" x14ac:dyDescent="0.25">
      <c r="AG6339" s="107"/>
      <c r="AH6339" s="117"/>
      <c r="AI6339" s="117"/>
      <c r="AJ6339" s="117"/>
      <c r="AK6339" s="107"/>
      <c r="AL6339" s="107"/>
      <c r="AM6339" s="107"/>
      <c r="AN6339" s="107"/>
      <c r="AO6339" s="107"/>
      <c r="AP6339" s="107"/>
      <c r="AQ6339" s="107"/>
      <c r="AR6339" s="107"/>
      <c r="AS6339" s="107"/>
      <c r="AT6339" s="39"/>
    </row>
    <row r="6340" spans="33:46" x14ac:dyDescent="0.25">
      <c r="AG6340" s="107"/>
      <c r="AH6340" s="117"/>
      <c r="AI6340" s="117"/>
      <c r="AJ6340" s="117"/>
      <c r="AK6340" s="107"/>
      <c r="AL6340" s="107"/>
      <c r="AM6340" s="107"/>
      <c r="AN6340" s="107"/>
      <c r="AO6340" s="107"/>
      <c r="AP6340" s="107"/>
      <c r="AQ6340" s="107"/>
      <c r="AR6340" s="107"/>
      <c r="AS6340" s="107"/>
      <c r="AT6340" s="39"/>
    </row>
    <row r="6341" spans="33:46" x14ac:dyDescent="0.25">
      <c r="AG6341" s="107"/>
      <c r="AH6341" s="117"/>
      <c r="AI6341" s="117"/>
      <c r="AJ6341" s="117"/>
      <c r="AK6341" s="107"/>
      <c r="AL6341" s="107"/>
      <c r="AM6341" s="107"/>
      <c r="AN6341" s="107"/>
      <c r="AO6341" s="107"/>
      <c r="AP6341" s="107"/>
      <c r="AQ6341" s="107"/>
      <c r="AR6341" s="107"/>
      <c r="AS6341" s="107"/>
      <c r="AT6341" s="39"/>
    </row>
    <row r="6342" spans="33:46" x14ac:dyDescent="0.25">
      <c r="AG6342" s="107"/>
      <c r="AH6342" s="117"/>
      <c r="AI6342" s="117"/>
      <c r="AJ6342" s="117"/>
      <c r="AK6342" s="107"/>
      <c r="AL6342" s="107"/>
      <c r="AM6342" s="107"/>
      <c r="AN6342" s="107"/>
      <c r="AO6342" s="107"/>
      <c r="AP6342" s="107"/>
      <c r="AQ6342" s="107"/>
      <c r="AR6342" s="107"/>
      <c r="AS6342" s="107"/>
      <c r="AT6342" s="39"/>
    </row>
    <row r="6343" spans="33:46" x14ac:dyDescent="0.25">
      <c r="AG6343" s="107"/>
      <c r="AH6343" s="117"/>
      <c r="AI6343" s="117"/>
      <c r="AJ6343" s="11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39"/>
    </row>
    <row r="6344" spans="33:46" x14ac:dyDescent="0.25">
      <c r="AG6344" s="107"/>
      <c r="AH6344" s="107"/>
      <c r="AI6344" s="107"/>
      <c r="AJ6344" s="117"/>
      <c r="AK6344" s="107"/>
      <c r="AL6344" s="107"/>
      <c r="AM6344" s="107"/>
      <c r="AN6344" s="107"/>
      <c r="AO6344" s="107"/>
      <c r="AP6344" s="107"/>
      <c r="AQ6344" s="107"/>
      <c r="AR6344" s="107"/>
      <c r="AS6344" s="107"/>
      <c r="AT6344" s="107"/>
    </row>
    <row r="6345" spans="33:46" x14ac:dyDescent="0.25">
      <c r="AG6345" s="107"/>
      <c r="AH6345" s="107"/>
      <c r="AI6345" s="107"/>
      <c r="AJ6345" s="117"/>
      <c r="AK6345" s="107"/>
      <c r="AL6345" s="107"/>
      <c r="AM6345" s="107"/>
      <c r="AN6345" s="107"/>
      <c r="AO6345" s="107"/>
      <c r="AP6345" s="107"/>
      <c r="AQ6345" s="107"/>
      <c r="AR6345" s="107"/>
      <c r="AS6345" s="107"/>
      <c r="AT6345" s="107"/>
    </row>
    <row r="6346" spans="33:46" x14ac:dyDescent="0.25">
      <c r="AG6346" s="107"/>
      <c r="AH6346" s="107"/>
      <c r="AI6346" s="107"/>
      <c r="AJ6346" s="117"/>
      <c r="AK6346" s="107"/>
      <c r="AL6346" s="107"/>
      <c r="AM6346" s="107"/>
      <c r="AN6346" s="107"/>
      <c r="AO6346" s="107"/>
      <c r="AP6346" s="107"/>
      <c r="AQ6346" s="107"/>
      <c r="AR6346" s="107"/>
      <c r="AS6346" s="107"/>
      <c r="AT6346" s="107"/>
    </row>
    <row r="6347" spans="33:46" x14ac:dyDescent="0.25">
      <c r="AG6347" s="107"/>
      <c r="AH6347" s="107"/>
      <c r="AI6347" s="107"/>
      <c r="AJ6347" s="117"/>
      <c r="AK6347" s="107"/>
      <c r="AL6347" s="107"/>
      <c r="AM6347" s="107"/>
      <c r="AN6347" s="107"/>
      <c r="AO6347" s="107"/>
      <c r="AP6347" s="107"/>
      <c r="AQ6347" s="107"/>
      <c r="AR6347" s="107"/>
      <c r="AS6347" s="107"/>
      <c r="AT6347" s="107"/>
    </row>
    <row r="6348" spans="33:46" x14ac:dyDescent="0.25">
      <c r="AG6348" s="107"/>
      <c r="AH6348" s="117"/>
      <c r="AI6348" s="107"/>
      <c r="AJ6348" s="117"/>
      <c r="AK6348" s="107"/>
      <c r="AL6348" s="107"/>
      <c r="AM6348" s="107"/>
      <c r="AN6348" s="107"/>
      <c r="AO6348" s="107"/>
      <c r="AP6348" s="107"/>
      <c r="AQ6348" s="107"/>
      <c r="AR6348" s="107"/>
      <c r="AS6348" s="107"/>
      <c r="AT6348" s="39"/>
    </row>
    <row r="6349" spans="33:46" x14ac:dyDescent="0.25">
      <c r="AG6349" s="107"/>
      <c r="AH6349" s="117"/>
      <c r="AI6349" s="117"/>
      <c r="AJ6349" s="117"/>
      <c r="AK6349" s="107"/>
      <c r="AL6349" s="107"/>
      <c r="AM6349" s="107"/>
      <c r="AN6349" s="107"/>
      <c r="AO6349" s="107"/>
      <c r="AP6349" s="107"/>
      <c r="AQ6349" s="107"/>
      <c r="AR6349" s="107"/>
      <c r="AS6349" s="107"/>
      <c r="AT6349" s="39"/>
    </row>
    <row r="6350" spans="33:46" x14ac:dyDescent="0.25">
      <c r="AG6350" s="107"/>
      <c r="AH6350" s="107"/>
      <c r="AI6350" s="107"/>
      <c r="AJ6350" s="117"/>
      <c r="AK6350" s="107"/>
      <c r="AL6350" s="107"/>
      <c r="AM6350" s="107"/>
      <c r="AN6350" s="107"/>
      <c r="AO6350" s="107"/>
      <c r="AP6350" s="107"/>
      <c r="AQ6350" s="107"/>
      <c r="AR6350" s="107"/>
      <c r="AS6350" s="107"/>
      <c r="AT6350" s="107"/>
    </row>
    <row r="6351" spans="33:46" x14ac:dyDescent="0.25">
      <c r="AG6351" s="107"/>
      <c r="AH6351" s="117"/>
      <c r="AI6351" s="117"/>
      <c r="AJ6351" s="117"/>
      <c r="AK6351" s="107"/>
      <c r="AL6351" s="107"/>
      <c r="AM6351" s="107"/>
      <c r="AN6351" s="107"/>
      <c r="AO6351" s="107"/>
      <c r="AP6351" s="107"/>
      <c r="AQ6351" s="107"/>
      <c r="AR6351" s="107"/>
      <c r="AS6351" s="107"/>
      <c r="AT6351" s="39"/>
    </row>
    <row r="6352" spans="33:46" x14ac:dyDescent="0.25">
      <c r="AG6352" s="107"/>
      <c r="AH6352" s="107"/>
      <c r="AI6352" s="107"/>
      <c r="AJ6352" s="117"/>
      <c r="AK6352" s="107"/>
      <c r="AL6352" s="107"/>
      <c r="AM6352" s="107"/>
      <c r="AN6352" s="107"/>
      <c r="AO6352" s="107"/>
      <c r="AP6352" s="107"/>
      <c r="AQ6352" s="107"/>
      <c r="AR6352" s="107"/>
      <c r="AS6352" s="107"/>
      <c r="AT6352" s="107"/>
    </row>
    <row r="6353" spans="33:46" x14ac:dyDescent="0.25">
      <c r="AG6353" s="107"/>
      <c r="AH6353" s="107"/>
      <c r="AI6353" s="107"/>
      <c r="AJ6353" s="117"/>
      <c r="AK6353" s="107"/>
      <c r="AL6353" s="107"/>
      <c r="AM6353" s="107"/>
      <c r="AN6353" s="107"/>
      <c r="AO6353" s="107"/>
      <c r="AP6353" s="107"/>
      <c r="AQ6353" s="107"/>
      <c r="AR6353" s="107"/>
      <c r="AS6353" s="107"/>
      <c r="AT6353" s="107"/>
    </row>
    <row r="6354" spans="33:46" x14ac:dyDescent="0.25">
      <c r="AG6354" s="107"/>
      <c r="AH6354" s="117"/>
      <c r="AI6354" s="117"/>
      <c r="AJ6354" s="117"/>
      <c r="AK6354" s="107"/>
      <c r="AL6354" s="107"/>
      <c r="AM6354" s="107"/>
      <c r="AN6354" s="107"/>
      <c r="AO6354" s="107"/>
      <c r="AP6354" s="107"/>
      <c r="AQ6354" s="107"/>
      <c r="AR6354" s="107"/>
      <c r="AS6354" s="107"/>
      <c r="AT6354" s="39"/>
    </row>
    <row r="6355" spans="33:46" x14ac:dyDescent="0.25">
      <c r="AG6355" s="107"/>
      <c r="AH6355" s="117"/>
      <c r="AI6355" s="117"/>
      <c r="AJ6355" s="117"/>
      <c r="AK6355" s="107"/>
      <c r="AL6355" s="107"/>
      <c r="AM6355" s="107"/>
      <c r="AN6355" s="107"/>
      <c r="AO6355" s="107"/>
      <c r="AP6355" s="107"/>
      <c r="AQ6355" s="107"/>
      <c r="AR6355" s="107"/>
      <c r="AS6355" s="107"/>
      <c r="AT6355" s="39"/>
    </row>
    <row r="6356" spans="33:46" x14ac:dyDescent="0.25">
      <c r="AG6356" s="107"/>
      <c r="AH6356" s="107"/>
      <c r="AI6356" s="107"/>
      <c r="AJ6356" s="117"/>
      <c r="AK6356" s="107"/>
      <c r="AL6356" s="107"/>
      <c r="AM6356" s="107"/>
      <c r="AN6356" s="107"/>
      <c r="AO6356" s="107"/>
      <c r="AP6356" s="107"/>
      <c r="AQ6356" s="107"/>
      <c r="AR6356" s="107"/>
      <c r="AS6356" s="107"/>
      <c r="AT6356" s="107"/>
    </row>
    <row r="6357" spans="33:46" x14ac:dyDescent="0.25">
      <c r="AG6357" s="107"/>
      <c r="AH6357" s="107"/>
      <c r="AI6357" s="107"/>
      <c r="AJ6357" s="117"/>
      <c r="AK6357" s="107"/>
      <c r="AL6357" s="107"/>
      <c r="AM6357" s="107"/>
      <c r="AN6357" s="107"/>
      <c r="AO6357" s="107"/>
      <c r="AP6357" s="107"/>
      <c r="AQ6357" s="107"/>
      <c r="AR6357" s="107"/>
      <c r="AS6357" s="107"/>
      <c r="AT6357" s="107"/>
    </row>
    <row r="6358" spans="33:46" x14ac:dyDescent="0.25">
      <c r="AG6358" s="107"/>
      <c r="AH6358" s="107"/>
      <c r="AI6358" s="107"/>
      <c r="AJ6358" s="11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</row>
    <row r="6359" spans="33:46" x14ac:dyDescent="0.25">
      <c r="AG6359" s="107"/>
      <c r="AH6359" s="107"/>
      <c r="AI6359" s="107"/>
      <c r="AJ6359" s="11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</row>
    <row r="6360" spans="33:46" x14ac:dyDescent="0.25">
      <c r="AG6360" s="107"/>
      <c r="AH6360" s="117"/>
      <c r="AI6360" s="117"/>
      <c r="AJ6360" s="117"/>
      <c r="AK6360" s="107"/>
      <c r="AL6360" s="107"/>
      <c r="AM6360" s="107"/>
      <c r="AN6360" s="107"/>
      <c r="AO6360" s="107"/>
      <c r="AP6360" s="107"/>
      <c r="AQ6360" s="107"/>
      <c r="AR6360" s="107"/>
      <c r="AS6360" s="107"/>
      <c r="AT6360" s="39"/>
    </row>
    <row r="6361" spans="33:46" x14ac:dyDescent="0.25">
      <c r="AG6361" s="107"/>
      <c r="AH6361" s="117"/>
      <c r="AI6361" s="117"/>
      <c r="AJ6361" s="117"/>
      <c r="AK6361" s="107"/>
      <c r="AL6361" s="107"/>
      <c r="AM6361" s="107"/>
      <c r="AN6361" s="107"/>
      <c r="AO6361" s="107"/>
      <c r="AP6361" s="107"/>
      <c r="AQ6361" s="107"/>
      <c r="AR6361" s="107"/>
      <c r="AS6361" s="107"/>
      <c r="AT6361" s="39"/>
    </row>
    <row r="6362" spans="33:46" x14ac:dyDescent="0.25">
      <c r="AG6362" s="107"/>
      <c r="AH6362" s="117"/>
      <c r="AI6362" s="117"/>
      <c r="AJ6362" s="117"/>
      <c r="AK6362" s="107"/>
      <c r="AL6362" s="107"/>
      <c r="AM6362" s="107"/>
      <c r="AN6362" s="107"/>
      <c r="AO6362" s="107"/>
      <c r="AP6362" s="107"/>
      <c r="AQ6362" s="107"/>
      <c r="AR6362" s="107"/>
      <c r="AS6362" s="107"/>
      <c r="AT6362" s="39"/>
    </row>
    <row r="6363" spans="33:46" x14ac:dyDescent="0.25">
      <c r="AG6363" s="107"/>
      <c r="AH6363" s="107"/>
      <c r="AI6363" s="107"/>
      <c r="AJ6363" s="117"/>
      <c r="AK6363" s="107"/>
      <c r="AL6363" s="107"/>
      <c r="AM6363" s="107"/>
      <c r="AN6363" s="107"/>
      <c r="AO6363" s="107"/>
      <c r="AP6363" s="107"/>
      <c r="AQ6363" s="107"/>
      <c r="AR6363" s="107"/>
      <c r="AS6363" s="107"/>
      <c r="AT6363" s="107"/>
    </row>
    <row r="6364" spans="33:46" x14ac:dyDescent="0.25">
      <c r="AG6364" s="107"/>
      <c r="AH6364" s="117"/>
      <c r="AI6364" s="117"/>
      <c r="AJ6364" s="117"/>
      <c r="AK6364" s="107"/>
      <c r="AL6364" s="107"/>
      <c r="AM6364" s="107"/>
      <c r="AN6364" s="107"/>
      <c r="AO6364" s="107"/>
      <c r="AP6364" s="107"/>
      <c r="AQ6364" s="107"/>
      <c r="AR6364" s="107"/>
      <c r="AS6364" s="107"/>
      <c r="AT6364" s="39"/>
    </row>
    <row r="6365" spans="33:46" x14ac:dyDescent="0.25">
      <c r="AG6365" s="107"/>
      <c r="AH6365" s="107"/>
      <c r="AI6365" s="107"/>
      <c r="AJ6365" s="117"/>
      <c r="AK6365" s="107"/>
      <c r="AL6365" s="107"/>
      <c r="AM6365" s="107"/>
      <c r="AN6365" s="107"/>
      <c r="AO6365" s="107"/>
      <c r="AP6365" s="107"/>
      <c r="AQ6365" s="107"/>
      <c r="AR6365" s="107"/>
      <c r="AS6365" s="107"/>
      <c r="AT6365" s="107"/>
    </row>
    <row r="6366" spans="33:46" x14ac:dyDescent="0.25">
      <c r="AG6366" s="107"/>
      <c r="AH6366" s="107"/>
      <c r="AI6366" s="107"/>
      <c r="AJ6366" s="117"/>
      <c r="AK6366" s="107"/>
      <c r="AL6366" s="107"/>
      <c r="AM6366" s="107"/>
      <c r="AN6366" s="107"/>
      <c r="AO6366" s="107"/>
      <c r="AP6366" s="107"/>
      <c r="AQ6366" s="107"/>
      <c r="AR6366" s="107"/>
      <c r="AS6366" s="107"/>
      <c r="AT6366" s="107"/>
    </row>
    <row r="6367" spans="33:46" x14ac:dyDescent="0.25">
      <c r="AG6367" s="107"/>
      <c r="AH6367" s="107"/>
      <c r="AI6367" s="107"/>
      <c r="AJ6367" s="117"/>
      <c r="AK6367" s="107"/>
      <c r="AL6367" s="107"/>
      <c r="AM6367" s="107"/>
      <c r="AN6367" s="107"/>
      <c r="AO6367" s="107"/>
      <c r="AP6367" s="107"/>
      <c r="AQ6367" s="107"/>
      <c r="AR6367" s="107"/>
      <c r="AS6367" s="107"/>
      <c r="AT6367" s="107"/>
    </row>
    <row r="6368" spans="33:46" x14ac:dyDescent="0.25">
      <c r="AG6368" s="107"/>
      <c r="AH6368" s="107"/>
      <c r="AI6368" s="107"/>
      <c r="AJ6368" s="117"/>
      <c r="AK6368" s="107"/>
      <c r="AL6368" s="107"/>
      <c r="AM6368" s="107"/>
      <c r="AN6368" s="107"/>
      <c r="AO6368" s="107"/>
      <c r="AP6368" s="107"/>
      <c r="AQ6368" s="107"/>
      <c r="AR6368" s="107"/>
      <c r="AS6368" s="107"/>
      <c r="AT6368" s="107"/>
    </row>
    <row r="6369" spans="33:46" x14ac:dyDescent="0.25">
      <c r="AG6369" s="107"/>
      <c r="AH6369" s="117"/>
      <c r="AI6369" s="117"/>
      <c r="AJ6369" s="117"/>
      <c r="AK6369" s="107"/>
      <c r="AL6369" s="107"/>
      <c r="AM6369" s="107"/>
      <c r="AN6369" s="107"/>
      <c r="AO6369" s="107"/>
      <c r="AP6369" s="107"/>
      <c r="AQ6369" s="107"/>
      <c r="AR6369" s="107"/>
      <c r="AS6369" s="107"/>
      <c r="AT6369" s="39"/>
    </row>
    <row r="6370" spans="33:46" x14ac:dyDescent="0.25">
      <c r="AG6370" s="107"/>
      <c r="AH6370" s="117"/>
      <c r="AI6370" s="117"/>
      <c r="AJ6370" s="117"/>
      <c r="AK6370" s="107"/>
      <c r="AL6370" s="107"/>
      <c r="AM6370" s="107"/>
      <c r="AN6370" s="107"/>
      <c r="AO6370" s="107"/>
      <c r="AP6370" s="107"/>
      <c r="AQ6370" s="107"/>
      <c r="AR6370" s="107"/>
      <c r="AS6370" s="107"/>
      <c r="AT6370" s="39"/>
    </row>
    <row r="6371" spans="33:46" x14ac:dyDescent="0.25">
      <c r="AG6371" s="107"/>
      <c r="AH6371" s="117"/>
      <c r="AI6371" s="117"/>
      <c r="AJ6371" s="117"/>
      <c r="AK6371" s="107"/>
      <c r="AL6371" s="107"/>
      <c r="AM6371" s="107"/>
      <c r="AN6371" s="107"/>
      <c r="AO6371" s="107"/>
      <c r="AP6371" s="107"/>
      <c r="AQ6371" s="107"/>
      <c r="AR6371" s="107"/>
      <c r="AS6371" s="107"/>
      <c r="AT6371" s="39"/>
    </row>
    <row r="6372" spans="33:46" x14ac:dyDescent="0.25">
      <c r="AG6372" s="107"/>
      <c r="AH6372" s="117"/>
      <c r="AI6372" s="117"/>
      <c r="AJ6372" s="117"/>
      <c r="AK6372" s="107"/>
      <c r="AL6372" s="107"/>
      <c r="AM6372" s="107"/>
      <c r="AN6372" s="107"/>
      <c r="AO6372" s="107"/>
      <c r="AP6372" s="107"/>
      <c r="AQ6372" s="107"/>
      <c r="AR6372" s="107"/>
      <c r="AS6372" s="107"/>
      <c r="AT6372" s="39"/>
    </row>
    <row r="6373" spans="33:46" x14ac:dyDescent="0.25">
      <c r="AG6373" s="107"/>
      <c r="AH6373" s="117"/>
      <c r="AI6373" s="117"/>
      <c r="AJ6373" s="117"/>
      <c r="AK6373" s="107"/>
      <c r="AL6373" s="107"/>
      <c r="AM6373" s="107"/>
      <c r="AN6373" s="107"/>
      <c r="AO6373" s="107"/>
      <c r="AP6373" s="107"/>
      <c r="AQ6373" s="107"/>
      <c r="AR6373" s="107"/>
      <c r="AS6373" s="107"/>
      <c r="AT6373" s="39"/>
    </row>
    <row r="6374" spans="33:46" x14ac:dyDescent="0.25">
      <c r="AG6374" s="107"/>
      <c r="AH6374" s="117"/>
      <c r="AI6374" s="117"/>
      <c r="AJ6374" s="117"/>
      <c r="AK6374" s="107"/>
      <c r="AL6374" s="107"/>
      <c r="AM6374" s="107"/>
      <c r="AN6374" s="107"/>
      <c r="AO6374" s="107"/>
      <c r="AP6374" s="107"/>
      <c r="AQ6374" s="107"/>
      <c r="AR6374" s="107"/>
      <c r="AS6374" s="107"/>
      <c r="AT6374" s="39"/>
    </row>
    <row r="6375" spans="33:46" x14ac:dyDescent="0.25">
      <c r="AG6375" s="107"/>
      <c r="AH6375" s="107"/>
      <c r="AI6375" s="107"/>
      <c r="AJ6375" s="117"/>
      <c r="AK6375" s="107"/>
      <c r="AL6375" s="107"/>
      <c r="AM6375" s="107"/>
      <c r="AN6375" s="107"/>
      <c r="AO6375" s="107"/>
      <c r="AP6375" s="107"/>
      <c r="AQ6375" s="107"/>
      <c r="AR6375" s="107"/>
      <c r="AS6375" s="107"/>
      <c r="AT6375" s="107"/>
    </row>
    <row r="6376" spans="33:46" x14ac:dyDescent="0.25">
      <c r="AG6376" s="107"/>
      <c r="AH6376" s="107"/>
      <c r="AI6376" s="107"/>
      <c r="AJ6376" s="117"/>
      <c r="AK6376" s="107"/>
      <c r="AL6376" s="107"/>
      <c r="AM6376" s="107"/>
      <c r="AN6376" s="107"/>
      <c r="AO6376" s="107"/>
      <c r="AP6376" s="107"/>
      <c r="AQ6376" s="107"/>
      <c r="AR6376" s="107"/>
      <c r="AS6376" s="107"/>
      <c r="AT6376" s="107"/>
    </row>
    <row r="6377" spans="33:46" x14ac:dyDescent="0.25">
      <c r="AG6377" s="107"/>
      <c r="AH6377" s="107"/>
      <c r="AI6377" s="107"/>
      <c r="AJ6377" s="117"/>
      <c r="AK6377" s="107"/>
      <c r="AL6377" s="107"/>
      <c r="AM6377" s="107"/>
      <c r="AN6377" s="107"/>
      <c r="AO6377" s="107"/>
      <c r="AP6377" s="107"/>
      <c r="AQ6377" s="107"/>
      <c r="AR6377" s="107"/>
      <c r="AS6377" s="107"/>
      <c r="AT6377" s="107"/>
    </row>
    <row r="6378" spans="33:46" x14ac:dyDescent="0.25">
      <c r="AG6378" s="107"/>
      <c r="AH6378" s="117"/>
      <c r="AI6378" s="117"/>
      <c r="AJ6378" s="117"/>
      <c r="AK6378" s="107"/>
      <c r="AL6378" s="107"/>
      <c r="AM6378" s="107"/>
      <c r="AN6378" s="107"/>
      <c r="AO6378" s="107"/>
      <c r="AP6378" s="107"/>
      <c r="AQ6378" s="107"/>
      <c r="AR6378" s="107"/>
      <c r="AS6378" s="107"/>
      <c r="AT6378" s="39"/>
    </row>
    <row r="6379" spans="33:46" x14ac:dyDescent="0.25">
      <c r="AG6379" s="107"/>
      <c r="AH6379" s="117"/>
      <c r="AI6379" s="117"/>
      <c r="AJ6379" s="117"/>
      <c r="AK6379" s="107"/>
      <c r="AL6379" s="107"/>
      <c r="AM6379" s="107"/>
      <c r="AN6379" s="107"/>
      <c r="AO6379" s="107"/>
      <c r="AP6379" s="107"/>
      <c r="AQ6379" s="107"/>
      <c r="AR6379" s="107"/>
      <c r="AS6379" s="107"/>
      <c r="AT6379" s="39"/>
    </row>
    <row r="6380" spans="33:46" x14ac:dyDescent="0.25">
      <c r="AG6380" s="107"/>
      <c r="AH6380" s="117"/>
      <c r="AI6380" s="117"/>
      <c r="AJ6380" s="117"/>
      <c r="AK6380" s="107"/>
      <c r="AL6380" s="107"/>
      <c r="AM6380" s="107"/>
      <c r="AN6380" s="107"/>
      <c r="AO6380" s="107"/>
      <c r="AP6380" s="107"/>
      <c r="AQ6380" s="107"/>
      <c r="AR6380" s="107"/>
      <c r="AS6380" s="107"/>
      <c r="AT6380" s="39"/>
    </row>
    <row r="6381" spans="33:46" x14ac:dyDescent="0.25">
      <c r="AG6381" s="107"/>
      <c r="AH6381" s="117"/>
      <c r="AI6381" s="117"/>
      <c r="AJ6381" s="117"/>
      <c r="AK6381" s="107"/>
      <c r="AL6381" s="107"/>
      <c r="AM6381" s="107"/>
      <c r="AN6381" s="107"/>
      <c r="AO6381" s="107"/>
      <c r="AP6381" s="107"/>
      <c r="AQ6381" s="107"/>
      <c r="AR6381" s="107"/>
      <c r="AS6381" s="107"/>
      <c r="AT6381" s="39"/>
    </row>
    <row r="6382" spans="33:46" x14ac:dyDescent="0.25">
      <c r="AG6382" s="107"/>
      <c r="AH6382" s="117"/>
      <c r="AI6382" s="107"/>
      <c r="AJ6382" s="117"/>
      <c r="AK6382" s="107"/>
      <c r="AL6382" s="107"/>
      <c r="AM6382" s="107"/>
      <c r="AN6382" s="107"/>
      <c r="AO6382" s="107"/>
      <c r="AP6382" s="107"/>
      <c r="AQ6382" s="107"/>
      <c r="AR6382" s="107"/>
      <c r="AS6382" s="107"/>
      <c r="AT6382" s="39"/>
    </row>
    <row r="6383" spans="33:46" x14ac:dyDescent="0.25">
      <c r="AG6383" s="107"/>
      <c r="AH6383" s="117"/>
      <c r="AI6383" s="107"/>
      <c r="AJ6383" s="117"/>
      <c r="AK6383" s="107"/>
      <c r="AL6383" s="107"/>
      <c r="AM6383" s="107"/>
      <c r="AN6383" s="107"/>
      <c r="AO6383" s="107"/>
      <c r="AP6383" s="107"/>
      <c r="AQ6383" s="107"/>
      <c r="AR6383" s="107"/>
      <c r="AS6383" s="107"/>
      <c r="AT6383" s="39"/>
    </row>
    <row r="6384" spans="33:46" x14ac:dyDescent="0.25">
      <c r="AG6384" s="107"/>
      <c r="AH6384" s="107"/>
      <c r="AI6384" s="107"/>
      <c r="AJ6384" s="117"/>
      <c r="AK6384" s="107"/>
      <c r="AL6384" s="107"/>
      <c r="AM6384" s="107"/>
      <c r="AN6384" s="107"/>
      <c r="AO6384" s="107"/>
      <c r="AP6384" s="107"/>
      <c r="AQ6384" s="107"/>
      <c r="AR6384" s="107"/>
      <c r="AS6384" s="107"/>
      <c r="AT6384" s="107"/>
    </row>
    <row r="6385" spans="33:46" x14ac:dyDescent="0.25">
      <c r="AG6385" s="107"/>
      <c r="AH6385" s="117"/>
      <c r="AI6385" s="107"/>
      <c r="AJ6385" s="117"/>
      <c r="AK6385" s="107"/>
      <c r="AL6385" s="107"/>
      <c r="AM6385" s="107"/>
      <c r="AN6385" s="107"/>
      <c r="AO6385" s="107"/>
      <c r="AP6385" s="107"/>
      <c r="AQ6385" s="107"/>
      <c r="AR6385" s="107"/>
      <c r="AS6385" s="107"/>
      <c r="AT6385" s="39"/>
    </row>
    <row r="6386" spans="33:46" x14ac:dyDescent="0.25">
      <c r="AG6386" s="107"/>
      <c r="AH6386" s="117"/>
      <c r="AI6386" s="107"/>
      <c r="AJ6386" s="117"/>
      <c r="AK6386" s="107"/>
      <c r="AL6386" s="107"/>
      <c r="AM6386" s="107"/>
      <c r="AN6386" s="107"/>
      <c r="AO6386" s="107"/>
      <c r="AP6386" s="107"/>
      <c r="AQ6386" s="107"/>
      <c r="AR6386" s="107"/>
      <c r="AS6386" s="107"/>
      <c r="AT6386" s="39"/>
    </row>
    <row r="6387" spans="33:46" x14ac:dyDescent="0.25">
      <c r="AG6387" s="107"/>
      <c r="AH6387" s="117"/>
      <c r="AI6387" s="107"/>
      <c r="AJ6387" s="117"/>
      <c r="AK6387" s="107"/>
      <c r="AL6387" s="107"/>
      <c r="AM6387" s="107"/>
      <c r="AN6387" s="107"/>
      <c r="AO6387" s="107"/>
      <c r="AP6387" s="107"/>
      <c r="AQ6387" s="107"/>
      <c r="AR6387" s="107"/>
      <c r="AS6387" s="107"/>
      <c r="AT6387" s="39"/>
    </row>
    <row r="6388" spans="33:46" x14ac:dyDescent="0.25">
      <c r="AG6388" s="107"/>
      <c r="AH6388" s="117"/>
      <c r="AI6388" s="107"/>
      <c r="AJ6388" s="117"/>
      <c r="AK6388" s="107"/>
      <c r="AL6388" s="107"/>
      <c r="AM6388" s="107"/>
      <c r="AN6388" s="107"/>
      <c r="AO6388" s="107"/>
      <c r="AP6388" s="107"/>
      <c r="AQ6388" s="107"/>
      <c r="AR6388" s="107"/>
      <c r="AS6388" s="107"/>
      <c r="AT6388" s="39"/>
    </row>
    <row r="6389" spans="33:46" x14ac:dyDescent="0.25">
      <c r="AG6389" s="107"/>
      <c r="AH6389" s="117"/>
      <c r="AI6389" s="107"/>
      <c r="AJ6389" s="117"/>
      <c r="AK6389" s="107"/>
      <c r="AL6389" s="107"/>
      <c r="AM6389" s="107"/>
      <c r="AN6389" s="107"/>
      <c r="AO6389" s="107"/>
      <c r="AP6389" s="107"/>
      <c r="AQ6389" s="107"/>
      <c r="AR6389" s="107"/>
      <c r="AS6389" s="107"/>
      <c r="AT6389" s="39"/>
    </row>
    <row r="6390" spans="33:46" x14ac:dyDescent="0.25">
      <c r="AG6390" s="107"/>
      <c r="AH6390" s="117"/>
      <c r="AI6390" s="107"/>
      <c r="AJ6390" s="117"/>
      <c r="AK6390" s="107"/>
      <c r="AL6390" s="107"/>
      <c r="AM6390" s="107"/>
      <c r="AN6390" s="107"/>
      <c r="AO6390" s="107"/>
      <c r="AP6390" s="107"/>
      <c r="AQ6390" s="107"/>
      <c r="AR6390" s="107"/>
      <c r="AS6390" s="107"/>
      <c r="AT6390" s="39"/>
    </row>
    <row r="6391" spans="33:46" x14ac:dyDescent="0.25">
      <c r="AG6391" s="107"/>
      <c r="AH6391" s="117"/>
      <c r="AI6391" s="107"/>
      <c r="AJ6391" s="117"/>
      <c r="AK6391" s="107"/>
      <c r="AL6391" s="107"/>
      <c r="AM6391" s="107"/>
      <c r="AN6391" s="107"/>
      <c r="AO6391" s="107"/>
      <c r="AP6391" s="107"/>
      <c r="AQ6391" s="107"/>
      <c r="AR6391" s="107"/>
      <c r="AS6391" s="107"/>
      <c r="AT6391" s="39"/>
    </row>
    <row r="6392" spans="33:46" x14ac:dyDescent="0.25">
      <c r="AG6392" s="107"/>
      <c r="AH6392" s="107"/>
      <c r="AI6392" s="107"/>
      <c r="AJ6392" s="117"/>
      <c r="AK6392" s="107"/>
      <c r="AL6392" s="107"/>
      <c r="AM6392" s="107"/>
      <c r="AN6392" s="107"/>
      <c r="AO6392" s="107"/>
      <c r="AP6392" s="107"/>
      <c r="AQ6392" s="107"/>
      <c r="AR6392" s="107"/>
      <c r="AS6392" s="107"/>
      <c r="AT6392" s="107"/>
    </row>
    <row r="6393" spans="33:46" x14ac:dyDescent="0.25">
      <c r="AG6393" s="107"/>
      <c r="AH6393" s="117"/>
      <c r="AI6393" s="107"/>
      <c r="AJ6393" s="117"/>
      <c r="AK6393" s="107"/>
      <c r="AL6393" s="107"/>
      <c r="AM6393" s="107"/>
      <c r="AN6393" s="107"/>
      <c r="AO6393" s="107"/>
      <c r="AP6393" s="107"/>
      <c r="AQ6393" s="107"/>
      <c r="AR6393" s="107"/>
      <c r="AS6393" s="107"/>
      <c r="AT6393" s="39"/>
    </row>
    <row r="6394" spans="33:46" x14ac:dyDescent="0.25">
      <c r="AG6394" s="107"/>
      <c r="AH6394" s="117"/>
      <c r="AI6394" s="107"/>
      <c r="AJ6394" s="117"/>
      <c r="AK6394" s="107"/>
      <c r="AL6394" s="107"/>
      <c r="AM6394" s="107"/>
      <c r="AN6394" s="107"/>
      <c r="AO6394" s="107"/>
      <c r="AP6394" s="107"/>
      <c r="AQ6394" s="107"/>
      <c r="AR6394" s="107"/>
      <c r="AS6394" s="107"/>
      <c r="AT6394" s="39"/>
    </row>
    <row r="6395" spans="33:46" x14ac:dyDescent="0.25">
      <c r="AG6395" s="107"/>
      <c r="AH6395" s="117"/>
      <c r="AI6395" s="117"/>
      <c r="AJ6395" s="117"/>
      <c r="AK6395" s="107"/>
      <c r="AL6395" s="107"/>
      <c r="AM6395" s="107"/>
      <c r="AN6395" s="107"/>
      <c r="AO6395" s="107"/>
      <c r="AP6395" s="107"/>
      <c r="AQ6395" s="107"/>
      <c r="AR6395" s="107"/>
      <c r="AS6395" s="107"/>
      <c r="AT6395" s="39"/>
    </row>
    <row r="6396" spans="33:46" x14ac:dyDescent="0.25">
      <c r="AG6396" s="107"/>
      <c r="AH6396" s="107"/>
      <c r="AI6396" s="107"/>
      <c r="AJ6396" s="117"/>
      <c r="AK6396" s="107"/>
      <c r="AL6396" s="107"/>
      <c r="AM6396" s="107"/>
      <c r="AN6396" s="107"/>
      <c r="AO6396" s="107"/>
      <c r="AP6396" s="107"/>
      <c r="AQ6396" s="107"/>
      <c r="AR6396" s="107"/>
      <c r="AS6396" s="107"/>
      <c r="AT6396" s="107"/>
    </row>
    <row r="6397" spans="33:46" x14ac:dyDescent="0.25">
      <c r="AG6397" s="107"/>
      <c r="AH6397" s="117"/>
      <c r="AI6397" s="107"/>
      <c r="AJ6397" s="117"/>
      <c r="AK6397" s="107"/>
      <c r="AL6397" s="107"/>
      <c r="AM6397" s="107"/>
      <c r="AN6397" s="107"/>
      <c r="AO6397" s="107"/>
      <c r="AP6397" s="107"/>
      <c r="AQ6397" s="107"/>
      <c r="AR6397" s="107"/>
      <c r="AS6397" s="107"/>
      <c r="AT6397" s="39"/>
    </row>
    <row r="6398" spans="33:46" x14ac:dyDescent="0.25">
      <c r="AG6398" s="107"/>
      <c r="AH6398" s="107"/>
      <c r="AI6398" s="107"/>
      <c r="AJ6398" s="117"/>
      <c r="AK6398" s="107"/>
      <c r="AL6398" s="107"/>
      <c r="AM6398" s="107"/>
      <c r="AN6398" s="107"/>
      <c r="AO6398" s="107"/>
      <c r="AP6398" s="107"/>
      <c r="AQ6398" s="107"/>
      <c r="AR6398" s="107"/>
      <c r="AS6398" s="107"/>
      <c r="AT6398" s="107"/>
    </row>
    <row r="6399" spans="33:46" x14ac:dyDescent="0.25">
      <c r="AG6399" s="107"/>
      <c r="AH6399" s="117"/>
      <c r="AI6399" s="107"/>
      <c r="AJ6399" s="117"/>
      <c r="AK6399" s="107"/>
      <c r="AL6399" s="107"/>
      <c r="AM6399" s="107"/>
      <c r="AN6399" s="107"/>
      <c r="AO6399" s="107"/>
      <c r="AP6399" s="107"/>
      <c r="AQ6399" s="107"/>
      <c r="AR6399" s="107"/>
      <c r="AS6399" s="107"/>
      <c r="AT6399" s="39"/>
    </row>
    <row r="6400" spans="33:46" x14ac:dyDescent="0.25">
      <c r="AG6400" s="107"/>
      <c r="AH6400" s="117"/>
      <c r="AI6400" s="107"/>
      <c r="AJ6400" s="117"/>
      <c r="AK6400" s="107"/>
      <c r="AL6400" s="107"/>
      <c r="AM6400" s="107"/>
      <c r="AN6400" s="107"/>
      <c r="AO6400" s="107"/>
      <c r="AP6400" s="107"/>
      <c r="AQ6400" s="107"/>
      <c r="AR6400" s="107"/>
      <c r="AS6400" s="107"/>
      <c r="AT6400" s="39"/>
    </row>
    <row r="6401" spans="33:46" x14ac:dyDescent="0.25">
      <c r="AG6401" s="107"/>
      <c r="AH6401" s="107"/>
      <c r="AI6401" s="107"/>
      <c r="AJ6401" s="117"/>
      <c r="AK6401" s="107"/>
      <c r="AL6401" s="107"/>
      <c r="AM6401" s="107"/>
      <c r="AN6401" s="107"/>
      <c r="AO6401" s="107"/>
      <c r="AP6401" s="107"/>
      <c r="AQ6401" s="107"/>
      <c r="AR6401" s="107"/>
      <c r="AS6401" s="107"/>
      <c r="AT6401" s="107"/>
    </row>
    <row r="6402" spans="33:46" x14ac:dyDescent="0.25">
      <c r="AG6402" s="107"/>
      <c r="AH6402" s="117"/>
      <c r="AI6402" s="107"/>
      <c r="AJ6402" s="117"/>
      <c r="AK6402" s="107"/>
      <c r="AL6402" s="107"/>
      <c r="AM6402" s="107"/>
      <c r="AN6402" s="107"/>
      <c r="AO6402" s="107"/>
      <c r="AP6402" s="107"/>
      <c r="AQ6402" s="107"/>
      <c r="AR6402" s="107"/>
      <c r="AS6402" s="107"/>
      <c r="AT6402" s="39"/>
    </row>
    <row r="6403" spans="33:46" x14ac:dyDescent="0.25">
      <c r="AG6403" s="107"/>
      <c r="AH6403" s="117"/>
      <c r="AI6403" s="107"/>
      <c r="AJ6403" s="117"/>
      <c r="AK6403" s="107"/>
      <c r="AL6403" s="107"/>
      <c r="AM6403" s="107"/>
      <c r="AN6403" s="107"/>
      <c r="AO6403" s="107"/>
      <c r="AP6403" s="107"/>
      <c r="AQ6403" s="107"/>
      <c r="AR6403" s="107"/>
      <c r="AS6403" s="107"/>
      <c r="AT6403" s="39"/>
    </row>
    <row r="6404" spans="33:46" x14ac:dyDescent="0.25">
      <c r="AG6404" s="107"/>
      <c r="AH6404" s="117"/>
      <c r="AI6404" s="107"/>
      <c r="AJ6404" s="117"/>
      <c r="AK6404" s="107"/>
      <c r="AL6404" s="107"/>
      <c r="AM6404" s="107"/>
      <c r="AN6404" s="107"/>
      <c r="AO6404" s="107"/>
      <c r="AP6404" s="107"/>
      <c r="AQ6404" s="107"/>
      <c r="AR6404" s="107"/>
      <c r="AS6404" s="107"/>
      <c r="AT6404" s="39"/>
    </row>
    <row r="6405" spans="33:46" x14ac:dyDescent="0.25">
      <c r="AG6405" s="107"/>
      <c r="AH6405" s="117"/>
      <c r="AI6405" s="107"/>
      <c r="AJ6405" s="117"/>
      <c r="AK6405" s="107"/>
      <c r="AL6405" s="107"/>
      <c r="AM6405" s="107"/>
      <c r="AN6405" s="107"/>
      <c r="AO6405" s="107"/>
      <c r="AP6405" s="107"/>
      <c r="AQ6405" s="107"/>
      <c r="AR6405" s="107"/>
      <c r="AS6405" s="107"/>
      <c r="AT6405" s="39"/>
    </row>
    <row r="6406" spans="33:46" x14ac:dyDescent="0.25">
      <c r="AG6406" s="107"/>
      <c r="AH6406" s="107"/>
      <c r="AI6406" s="107"/>
      <c r="AJ6406" s="117"/>
      <c r="AK6406" s="107"/>
      <c r="AL6406" s="107"/>
      <c r="AM6406" s="107"/>
      <c r="AN6406" s="107"/>
      <c r="AO6406" s="107"/>
      <c r="AP6406" s="107"/>
      <c r="AQ6406" s="107"/>
      <c r="AR6406" s="107"/>
      <c r="AS6406" s="107"/>
      <c r="AT6406" s="107"/>
    </row>
    <row r="6407" spans="33:46" x14ac:dyDescent="0.25">
      <c r="AG6407" s="107"/>
      <c r="AH6407" s="117"/>
      <c r="AI6407" s="107"/>
      <c r="AJ6407" s="117"/>
      <c r="AK6407" s="107"/>
      <c r="AL6407" s="107"/>
      <c r="AM6407" s="107"/>
      <c r="AN6407" s="107"/>
      <c r="AO6407" s="107"/>
      <c r="AP6407" s="107"/>
      <c r="AQ6407" s="107"/>
      <c r="AR6407" s="107"/>
      <c r="AS6407" s="107"/>
      <c r="AT6407" s="39"/>
    </row>
    <row r="6408" spans="33:46" x14ac:dyDescent="0.25">
      <c r="AG6408" s="107"/>
      <c r="AH6408" s="117"/>
      <c r="AI6408" s="107"/>
      <c r="AJ6408" s="117"/>
      <c r="AK6408" s="107"/>
      <c r="AL6408" s="107"/>
      <c r="AM6408" s="107"/>
      <c r="AN6408" s="107"/>
      <c r="AO6408" s="107"/>
      <c r="AP6408" s="107"/>
      <c r="AQ6408" s="107"/>
      <c r="AR6408" s="107"/>
      <c r="AS6408" s="107"/>
      <c r="AT6408" s="39"/>
    </row>
    <row r="6409" spans="33:46" x14ac:dyDescent="0.25">
      <c r="AG6409" s="107"/>
      <c r="AH6409" s="117"/>
      <c r="AI6409" s="107"/>
      <c r="AJ6409" s="117"/>
      <c r="AK6409" s="107"/>
      <c r="AL6409" s="107"/>
      <c r="AM6409" s="107"/>
      <c r="AN6409" s="107"/>
      <c r="AO6409" s="107"/>
      <c r="AP6409" s="107"/>
      <c r="AQ6409" s="107"/>
      <c r="AR6409" s="107"/>
      <c r="AS6409" s="107"/>
      <c r="AT6409" s="39"/>
    </row>
    <row r="6410" spans="33:46" x14ac:dyDescent="0.25">
      <c r="AG6410" s="107"/>
      <c r="AH6410" s="107"/>
      <c r="AI6410" s="107"/>
      <c r="AJ6410" s="117"/>
      <c r="AK6410" s="107"/>
      <c r="AL6410" s="107"/>
      <c r="AM6410" s="107"/>
      <c r="AN6410" s="107"/>
      <c r="AO6410" s="107"/>
      <c r="AP6410" s="107"/>
      <c r="AQ6410" s="107"/>
      <c r="AR6410" s="107"/>
      <c r="AS6410" s="107"/>
      <c r="AT6410" s="107"/>
    </row>
    <row r="6411" spans="33:46" x14ac:dyDescent="0.25">
      <c r="AG6411" s="107"/>
      <c r="AH6411" s="117"/>
      <c r="AI6411" s="107"/>
      <c r="AJ6411" s="117"/>
      <c r="AK6411" s="107"/>
      <c r="AL6411" s="107"/>
      <c r="AM6411" s="107"/>
      <c r="AN6411" s="107"/>
      <c r="AO6411" s="107"/>
      <c r="AP6411" s="107"/>
      <c r="AQ6411" s="107"/>
      <c r="AR6411" s="107"/>
      <c r="AS6411" s="107"/>
      <c r="AT6411" s="39"/>
    </row>
    <row r="6412" spans="33:46" x14ac:dyDescent="0.25">
      <c r="AG6412" s="107"/>
      <c r="AH6412" s="117"/>
      <c r="AI6412" s="107"/>
      <c r="AJ6412" s="117"/>
      <c r="AK6412" s="107"/>
      <c r="AL6412" s="107"/>
      <c r="AM6412" s="107"/>
      <c r="AN6412" s="107"/>
      <c r="AO6412" s="107"/>
      <c r="AP6412" s="107"/>
      <c r="AQ6412" s="107"/>
      <c r="AR6412" s="107"/>
      <c r="AS6412" s="107"/>
      <c r="AT6412" s="39"/>
    </row>
    <row r="6413" spans="33:46" x14ac:dyDescent="0.25">
      <c r="AG6413" s="107"/>
      <c r="AH6413" s="117"/>
      <c r="AI6413" s="107"/>
      <c r="AJ6413" s="117"/>
      <c r="AK6413" s="107"/>
      <c r="AL6413" s="107"/>
      <c r="AM6413" s="107"/>
      <c r="AN6413" s="107"/>
      <c r="AO6413" s="107"/>
      <c r="AP6413" s="107"/>
      <c r="AQ6413" s="107"/>
      <c r="AR6413" s="107"/>
      <c r="AS6413" s="107"/>
      <c r="AT6413" s="39"/>
    </row>
    <row r="6414" spans="33:46" x14ac:dyDescent="0.25">
      <c r="AG6414" s="107"/>
      <c r="AH6414" s="117"/>
      <c r="AI6414" s="107"/>
      <c r="AJ6414" s="117"/>
      <c r="AK6414" s="107"/>
      <c r="AL6414" s="107"/>
      <c r="AM6414" s="107"/>
      <c r="AN6414" s="107"/>
      <c r="AO6414" s="107"/>
      <c r="AP6414" s="107"/>
      <c r="AQ6414" s="107"/>
      <c r="AR6414" s="107"/>
      <c r="AS6414" s="107"/>
      <c r="AT6414" s="39"/>
    </row>
    <row r="6415" spans="33:46" x14ac:dyDescent="0.25">
      <c r="AG6415" s="107"/>
      <c r="AH6415" s="117"/>
      <c r="AI6415" s="107"/>
      <c r="AJ6415" s="117"/>
      <c r="AK6415" s="107"/>
      <c r="AL6415" s="107"/>
      <c r="AM6415" s="107"/>
      <c r="AN6415" s="107"/>
      <c r="AO6415" s="107"/>
      <c r="AP6415" s="107"/>
      <c r="AQ6415" s="107"/>
      <c r="AR6415" s="107"/>
      <c r="AS6415" s="107"/>
      <c r="AT6415" s="39"/>
    </row>
    <row r="6416" spans="33:46" x14ac:dyDescent="0.25">
      <c r="AG6416" s="107"/>
      <c r="AH6416" s="117"/>
      <c r="AI6416" s="107"/>
      <c r="AJ6416" s="117"/>
      <c r="AK6416" s="107"/>
      <c r="AL6416" s="107"/>
      <c r="AM6416" s="107"/>
      <c r="AN6416" s="107"/>
      <c r="AO6416" s="107"/>
      <c r="AP6416" s="107"/>
      <c r="AQ6416" s="107"/>
      <c r="AR6416" s="107"/>
      <c r="AS6416" s="107"/>
      <c r="AT6416" s="39"/>
    </row>
    <row r="6417" spans="33:46" x14ac:dyDescent="0.25">
      <c r="AG6417" s="107"/>
      <c r="AH6417" s="117"/>
      <c r="AI6417" s="107"/>
      <c r="AJ6417" s="117"/>
      <c r="AK6417" s="107"/>
      <c r="AL6417" s="107"/>
      <c r="AM6417" s="107"/>
      <c r="AN6417" s="107"/>
      <c r="AO6417" s="107"/>
      <c r="AP6417" s="107"/>
      <c r="AQ6417" s="107"/>
      <c r="AR6417" s="107"/>
      <c r="AS6417" s="107"/>
      <c r="AT6417" s="39"/>
    </row>
    <row r="6418" spans="33:46" x14ac:dyDescent="0.25">
      <c r="AG6418" s="107"/>
      <c r="AH6418" s="117"/>
      <c r="AI6418" s="107"/>
      <c r="AJ6418" s="117"/>
      <c r="AK6418" s="107"/>
      <c r="AL6418" s="107"/>
      <c r="AM6418" s="107"/>
      <c r="AN6418" s="107"/>
      <c r="AO6418" s="107"/>
      <c r="AP6418" s="107"/>
      <c r="AQ6418" s="107"/>
      <c r="AR6418" s="107"/>
      <c r="AS6418" s="107"/>
      <c r="AT6418" s="39"/>
    </row>
    <row r="6419" spans="33:46" x14ac:dyDescent="0.25">
      <c r="AG6419" s="107"/>
      <c r="AH6419" s="117"/>
      <c r="AI6419" s="107"/>
      <c r="AJ6419" s="117"/>
      <c r="AK6419" s="107"/>
      <c r="AL6419" s="107"/>
      <c r="AM6419" s="107"/>
      <c r="AN6419" s="107"/>
      <c r="AO6419" s="107"/>
      <c r="AP6419" s="107"/>
      <c r="AQ6419" s="107"/>
      <c r="AR6419" s="107"/>
      <c r="AS6419" s="107"/>
      <c r="AT6419" s="39"/>
    </row>
    <row r="6420" spans="33:46" x14ac:dyDescent="0.25">
      <c r="AG6420" s="107"/>
      <c r="AH6420" s="117"/>
      <c r="AI6420" s="107"/>
      <c r="AJ6420" s="117"/>
      <c r="AK6420" s="107"/>
      <c r="AL6420" s="107"/>
      <c r="AM6420" s="107"/>
      <c r="AN6420" s="107"/>
      <c r="AO6420" s="107"/>
      <c r="AP6420" s="107"/>
      <c r="AQ6420" s="107"/>
      <c r="AR6420" s="107"/>
      <c r="AS6420" s="107"/>
      <c r="AT6420" s="39"/>
    </row>
    <row r="6421" spans="33:46" x14ac:dyDescent="0.25">
      <c r="AG6421" s="107"/>
      <c r="AH6421" s="117"/>
      <c r="AI6421" s="107"/>
      <c r="AJ6421" s="117"/>
      <c r="AK6421" s="107"/>
      <c r="AL6421" s="107"/>
      <c r="AM6421" s="107"/>
      <c r="AN6421" s="107"/>
      <c r="AO6421" s="107"/>
      <c r="AP6421" s="107"/>
      <c r="AQ6421" s="107"/>
      <c r="AR6421" s="107"/>
      <c r="AS6421" s="107"/>
      <c r="AT6421" s="39"/>
    </row>
    <row r="6422" spans="33:46" x14ac:dyDescent="0.25">
      <c r="AG6422" s="107"/>
      <c r="AH6422" s="117"/>
      <c r="AI6422" s="107"/>
      <c r="AJ6422" s="117"/>
      <c r="AK6422" s="107"/>
      <c r="AL6422" s="107"/>
      <c r="AM6422" s="107"/>
      <c r="AN6422" s="107"/>
      <c r="AO6422" s="107"/>
      <c r="AP6422" s="107"/>
      <c r="AQ6422" s="107"/>
      <c r="AR6422" s="107"/>
      <c r="AS6422" s="107"/>
      <c r="AT6422" s="39"/>
    </row>
    <row r="6423" spans="33:46" x14ac:dyDescent="0.25">
      <c r="AG6423" s="107"/>
      <c r="AH6423" s="117"/>
      <c r="AI6423" s="107"/>
      <c r="AJ6423" s="117"/>
      <c r="AK6423" s="107"/>
      <c r="AL6423" s="107"/>
      <c r="AM6423" s="107"/>
      <c r="AN6423" s="107"/>
      <c r="AO6423" s="107"/>
      <c r="AP6423" s="107"/>
      <c r="AQ6423" s="107"/>
      <c r="AR6423" s="107"/>
      <c r="AS6423" s="107"/>
      <c r="AT6423" s="39"/>
    </row>
    <row r="6424" spans="33:46" x14ac:dyDescent="0.25">
      <c r="AG6424" s="107"/>
      <c r="AH6424" s="117"/>
      <c r="AI6424" s="107"/>
      <c r="AJ6424" s="117"/>
      <c r="AK6424" s="107"/>
      <c r="AL6424" s="107"/>
      <c r="AM6424" s="107"/>
      <c r="AN6424" s="107"/>
      <c r="AO6424" s="107"/>
      <c r="AP6424" s="107"/>
      <c r="AQ6424" s="107"/>
      <c r="AR6424" s="107"/>
      <c r="AS6424" s="107"/>
      <c r="AT6424" s="39"/>
    </row>
    <row r="6425" spans="33:46" x14ac:dyDescent="0.25">
      <c r="AG6425" s="107"/>
      <c r="AH6425" s="117"/>
      <c r="AI6425" s="107"/>
      <c r="AJ6425" s="117"/>
      <c r="AK6425" s="107"/>
      <c r="AL6425" s="107"/>
      <c r="AM6425" s="107"/>
      <c r="AN6425" s="107"/>
      <c r="AO6425" s="107"/>
      <c r="AP6425" s="107"/>
      <c r="AQ6425" s="107"/>
      <c r="AR6425" s="107"/>
      <c r="AS6425" s="107"/>
      <c r="AT6425" s="39"/>
    </row>
    <row r="6426" spans="33:46" x14ac:dyDescent="0.25">
      <c r="AG6426" s="107"/>
      <c r="AH6426" s="117"/>
      <c r="AI6426" s="107"/>
      <c r="AJ6426" s="117"/>
      <c r="AK6426" s="107"/>
      <c r="AL6426" s="107"/>
      <c r="AM6426" s="107"/>
      <c r="AN6426" s="107"/>
      <c r="AO6426" s="107"/>
      <c r="AP6426" s="107"/>
      <c r="AQ6426" s="107"/>
      <c r="AR6426" s="107"/>
      <c r="AS6426" s="107"/>
      <c r="AT6426" s="39"/>
    </row>
    <row r="6427" spans="33:46" x14ac:dyDescent="0.25">
      <c r="AG6427" s="107"/>
      <c r="AH6427" s="117"/>
      <c r="AI6427" s="107"/>
      <c r="AJ6427" s="117"/>
      <c r="AK6427" s="107"/>
      <c r="AL6427" s="107"/>
      <c r="AM6427" s="107"/>
      <c r="AN6427" s="107"/>
      <c r="AO6427" s="107"/>
      <c r="AP6427" s="107"/>
      <c r="AQ6427" s="107"/>
      <c r="AR6427" s="107"/>
      <c r="AS6427" s="107"/>
      <c r="AT6427" s="39"/>
    </row>
    <row r="6428" spans="33:46" x14ac:dyDescent="0.25">
      <c r="AG6428" s="107"/>
      <c r="AH6428" s="117"/>
      <c r="AI6428" s="107"/>
      <c r="AJ6428" s="117"/>
      <c r="AK6428" s="107"/>
      <c r="AL6428" s="107"/>
      <c r="AM6428" s="107"/>
      <c r="AN6428" s="107"/>
      <c r="AO6428" s="107"/>
      <c r="AP6428" s="107"/>
      <c r="AQ6428" s="107"/>
      <c r="AR6428" s="107"/>
      <c r="AS6428" s="107"/>
      <c r="AT6428" s="39"/>
    </row>
    <row r="6429" spans="33:46" x14ac:dyDescent="0.25">
      <c r="AG6429" s="107"/>
      <c r="AH6429" s="117"/>
      <c r="AI6429" s="107"/>
      <c r="AJ6429" s="117"/>
      <c r="AK6429" s="107"/>
      <c r="AL6429" s="107"/>
      <c r="AM6429" s="107"/>
      <c r="AN6429" s="107"/>
      <c r="AO6429" s="107"/>
      <c r="AP6429" s="107"/>
      <c r="AQ6429" s="107"/>
      <c r="AR6429" s="107"/>
      <c r="AS6429" s="107"/>
      <c r="AT6429" s="39"/>
    </row>
    <row r="6430" spans="33:46" x14ac:dyDescent="0.25">
      <c r="AG6430" s="107"/>
      <c r="AH6430" s="117"/>
      <c r="AI6430" s="107"/>
      <c r="AJ6430" s="117"/>
      <c r="AK6430" s="107"/>
      <c r="AL6430" s="107"/>
      <c r="AM6430" s="107"/>
      <c r="AN6430" s="107"/>
      <c r="AO6430" s="107"/>
      <c r="AP6430" s="107"/>
      <c r="AQ6430" s="107"/>
      <c r="AR6430" s="107"/>
      <c r="AS6430" s="107"/>
      <c r="AT6430" s="39"/>
    </row>
    <row r="6431" spans="33:46" x14ac:dyDescent="0.25">
      <c r="AG6431" s="107"/>
      <c r="AH6431" s="117"/>
      <c r="AI6431" s="107"/>
      <c r="AJ6431" s="117"/>
      <c r="AK6431" s="107"/>
      <c r="AL6431" s="107"/>
      <c r="AM6431" s="107"/>
      <c r="AN6431" s="107"/>
      <c r="AO6431" s="107"/>
      <c r="AP6431" s="107"/>
      <c r="AQ6431" s="107"/>
      <c r="AR6431" s="107"/>
      <c r="AS6431" s="107"/>
      <c r="AT6431" s="39"/>
    </row>
    <row r="6432" spans="33:46" x14ac:dyDescent="0.25">
      <c r="AG6432" s="107"/>
      <c r="AH6432" s="117"/>
      <c r="AI6432" s="107"/>
      <c r="AJ6432" s="117"/>
      <c r="AK6432" s="107"/>
      <c r="AL6432" s="107"/>
      <c r="AM6432" s="107"/>
      <c r="AN6432" s="107"/>
      <c r="AO6432" s="107"/>
      <c r="AP6432" s="107"/>
      <c r="AQ6432" s="107"/>
      <c r="AR6432" s="107"/>
      <c r="AS6432" s="107"/>
      <c r="AT6432" s="39"/>
    </row>
    <row r="6433" spans="33:46" x14ac:dyDescent="0.25">
      <c r="AG6433" s="107"/>
      <c r="AH6433" s="117"/>
      <c r="AI6433" s="107"/>
      <c r="AJ6433" s="117"/>
      <c r="AK6433" s="107"/>
      <c r="AL6433" s="107"/>
      <c r="AM6433" s="107"/>
      <c r="AN6433" s="107"/>
      <c r="AO6433" s="107"/>
      <c r="AP6433" s="107"/>
      <c r="AQ6433" s="107"/>
      <c r="AR6433" s="107"/>
      <c r="AS6433" s="107"/>
      <c r="AT6433" s="39"/>
    </row>
    <row r="6434" spans="33:46" x14ac:dyDescent="0.25">
      <c r="AG6434" s="107"/>
      <c r="AH6434" s="117"/>
      <c r="AI6434" s="107"/>
      <c r="AJ6434" s="117"/>
      <c r="AK6434" s="107"/>
      <c r="AL6434" s="107"/>
      <c r="AM6434" s="107"/>
      <c r="AN6434" s="107"/>
      <c r="AO6434" s="107"/>
      <c r="AP6434" s="107"/>
      <c r="AQ6434" s="107"/>
      <c r="AR6434" s="107"/>
      <c r="AS6434" s="107"/>
      <c r="AT6434" s="39"/>
    </row>
    <row r="6435" spans="33:46" x14ac:dyDescent="0.25">
      <c r="AG6435" s="107"/>
      <c r="AH6435" s="117"/>
      <c r="AI6435" s="107"/>
      <c r="AJ6435" s="117"/>
      <c r="AK6435" s="107"/>
      <c r="AL6435" s="107"/>
      <c r="AM6435" s="107"/>
      <c r="AN6435" s="107"/>
      <c r="AO6435" s="107"/>
      <c r="AP6435" s="107"/>
      <c r="AQ6435" s="107"/>
      <c r="AR6435" s="107"/>
      <c r="AS6435" s="107"/>
      <c r="AT6435" s="39"/>
    </row>
    <row r="6436" spans="33:46" x14ac:dyDescent="0.25">
      <c r="AG6436" s="107"/>
      <c r="AH6436" s="107"/>
      <c r="AI6436" s="107"/>
      <c r="AJ6436" s="117"/>
      <c r="AK6436" s="107"/>
      <c r="AL6436" s="107"/>
      <c r="AM6436" s="107"/>
      <c r="AN6436" s="107"/>
      <c r="AO6436" s="107"/>
      <c r="AP6436" s="107"/>
      <c r="AQ6436" s="107"/>
      <c r="AR6436" s="107"/>
      <c r="AS6436" s="107"/>
      <c r="AT6436" s="107"/>
    </row>
    <row r="6437" spans="33:46" x14ac:dyDescent="0.25">
      <c r="AG6437" s="107"/>
      <c r="AH6437" s="117"/>
      <c r="AI6437" s="107"/>
      <c r="AJ6437" s="117"/>
      <c r="AK6437" s="107"/>
      <c r="AL6437" s="107"/>
      <c r="AM6437" s="107"/>
      <c r="AN6437" s="107"/>
      <c r="AO6437" s="107"/>
      <c r="AP6437" s="107"/>
      <c r="AQ6437" s="107"/>
      <c r="AR6437" s="107"/>
      <c r="AS6437" s="107"/>
      <c r="AT6437" s="39"/>
    </row>
    <row r="6438" spans="33:46" x14ac:dyDescent="0.25">
      <c r="AG6438" s="107"/>
      <c r="AH6438" s="117"/>
      <c r="AI6438" s="107"/>
      <c r="AJ6438" s="117"/>
      <c r="AK6438" s="107"/>
      <c r="AL6438" s="107"/>
      <c r="AM6438" s="107"/>
      <c r="AN6438" s="107"/>
      <c r="AO6438" s="107"/>
      <c r="AP6438" s="107"/>
      <c r="AQ6438" s="107"/>
      <c r="AR6438" s="107"/>
      <c r="AS6438" s="107"/>
      <c r="AT6438" s="39"/>
    </row>
    <row r="6439" spans="33:46" x14ac:dyDescent="0.25">
      <c r="AG6439" s="107"/>
      <c r="AH6439" s="107"/>
      <c r="AI6439" s="107"/>
      <c r="AJ6439" s="117"/>
      <c r="AK6439" s="107"/>
      <c r="AL6439" s="107"/>
      <c r="AM6439" s="107"/>
      <c r="AN6439" s="107"/>
      <c r="AO6439" s="107"/>
      <c r="AP6439" s="107"/>
      <c r="AQ6439" s="107"/>
      <c r="AR6439" s="107"/>
      <c r="AS6439" s="107"/>
      <c r="AT6439" s="107"/>
    </row>
    <row r="6440" spans="33:46" x14ac:dyDescent="0.25">
      <c r="AG6440" s="107"/>
      <c r="AH6440" s="117"/>
      <c r="AI6440" s="107"/>
      <c r="AJ6440" s="117"/>
      <c r="AK6440" s="107"/>
      <c r="AL6440" s="107"/>
      <c r="AM6440" s="107"/>
      <c r="AN6440" s="107"/>
      <c r="AO6440" s="107"/>
      <c r="AP6440" s="107"/>
      <c r="AQ6440" s="107"/>
      <c r="AR6440" s="107"/>
      <c r="AS6440" s="107"/>
      <c r="AT6440" s="39"/>
    </row>
    <row r="6441" spans="33:46" x14ac:dyDescent="0.25">
      <c r="AG6441" s="107"/>
      <c r="AH6441" s="107"/>
      <c r="AI6441" s="107"/>
      <c r="AJ6441" s="117"/>
      <c r="AK6441" s="107"/>
      <c r="AL6441" s="107"/>
      <c r="AM6441" s="107"/>
      <c r="AN6441" s="107"/>
      <c r="AO6441" s="107"/>
      <c r="AP6441" s="107"/>
      <c r="AQ6441" s="107"/>
      <c r="AR6441" s="107"/>
      <c r="AS6441" s="107"/>
      <c r="AT6441" s="107"/>
    </row>
    <row r="6442" spans="33:46" x14ac:dyDescent="0.25">
      <c r="AG6442" s="107"/>
      <c r="AH6442" s="117"/>
      <c r="AI6442" s="107"/>
      <c r="AJ6442" s="117"/>
      <c r="AK6442" s="107"/>
      <c r="AL6442" s="107"/>
      <c r="AM6442" s="107"/>
      <c r="AN6442" s="107"/>
      <c r="AO6442" s="107"/>
      <c r="AP6442" s="107"/>
      <c r="AQ6442" s="107"/>
      <c r="AR6442" s="107"/>
      <c r="AS6442" s="107"/>
      <c r="AT6442" s="39"/>
    </row>
    <row r="6443" spans="33:46" x14ac:dyDescent="0.25">
      <c r="AG6443" s="107"/>
      <c r="AH6443" s="117"/>
      <c r="AI6443" s="107"/>
      <c r="AJ6443" s="117"/>
      <c r="AK6443" s="107"/>
      <c r="AL6443" s="107"/>
      <c r="AM6443" s="107"/>
      <c r="AN6443" s="107"/>
      <c r="AO6443" s="107"/>
      <c r="AP6443" s="107"/>
      <c r="AQ6443" s="107"/>
      <c r="AR6443" s="107"/>
      <c r="AS6443" s="107"/>
      <c r="AT6443" s="39"/>
    </row>
    <row r="6444" spans="33:46" x14ac:dyDescent="0.25">
      <c r="AG6444" s="107"/>
      <c r="AH6444" s="117"/>
      <c r="AI6444" s="107"/>
      <c r="AJ6444" s="117"/>
      <c r="AK6444" s="107"/>
      <c r="AL6444" s="107"/>
      <c r="AM6444" s="107"/>
      <c r="AN6444" s="107"/>
      <c r="AO6444" s="107"/>
      <c r="AP6444" s="107"/>
      <c r="AQ6444" s="107"/>
      <c r="AR6444" s="107"/>
      <c r="AS6444" s="107"/>
      <c r="AT6444" s="39"/>
    </row>
    <row r="6445" spans="33:46" x14ac:dyDescent="0.25">
      <c r="AG6445" s="107"/>
      <c r="AH6445" s="117"/>
      <c r="AI6445" s="107"/>
      <c r="AJ6445" s="117"/>
      <c r="AK6445" s="107"/>
      <c r="AL6445" s="107"/>
      <c r="AM6445" s="107"/>
      <c r="AN6445" s="107"/>
      <c r="AO6445" s="107"/>
      <c r="AP6445" s="107"/>
      <c r="AQ6445" s="107"/>
      <c r="AR6445" s="107"/>
      <c r="AS6445" s="107"/>
      <c r="AT6445" s="39"/>
    </row>
    <row r="6446" spans="33:46" x14ac:dyDescent="0.25">
      <c r="AG6446" s="107"/>
      <c r="AH6446" s="117"/>
      <c r="AI6446" s="107"/>
      <c r="AJ6446" s="117"/>
      <c r="AK6446" s="107"/>
      <c r="AL6446" s="107"/>
      <c r="AM6446" s="107"/>
      <c r="AN6446" s="107"/>
      <c r="AO6446" s="107"/>
      <c r="AP6446" s="107"/>
      <c r="AQ6446" s="107"/>
      <c r="AR6446" s="107"/>
      <c r="AS6446" s="107"/>
      <c r="AT6446" s="39"/>
    </row>
    <row r="6447" spans="33:46" x14ac:dyDescent="0.25">
      <c r="AG6447" s="107"/>
      <c r="AH6447" s="117"/>
      <c r="AI6447" s="107"/>
      <c r="AJ6447" s="117"/>
      <c r="AK6447" s="107"/>
      <c r="AL6447" s="107"/>
      <c r="AM6447" s="107"/>
      <c r="AN6447" s="107"/>
      <c r="AO6447" s="107"/>
      <c r="AP6447" s="107"/>
      <c r="AQ6447" s="107"/>
      <c r="AR6447" s="107"/>
      <c r="AS6447" s="107"/>
      <c r="AT6447" s="39"/>
    </row>
    <row r="6448" spans="33:46" x14ac:dyDescent="0.25">
      <c r="AG6448" s="107"/>
      <c r="AH6448" s="117"/>
      <c r="AI6448" s="107"/>
      <c r="AJ6448" s="117"/>
      <c r="AK6448" s="107"/>
      <c r="AL6448" s="107"/>
      <c r="AM6448" s="107"/>
      <c r="AN6448" s="107"/>
      <c r="AO6448" s="107"/>
      <c r="AP6448" s="107"/>
      <c r="AQ6448" s="107"/>
      <c r="AR6448" s="107"/>
      <c r="AS6448" s="107"/>
      <c r="AT6448" s="39"/>
    </row>
    <row r="6449" spans="33:46" x14ac:dyDescent="0.25">
      <c r="AG6449" s="107"/>
      <c r="AH6449" s="117"/>
      <c r="AI6449" s="107"/>
      <c r="AJ6449" s="117"/>
      <c r="AK6449" s="107"/>
      <c r="AL6449" s="107"/>
      <c r="AM6449" s="107"/>
      <c r="AN6449" s="107"/>
      <c r="AO6449" s="107"/>
      <c r="AP6449" s="107"/>
      <c r="AQ6449" s="107"/>
      <c r="AR6449" s="107"/>
      <c r="AS6449" s="107"/>
      <c r="AT6449" s="39"/>
    </row>
    <row r="6450" spans="33:46" x14ac:dyDescent="0.25">
      <c r="AG6450" s="107"/>
      <c r="AH6450" s="117"/>
      <c r="AI6450" s="107"/>
      <c r="AJ6450" s="117"/>
      <c r="AK6450" s="107"/>
      <c r="AL6450" s="107"/>
      <c r="AM6450" s="107"/>
      <c r="AN6450" s="107"/>
      <c r="AO6450" s="107"/>
      <c r="AP6450" s="107"/>
      <c r="AQ6450" s="107"/>
      <c r="AR6450" s="107"/>
      <c r="AS6450" s="107"/>
      <c r="AT6450" s="39"/>
    </row>
    <row r="6451" spans="33:46" x14ac:dyDescent="0.25">
      <c r="AG6451" s="107"/>
      <c r="AH6451" s="107"/>
      <c r="AI6451" s="107"/>
      <c r="AJ6451" s="117"/>
      <c r="AK6451" s="107"/>
      <c r="AL6451" s="107"/>
      <c r="AM6451" s="107"/>
      <c r="AN6451" s="107"/>
      <c r="AO6451" s="107"/>
      <c r="AP6451" s="107"/>
      <c r="AQ6451" s="107"/>
      <c r="AR6451" s="107"/>
      <c r="AS6451" s="107"/>
      <c r="AT6451" s="107"/>
    </row>
    <row r="6452" spans="33:46" x14ac:dyDescent="0.25">
      <c r="AG6452" s="107"/>
      <c r="AH6452" s="117"/>
      <c r="AI6452" s="107"/>
      <c r="AJ6452" s="117"/>
      <c r="AK6452" s="107"/>
      <c r="AL6452" s="107"/>
      <c r="AM6452" s="107"/>
      <c r="AN6452" s="107"/>
      <c r="AO6452" s="107"/>
      <c r="AP6452" s="107"/>
      <c r="AQ6452" s="107"/>
      <c r="AR6452" s="107"/>
      <c r="AS6452" s="107"/>
      <c r="AT6452" s="39"/>
    </row>
    <row r="6453" spans="33:46" x14ac:dyDescent="0.25">
      <c r="AG6453" s="107"/>
      <c r="AH6453" s="117"/>
      <c r="AI6453" s="107"/>
      <c r="AJ6453" s="117"/>
      <c r="AK6453" s="107"/>
      <c r="AL6453" s="107"/>
      <c r="AM6453" s="107"/>
      <c r="AN6453" s="107"/>
      <c r="AO6453" s="107"/>
      <c r="AP6453" s="107"/>
      <c r="AQ6453" s="107"/>
      <c r="AR6453" s="107"/>
      <c r="AS6453" s="107"/>
      <c r="AT6453" s="39"/>
    </row>
    <row r="6454" spans="33:46" x14ac:dyDescent="0.25">
      <c r="AG6454" s="107"/>
      <c r="AH6454" s="117"/>
      <c r="AI6454" s="107"/>
      <c r="AJ6454" s="117"/>
      <c r="AK6454" s="107"/>
      <c r="AL6454" s="107"/>
      <c r="AM6454" s="107"/>
      <c r="AN6454" s="107"/>
      <c r="AO6454" s="107"/>
      <c r="AP6454" s="107"/>
      <c r="AQ6454" s="107"/>
      <c r="AR6454" s="107"/>
      <c r="AS6454" s="107"/>
      <c r="AT6454" s="39"/>
    </row>
    <row r="6455" spans="33:46" x14ac:dyDescent="0.25">
      <c r="AG6455" s="107"/>
      <c r="AH6455" s="117"/>
      <c r="AI6455" s="107"/>
      <c r="AJ6455" s="117"/>
      <c r="AK6455" s="107"/>
      <c r="AL6455" s="107"/>
      <c r="AM6455" s="107"/>
      <c r="AN6455" s="107"/>
      <c r="AO6455" s="107"/>
      <c r="AP6455" s="107"/>
      <c r="AQ6455" s="107"/>
      <c r="AR6455" s="107"/>
      <c r="AS6455" s="107"/>
      <c r="AT6455" s="39"/>
    </row>
    <row r="6456" spans="33:46" x14ac:dyDescent="0.25">
      <c r="AG6456" s="107"/>
      <c r="AH6456" s="117"/>
      <c r="AI6456" s="107"/>
      <c r="AJ6456" s="117"/>
      <c r="AK6456" s="107"/>
      <c r="AL6456" s="107"/>
      <c r="AM6456" s="107"/>
      <c r="AN6456" s="107"/>
      <c r="AO6456" s="107"/>
      <c r="AP6456" s="107"/>
      <c r="AQ6456" s="107"/>
      <c r="AR6456" s="107"/>
      <c r="AS6456" s="107"/>
      <c r="AT6456" s="39"/>
    </row>
    <row r="6457" spans="33:46" x14ac:dyDescent="0.25">
      <c r="AG6457" s="107"/>
      <c r="AH6457" s="117"/>
      <c r="AI6457" s="107"/>
      <c r="AJ6457" s="117"/>
      <c r="AK6457" s="107"/>
      <c r="AL6457" s="107"/>
      <c r="AM6457" s="107"/>
      <c r="AN6457" s="107"/>
      <c r="AO6457" s="107"/>
      <c r="AP6457" s="107"/>
      <c r="AQ6457" s="107"/>
      <c r="AR6457" s="107"/>
      <c r="AS6457" s="107"/>
      <c r="AT6457" s="39"/>
    </row>
    <row r="6458" spans="33:46" x14ac:dyDescent="0.25">
      <c r="AG6458" s="107"/>
      <c r="AH6458" s="117"/>
      <c r="AI6458" s="107"/>
      <c r="AJ6458" s="117"/>
      <c r="AK6458" s="107"/>
      <c r="AL6458" s="107"/>
      <c r="AM6458" s="107"/>
      <c r="AN6458" s="107"/>
      <c r="AO6458" s="107"/>
      <c r="AP6458" s="107"/>
      <c r="AQ6458" s="107"/>
      <c r="AR6458" s="107"/>
      <c r="AS6458" s="107"/>
      <c r="AT6458" s="39"/>
    </row>
    <row r="6459" spans="33:46" x14ac:dyDescent="0.25">
      <c r="AG6459" s="107"/>
      <c r="AH6459" s="117"/>
      <c r="AI6459" s="107"/>
      <c r="AJ6459" s="117"/>
      <c r="AK6459" s="107"/>
      <c r="AL6459" s="107"/>
      <c r="AM6459" s="107"/>
      <c r="AN6459" s="107"/>
      <c r="AO6459" s="107"/>
      <c r="AP6459" s="107"/>
      <c r="AQ6459" s="107"/>
      <c r="AR6459" s="107"/>
      <c r="AS6459" s="107"/>
      <c r="AT6459" s="39"/>
    </row>
    <row r="6460" spans="33:46" x14ac:dyDescent="0.25">
      <c r="AG6460" s="107"/>
      <c r="AH6460" s="117"/>
      <c r="AI6460" s="107"/>
      <c r="AJ6460" s="117"/>
      <c r="AK6460" s="107"/>
      <c r="AL6460" s="107"/>
      <c r="AM6460" s="107"/>
      <c r="AN6460" s="107"/>
      <c r="AO6460" s="107"/>
      <c r="AP6460" s="107"/>
      <c r="AQ6460" s="107"/>
      <c r="AR6460" s="107"/>
      <c r="AS6460" s="107"/>
      <c r="AT6460" s="39"/>
    </row>
    <row r="6461" spans="33:46" x14ac:dyDescent="0.25">
      <c r="AG6461" s="107"/>
      <c r="AH6461" s="117"/>
      <c r="AI6461" s="107"/>
      <c r="AJ6461" s="117"/>
      <c r="AK6461" s="107"/>
      <c r="AL6461" s="107"/>
      <c r="AM6461" s="107"/>
      <c r="AN6461" s="107"/>
      <c r="AO6461" s="107"/>
      <c r="AP6461" s="107"/>
      <c r="AQ6461" s="107"/>
      <c r="AR6461" s="107"/>
      <c r="AS6461" s="107"/>
      <c r="AT6461" s="39"/>
    </row>
    <row r="6462" spans="33:46" x14ac:dyDescent="0.25">
      <c r="AG6462" s="107"/>
      <c r="AH6462" s="117"/>
      <c r="AI6462" s="107"/>
      <c r="AJ6462" s="117"/>
      <c r="AK6462" s="107"/>
      <c r="AL6462" s="107"/>
      <c r="AM6462" s="107"/>
      <c r="AN6462" s="107"/>
      <c r="AO6462" s="107"/>
      <c r="AP6462" s="107"/>
      <c r="AQ6462" s="107"/>
      <c r="AR6462" s="107"/>
      <c r="AS6462" s="107"/>
      <c r="AT6462" s="39"/>
    </row>
    <row r="6463" spans="33:46" x14ac:dyDescent="0.25">
      <c r="AG6463" s="107"/>
      <c r="AH6463" s="117"/>
      <c r="AI6463" s="107"/>
      <c r="AJ6463" s="117"/>
      <c r="AK6463" s="107"/>
      <c r="AL6463" s="107"/>
      <c r="AM6463" s="107"/>
      <c r="AN6463" s="107"/>
      <c r="AO6463" s="107"/>
      <c r="AP6463" s="107"/>
      <c r="AQ6463" s="107"/>
      <c r="AR6463" s="107"/>
      <c r="AS6463" s="107"/>
      <c r="AT6463" s="39"/>
    </row>
    <row r="6464" spans="33:46" x14ac:dyDescent="0.25">
      <c r="AG6464" s="107"/>
      <c r="AH6464" s="107"/>
      <c r="AI6464" s="107"/>
      <c r="AJ6464" s="117"/>
      <c r="AK6464" s="107"/>
      <c r="AL6464" s="107"/>
      <c r="AM6464" s="107"/>
      <c r="AN6464" s="107"/>
      <c r="AO6464" s="107"/>
      <c r="AP6464" s="107"/>
      <c r="AQ6464" s="107"/>
      <c r="AR6464" s="107"/>
      <c r="AS6464" s="107"/>
      <c r="AT6464" s="107"/>
    </row>
    <row r="6465" spans="33:46" x14ac:dyDescent="0.25">
      <c r="AG6465" s="107"/>
      <c r="AH6465" s="117"/>
      <c r="AI6465" s="107"/>
      <c r="AJ6465" s="117"/>
      <c r="AK6465" s="107"/>
      <c r="AL6465" s="107"/>
      <c r="AM6465" s="107"/>
      <c r="AN6465" s="107"/>
      <c r="AO6465" s="107"/>
      <c r="AP6465" s="107"/>
      <c r="AQ6465" s="107"/>
      <c r="AR6465" s="107"/>
      <c r="AS6465" s="107"/>
      <c r="AT6465" s="39"/>
    </row>
    <row r="6466" spans="33:46" x14ac:dyDescent="0.25">
      <c r="AG6466" s="107"/>
      <c r="AH6466" s="117"/>
      <c r="AI6466" s="107"/>
      <c r="AJ6466" s="117"/>
      <c r="AK6466" s="107"/>
      <c r="AL6466" s="107"/>
      <c r="AM6466" s="107"/>
      <c r="AN6466" s="107"/>
      <c r="AO6466" s="107"/>
      <c r="AP6466" s="107"/>
      <c r="AQ6466" s="107"/>
      <c r="AR6466" s="107"/>
      <c r="AS6466" s="107"/>
      <c r="AT6466" s="39"/>
    </row>
    <row r="6467" spans="33:46" x14ac:dyDescent="0.25">
      <c r="AG6467" s="107"/>
      <c r="AH6467" s="117"/>
      <c r="AI6467" s="107"/>
      <c r="AJ6467" s="117"/>
      <c r="AK6467" s="107"/>
      <c r="AL6467" s="107"/>
      <c r="AM6467" s="107"/>
      <c r="AN6467" s="107"/>
      <c r="AO6467" s="107"/>
      <c r="AP6467" s="107"/>
      <c r="AQ6467" s="107"/>
      <c r="AR6467" s="107"/>
      <c r="AS6467" s="107"/>
      <c r="AT6467" s="39"/>
    </row>
    <row r="6468" spans="33:46" x14ac:dyDescent="0.25">
      <c r="AG6468" s="107"/>
      <c r="AH6468" s="117"/>
      <c r="AI6468" s="107"/>
      <c r="AJ6468" s="117"/>
      <c r="AK6468" s="107"/>
      <c r="AL6468" s="107"/>
      <c r="AM6468" s="107"/>
      <c r="AN6468" s="107"/>
      <c r="AO6468" s="107"/>
      <c r="AP6468" s="107"/>
      <c r="AQ6468" s="107"/>
      <c r="AR6468" s="107"/>
      <c r="AS6468" s="107"/>
      <c r="AT6468" s="39"/>
    </row>
    <row r="6469" spans="33:46" x14ac:dyDescent="0.25">
      <c r="AG6469" s="107"/>
      <c r="AH6469" s="117"/>
      <c r="AI6469" s="117"/>
      <c r="AJ6469" s="117"/>
      <c r="AK6469" s="107"/>
      <c r="AL6469" s="107"/>
      <c r="AM6469" s="107"/>
      <c r="AN6469" s="107"/>
      <c r="AO6469" s="107"/>
      <c r="AP6469" s="107"/>
      <c r="AQ6469" s="107"/>
      <c r="AR6469" s="107"/>
      <c r="AS6469" s="107"/>
      <c r="AT6469" s="39"/>
    </row>
    <row r="6470" spans="33:46" x14ac:dyDescent="0.25">
      <c r="AG6470" s="107"/>
      <c r="AH6470" s="107"/>
      <c r="AI6470" s="107"/>
      <c r="AJ6470" s="117"/>
      <c r="AK6470" s="107"/>
      <c r="AL6470" s="107"/>
      <c r="AM6470" s="107"/>
      <c r="AN6470" s="107"/>
      <c r="AO6470" s="107"/>
      <c r="AP6470" s="107"/>
      <c r="AQ6470" s="107"/>
      <c r="AR6470" s="107"/>
      <c r="AS6470" s="107"/>
      <c r="AT6470" s="107"/>
    </row>
    <row r="6471" spans="33:46" x14ac:dyDescent="0.25">
      <c r="AG6471" s="107"/>
      <c r="AH6471" s="117"/>
      <c r="AI6471" s="107"/>
      <c r="AJ6471" s="117"/>
      <c r="AK6471" s="107"/>
      <c r="AL6471" s="107"/>
      <c r="AM6471" s="107"/>
      <c r="AN6471" s="107"/>
      <c r="AO6471" s="107"/>
      <c r="AP6471" s="107"/>
      <c r="AQ6471" s="107"/>
      <c r="AR6471" s="107"/>
      <c r="AS6471" s="107"/>
      <c r="AT6471" s="39"/>
    </row>
    <row r="6472" spans="33:46" x14ac:dyDescent="0.25">
      <c r="AG6472" s="107"/>
      <c r="AH6472" s="117"/>
      <c r="AI6472" s="107"/>
      <c r="AJ6472" s="117"/>
      <c r="AK6472" s="107"/>
      <c r="AL6472" s="107"/>
      <c r="AM6472" s="107"/>
      <c r="AN6472" s="107"/>
      <c r="AO6472" s="107"/>
      <c r="AP6472" s="107"/>
      <c r="AQ6472" s="107"/>
      <c r="AR6472" s="107"/>
      <c r="AS6472" s="107"/>
      <c r="AT6472" s="39"/>
    </row>
    <row r="6473" spans="33:46" x14ac:dyDescent="0.25">
      <c r="AG6473" s="107"/>
      <c r="AH6473" s="117"/>
      <c r="AI6473" s="117"/>
      <c r="AJ6473" s="117"/>
      <c r="AK6473" s="107"/>
      <c r="AL6473" s="107"/>
      <c r="AM6473" s="107"/>
      <c r="AN6473" s="107"/>
      <c r="AO6473" s="107"/>
      <c r="AP6473" s="107"/>
      <c r="AQ6473" s="107"/>
      <c r="AR6473" s="107"/>
      <c r="AS6473" s="107"/>
      <c r="AT6473" s="39"/>
    </row>
    <row r="6474" spans="33:46" x14ac:dyDescent="0.25">
      <c r="AG6474" s="107"/>
      <c r="AH6474" s="107"/>
      <c r="AI6474" s="107"/>
      <c r="AJ6474" s="117"/>
      <c r="AK6474" s="107"/>
      <c r="AL6474" s="107"/>
      <c r="AM6474" s="107"/>
      <c r="AN6474" s="107"/>
      <c r="AO6474" s="107"/>
      <c r="AP6474" s="107"/>
      <c r="AQ6474" s="107"/>
      <c r="AR6474" s="107"/>
      <c r="AS6474" s="107"/>
      <c r="AT6474" s="107"/>
    </row>
    <row r="6475" spans="33:46" x14ac:dyDescent="0.25">
      <c r="AG6475" s="107"/>
      <c r="AH6475" s="117"/>
      <c r="AI6475" s="107"/>
      <c r="AJ6475" s="117"/>
      <c r="AK6475" s="107"/>
      <c r="AL6475" s="107"/>
      <c r="AM6475" s="107"/>
      <c r="AN6475" s="107"/>
      <c r="AO6475" s="107"/>
      <c r="AP6475" s="107"/>
      <c r="AQ6475" s="107"/>
      <c r="AR6475" s="107"/>
      <c r="AS6475" s="107"/>
      <c r="AT6475" s="39"/>
    </row>
    <row r="6476" spans="33:46" x14ac:dyDescent="0.25">
      <c r="AG6476" s="107"/>
      <c r="AH6476" s="117"/>
      <c r="AI6476" s="107"/>
      <c r="AJ6476" s="117"/>
      <c r="AK6476" s="107"/>
      <c r="AL6476" s="107"/>
      <c r="AM6476" s="107"/>
      <c r="AN6476" s="107"/>
      <c r="AO6476" s="107"/>
      <c r="AP6476" s="107"/>
      <c r="AQ6476" s="107"/>
      <c r="AR6476" s="107"/>
      <c r="AS6476" s="107"/>
      <c r="AT6476" s="39"/>
    </row>
    <row r="6477" spans="33:46" x14ac:dyDescent="0.25">
      <c r="AG6477" s="107"/>
      <c r="AH6477" s="117"/>
      <c r="AI6477" s="107"/>
      <c r="AJ6477" s="117"/>
      <c r="AK6477" s="107"/>
      <c r="AL6477" s="107"/>
      <c r="AM6477" s="107"/>
      <c r="AN6477" s="107"/>
      <c r="AO6477" s="107"/>
      <c r="AP6477" s="107"/>
      <c r="AQ6477" s="107"/>
      <c r="AR6477" s="107"/>
      <c r="AS6477" s="107"/>
      <c r="AT6477" s="39"/>
    </row>
    <row r="6478" spans="33:46" x14ac:dyDescent="0.25">
      <c r="AG6478" s="107"/>
      <c r="AH6478" s="117"/>
      <c r="AI6478" s="117"/>
      <c r="AJ6478" s="117"/>
      <c r="AK6478" s="107"/>
      <c r="AL6478" s="107"/>
      <c r="AM6478" s="107"/>
      <c r="AN6478" s="107"/>
      <c r="AO6478" s="107"/>
      <c r="AP6478" s="107"/>
      <c r="AQ6478" s="107"/>
      <c r="AR6478" s="107"/>
      <c r="AS6478" s="107"/>
      <c r="AT6478" s="39"/>
    </row>
    <row r="6479" spans="33:46" x14ac:dyDescent="0.25">
      <c r="AG6479" s="107"/>
      <c r="AH6479" s="107"/>
      <c r="AI6479" s="107"/>
      <c r="AJ6479" s="117"/>
      <c r="AK6479" s="107"/>
      <c r="AL6479" s="107"/>
      <c r="AM6479" s="107"/>
      <c r="AN6479" s="107"/>
      <c r="AO6479" s="107"/>
      <c r="AP6479" s="107"/>
      <c r="AQ6479" s="107"/>
      <c r="AR6479" s="107"/>
      <c r="AS6479" s="107"/>
      <c r="AT6479" s="107"/>
    </row>
    <row r="6480" spans="33:46" x14ac:dyDescent="0.25">
      <c r="AG6480" s="107"/>
      <c r="AH6480" s="107"/>
      <c r="AI6480" s="107"/>
      <c r="AJ6480" s="117"/>
      <c r="AK6480" s="107"/>
      <c r="AL6480" s="107"/>
      <c r="AM6480" s="107"/>
      <c r="AN6480" s="107"/>
      <c r="AO6480" s="107"/>
      <c r="AP6480" s="107"/>
      <c r="AQ6480" s="107"/>
      <c r="AR6480" s="107"/>
      <c r="AS6480" s="107"/>
      <c r="AT6480" s="107"/>
    </row>
    <row r="6481" spans="33:46" x14ac:dyDescent="0.25">
      <c r="AG6481" s="107"/>
      <c r="AH6481" s="107"/>
      <c r="AI6481" s="107"/>
      <c r="AJ6481" s="117"/>
      <c r="AK6481" s="107"/>
      <c r="AL6481" s="107"/>
      <c r="AM6481" s="107"/>
      <c r="AN6481" s="107"/>
      <c r="AO6481" s="107"/>
      <c r="AP6481" s="107"/>
      <c r="AQ6481" s="107"/>
      <c r="AR6481" s="107"/>
      <c r="AS6481" s="107"/>
      <c r="AT6481" s="107"/>
    </row>
    <row r="6482" spans="33:46" x14ac:dyDescent="0.25">
      <c r="AG6482" s="107"/>
      <c r="AH6482" s="117"/>
      <c r="AI6482" s="107"/>
      <c r="AJ6482" s="117"/>
      <c r="AK6482" s="107"/>
      <c r="AL6482" s="107"/>
      <c r="AM6482" s="107"/>
      <c r="AN6482" s="107"/>
      <c r="AO6482" s="107"/>
      <c r="AP6482" s="107"/>
      <c r="AQ6482" s="107"/>
      <c r="AR6482" s="107"/>
      <c r="AS6482" s="107"/>
      <c r="AT6482" s="39"/>
    </row>
    <row r="6483" spans="33:46" x14ac:dyDescent="0.25">
      <c r="AG6483" s="107"/>
      <c r="AH6483" s="117"/>
      <c r="AI6483" s="107"/>
      <c r="AJ6483" s="117"/>
      <c r="AK6483" s="107"/>
      <c r="AL6483" s="107"/>
      <c r="AM6483" s="107"/>
      <c r="AN6483" s="107"/>
      <c r="AO6483" s="107"/>
      <c r="AP6483" s="107"/>
      <c r="AQ6483" s="107"/>
      <c r="AR6483" s="107"/>
      <c r="AS6483" s="107"/>
      <c r="AT6483" s="39"/>
    </row>
    <row r="6484" spans="33:46" x14ac:dyDescent="0.25">
      <c r="AG6484" s="107"/>
      <c r="AH6484" s="117"/>
      <c r="AI6484" s="107"/>
      <c r="AJ6484" s="117"/>
      <c r="AK6484" s="107"/>
      <c r="AL6484" s="107"/>
      <c r="AM6484" s="107"/>
      <c r="AN6484" s="107"/>
      <c r="AO6484" s="107"/>
      <c r="AP6484" s="107"/>
      <c r="AQ6484" s="107"/>
      <c r="AR6484" s="107"/>
      <c r="AS6484" s="107"/>
      <c r="AT6484" s="39"/>
    </row>
    <row r="6485" spans="33:46" x14ac:dyDescent="0.25">
      <c r="AG6485" s="107"/>
      <c r="AH6485" s="117"/>
      <c r="AI6485" s="117"/>
      <c r="AJ6485" s="117"/>
      <c r="AK6485" s="107"/>
      <c r="AL6485" s="107"/>
      <c r="AM6485" s="107"/>
      <c r="AN6485" s="107"/>
      <c r="AO6485" s="107"/>
      <c r="AP6485" s="107"/>
      <c r="AQ6485" s="107"/>
      <c r="AR6485" s="107"/>
      <c r="AS6485" s="107"/>
      <c r="AT6485" s="39"/>
    </row>
    <row r="6486" spans="33:46" x14ac:dyDescent="0.25">
      <c r="AG6486" s="107"/>
      <c r="AH6486" s="107"/>
      <c r="AI6486" s="107"/>
      <c r="AJ6486" s="117"/>
      <c r="AK6486" s="107"/>
      <c r="AL6486" s="107"/>
      <c r="AM6486" s="107"/>
      <c r="AN6486" s="107"/>
      <c r="AO6486" s="107"/>
      <c r="AP6486" s="107"/>
      <c r="AQ6486" s="107"/>
      <c r="AR6486" s="107"/>
      <c r="AS6486" s="107"/>
      <c r="AT6486" s="107"/>
    </row>
    <row r="6487" spans="33:46" x14ac:dyDescent="0.25">
      <c r="AG6487" s="107"/>
      <c r="AH6487" s="107"/>
      <c r="AI6487" s="107"/>
      <c r="AJ6487" s="117"/>
      <c r="AK6487" s="107"/>
      <c r="AL6487" s="107"/>
      <c r="AM6487" s="107"/>
      <c r="AN6487" s="107"/>
      <c r="AO6487" s="107"/>
      <c r="AP6487" s="107"/>
      <c r="AQ6487" s="107"/>
      <c r="AR6487" s="107"/>
      <c r="AS6487" s="107"/>
      <c r="AT6487" s="107"/>
    </row>
    <row r="6488" spans="33:46" x14ac:dyDescent="0.25">
      <c r="AG6488" s="107"/>
      <c r="AH6488" s="107"/>
      <c r="AI6488" s="107"/>
      <c r="AJ6488" s="117"/>
      <c r="AK6488" s="107"/>
      <c r="AL6488" s="107"/>
      <c r="AM6488" s="107"/>
      <c r="AN6488" s="107"/>
      <c r="AO6488" s="107"/>
      <c r="AP6488" s="107"/>
      <c r="AQ6488" s="107"/>
      <c r="AR6488" s="107"/>
      <c r="AS6488" s="107"/>
      <c r="AT6488" s="107"/>
    </row>
    <row r="6489" spans="33:46" x14ac:dyDescent="0.25">
      <c r="AG6489" s="107"/>
      <c r="AH6489" s="107"/>
      <c r="AI6489" s="107"/>
      <c r="AJ6489" s="117"/>
      <c r="AK6489" s="107"/>
      <c r="AL6489" s="107"/>
      <c r="AM6489" s="107"/>
      <c r="AN6489" s="107"/>
      <c r="AO6489" s="107"/>
      <c r="AP6489" s="107"/>
      <c r="AQ6489" s="107"/>
      <c r="AR6489" s="107"/>
      <c r="AS6489" s="107"/>
      <c r="AT6489" s="107"/>
    </row>
    <row r="6490" spans="33:46" x14ac:dyDescent="0.25">
      <c r="AG6490" s="107"/>
      <c r="AH6490" s="117"/>
      <c r="AI6490" s="107"/>
      <c r="AJ6490" s="117"/>
      <c r="AK6490" s="107"/>
      <c r="AL6490" s="107"/>
      <c r="AM6490" s="107"/>
      <c r="AN6490" s="107"/>
      <c r="AO6490" s="107"/>
      <c r="AP6490" s="107"/>
      <c r="AQ6490" s="107"/>
      <c r="AR6490" s="107"/>
      <c r="AS6490" s="107"/>
      <c r="AT6490" s="39"/>
    </row>
    <row r="6491" spans="33:46" x14ac:dyDescent="0.25">
      <c r="AG6491" s="107"/>
      <c r="AH6491" s="117"/>
      <c r="AI6491" s="107"/>
      <c r="AJ6491" s="117"/>
      <c r="AK6491" s="107"/>
      <c r="AL6491" s="107"/>
      <c r="AM6491" s="107"/>
      <c r="AN6491" s="107"/>
      <c r="AO6491" s="107"/>
      <c r="AP6491" s="107"/>
      <c r="AQ6491" s="107"/>
      <c r="AR6491" s="107"/>
      <c r="AS6491" s="107"/>
      <c r="AT6491" s="39"/>
    </row>
    <row r="6492" spans="33:46" x14ac:dyDescent="0.25">
      <c r="AG6492" s="107"/>
      <c r="AH6492" s="117"/>
      <c r="AI6492" s="107"/>
      <c r="AJ6492" s="117"/>
      <c r="AK6492" s="107"/>
      <c r="AL6492" s="107"/>
      <c r="AM6492" s="107"/>
      <c r="AN6492" s="107"/>
      <c r="AO6492" s="107"/>
      <c r="AP6492" s="107"/>
      <c r="AQ6492" s="107"/>
      <c r="AR6492" s="107"/>
      <c r="AS6492" s="107"/>
      <c r="AT6492" s="39"/>
    </row>
    <row r="6493" spans="33:46" x14ac:dyDescent="0.25">
      <c r="AG6493" s="107"/>
      <c r="AH6493" s="117"/>
      <c r="AI6493" s="107"/>
      <c r="AJ6493" s="117"/>
      <c r="AK6493" s="107"/>
      <c r="AL6493" s="107"/>
      <c r="AM6493" s="107"/>
      <c r="AN6493" s="107"/>
      <c r="AO6493" s="107"/>
      <c r="AP6493" s="107"/>
      <c r="AQ6493" s="107"/>
      <c r="AR6493" s="107"/>
      <c r="AS6493" s="107"/>
      <c r="AT6493" s="39"/>
    </row>
    <row r="6494" spans="33:46" x14ac:dyDescent="0.25">
      <c r="AG6494" s="107"/>
      <c r="AH6494" s="107"/>
      <c r="AI6494" s="107"/>
      <c r="AJ6494" s="117"/>
      <c r="AK6494" s="107"/>
      <c r="AL6494" s="107"/>
      <c r="AM6494" s="107"/>
      <c r="AN6494" s="107"/>
      <c r="AO6494" s="107"/>
      <c r="AP6494" s="107"/>
      <c r="AQ6494" s="107"/>
      <c r="AR6494" s="107"/>
      <c r="AS6494" s="107"/>
      <c r="AT6494" s="107"/>
    </row>
    <row r="6495" spans="33:46" x14ac:dyDescent="0.25">
      <c r="AG6495" s="107"/>
      <c r="AH6495" s="117"/>
      <c r="AI6495" s="107"/>
      <c r="AJ6495" s="117"/>
      <c r="AK6495" s="107"/>
      <c r="AL6495" s="107"/>
      <c r="AM6495" s="107"/>
      <c r="AN6495" s="107"/>
      <c r="AO6495" s="107"/>
      <c r="AP6495" s="107"/>
      <c r="AQ6495" s="107"/>
      <c r="AR6495" s="107"/>
      <c r="AS6495" s="107"/>
      <c r="AT6495" s="39"/>
    </row>
    <row r="6496" spans="33:46" x14ac:dyDescent="0.25">
      <c r="AG6496" s="107"/>
      <c r="AH6496" s="107"/>
      <c r="AI6496" s="107"/>
      <c r="AJ6496" s="117"/>
      <c r="AK6496" s="107"/>
      <c r="AL6496" s="107"/>
      <c r="AM6496" s="107"/>
      <c r="AN6496" s="107"/>
      <c r="AO6496" s="107"/>
      <c r="AP6496" s="107"/>
      <c r="AQ6496" s="107"/>
      <c r="AR6496" s="107"/>
      <c r="AS6496" s="107"/>
      <c r="AT6496" s="107"/>
    </row>
    <row r="6497" spans="33:46" x14ac:dyDescent="0.25">
      <c r="AG6497" s="107"/>
      <c r="AH6497" s="117"/>
      <c r="AI6497" s="107"/>
      <c r="AJ6497" s="117"/>
      <c r="AK6497" s="107"/>
      <c r="AL6497" s="107"/>
      <c r="AM6497" s="107"/>
      <c r="AN6497" s="107"/>
      <c r="AO6497" s="107"/>
      <c r="AP6497" s="107"/>
      <c r="AQ6497" s="107"/>
      <c r="AR6497" s="107"/>
      <c r="AS6497" s="107"/>
      <c r="AT6497" s="39"/>
    </row>
    <row r="6498" spans="33:46" x14ac:dyDescent="0.25">
      <c r="AG6498" s="107"/>
      <c r="AH6498" s="117"/>
      <c r="AI6498" s="107"/>
      <c r="AJ6498" s="117"/>
      <c r="AK6498" s="107"/>
      <c r="AL6498" s="107"/>
      <c r="AM6498" s="107"/>
      <c r="AN6498" s="107"/>
      <c r="AO6498" s="107"/>
      <c r="AP6498" s="107"/>
      <c r="AQ6498" s="107"/>
      <c r="AR6498" s="107"/>
      <c r="AS6498" s="107"/>
      <c r="AT6498" s="39"/>
    </row>
    <row r="6499" spans="33:46" x14ac:dyDescent="0.25">
      <c r="AG6499" s="107"/>
      <c r="AH6499" s="117"/>
      <c r="AI6499" s="107"/>
      <c r="AJ6499" s="117"/>
      <c r="AK6499" s="107"/>
      <c r="AL6499" s="107"/>
      <c r="AM6499" s="107"/>
      <c r="AN6499" s="107"/>
      <c r="AO6499" s="107"/>
      <c r="AP6499" s="107"/>
      <c r="AQ6499" s="107"/>
      <c r="AR6499" s="107"/>
      <c r="AS6499" s="107"/>
      <c r="AT6499" s="39"/>
    </row>
    <row r="6500" spans="33:46" x14ac:dyDescent="0.25">
      <c r="AG6500" s="107"/>
      <c r="AH6500" s="117"/>
      <c r="AI6500" s="107"/>
      <c r="AJ6500" s="117"/>
      <c r="AK6500" s="107"/>
      <c r="AL6500" s="107"/>
      <c r="AM6500" s="107"/>
      <c r="AN6500" s="107"/>
      <c r="AO6500" s="107"/>
      <c r="AP6500" s="107"/>
      <c r="AQ6500" s="107"/>
      <c r="AR6500" s="107"/>
      <c r="AS6500" s="107"/>
      <c r="AT6500" s="39"/>
    </row>
    <row r="6501" spans="33:46" x14ac:dyDescent="0.25">
      <c r="AG6501" s="107"/>
      <c r="AH6501" s="117"/>
      <c r="AI6501" s="107"/>
      <c r="AJ6501" s="117"/>
      <c r="AK6501" s="107"/>
      <c r="AL6501" s="107"/>
      <c r="AM6501" s="107"/>
      <c r="AN6501" s="107"/>
      <c r="AO6501" s="107"/>
      <c r="AP6501" s="107"/>
      <c r="AQ6501" s="107"/>
      <c r="AR6501" s="107"/>
      <c r="AS6501" s="107"/>
      <c r="AT6501" s="39"/>
    </row>
    <row r="6502" spans="33:46" x14ac:dyDescent="0.25">
      <c r="AG6502" s="107"/>
      <c r="AH6502" s="117"/>
      <c r="AI6502" s="107"/>
      <c r="AJ6502" s="117"/>
      <c r="AK6502" s="107"/>
      <c r="AL6502" s="107"/>
      <c r="AM6502" s="107"/>
      <c r="AN6502" s="107"/>
      <c r="AO6502" s="107"/>
      <c r="AP6502" s="107"/>
      <c r="AQ6502" s="107"/>
      <c r="AR6502" s="107"/>
      <c r="AS6502" s="107"/>
      <c r="AT6502" s="39"/>
    </row>
    <row r="6503" spans="33:46" x14ac:dyDescent="0.25">
      <c r="AG6503" s="107"/>
      <c r="AH6503" s="117"/>
      <c r="AI6503" s="107"/>
      <c r="AJ6503" s="117"/>
      <c r="AK6503" s="107"/>
      <c r="AL6503" s="107"/>
      <c r="AM6503" s="107"/>
      <c r="AN6503" s="107"/>
      <c r="AO6503" s="107"/>
      <c r="AP6503" s="107"/>
      <c r="AQ6503" s="107"/>
      <c r="AR6503" s="107"/>
      <c r="AS6503" s="107"/>
      <c r="AT6503" s="39"/>
    </row>
    <row r="6504" spans="33:46" x14ac:dyDescent="0.25">
      <c r="AG6504" s="107"/>
      <c r="AH6504" s="117"/>
      <c r="AI6504" s="107"/>
      <c r="AJ6504" s="117"/>
      <c r="AK6504" s="107"/>
      <c r="AL6504" s="107"/>
      <c r="AM6504" s="107"/>
      <c r="AN6504" s="107"/>
      <c r="AO6504" s="107"/>
      <c r="AP6504" s="107"/>
      <c r="AQ6504" s="107"/>
      <c r="AR6504" s="107"/>
      <c r="AS6504" s="107"/>
      <c r="AT6504" s="39"/>
    </row>
    <row r="6505" spans="33:46" x14ac:dyDescent="0.25">
      <c r="AG6505" s="107"/>
      <c r="AH6505" s="117"/>
      <c r="AI6505" s="107"/>
      <c r="AJ6505" s="117"/>
      <c r="AK6505" s="107"/>
      <c r="AL6505" s="107"/>
      <c r="AM6505" s="107"/>
      <c r="AN6505" s="107"/>
      <c r="AO6505" s="107"/>
      <c r="AP6505" s="107"/>
      <c r="AQ6505" s="107"/>
      <c r="AR6505" s="107"/>
      <c r="AS6505" s="107"/>
      <c r="AT6505" s="39"/>
    </row>
    <row r="6506" spans="33:46" x14ac:dyDescent="0.25">
      <c r="AG6506" s="107"/>
      <c r="AH6506" s="117"/>
      <c r="AI6506" s="107"/>
      <c r="AJ6506" s="117"/>
      <c r="AK6506" s="107"/>
      <c r="AL6506" s="107"/>
      <c r="AM6506" s="107"/>
      <c r="AN6506" s="107"/>
      <c r="AO6506" s="107"/>
      <c r="AP6506" s="107"/>
      <c r="AQ6506" s="107"/>
      <c r="AR6506" s="107"/>
      <c r="AS6506" s="107"/>
      <c r="AT6506" s="39"/>
    </row>
    <row r="6507" spans="33:46" x14ac:dyDescent="0.25">
      <c r="AG6507" s="107"/>
      <c r="AH6507" s="117"/>
      <c r="AI6507" s="107"/>
      <c r="AJ6507" s="117"/>
      <c r="AK6507" s="107"/>
      <c r="AL6507" s="107"/>
      <c r="AM6507" s="107"/>
      <c r="AN6507" s="107"/>
      <c r="AO6507" s="107"/>
      <c r="AP6507" s="107"/>
      <c r="AQ6507" s="107"/>
      <c r="AR6507" s="107"/>
      <c r="AS6507" s="107"/>
      <c r="AT6507" s="39"/>
    </row>
    <row r="6508" spans="33:46" x14ac:dyDescent="0.25">
      <c r="AG6508" s="107"/>
      <c r="AH6508" s="117"/>
      <c r="AI6508" s="107"/>
      <c r="AJ6508" s="117"/>
      <c r="AK6508" s="107"/>
      <c r="AL6508" s="107"/>
      <c r="AM6508" s="107"/>
      <c r="AN6508" s="107"/>
      <c r="AO6508" s="107"/>
      <c r="AP6508" s="107"/>
      <c r="AQ6508" s="107"/>
      <c r="AR6508" s="107"/>
      <c r="AS6508" s="107"/>
      <c r="AT6508" s="39"/>
    </row>
    <row r="6509" spans="33:46" x14ac:dyDescent="0.25">
      <c r="AG6509" s="107"/>
      <c r="AH6509" s="117"/>
      <c r="AI6509" s="107"/>
      <c r="AJ6509" s="117"/>
      <c r="AK6509" s="107"/>
      <c r="AL6509" s="107"/>
      <c r="AM6509" s="107"/>
      <c r="AN6509" s="107"/>
      <c r="AO6509" s="107"/>
      <c r="AP6509" s="107"/>
      <c r="AQ6509" s="107"/>
      <c r="AR6509" s="107"/>
      <c r="AS6509" s="107"/>
      <c r="AT6509" s="39"/>
    </row>
    <row r="6510" spans="33:46" x14ac:dyDescent="0.25">
      <c r="AG6510" s="107"/>
      <c r="AH6510" s="117"/>
      <c r="AI6510" s="107"/>
      <c r="AJ6510" s="117"/>
      <c r="AK6510" s="107"/>
      <c r="AL6510" s="107"/>
      <c r="AM6510" s="107"/>
      <c r="AN6510" s="107"/>
      <c r="AO6510" s="107"/>
      <c r="AP6510" s="107"/>
      <c r="AQ6510" s="107"/>
      <c r="AR6510" s="107"/>
      <c r="AS6510" s="107"/>
      <c r="AT6510" s="39"/>
    </row>
    <row r="6511" spans="33:46" x14ac:dyDescent="0.25">
      <c r="AG6511" s="107"/>
      <c r="AH6511" s="117"/>
      <c r="AI6511" s="107"/>
      <c r="AJ6511" s="117"/>
      <c r="AK6511" s="107"/>
      <c r="AL6511" s="107"/>
      <c r="AM6511" s="107"/>
      <c r="AN6511" s="107"/>
      <c r="AO6511" s="107"/>
      <c r="AP6511" s="107"/>
      <c r="AQ6511" s="107"/>
      <c r="AR6511" s="107"/>
      <c r="AS6511" s="107"/>
      <c r="AT6511" s="39"/>
    </row>
    <row r="6512" spans="33:46" x14ac:dyDescent="0.25">
      <c r="AG6512" s="107"/>
      <c r="AH6512" s="117"/>
      <c r="AI6512" s="107"/>
      <c r="AJ6512" s="117"/>
      <c r="AK6512" s="107"/>
      <c r="AL6512" s="107"/>
      <c r="AM6512" s="107"/>
      <c r="AN6512" s="107"/>
      <c r="AO6512" s="107"/>
      <c r="AP6512" s="107"/>
      <c r="AQ6512" s="107"/>
      <c r="AR6512" s="107"/>
      <c r="AS6512" s="107"/>
      <c r="AT6512" s="39"/>
    </row>
    <row r="6513" spans="33:46" x14ac:dyDescent="0.25">
      <c r="AG6513" s="107"/>
      <c r="AH6513" s="117"/>
      <c r="AI6513" s="107"/>
      <c r="AJ6513" s="117"/>
      <c r="AK6513" s="107"/>
      <c r="AL6513" s="107"/>
      <c r="AM6513" s="107"/>
      <c r="AN6513" s="107"/>
      <c r="AO6513" s="107"/>
      <c r="AP6513" s="107"/>
      <c r="AQ6513" s="107"/>
      <c r="AR6513" s="107"/>
      <c r="AS6513" s="107"/>
      <c r="AT6513" s="39"/>
    </row>
    <row r="6514" spans="33:46" x14ac:dyDescent="0.25">
      <c r="AG6514" s="107"/>
      <c r="AH6514" s="117"/>
      <c r="AI6514" s="107"/>
      <c r="AJ6514" s="117"/>
      <c r="AK6514" s="107"/>
      <c r="AL6514" s="107"/>
      <c r="AM6514" s="107"/>
      <c r="AN6514" s="107"/>
      <c r="AO6514" s="107"/>
      <c r="AP6514" s="107"/>
      <c r="AQ6514" s="107"/>
      <c r="AR6514" s="107"/>
      <c r="AS6514" s="107"/>
      <c r="AT6514" s="39"/>
    </row>
    <row r="6515" spans="33:46" x14ac:dyDescent="0.25">
      <c r="AG6515" s="107"/>
      <c r="AH6515" s="117"/>
      <c r="AI6515" s="107"/>
      <c r="AJ6515" s="117"/>
      <c r="AK6515" s="107"/>
      <c r="AL6515" s="107"/>
      <c r="AM6515" s="107"/>
      <c r="AN6515" s="107"/>
      <c r="AO6515" s="107"/>
      <c r="AP6515" s="107"/>
      <c r="AQ6515" s="107"/>
      <c r="AR6515" s="107"/>
      <c r="AS6515" s="107"/>
      <c r="AT6515" s="39"/>
    </row>
    <row r="6516" spans="33:46" x14ac:dyDescent="0.25">
      <c r="AG6516" s="107"/>
      <c r="AH6516" s="107"/>
      <c r="AI6516" s="107"/>
      <c r="AJ6516" s="117"/>
      <c r="AK6516" s="107"/>
      <c r="AL6516" s="107"/>
      <c r="AM6516" s="107"/>
      <c r="AN6516" s="107"/>
      <c r="AO6516" s="107"/>
      <c r="AP6516" s="107"/>
      <c r="AQ6516" s="107"/>
      <c r="AR6516" s="107"/>
      <c r="AS6516" s="107"/>
      <c r="AT6516" s="107"/>
    </row>
    <row r="6517" spans="33:46" x14ac:dyDescent="0.25">
      <c r="AG6517" s="107"/>
      <c r="AH6517" s="117"/>
      <c r="AI6517" s="107"/>
      <c r="AJ6517" s="117"/>
      <c r="AK6517" s="107"/>
      <c r="AL6517" s="107"/>
      <c r="AM6517" s="107"/>
      <c r="AN6517" s="107"/>
      <c r="AO6517" s="107"/>
      <c r="AP6517" s="107"/>
      <c r="AQ6517" s="107"/>
      <c r="AR6517" s="107"/>
      <c r="AS6517" s="107"/>
      <c r="AT6517" s="39"/>
    </row>
    <row r="6518" spans="33:46" x14ac:dyDescent="0.25">
      <c r="AG6518" s="107"/>
      <c r="AH6518" s="117"/>
      <c r="AI6518" s="107"/>
      <c r="AJ6518" s="117"/>
      <c r="AK6518" s="107"/>
      <c r="AL6518" s="107"/>
      <c r="AM6518" s="107"/>
      <c r="AN6518" s="107"/>
      <c r="AO6518" s="107"/>
      <c r="AP6518" s="107"/>
      <c r="AQ6518" s="107"/>
      <c r="AR6518" s="107"/>
      <c r="AS6518" s="107"/>
      <c r="AT6518" s="39"/>
    </row>
    <row r="6519" spans="33:46" x14ac:dyDescent="0.25">
      <c r="AG6519" s="107"/>
      <c r="AH6519" s="117"/>
      <c r="AI6519" s="107"/>
      <c r="AJ6519" s="117"/>
      <c r="AK6519" s="107"/>
      <c r="AL6519" s="107"/>
      <c r="AM6519" s="107"/>
      <c r="AN6519" s="107"/>
      <c r="AO6519" s="107"/>
      <c r="AP6519" s="107"/>
      <c r="AQ6519" s="107"/>
      <c r="AR6519" s="107"/>
      <c r="AS6519" s="107"/>
      <c r="AT6519" s="39"/>
    </row>
    <row r="6520" spans="33:46" x14ac:dyDescent="0.25">
      <c r="AG6520" s="107"/>
      <c r="AH6520" s="107"/>
      <c r="AI6520" s="107"/>
      <c r="AJ6520" s="117"/>
      <c r="AK6520" s="107"/>
      <c r="AL6520" s="107"/>
      <c r="AM6520" s="107"/>
      <c r="AN6520" s="107"/>
      <c r="AO6520" s="107"/>
      <c r="AP6520" s="107"/>
      <c r="AQ6520" s="107"/>
      <c r="AR6520" s="107"/>
      <c r="AS6520" s="107"/>
      <c r="AT6520" s="107"/>
    </row>
    <row r="6521" spans="33:46" x14ac:dyDescent="0.25">
      <c r="AG6521" s="107"/>
      <c r="AH6521" s="117"/>
      <c r="AI6521" s="107"/>
      <c r="AJ6521" s="117"/>
      <c r="AK6521" s="107"/>
      <c r="AL6521" s="107"/>
      <c r="AM6521" s="107"/>
      <c r="AN6521" s="107"/>
      <c r="AO6521" s="107"/>
      <c r="AP6521" s="107"/>
      <c r="AQ6521" s="107"/>
      <c r="AR6521" s="107"/>
      <c r="AS6521" s="107"/>
      <c r="AT6521" s="39"/>
    </row>
    <row r="6522" spans="33:46" x14ac:dyDescent="0.25">
      <c r="AG6522" s="107"/>
      <c r="AH6522" s="117"/>
      <c r="AI6522" s="107"/>
      <c r="AJ6522" s="117"/>
      <c r="AK6522" s="107"/>
      <c r="AL6522" s="107"/>
      <c r="AM6522" s="107"/>
      <c r="AN6522" s="107"/>
      <c r="AO6522" s="107"/>
      <c r="AP6522" s="107"/>
      <c r="AQ6522" s="107"/>
      <c r="AR6522" s="107"/>
      <c r="AS6522" s="107"/>
      <c r="AT6522" s="39"/>
    </row>
    <row r="6523" spans="33:46" x14ac:dyDescent="0.25">
      <c r="AG6523" s="107"/>
      <c r="AH6523" s="117"/>
      <c r="AI6523" s="107"/>
      <c r="AJ6523" s="117"/>
      <c r="AK6523" s="107"/>
      <c r="AL6523" s="107"/>
      <c r="AM6523" s="107"/>
      <c r="AN6523" s="107"/>
      <c r="AO6523" s="107"/>
      <c r="AP6523" s="107"/>
      <c r="AQ6523" s="107"/>
      <c r="AR6523" s="107"/>
      <c r="AS6523" s="107"/>
      <c r="AT6523" s="39"/>
    </row>
    <row r="6524" spans="33:46" x14ac:dyDescent="0.25">
      <c r="AG6524" s="107"/>
      <c r="AH6524" s="117"/>
      <c r="AI6524" s="107"/>
      <c r="AJ6524" s="117"/>
      <c r="AK6524" s="107"/>
      <c r="AL6524" s="107"/>
      <c r="AM6524" s="107"/>
      <c r="AN6524" s="107"/>
      <c r="AO6524" s="107"/>
      <c r="AP6524" s="107"/>
      <c r="AQ6524" s="107"/>
      <c r="AR6524" s="107"/>
      <c r="AS6524" s="107"/>
      <c r="AT6524" s="39"/>
    </row>
    <row r="6525" spans="33:46" x14ac:dyDescent="0.25">
      <c r="AG6525" s="107"/>
      <c r="AH6525" s="107"/>
      <c r="AI6525" s="107"/>
      <c r="AJ6525" s="117"/>
      <c r="AK6525" s="107"/>
      <c r="AL6525" s="107"/>
      <c r="AM6525" s="107"/>
      <c r="AN6525" s="107"/>
      <c r="AO6525" s="107"/>
      <c r="AP6525" s="107"/>
      <c r="AQ6525" s="107"/>
      <c r="AR6525" s="107"/>
      <c r="AS6525" s="107"/>
      <c r="AT6525" s="107"/>
    </row>
    <row r="6526" spans="33:46" x14ac:dyDescent="0.25">
      <c r="AG6526" s="107"/>
      <c r="AH6526" s="117"/>
      <c r="AI6526" s="107"/>
      <c r="AJ6526" s="117"/>
      <c r="AK6526" s="107"/>
      <c r="AL6526" s="107"/>
      <c r="AM6526" s="107"/>
      <c r="AN6526" s="107"/>
      <c r="AO6526" s="107"/>
      <c r="AP6526" s="107"/>
      <c r="AQ6526" s="107"/>
      <c r="AR6526" s="107"/>
      <c r="AS6526" s="107"/>
      <c r="AT6526" s="39"/>
    </row>
    <row r="6527" spans="33:46" x14ac:dyDescent="0.25">
      <c r="AG6527" s="107"/>
      <c r="AH6527" s="117"/>
      <c r="AI6527" s="107"/>
      <c r="AJ6527" s="117"/>
      <c r="AK6527" s="107"/>
      <c r="AL6527" s="107"/>
      <c r="AM6527" s="107"/>
      <c r="AN6527" s="107"/>
      <c r="AO6527" s="107"/>
      <c r="AP6527" s="107"/>
      <c r="AQ6527" s="107"/>
      <c r="AR6527" s="107"/>
      <c r="AS6527" s="107"/>
      <c r="AT6527" s="39"/>
    </row>
    <row r="6528" spans="33:46" x14ac:dyDescent="0.25">
      <c r="AG6528" s="107"/>
      <c r="AH6528" s="117"/>
      <c r="AI6528" s="107"/>
      <c r="AJ6528" s="117"/>
      <c r="AK6528" s="107"/>
      <c r="AL6528" s="107"/>
      <c r="AM6528" s="107"/>
      <c r="AN6528" s="107"/>
      <c r="AO6528" s="107"/>
      <c r="AP6528" s="107"/>
      <c r="AQ6528" s="107"/>
      <c r="AR6528" s="107"/>
      <c r="AS6528" s="107"/>
      <c r="AT6528" s="39"/>
    </row>
    <row r="6529" spans="33:46" x14ac:dyDescent="0.25">
      <c r="AG6529" s="107"/>
      <c r="AH6529" s="117"/>
      <c r="AI6529" s="107"/>
      <c r="AJ6529" s="117"/>
      <c r="AK6529" s="107"/>
      <c r="AL6529" s="107"/>
      <c r="AM6529" s="107"/>
      <c r="AN6529" s="107"/>
      <c r="AO6529" s="107"/>
      <c r="AP6529" s="107"/>
      <c r="AQ6529" s="107"/>
      <c r="AR6529" s="107"/>
      <c r="AS6529" s="107"/>
      <c r="AT6529" s="39"/>
    </row>
    <row r="6530" spans="33:46" x14ac:dyDescent="0.25">
      <c r="AG6530" s="107"/>
      <c r="AH6530" s="117"/>
      <c r="AI6530" s="107"/>
      <c r="AJ6530" s="117"/>
      <c r="AK6530" s="107"/>
      <c r="AL6530" s="107"/>
      <c r="AM6530" s="107"/>
      <c r="AN6530" s="107"/>
      <c r="AO6530" s="107"/>
      <c r="AP6530" s="107"/>
      <c r="AQ6530" s="107"/>
      <c r="AR6530" s="107"/>
      <c r="AS6530" s="107"/>
      <c r="AT6530" s="39"/>
    </row>
    <row r="6531" spans="33:46" x14ac:dyDescent="0.25">
      <c r="AG6531" s="107"/>
      <c r="AH6531" s="117"/>
      <c r="AI6531" s="107"/>
      <c r="AJ6531" s="117"/>
      <c r="AK6531" s="107"/>
      <c r="AL6531" s="107"/>
      <c r="AM6531" s="107"/>
      <c r="AN6531" s="107"/>
      <c r="AO6531" s="107"/>
      <c r="AP6531" s="107"/>
      <c r="AQ6531" s="107"/>
      <c r="AR6531" s="107"/>
      <c r="AS6531" s="107"/>
      <c r="AT6531" s="39"/>
    </row>
    <row r="6532" spans="33:46" x14ac:dyDescent="0.25">
      <c r="AG6532" s="107"/>
      <c r="AH6532" s="117"/>
      <c r="AI6532" s="107"/>
      <c r="AJ6532" s="117"/>
      <c r="AK6532" s="107"/>
      <c r="AL6532" s="107"/>
      <c r="AM6532" s="107"/>
      <c r="AN6532" s="107"/>
      <c r="AO6532" s="107"/>
      <c r="AP6532" s="107"/>
      <c r="AQ6532" s="107"/>
      <c r="AR6532" s="107"/>
      <c r="AS6532" s="107"/>
      <c r="AT6532" s="39"/>
    </row>
    <row r="6533" spans="33:46" x14ac:dyDescent="0.25">
      <c r="AG6533" s="107"/>
      <c r="AH6533" s="117"/>
      <c r="AI6533" s="107"/>
      <c r="AJ6533" s="117"/>
      <c r="AK6533" s="107"/>
      <c r="AL6533" s="107"/>
      <c r="AM6533" s="107"/>
      <c r="AN6533" s="107"/>
      <c r="AO6533" s="107"/>
      <c r="AP6533" s="107"/>
      <c r="AQ6533" s="107"/>
      <c r="AR6533" s="107"/>
      <c r="AS6533" s="107"/>
      <c r="AT6533" s="39"/>
    </row>
    <row r="6534" spans="33:46" x14ac:dyDescent="0.25">
      <c r="AG6534" s="107"/>
      <c r="AH6534" s="107"/>
      <c r="AI6534" s="107"/>
      <c r="AJ6534" s="117"/>
      <c r="AK6534" s="107"/>
      <c r="AL6534" s="107"/>
      <c r="AM6534" s="107"/>
      <c r="AN6534" s="107"/>
      <c r="AO6534" s="107"/>
      <c r="AP6534" s="107"/>
      <c r="AQ6534" s="107"/>
      <c r="AR6534" s="107"/>
      <c r="AS6534" s="107"/>
      <c r="AT6534" s="107"/>
    </row>
    <row r="6535" spans="33:46" x14ac:dyDescent="0.25">
      <c r="AG6535" s="107"/>
      <c r="AH6535" s="117"/>
      <c r="AI6535" s="107"/>
      <c r="AJ6535" s="117"/>
      <c r="AK6535" s="107"/>
      <c r="AL6535" s="107"/>
      <c r="AM6535" s="107"/>
      <c r="AN6535" s="107"/>
      <c r="AO6535" s="107"/>
      <c r="AP6535" s="107"/>
      <c r="AQ6535" s="107"/>
      <c r="AR6535" s="107"/>
      <c r="AS6535" s="107"/>
      <c r="AT6535" s="39"/>
    </row>
    <row r="6536" spans="33:46" x14ac:dyDescent="0.25">
      <c r="AG6536" s="107"/>
      <c r="AH6536" s="117"/>
      <c r="AI6536" s="107"/>
      <c r="AJ6536" s="117"/>
      <c r="AK6536" s="107"/>
      <c r="AL6536" s="107"/>
      <c r="AM6536" s="107"/>
      <c r="AN6536" s="107"/>
      <c r="AO6536" s="107"/>
      <c r="AP6536" s="107"/>
      <c r="AQ6536" s="107"/>
      <c r="AR6536" s="107"/>
      <c r="AS6536" s="107"/>
      <c r="AT6536" s="39"/>
    </row>
    <row r="6537" spans="33:46" x14ac:dyDescent="0.25">
      <c r="AG6537" s="107"/>
      <c r="AH6537" s="117"/>
      <c r="AI6537" s="107"/>
      <c r="AJ6537" s="117"/>
      <c r="AK6537" s="107"/>
      <c r="AL6537" s="107"/>
      <c r="AM6537" s="107"/>
      <c r="AN6537" s="107"/>
      <c r="AO6537" s="107"/>
      <c r="AP6537" s="107"/>
      <c r="AQ6537" s="107"/>
      <c r="AR6537" s="107"/>
      <c r="AS6537" s="107"/>
      <c r="AT6537" s="39"/>
    </row>
    <row r="6538" spans="33:46" x14ac:dyDescent="0.25">
      <c r="AG6538" s="107"/>
      <c r="AH6538" s="117"/>
      <c r="AI6538" s="107"/>
      <c r="AJ6538" s="117"/>
      <c r="AK6538" s="107"/>
      <c r="AL6538" s="107"/>
      <c r="AM6538" s="107"/>
      <c r="AN6538" s="107"/>
      <c r="AO6538" s="107"/>
      <c r="AP6538" s="107"/>
      <c r="AQ6538" s="107"/>
      <c r="AR6538" s="107"/>
      <c r="AS6538" s="107"/>
      <c r="AT6538" s="39"/>
    </row>
    <row r="6539" spans="33:46" x14ac:dyDescent="0.25">
      <c r="AG6539" s="107"/>
      <c r="AH6539" s="117"/>
      <c r="AI6539" s="107"/>
      <c r="AJ6539" s="117"/>
      <c r="AK6539" s="107"/>
      <c r="AL6539" s="107"/>
      <c r="AM6539" s="107"/>
      <c r="AN6539" s="107"/>
      <c r="AO6539" s="107"/>
      <c r="AP6539" s="107"/>
      <c r="AQ6539" s="107"/>
      <c r="AR6539" s="107"/>
      <c r="AS6539" s="107"/>
      <c r="AT6539" s="39"/>
    </row>
  </sheetData>
  <sortState ref="AG2:AT397">
    <sortCondition ref="AG1"/>
  </sortState>
  <mergeCells count="2">
    <mergeCell ref="B1:C1"/>
    <mergeCell ref="D1:E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lear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43</v>
      </c>
    </row>
    <row r="2" spans="1:1" x14ac:dyDescent="0.25">
      <c r="A2" s="1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22"/>
  <sheetViews>
    <sheetView tabSelected="1" zoomScale="85" zoomScaleNormal="85" workbookViewId="0">
      <selection activeCell="A38" sqref="A38"/>
    </sheetView>
  </sheetViews>
  <sheetFormatPr defaultRowHeight="15" x14ac:dyDescent="0.25"/>
  <cols>
    <col min="1" max="1" width="41" style="85" customWidth="1"/>
    <col min="2" max="2" width="28.7109375" style="85" customWidth="1"/>
    <col min="3" max="3" width="15.28515625" style="85" customWidth="1"/>
    <col min="4" max="4" width="23.28515625" style="13" customWidth="1"/>
    <col min="5" max="5" width="17.85546875" style="13" customWidth="1"/>
    <col min="6" max="6" width="2.42578125" style="13" customWidth="1"/>
    <col min="7" max="7" width="33.5703125" style="13" customWidth="1"/>
    <col min="8" max="8" width="28.42578125" style="13" customWidth="1"/>
    <col min="9" max="9" width="2.42578125" style="13" customWidth="1"/>
    <col min="10" max="10" width="30.85546875" style="13" customWidth="1"/>
    <col min="11" max="11" width="31.85546875" style="13" customWidth="1"/>
    <col min="12" max="12" width="2" style="13" customWidth="1"/>
    <col min="13" max="13" width="25.5703125" style="85" customWidth="1"/>
    <col min="14" max="14" width="21" style="85" customWidth="1"/>
    <col min="15" max="15" width="2.85546875" style="13" customWidth="1"/>
    <col min="16" max="16" width="23" style="13" customWidth="1"/>
    <col min="17" max="19" width="21" style="13" customWidth="1"/>
    <col min="20" max="16384" width="9.140625" style="13"/>
  </cols>
  <sheetData>
    <row r="1" spans="1:22" ht="15.75" thickBot="1" x14ac:dyDescent="0.3">
      <c r="A1" s="52"/>
      <c r="B1" s="52"/>
      <c r="C1" s="52"/>
      <c r="F1" s="16"/>
      <c r="G1" s="3"/>
      <c r="H1" s="3"/>
      <c r="I1" s="3"/>
      <c r="J1" s="3"/>
      <c r="K1" s="3"/>
      <c r="M1" s="13"/>
      <c r="N1" s="13"/>
      <c r="O1" s="17"/>
      <c r="V1" s="20"/>
    </row>
    <row r="2" spans="1:22" ht="15.75" thickBot="1" x14ac:dyDescent="0.3">
      <c r="A2" s="124" t="s">
        <v>13</v>
      </c>
      <c r="B2" s="124"/>
      <c r="C2" s="53">
        <v>1</v>
      </c>
      <c r="D2" s="124" t="s">
        <v>32</v>
      </c>
      <c r="E2" s="124"/>
      <c r="F2" s="16"/>
      <c r="G2" s="125" t="s">
        <v>51</v>
      </c>
      <c r="H2" s="125"/>
      <c r="I2" s="16"/>
      <c r="J2" s="125" t="s">
        <v>53</v>
      </c>
      <c r="K2" s="125"/>
      <c r="L2" s="16"/>
      <c r="M2" s="124" t="s">
        <v>42</v>
      </c>
      <c r="N2" s="124"/>
      <c r="O2" s="18"/>
      <c r="P2" s="54" t="s">
        <v>41</v>
      </c>
      <c r="V2" s="21"/>
    </row>
    <row r="3" spans="1:22" ht="16.5" thickBot="1" x14ac:dyDescent="0.3">
      <c r="A3" s="69" t="s">
        <v>13</v>
      </c>
      <c r="B3" s="69" t="s">
        <v>23</v>
      </c>
      <c r="C3" s="71" t="s">
        <v>70</v>
      </c>
      <c r="D3" s="69" t="s">
        <v>13</v>
      </c>
      <c r="E3" s="69" t="s">
        <v>23</v>
      </c>
      <c r="F3" s="16"/>
      <c r="G3" s="61" t="s">
        <v>27</v>
      </c>
      <c r="H3" s="61" t="s">
        <v>29</v>
      </c>
      <c r="I3" s="16"/>
      <c r="J3" s="77" t="s">
        <v>27</v>
      </c>
      <c r="K3" s="77" t="s">
        <v>29</v>
      </c>
      <c r="L3" s="22"/>
      <c r="M3" s="75" t="s">
        <v>25</v>
      </c>
      <c r="N3" s="83" t="s">
        <v>31</v>
      </c>
      <c r="O3" s="19"/>
      <c r="P3" s="62">
        <f>SUM(Country[Count])</f>
        <v>0</v>
      </c>
      <c r="V3" s="21"/>
    </row>
    <row r="4" spans="1:22" x14ac:dyDescent="0.25">
      <c r="A4" s="9" t="s">
        <v>14</v>
      </c>
      <c r="B4" s="10">
        <f>COUNTIF(Listing!$BB:$BB,ReporttypeTotal[[#This Row],[Report Type]])</f>
        <v>0</v>
      </c>
      <c r="C4" s="8"/>
      <c r="D4" s="6"/>
      <c r="E4" s="7"/>
      <c r="F4" s="65" t="s">
        <v>63</v>
      </c>
      <c r="G4" s="11" t="s">
        <v>48</v>
      </c>
      <c r="H4" s="11">
        <f>COUNTIFS(Listing!$AY:$AY,"&gt;0",Listing!$BA:$BA,"",Listing!$BI:$BI,"Yes",Listing!$BJ:$BJ,F4)</f>
        <v>0</v>
      </c>
      <c r="I4" s="16"/>
      <c r="J4" s="79"/>
      <c r="K4" s="79"/>
      <c r="L4" s="23" t="e">
        <v>#N/A</v>
      </c>
      <c r="M4" s="84"/>
      <c r="N4" s="81" t="str">
        <f>IF(Country[Country of Incidence]&lt;&gt;"",COUNTIF(Listing!$BC:$BC,Country[[#This Row],[Country of Incidence]]),"")</f>
        <v/>
      </c>
      <c r="O4" s="19"/>
      <c r="V4" s="21"/>
    </row>
    <row r="5" spans="1:22" x14ac:dyDescent="0.25">
      <c r="A5" s="9" t="s">
        <v>7</v>
      </c>
      <c r="B5" s="10">
        <f>COUNTIF(Listing!$BB:$BB,ReporttypeTotal[[#This Row],[Report Type]])</f>
        <v>0</v>
      </c>
      <c r="C5" s="8"/>
      <c r="D5" s="111"/>
      <c r="E5" s="112"/>
      <c r="F5" s="65" t="s">
        <v>62</v>
      </c>
      <c r="G5" s="11" t="s">
        <v>44</v>
      </c>
      <c r="H5" s="11">
        <f>COUNTIFS(Listing!$AY:$AY,"&gt;0",Listing!$BA:$BA,"",Listing!$BI:$BI,"Yes",Listing!$BJ:$BJ,F5)</f>
        <v>0</v>
      </c>
      <c r="I5" s="16"/>
      <c r="J5" s="89"/>
      <c r="K5" s="89"/>
      <c r="L5" s="23" t="e">
        <v>#N/A</v>
      </c>
      <c r="O5" s="19"/>
      <c r="V5" s="21"/>
    </row>
    <row r="6" spans="1:22" x14ac:dyDescent="0.25">
      <c r="A6" s="9" t="s">
        <v>11</v>
      </c>
      <c r="B6" s="10">
        <f>COUNTIF(Listing!$BB:$BB,ReporttypeTotal[[#This Row],[Report Type]])</f>
        <v>0</v>
      </c>
      <c r="C6" s="8"/>
      <c r="D6" s="109"/>
      <c r="E6" s="110"/>
      <c r="F6" s="65" t="s">
        <v>63</v>
      </c>
      <c r="G6" s="11" t="s">
        <v>46</v>
      </c>
      <c r="H6" s="11">
        <f>COUNTIFS(Listing!$AY:$AY,"&gt;0",Listing!$BA:$BA,"&gt;0",Listing!$BI:$BI,"Yes",Listing!$BJ:$BJ,F6)</f>
        <v>0</v>
      </c>
      <c r="I6" s="16"/>
      <c r="J6" s="79"/>
      <c r="K6" s="79"/>
      <c r="L6" s="23" t="e">
        <v>#N/A</v>
      </c>
      <c r="O6" s="19"/>
    </row>
    <row r="7" spans="1:22" x14ac:dyDescent="0.25">
      <c r="A7" s="9" t="s">
        <v>15</v>
      </c>
      <c r="B7" s="10">
        <f>COUNTIF(Listing!$BB:$BB,ReporttypeTotal[[#This Row],[Report Type]])</f>
        <v>0</v>
      </c>
      <c r="C7" s="8"/>
      <c r="D7" s="111"/>
      <c r="E7" s="112"/>
      <c r="F7" s="65" t="s">
        <v>62</v>
      </c>
      <c r="G7" s="11" t="s">
        <v>45</v>
      </c>
      <c r="H7" s="11">
        <f>COUNTIFS(Listing!$AY:$AY,"&gt;0",Listing!$BA:$BA,"&gt;0",Listing!$BI:$BI,"Yes",Listing!$BJ:$BJ,F7)</f>
        <v>0</v>
      </c>
      <c r="I7" s="16"/>
      <c r="J7" s="79"/>
      <c r="K7" s="79"/>
      <c r="L7" s="23" t="e">
        <v>#N/A</v>
      </c>
      <c r="O7" s="19"/>
    </row>
    <row r="8" spans="1:22" x14ac:dyDescent="0.25">
      <c r="A8" s="9" t="s">
        <v>16</v>
      </c>
      <c r="B8" s="10">
        <f>COUNTIF(Listing!$BB:$BB,ReporttypeTotal[[#This Row],[Report Type]])</f>
        <v>0</v>
      </c>
      <c r="C8" s="8"/>
      <c r="D8" s="109"/>
      <c r="E8" s="110"/>
      <c r="F8" s="65" t="s">
        <v>63</v>
      </c>
      <c r="G8" s="11" t="s">
        <v>47</v>
      </c>
      <c r="H8" s="11">
        <f>COUNTIFS(Listing!$AY:$AY,"&gt;0",Listing!$BA:$BA,"",Listing!$BI:$BI,"No",Listing!$BJ:$BJ,F8)</f>
        <v>0</v>
      </c>
      <c r="I8" s="16"/>
      <c r="J8" s="79"/>
      <c r="K8" s="79"/>
      <c r="L8" s="23" t="e">
        <v>#N/A</v>
      </c>
      <c r="O8" s="19"/>
    </row>
    <row r="9" spans="1:22" x14ac:dyDescent="0.25">
      <c r="A9" s="9" t="s">
        <v>10</v>
      </c>
      <c r="B9" s="10">
        <f>COUNTIF(Listing!$BB:$BB,ReporttypeTotal[[#This Row],[Report Type]])</f>
        <v>0</v>
      </c>
      <c r="C9" s="8"/>
      <c r="D9" s="111"/>
      <c r="E9" s="112"/>
      <c r="F9" s="65" t="s">
        <v>62</v>
      </c>
      <c r="G9" s="11" t="s">
        <v>55</v>
      </c>
      <c r="H9" s="11">
        <f>COUNTIFS(Listing!$AY:$AY,"&gt;0",Listing!$BA:$BA,"",Listing!$BI:$BI,"No",Listing!$BJ:$BJ,F9)</f>
        <v>0</v>
      </c>
      <c r="I9" s="16"/>
      <c r="J9" s="79"/>
      <c r="K9" s="79"/>
      <c r="L9" s="23" t="e">
        <v>#N/A</v>
      </c>
      <c r="O9" s="19"/>
    </row>
    <row r="10" spans="1:22" x14ac:dyDescent="0.25">
      <c r="A10" s="9" t="s">
        <v>18</v>
      </c>
      <c r="B10" s="10">
        <f>COUNTIF(Listing!$BB:$BB,ReporttypeTotal[[#This Row],[Report Type]])</f>
        <v>0</v>
      </c>
      <c r="C10" s="8"/>
      <c r="D10" s="109"/>
      <c r="E10" s="110"/>
      <c r="F10" s="65" t="s">
        <v>63</v>
      </c>
      <c r="G10" s="11" t="s">
        <v>56</v>
      </c>
      <c r="H10" s="11">
        <f>COUNTIFS(Listing!$AY:$AY,"&gt;0",Listing!$BA:$BA,"&gt;0",Listing!$BI:$BI,"No",Listing!$BJ:$BJ,F10)</f>
        <v>0</v>
      </c>
      <c r="I10" s="16"/>
      <c r="J10" s="79"/>
      <c r="K10" s="79"/>
      <c r="L10" s="23" t="e">
        <v>#N/A</v>
      </c>
      <c r="O10" s="19"/>
    </row>
    <row r="11" spans="1:22" x14ac:dyDescent="0.25">
      <c r="A11" s="9" t="s">
        <v>19</v>
      </c>
      <c r="B11" s="10">
        <f>COUNTIF(Listing!$BB:$BB,ReporttypeTotal[[#This Row],[Report Type]])</f>
        <v>0</v>
      </c>
      <c r="C11" s="8"/>
      <c r="D11" s="111"/>
      <c r="E11" s="112"/>
      <c r="F11" s="65" t="s">
        <v>62</v>
      </c>
      <c r="G11" s="11" t="s">
        <v>35</v>
      </c>
      <c r="H11" s="11">
        <f>COUNTIFS(Listing!$AY:$AY,"&gt;0",Listing!$BA:$BA,"&gt;0",Listing!$BI:$BI,"No",Listing!$BJ:$BJ,F11)</f>
        <v>0</v>
      </c>
      <c r="I11" s="16"/>
      <c r="J11" s="79"/>
      <c r="K11" s="79"/>
      <c r="L11" s="23"/>
      <c r="O11" s="19"/>
      <c r="V11" s="20"/>
    </row>
    <row r="12" spans="1:22" x14ac:dyDescent="0.25">
      <c r="A12" s="9" t="s">
        <v>20</v>
      </c>
      <c r="B12" s="10">
        <f>COUNTIF(Listing!$BB:$BB,ReporttypeTotal[[#This Row],[Report Type]])</f>
        <v>0</v>
      </c>
      <c r="C12" s="8"/>
      <c r="D12" s="109"/>
      <c r="E12" s="110"/>
      <c r="F12" s="65" t="s">
        <v>63</v>
      </c>
      <c r="G12" s="11" t="s">
        <v>17</v>
      </c>
      <c r="H12" s="24">
        <f>C2-SUM(H4:H11) - 1</f>
        <v>0</v>
      </c>
      <c r="I12" s="16"/>
      <c r="J12" s="88"/>
      <c r="K12" s="88"/>
      <c r="L12" s="23">
        <v>0</v>
      </c>
      <c r="O12" s="19"/>
    </row>
    <row r="13" spans="1:22" x14ac:dyDescent="0.25">
      <c r="A13" s="9" t="s">
        <v>21</v>
      </c>
      <c r="B13" s="10">
        <f>COUNTIF(Listing!$BB:$BB,ReporttypeTotal[[#This Row],[Report Type]])</f>
        <v>0</v>
      </c>
      <c r="C13" s="8"/>
      <c r="D13" s="111"/>
      <c r="E13" s="112"/>
      <c r="F13" s="65" t="s">
        <v>62</v>
      </c>
      <c r="G13" s="56" t="s">
        <v>52</v>
      </c>
      <c r="H13" s="56">
        <f>SUM(H4:H12)</f>
        <v>0</v>
      </c>
      <c r="I13" s="16"/>
      <c r="J13" s="78" t="s">
        <v>68</v>
      </c>
      <c r="K13" s="78">
        <f>SUM(Seriousness[Amount])</f>
        <v>0</v>
      </c>
      <c r="O13" s="19"/>
    </row>
    <row r="14" spans="1:22" x14ac:dyDescent="0.25">
      <c r="A14" s="9" t="s">
        <v>12</v>
      </c>
      <c r="B14" s="10">
        <f>COUNTIF(Listing!$BB:$BB,ReporttypeTotal[[#This Row],[Report Type]])</f>
        <v>0</v>
      </c>
      <c r="C14" s="8"/>
      <c r="D14" s="109"/>
      <c r="E14" s="110"/>
      <c r="F14" s="16"/>
      <c r="G14" s="15"/>
      <c r="H14" s="15"/>
      <c r="I14" s="16"/>
      <c r="J14" s="15"/>
      <c r="K14" s="15"/>
      <c r="L14" s="18"/>
      <c r="O14" s="19"/>
    </row>
    <row r="15" spans="1:22" x14ac:dyDescent="0.25">
      <c r="A15" s="9" t="s">
        <v>9</v>
      </c>
      <c r="B15" s="10">
        <f>COUNTIF(Listing!$BB:$BB,ReporttypeTotal[[#This Row],[Report Type]])</f>
        <v>0</v>
      </c>
      <c r="C15" s="8"/>
      <c r="D15" s="111"/>
      <c r="E15" s="112"/>
      <c r="F15" s="16"/>
      <c r="G15" s="124" t="s">
        <v>33</v>
      </c>
      <c r="H15" s="124"/>
      <c r="I15" s="16"/>
      <c r="J15" s="124" t="s">
        <v>58</v>
      </c>
      <c r="K15" s="124"/>
      <c r="O15" s="19"/>
    </row>
    <row r="16" spans="1:22" x14ac:dyDescent="0.25">
      <c r="A16" s="9" t="s">
        <v>22</v>
      </c>
      <c r="B16" s="10">
        <f>COUNTIF(Listing!$BB:$BB,ReporttypeTotal[[#This Row],[Report Type]])</f>
        <v>0</v>
      </c>
      <c r="C16" s="8"/>
      <c r="D16" s="109"/>
      <c r="E16" s="110"/>
      <c r="F16" s="16"/>
      <c r="G16" s="61" t="s">
        <v>54</v>
      </c>
      <c r="H16" s="61" t="s">
        <v>29</v>
      </c>
      <c r="I16" s="16"/>
      <c r="J16" s="57" t="s">
        <v>69</v>
      </c>
      <c r="K16" s="57" t="s">
        <v>29</v>
      </c>
      <c r="O16" s="19"/>
    </row>
    <row r="17" spans="1:15" ht="15.75" thickBot="1" x14ac:dyDescent="0.3">
      <c r="A17" s="81" t="s">
        <v>17</v>
      </c>
      <c r="B17" s="10">
        <f>C2-COUNTA(Listing!BB:BB)</f>
        <v>0</v>
      </c>
      <c r="C17" s="55"/>
      <c r="D17" s="118"/>
      <c r="E17" s="119"/>
      <c r="F17" s="16"/>
      <c r="G17" s="63">
        <v>1.4999999999999999E-2</v>
      </c>
      <c r="H17" s="5">
        <f>COUNTIF(Listing!$BG:$BG,"1.5")</f>
        <v>0</v>
      </c>
      <c r="I17" s="16"/>
      <c r="J17" s="58" t="s">
        <v>49</v>
      </c>
      <c r="K17" s="59">
        <v>0</v>
      </c>
      <c r="O17" s="19"/>
    </row>
    <row r="18" spans="1:15" x14ac:dyDescent="0.25">
      <c r="A18" s="80" t="s">
        <v>59</v>
      </c>
      <c r="B18" s="80">
        <f>SUM(B4:B17)</f>
        <v>0</v>
      </c>
      <c r="C18" s="70"/>
      <c r="D18" s="82" t="s">
        <v>28</v>
      </c>
      <c r="E18" s="91">
        <f>SUM(E4:E17)</f>
        <v>0</v>
      </c>
      <c r="F18" s="16"/>
      <c r="G18" s="25">
        <v>0.02</v>
      </c>
      <c r="H18" s="5">
        <f>COUNTIF(Listing!$BG:$BG,"2")</f>
        <v>0</v>
      </c>
      <c r="I18" s="16"/>
      <c r="J18" s="58" t="s">
        <v>50</v>
      </c>
      <c r="K18" s="60">
        <v>0</v>
      </c>
      <c r="O18" s="19"/>
    </row>
    <row r="19" spans="1:15" ht="18.75" customHeight="1" x14ac:dyDescent="0.25">
      <c r="A19" s="76"/>
      <c r="B19" s="15"/>
      <c r="C19" s="51"/>
      <c r="D19" s="72"/>
      <c r="E19" s="72"/>
      <c r="F19" s="74"/>
      <c r="G19" s="26" t="s">
        <v>8</v>
      </c>
      <c r="H19" s="5">
        <f>COUNTA(Listing!$AX:$AX) - 1 -SUM(BreakDown!H17:H18)</f>
        <v>0</v>
      </c>
      <c r="I19" s="16"/>
      <c r="J19" s="54" t="s">
        <v>34</v>
      </c>
      <c r="K19" s="56">
        <f>SUM(K17:K18)</f>
        <v>0</v>
      </c>
      <c r="O19" s="19"/>
    </row>
    <row r="20" spans="1:15" ht="33.75" customHeight="1" x14ac:dyDescent="0.25">
      <c r="A20" s="124" t="s">
        <v>30</v>
      </c>
      <c r="B20" s="124"/>
      <c r="C20" s="124"/>
      <c r="D20" s="73"/>
      <c r="E20" s="51"/>
      <c r="F20" s="16"/>
      <c r="G20" s="54" t="s">
        <v>34</v>
      </c>
      <c r="H20" s="64">
        <f>SUM(H17:H19)</f>
        <v>0</v>
      </c>
      <c r="I20" s="16"/>
      <c r="J20" s="127"/>
      <c r="K20" s="127"/>
      <c r="O20" s="19"/>
    </row>
    <row r="21" spans="1:15" ht="30" x14ac:dyDescent="0.25">
      <c r="A21" s="67" t="s">
        <v>4</v>
      </c>
      <c r="B21" s="67" t="s">
        <v>29</v>
      </c>
      <c r="C21" s="68" t="s">
        <v>57</v>
      </c>
      <c r="D21" s="66" t="s">
        <v>40</v>
      </c>
      <c r="E21" s="4"/>
      <c r="F21" s="16"/>
      <c r="G21" s="126"/>
      <c r="H21" s="126"/>
      <c r="I21" s="16"/>
      <c r="J21" s="16"/>
      <c r="K21" s="16"/>
      <c r="O21" s="19"/>
    </row>
    <row r="22" spans="1:15" ht="15.75" x14ac:dyDescent="0.25">
      <c r="A22" s="11"/>
      <c r="B22" s="12" t="str">
        <f>IF(Case_Prod_Break[[#This Row],[Product Name]]&lt;&gt;"",COUNTIFS(Listing!BE:BE,Case_Prod_Break[Product Name]),"")</f>
        <v/>
      </c>
      <c r="C22" s="12" t="str">
        <f>IF(LEN(Case_Prod_Break[[#This Row],[Product Name]])&gt;1,IF(ISERROR(SEARCH("Non",Case_Prod_Break[[#This Row],[Product Name]],1)),"Yes","No"),"")</f>
        <v/>
      </c>
      <c r="D22" s="62">
        <f>SUM(Case_Prod_Break[Amount])</f>
        <v>0</v>
      </c>
      <c r="F22" s="16"/>
      <c r="G22" s="16"/>
      <c r="H22" s="14"/>
      <c r="I22" s="14"/>
      <c r="J22" s="14"/>
      <c r="K22" s="14"/>
      <c r="O22" s="19"/>
    </row>
    <row r="23" spans="1:15" x14ac:dyDescent="0.25">
      <c r="F23" s="16"/>
      <c r="G23" s="16"/>
      <c r="H23" s="16"/>
      <c r="I23" s="18"/>
      <c r="J23" s="16"/>
      <c r="K23" s="16"/>
      <c r="O23" s="19"/>
    </row>
    <row r="24" spans="1:15" x14ac:dyDescent="0.25">
      <c r="D24" s="3"/>
      <c r="E24" s="3"/>
      <c r="F24" s="16"/>
      <c r="G24" s="16"/>
      <c r="H24" s="16"/>
      <c r="I24" s="16"/>
      <c r="J24" s="16"/>
      <c r="K24" s="16"/>
      <c r="O24" s="19"/>
    </row>
    <row r="25" spans="1:15" x14ac:dyDescent="0.25">
      <c r="F25" s="16"/>
      <c r="G25" s="18"/>
      <c r="H25" s="18"/>
      <c r="I25" s="18"/>
      <c r="J25" s="18"/>
      <c r="K25" s="18"/>
      <c r="O25" s="19"/>
    </row>
    <row r="26" spans="1:15" x14ac:dyDescent="0.25">
      <c r="F26" s="16"/>
      <c r="G26" s="8"/>
      <c r="H26" s="18"/>
      <c r="I26" s="18"/>
      <c r="J26" s="8"/>
      <c r="K26" s="18"/>
      <c r="O26" s="19"/>
    </row>
    <row r="27" spans="1:15" x14ac:dyDescent="0.25">
      <c r="F27" s="16"/>
      <c r="G27" s="8"/>
      <c r="H27" s="18"/>
      <c r="I27" s="18"/>
      <c r="J27" s="8"/>
      <c r="K27" s="18"/>
      <c r="O27" s="19"/>
    </row>
    <row r="28" spans="1:15" x14ac:dyDescent="0.25">
      <c r="F28" s="16"/>
      <c r="G28" s="8"/>
      <c r="H28" s="18"/>
      <c r="I28" s="18"/>
      <c r="J28" s="16"/>
      <c r="K28" s="18"/>
      <c r="O28" s="19"/>
    </row>
    <row r="29" spans="1:15" x14ac:dyDescent="0.25">
      <c r="F29" s="16"/>
      <c r="G29" s="16"/>
      <c r="H29" s="27"/>
      <c r="I29" s="18"/>
      <c r="J29" s="18"/>
      <c r="K29" s="18"/>
      <c r="O29" s="19"/>
    </row>
    <row r="30" spans="1:15" x14ac:dyDescent="0.25">
      <c r="F30" s="16"/>
      <c r="G30" s="18"/>
      <c r="H30" s="18"/>
      <c r="I30" s="18"/>
      <c r="J30" s="18"/>
      <c r="K30" s="18"/>
      <c r="O30" s="19"/>
    </row>
    <row r="31" spans="1:15" x14ac:dyDescent="0.25">
      <c r="F31" s="16"/>
      <c r="G31" s="18"/>
      <c r="H31" s="18"/>
      <c r="I31" s="18"/>
      <c r="J31" s="18"/>
      <c r="K31" s="18"/>
      <c r="O31" s="19"/>
    </row>
    <row r="32" spans="1:15" x14ac:dyDescent="0.25">
      <c r="F32" s="16"/>
      <c r="G32" s="18"/>
      <c r="H32" s="18"/>
      <c r="I32" s="18"/>
      <c r="J32" s="18"/>
      <c r="K32" s="18"/>
      <c r="O32" s="19"/>
    </row>
    <row r="33" spans="6:15" x14ac:dyDescent="0.25">
      <c r="F33" s="16"/>
      <c r="G33" s="18"/>
      <c r="H33" s="18"/>
      <c r="I33" s="18"/>
      <c r="J33" s="18"/>
      <c r="K33" s="18"/>
      <c r="O33" s="19"/>
    </row>
    <row r="34" spans="6:15" x14ac:dyDescent="0.25">
      <c r="F34" s="16"/>
      <c r="G34" s="18"/>
      <c r="H34" s="18"/>
      <c r="I34" s="18"/>
      <c r="J34" s="18"/>
      <c r="K34" s="18"/>
      <c r="O34" s="19"/>
    </row>
    <row r="35" spans="6:15" x14ac:dyDescent="0.25">
      <c r="F35" s="16"/>
      <c r="G35" s="18"/>
      <c r="H35" s="18"/>
      <c r="I35" s="18"/>
      <c r="J35" s="18"/>
      <c r="K35" s="18"/>
      <c r="O35" s="19"/>
    </row>
    <row r="36" spans="6:15" x14ac:dyDescent="0.25">
      <c r="F36" s="16"/>
      <c r="G36" s="18"/>
      <c r="H36" s="18"/>
      <c r="I36" s="18"/>
      <c r="J36" s="18"/>
      <c r="K36" s="18"/>
      <c r="O36" s="19"/>
    </row>
    <row r="37" spans="6:15" x14ac:dyDescent="0.25">
      <c r="F37" s="16"/>
      <c r="G37" s="18"/>
      <c r="H37" s="18"/>
      <c r="I37" s="18"/>
      <c r="J37" s="18"/>
      <c r="K37" s="18"/>
      <c r="O37" s="19"/>
    </row>
    <row r="38" spans="6:15" x14ac:dyDescent="0.25">
      <c r="F38" s="16"/>
      <c r="G38" s="18"/>
      <c r="H38" s="18"/>
      <c r="I38" s="18"/>
      <c r="J38" s="18"/>
      <c r="K38" s="18"/>
      <c r="O38" s="19"/>
    </row>
    <row r="39" spans="6:15" x14ac:dyDescent="0.25">
      <c r="F39" s="16"/>
      <c r="G39" s="18"/>
      <c r="H39" s="18"/>
      <c r="I39" s="18"/>
      <c r="J39" s="18"/>
      <c r="K39" s="18"/>
      <c r="O39" s="19"/>
    </row>
    <row r="40" spans="6:15" x14ac:dyDescent="0.25">
      <c r="F40" s="16"/>
      <c r="G40" s="18"/>
      <c r="H40" s="18"/>
      <c r="I40" s="18"/>
      <c r="J40" s="18"/>
      <c r="K40" s="18"/>
      <c r="O40" s="19"/>
    </row>
    <row r="41" spans="6:15" x14ac:dyDescent="0.25">
      <c r="F41" s="16"/>
      <c r="G41" s="18"/>
      <c r="H41" s="18"/>
      <c r="I41" s="18"/>
      <c r="J41" s="18"/>
      <c r="K41" s="18"/>
      <c r="O41" s="19"/>
    </row>
    <row r="42" spans="6:15" x14ac:dyDescent="0.25">
      <c r="F42" s="16"/>
      <c r="G42" s="18"/>
      <c r="H42" s="18"/>
      <c r="I42" s="18"/>
      <c r="J42" s="18"/>
      <c r="K42" s="18"/>
      <c r="O42" s="19"/>
    </row>
    <row r="43" spans="6:15" x14ac:dyDescent="0.25">
      <c r="F43" s="16"/>
      <c r="G43" s="18"/>
      <c r="H43" s="18"/>
      <c r="I43" s="18"/>
      <c r="J43" s="18"/>
      <c r="K43" s="18"/>
      <c r="O43" s="19"/>
    </row>
    <row r="44" spans="6:15" x14ac:dyDescent="0.25">
      <c r="F44" s="16"/>
      <c r="G44" s="18"/>
      <c r="H44" s="18"/>
      <c r="I44" s="18"/>
      <c r="J44" s="18"/>
      <c r="K44" s="18"/>
      <c r="O44" s="19"/>
    </row>
    <row r="45" spans="6:15" x14ac:dyDescent="0.25">
      <c r="F45" s="16"/>
      <c r="G45" s="18"/>
      <c r="H45" s="18"/>
      <c r="I45" s="18"/>
      <c r="J45" s="18"/>
      <c r="K45" s="18"/>
      <c r="O45" s="19"/>
    </row>
    <row r="46" spans="6:15" x14ac:dyDescent="0.25">
      <c r="F46" s="16"/>
      <c r="O46" s="19"/>
    </row>
    <row r="47" spans="6:15" x14ac:dyDescent="0.25">
      <c r="F47" s="16"/>
      <c r="O47" s="19"/>
    </row>
    <row r="48" spans="6:15" x14ac:dyDescent="0.25">
      <c r="F48" s="16"/>
      <c r="O48" s="19"/>
    </row>
    <row r="49" spans="6:15" x14ac:dyDescent="0.25">
      <c r="F49" s="16"/>
      <c r="O49" s="19"/>
    </row>
    <row r="50" spans="6:15" x14ac:dyDescent="0.25">
      <c r="F50" s="16"/>
      <c r="O50" s="19"/>
    </row>
    <row r="51" spans="6:15" x14ac:dyDescent="0.25">
      <c r="F51" s="16"/>
      <c r="O51" s="19"/>
    </row>
    <row r="52" spans="6:15" x14ac:dyDescent="0.25">
      <c r="F52" s="16"/>
      <c r="O52" s="19"/>
    </row>
    <row r="53" spans="6:15" x14ac:dyDescent="0.25">
      <c r="F53" s="16"/>
      <c r="O53" s="19"/>
    </row>
    <row r="54" spans="6:15" x14ac:dyDescent="0.25">
      <c r="F54" s="16"/>
      <c r="O54" s="19"/>
    </row>
    <row r="55" spans="6:15" x14ac:dyDescent="0.25">
      <c r="F55" s="16"/>
      <c r="O55" s="19"/>
    </row>
    <row r="56" spans="6:15" x14ac:dyDescent="0.25">
      <c r="F56" s="16"/>
      <c r="O56" s="19"/>
    </row>
    <row r="57" spans="6:15" x14ac:dyDescent="0.25">
      <c r="F57" s="16"/>
      <c r="O57" s="19"/>
    </row>
    <row r="58" spans="6:15" x14ac:dyDescent="0.25">
      <c r="F58" s="16"/>
      <c r="O58" s="19"/>
    </row>
    <row r="59" spans="6:15" x14ac:dyDescent="0.25">
      <c r="F59" s="16"/>
      <c r="O59" s="19"/>
    </row>
    <row r="60" spans="6:15" x14ac:dyDescent="0.25">
      <c r="F60" s="16"/>
      <c r="O60" s="19"/>
    </row>
    <row r="61" spans="6:15" x14ac:dyDescent="0.25">
      <c r="F61" s="16"/>
      <c r="O61" s="19"/>
    </row>
    <row r="62" spans="6:15" x14ac:dyDescent="0.25">
      <c r="F62" s="16"/>
      <c r="O62" s="19"/>
    </row>
    <row r="63" spans="6:15" x14ac:dyDescent="0.25">
      <c r="F63" s="16"/>
      <c r="O63" s="19"/>
    </row>
    <row r="64" spans="6:15" x14ac:dyDescent="0.25">
      <c r="F64" s="16"/>
      <c r="O64" s="19"/>
    </row>
    <row r="65" spans="6:15" x14ac:dyDescent="0.25">
      <c r="F65" s="16"/>
      <c r="O65" s="19"/>
    </row>
    <row r="66" spans="6:15" x14ac:dyDescent="0.25">
      <c r="F66" s="16"/>
      <c r="O66" s="19"/>
    </row>
    <row r="67" spans="6:15" x14ac:dyDescent="0.25">
      <c r="F67" s="16"/>
      <c r="O67" s="19"/>
    </row>
    <row r="68" spans="6:15" x14ac:dyDescent="0.25">
      <c r="F68" s="16"/>
      <c r="O68" s="19"/>
    </row>
    <row r="69" spans="6:15" x14ac:dyDescent="0.25">
      <c r="F69" s="16"/>
      <c r="O69" s="19"/>
    </row>
    <row r="70" spans="6:15" x14ac:dyDescent="0.25">
      <c r="F70" s="16"/>
      <c r="O70" s="19"/>
    </row>
    <row r="71" spans="6:15" x14ac:dyDescent="0.25">
      <c r="F71" s="16"/>
      <c r="O71" s="19"/>
    </row>
    <row r="72" spans="6:15" x14ac:dyDescent="0.25">
      <c r="F72" s="16"/>
      <c r="O72" s="19"/>
    </row>
    <row r="73" spans="6:15" x14ac:dyDescent="0.25">
      <c r="F73" s="16"/>
      <c r="O73" s="19"/>
    </row>
    <row r="74" spans="6:15" x14ac:dyDescent="0.25">
      <c r="F74" s="16"/>
      <c r="O74" s="19"/>
    </row>
    <row r="75" spans="6:15" x14ac:dyDescent="0.25">
      <c r="F75" s="16"/>
      <c r="O75" s="19"/>
    </row>
    <row r="76" spans="6:15" x14ac:dyDescent="0.25">
      <c r="F76" s="16"/>
      <c r="O76" s="19"/>
    </row>
    <row r="77" spans="6:15" x14ac:dyDescent="0.25">
      <c r="F77" s="16"/>
      <c r="O77" s="19"/>
    </row>
    <row r="78" spans="6:15" x14ac:dyDescent="0.25">
      <c r="F78" s="16"/>
      <c r="O78" s="19"/>
    </row>
    <row r="79" spans="6:15" x14ac:dyDescent="0.25">
      <c r="F79" s="16"/>
      <c r="O79" s="19"/>
    </row>
    <row r="80" spans="6:15" x14ac:dyDescent="0.25">
      <c r="F80" s="16"/>
      <c r="O80" s="19"/>
    </row>
    <row r="81" spans="6:15" x14ac:dyDescent="0.25">
      <c r="F81" s="16"/>
      <c r="O81" s="19"/>
    </row>
    <row r="82" spans="6:15" x14ac:dyDescent="0.25">
      <c r="F82" s="16"/>
      <c r="O82" s="19"/>
    </row>
    <row r="83" spans="6:15" x14ac:dyDescent="0.25">
      <c r="F83" s="16"/>
      <c r="O83" s="19"/>
    </row>
    <row r="84" spans="6:15" x14ac:dyDescent="0.25">
      <c r="F84" s="16"/>
      <c r="O84" s="19"/>
    </row>
    <row r="85" spans="6:15" x14ac:dyDescent="0.25">
      <c r="F85" s="16"/>
      <c r="O85" s="19"/>
    </row>
    <row r="86" spans="6:15" x14ac:dyDescent="0.25">
      <c r="F86" s="16"/>
      <c r="O86" s="19"/>
    </row>
    <row r="87" spans="6:15" x14ac:dyDescent="0.25">
      <c r="F87" s="16"/>
      <c r="O87" s="19"/>
    </row>
    <row r="88" spans="6:15" x14ac:dyDescent="0.25">
      <c r="F88" s="16"/>
      <c r="O88" s="19"/>
    </row>
    <row r="89" spans="6:15" x14ac:dyDescent="0.25">
      <c r="F89" s="16"/>
      <c r="O89" s="19"/>
    </row>
    <row r="90" spans="6:15" x14ac:dyDescent="0.25">
      <c r="F90" s="16"/>
      <c r="O90" s="19"/>
    </row>
    <row r="91" spans="6:15" x14ac:dyDescent="0.25">
      <c r="F91" s="16"/>
      <c r="O91" s="19"/>
    </row>
    <row r="92" spans="6:15" x14ac:dyDescent="0.25">
      <c r="F92" s="16"/>
      <c r="O92" s="19"/>
    </row>
    <row r="93" spans="6:15" x14ac:dyDescent="0.25">
      <c r="F93" s="16"/>
      <c r="O93" s="19"/>
    </row>
    <row r="94" spans="6:15" x14ac:dyDescent="0.25">
      <c r="F94" s="16"/>
      <c r="O94" s="19"/>
    </row>
    <row r="95" spans="6:15" x14ac:dyDescent="0.25">
      <c r="F95" s="16"/>
      <c r="O95" s="19"/>
    </row>
    <row r="96" spans="6:15" x14ac:dyDescent="0.25">
      <c r="F96" s="16"/>
      <c r="O96" s="19"/>
    </row>
    <row r="97" spans="6:15" x14ac:dyDescent="0.25">
      <c r="F97" s="16"/>
      <c r="O97" s="19"/>
    </row>
    <row r="98" spans="6:15" x14ac:dyDescent="0.25">
      <c r="F98" s="16"/>
      <c r="O98" s="19"/>
    </row>
    <row r="99" spans="6:15" x14ac:dyDescent="0.25">
      <c r="F99" s="16"/>
      <c r="O99" s="19"/>
    </row>
    <row r="100" spans="6:15" x14ac:dyDescent="0.25">
      <c r="F100" s="16"/>
      <c r="O100" s="19"/>
    </row>
    <row r="101" spans="6:15" x14ac:dyDescent="0.25">
      <c r="F101" s="16"/>
      <c r="O101" s="19"/>
    </row>
    <row r="102" spans="6:15" x14ac:dyDescent="0.25">
      <c r="F102" s="16"/>
      <c r="O102" s="19"/>
    </row>
    <row r="103" spans="6:15" x14ac:dyDescent="0.25">
      <c r="F103" s="16"/>
      <c r="O103" s="19"/>
    </row>
    <row r="104" spans="6:15" x14ac:dyDescent="0.25">
      <c r="F104" s="16"/>
      <c r="O104" s="19"/>
    </row>
    <row r="105" spans="6:15" x14ac:dyDescent="0.25">
      <c r="F105" s="16"/>
      <c r="O105" s="19"/>
    </row>
    <row r="106" spans="6:15" x14ac:dyDescent="0.25">
      <c r="F106" s="16"/>
      <c r="O106" s="19"/>
    </row>
    <row r="107" spans="6:15" x14ac:dyDescent="0.25">
      <c r="F107" s="16"/>
      <c r="O107" s="19"/>
    </row>
    <row r="108" spans="6:15" x14ac:dyDescent="0.25">
      <c r="F108" s="16"/>
      <c r="O108" s="19"/>
    </row>
    <row r="109" spans="6:15" x14ac:dyDescent="0.25">
      <c r="F109" s="16"/>
      <c r="O109" s="19"/>
    </row>
    <row r="110" spans="6:15" x14ac:dyDescent="0.25">
      <c r="F110" s="16"/>
      <c r="O110" s="19"/>
    </row>
    <row r="111" spans="6:15" x14ac:dyDescent="0.25">
      <c r="F111" s="16"/>
      <c r="O111" s="19"/>
    </row>
    <row r="112" spans="6:15" x14ac:dyDescent="0.25">
      <c r="F112" s="16"/>
      <c r="O112" s="19"/>
    </row>
    <row r="113" spans="6:15" x14ac:dyDescent="0.25">
      <c r="F113" s="16"/>
      <c r="O113" s="19"/>
    </row>
    <row r="114" spans="6:15" x14ac:dyDescent="0.25">
      <c r="F114" s="16"/>
      <c r="O114" s="19"/>
    </row>
    <row r="115" spans="6:15" x14ac:dyDescent="0.25">
      <c r="F115" s="16"/>
      <c r="O115" s="19"/>
    </row>
    <row r="116" spans="6:15" x14ac:dyDescent="0.25">
      <c r="F116" s="16"/>
      <c r="O116" s="19"/>
    </row>
    <row r="117" spans="6:15" x14ac:dyDescent="0.25">
      <c r="F117" s="16"/>
      <c r="O117" s="19"/>
    </row>
    <row r="118" spans="6:15" x14ac:dyDescent="0.25">
      <c r="F118" s="16"/>
      <c r="O118" s="19"/>
    </row>
    <row r="119" spans="6:15" x14ac:dyDescent="0.25">
      <c r="F119" s="16"/>
      <c r="O119" s="19"/>
    </row>
    <row r="120" spans="6:15" x14ac:dyDescent="0.25">
      <c r="F120" s="16"/>
      <c r="O120" s="19"/>
    </row>
    <row r="121" spans="6:15" x14ac:dyDescent="0.25">
      <c r="F121" s="16"/>
      <c r="O121" s="19"/>
    </row>
    <row r="122" spans="6:15" x14ac:dyDescent="0.25">
      <c r="F122" s="16"/>
      <c r="O122" s="19"/>
    </row>
    <row r="123" spans="6:15" x14ac:dyDescent="0.25">
      <c r="F123" s="16"/>
      <c r="O123" s="19"/>
    </row>
    <row r="124" spans="6:15" x14ac:dyDescent="0.25">
      <c r="F124" s="16"/>
      <c r="O124" s="19"/>
    </row>
    <row r="125" spans="6:15" x14ac:dyDescent="0.25">
      <c r="F125" s="16"/>
      <c r="O125" s="19"/>
    </row>
    <row r="126" spans="6:15" x14ac:dyDescent="0.25">
      <c r="F126" s="16"/>
      <c r="O126" s="19"/>
    </row>
    <row r="127" spans="6:15" x14ac:dyDescent="0.25">
      <c r="F127" s="16"/>
      <c r="O127" s="19"/>
    </row>
    <row r="128" spans="6:15" x14ac:dyDescent="0.25">
      <c r="F128" s="16"/>
      <c r="O128" s="19"/>
    </row>
    <row r="129" spans="6:15" x14ac:dyDescent="0.25">
      <c r="F129" s="16"/>
      <c r="O129" s="19"/>
    </row>
    <row r="130" spans="6:15" x14ac:dyDescent="0.25">
      <c r="F130" s="16"/>
      <c r="O130" s="19"/>
    </row>
    <row r="131" spans="6:15" x14ac:dyDescent="0.25">
      <c r="F131" s="16"/>
      <c r="O131" s="19"/>
    </row>
    <row r="132" spans="6:15" x14ac:dyDescent="0.25">
      <c r="F132" s="16"/>
      <c r="O132" s="19"/>
    </row>
    <row r="133" spans="6:15" x14ac:dyDescent="0.25">
      <c r="F133" s="16"/>
      <c r="O133" s="19"/>
    </row>
    <row r="134" spans="6:15" x14ac:dyDescent="0.25">
      <c r="F134" s="16"/>
      <c r="O134" s="19"/>
    </row>
    <row r="135" spans="6:15" x14ac:dyDescent="0.25">
      <c r="F135" s="16"/>
      <c r="O135" s="19"/>
    </row>
    <row r="136" spans="6:15" x14ac:dyDescent="0.25">
      <c r="F136" s="16"/>
      <c r="O136" s="19"/>
    </row>
    <row r="137" spans="6:15" x14ac:dyDescent="0.25">
      <c r="F137" s="16"/>
      <c r="O137" s="19"/>
    </row>
    <row r="138" spans="6:15" x14ac:dyDescent="0.25">
      <c r="F138" s="16"/>
      <c r="O138" s="19"/>
    </row>
    <row r="139" spans="6:15" x14ac:dyDescent="0.25">
      <c r="F139" s="16"/>
      <c r="O139" s="19"/>
    </row>
    <row r="140" spans="6:15" x14ac:dyDescent="0.25">
      <c r="F140" s="16"/>
      <c r="O140" s="19"/>
    </row>
    <row r="141" spans="6:15" x14ac:dyDescent="0.25">
      <c r="F141" s="16"/>
      <c r="O141" s="19"/>
    </row>
    <row r="142" spans="6:15" x14ac:dyDescent="0.25">
      <c r="F142" s="16"/>
      <c r="O142" s="19"/>
    </row>
    <row r="143" spans="6:15" x14ac:dyDescent="0.25">
      <c r="F143" s="16"/>
      <c r="O143" s="19"/>
    </row>
    <row r="144" spans="6:15" x14ac:dyDescent="0.25">
      <c r="F144" s="16"/>
      <c r="O144" s="19"/>
    </row>
    <row r="145" spans="6:15" x14ac:dyDescent="0.25">
      <c r="F145" s="16"/>
      <c r="O145" s="19"/>
    </row>
    <row r="146" spans="6:15" x14ac:dyDescent="0.25">
      <c r="F146" s="16"/>
      <c r="O146" s="19"/>
    </row>
    <row r="147" spans="6:15" x14ac:dyDescent="0.25">
      <c r="F147" s="16"/>
      <c r="O147" s="19"/>
    </row>
    <row r="148" spans="6:15" x14ac:dyDescent="0.25">
      <c r="F148" s="16"/>
      <c r="O148" s="19"/>
    </row>
    <row r="149" spans="6:15" x14ac:dyDescent="0.25">
      <c r="F149" s="16"/>
      <c r="O149" s="19"/>
    </row>
    <row r="150" spans="6:15" x14ac:dyDescent="0.25">
      <c r="F150" s="16"/>
      <c r="O150" s="19"/>
    </row>
    <row r="151" spans="6:15" x14ac:dyDescent="0.25">
      <c r="F151" s="16"/>
      <c r="O151" s="19"/>
    </row>
    <row r="152" spans="6:15" x14ac:dyDescent="0.25">
      <c r="F152" s="16"/>
      <c r="O152" s="19"/>
    </row>
    <row r="153" spans="6:15" x14ac:dyDescent="0.25">
      <c r="F153" s="16"/>
      <c r="O153" s="19"/>
    </row>
    <row r="154" spans="6:15" x14ac:dyDescent="0.25">
      <c r="F154" s="16"/>
      <c r="O154" s="19"/>
    </row>
    <row r="155" spans="6:15" x14ac:dyDescent="0.25">
      <c r="F155" s="16"/>
      <c r="O155" s="19"/>
    </row>
    <row r="156" spans="6:15" x14ac:dyDescent="0.25">
      <c r="F156" s="16"/>
      <c r="O156" s="19"/>
    </row>
    <row r="157" spans="6:15" x14ac:dyDescent="0.25">
      <c r="F157" s="16"/>
      <c r="O157" s="19"/>
    </row>
    <row r="158" spans="6:15" x14ac:dyDescent="0.25">
      <c r="F158" s="16"/>
      <c r="O158" s="19"/>
    </row>
    <row r="159" spans="6:15" x14ac:dyDescent="0.25">
      <c r="F159" s="16"/>
      <c r="O159" s="19"/>
    </row>
    <row r="160" spans="6:15" x14ac:dyDescent="0.25">
      <c r="F160" s="16"/>
      <c r="O160" s="19"/>
    </row>
    <row r="161" spans="6:15" x14ac:dyDescent="0.25">
      <c r="F161" s="16"/>
      <c r="O161" s="19"/>
    </row>
    <row r="162" spans="6:15" x14ac:dyDescent="0.25">
      <c r="F162" s="16"/>
      <c r="O162" s="19"/>
    </row>
    <row r="163" spans="6:15" x14ac:dyDescent="0.25">
      <c r="F163" s="16"/>
      <c r="O163" s="19"/>
    </row>
    <row r="164" spans="6:15" x14ac:dyDescent="0.25">
      <c r="F164" s="16"/>
      <c r="O164" s="19"/>
    </row>
    <row r="165" spans="6:15" x14ac:dyDescent="0.25">
      <c r="F165" s="16"/>
      <c r="O165" s="19"/>
    </row>
    <row r="166" spans="6:15" x14ac:dyDescent="0.25">
      <c r="F166" s="16"/>
      <c r="O166" s="19"/>
    </row>
    <row r="167" spans="6:15" x14ac:dyDescent="0.25">
      <c r="F167" s="16"/>
      <c r="O167" s="19"/>
    </row>
    <row r="168" spans="6:15" x14ac:dyDescent="0.25">
      <c r="F168" s="16"/>
      <c r="O168" s="19"/>
    </row>
    <row r="169" spans="6:15" x14ac:dyDescent="0.25">
      <c r="F169" s="16"/>
      <c r="O169" s="19"/>
    </row>
    <row r="170" spans="6:15" x14ac:dyDescent="0.25">
      <c r="F170" s="16"/>
      <c r="O170" s="19"/>
    </row>
    <row r="171" spans="6:15" x14ac:dyDescent="0.25">
      <c r="F171" s="16"/>
      <c r="O171" s="19"/>
    </row>
    <row r="172" spans="6:15" x14ac:dyDescent="0.25">
      <c r="F172" s="16"/>
      <c r="O172" s="19"/>
    </row>
    <row r="173" spans="6:15" x14ac:dyDescent="0.25">
      <c r="F173" s="16"/>
      <c r="O173" s="19"/>
    </row>
    <row r="174" spans="6:15" x14ac:dyDescent="0.25">
      <c r="F174" s="16"/>
      <c r="O174" s="19"/>
    </row>
    <row r="175" spans="6:15" x14ac:dyDescent="0.25">
      <c r="F175" s="16"/>
      <c r="O175" s="19"/>
    </row>
    <row r="176" spans="6:15" x14ac:dyDescent="0.25">
      <c r="F176" s="16"/>
      <c r="O176" s="19"/>
    </row>
    <row r="177" spans="6:15" x14ac:dyDescent="0.25">
      <c r="F177" s="16"/>
      <c r="O177" s="19"/>
    </row>
    <row r="178" spans="6:15" x14ac:dyDescent="0.25">
      <c r="F178" s="16"/>
      <c r="O178" s="19"/>
    </row>
    <row r="179" spans="6:15" x14ac:dyDescent="0.25">
      <c r="F179" s="16"/>
      <c r="O179" s="19"/>
    </row>
    <row r="180" spans="6:15" x14ac:dyDescent="0.25">
      <c r="F180" s="16"/>
      <c r="O180" s="19"/>
    </row>
    <row r="181" spans="6:15" x14ac:dyDescent="0.25">
      <c r="F181" s="16"/>
      <c r="O181" s="19"/>
    </row>
    <row r="182" spans="6:15" x14ac:dyDescent="0.25">
      <c r="F182" s="16"/>
      <c r="O182" s="19"/>
    </row>
    <row r="183" spans="6:15" x14ac:dyDescent="0.25">
      <c r="F183" s="16"/>
      <c r="O183" s="19"/>
    </row>
    <row r="184" spans="6:15" x14ac:dyDescent="0.25">
      <c r="F184" s="16"/>
      <c r="O184" s="19"/>
    </row>
    <row r="185" spans="6:15" x14ac:dyDescent="0.25">
      <c r="F185" s="16"/>
      <c r="O185" s="19"/>
    </row>
    <row r="186" spans="6:15" x14ac:dyDescent="0.25">
      <c r="F186" s="16"/>
      <c r="O186" s="19"/>
    </row>
    <row r="187" spans="6:15" x14ac:dyDescent="0.25">
      <c r="F187" s="16"/>
      <c r="O187" s="19"/>
    </row>
    <row r="188" spans="6:15" x14ac:dyDescent="0.25">
      <c r="F188" s="16"/>
      <c r="O188" s="19"/>
    </row>
    <row r="189" spans="6:15" x14ac:dyDescent="0.25">
      <c r="F189" s="16"/>
      <c r="O189" s="19"/>
    </row>
    <row r="190" spans="6:15" x14ac:dyDescent="0.25">
      <c r="F190" s="16"/>
      <c r="O190" s="19"/>
    </row>
    <row r="191" spans="6:15" x14ac:dyDescent="0.25">
      <c r="F191" s="16"/>
      <c r="O191" s="19"/>
    </row>
    <row r="192" spans="6:15" x14ac:dyDescent="0.25">
      <c r="F192" s="16"/>
      <c r="O192" s="19"/>
    </row>
    <row r="193" spans="6:15" x14ac:dyDescent="0.25">
      <c r="F193" s="16"/>
      <c r="O193" s="19"/>
    </row>
    <row r="194" spans="6:15" x14ac:dyDescent="0.25">
      <c r="F194" s="16"/>
      <c r="O194" s="19"/>
    </row>
    <row r="195" spans="6:15" x14ac:dyDescent="0.25">
      <c r="F195" s="16"/>
      <c r="O195" s="19"/>
    </row>
    <row r="196" spans="6:15" x14ac:dyDescent="0.25">
      <c r="F196" s="16"/>
      <c r="O196" s="19"/>
    </row>
    <row r="197" spans="6:15" x14ac:dyDescent="0.25">
      <c r="F197" s="16"/>
      <c r="O197" s="19"/>
    </row>
    <row r="198" spans="6:15" x14ac:dyDescent="0.25">
      <c r="F198" s="16"/>
      <c r="O198" s="19"/>
    </row>
    <row r="199" spans="6:15" x14ac:dyDescent="0.25">
      <c r="F199" s="16"/>
      <c r="O199" s="19"/>
    </row>
    <row r="200" spans="6:15" x14ac:dyDescent="0.25">
      <c r="F200" s="16"/>
      <c r="O200" s="19"/>
    </row>
    <row r="201" spans="6:15" x14ac:dyDescent="0.25">
      <c r="F201" s="16"/>
      <c r="O201" s="19"/>
    </row>
    <row r="202" spans="6:15" x14ac:dyDescent="0.25">
      <c r="F202" s="16"/>
      <c r="O202" s="19"/>
    </row>
    <row r="203" spans="6:15" x14ac:dyDescent="0.25">
      <c r="F203" s="16"/>
      <c r="O203" s="19"/>
    </row>
    <row r="204" spans="6:15" x14ac:dyDescent="0.25">
      <c r="F204" s="16"/>
      <c r="O204" s="19"/>
    </row>
    <row r="205" spans="6:15" x14ac:dyDescent="0.25">
      <c r="F205" s="16"/>
      <c r="O205" s="19"/>
    </row>
    <row r="206" spans="6:15" x14ac:dyDescent="0.25">
      <c r="F206" s="16"/>
      <c r="O206" s="19"/>
    </row>
    <row r="207" spans="6:15" x14ac:dyDescent="0.25">
      <c r="F207" s="16"/>
      <c r="O207" s="19"/>
    </row>
    <row r="208" spans="6:15" x14ac:dyDescent="0.25">
      <c r="F208" s="16"/>
      <c r="O208" s="19"/>
    </row>
    <row r="209" spans="6:15" x14ac:dyDescent="0.25">
      <c r="F209" s="16"/>
      <c r="O209" s="19"/>
    </row>
    <row r="210" spans="6:15" x14ac:dyDescent="0.25">
      <c r="F210" s="16"/>
      <c r="O210" s="19"/>
    </row>
    <row r="211" spans="6:15" x14ac:dyDescent="0.25">
      <c r="F211" s="16"/>
      <c r="O211" s="19"/>
    </row>
    <row r="212" spans="6:15" x14ac:dyDescent="0.25">
      <c r="F212" s="16"/>
      <c r="O212" s="19"/>
    </row>
    <row r="213" spans="6:15" x14ac:dyDescent="0.25">
      <c r="F213" s="16"/>
      <c r="O213" s="19"/>
    </row>
    <row r="214" spans="6:15" x14ac:dyDescent="0.25">
      <c r="F214" s="16"/>
      <c r="O214" s="19"/>
    </row>
    <row r="215" spans="6:15" x14ac:dyDescent="0.25">
      <c r="F215" s="16"/>
      <c r="O215" s="19"/>
    </row>
    <row r="216" spans="6:15" x14ac:dyDescent="0.25">
      <c r="F216" s="16"/>
      <c r="O216" s="19"/>
    </row>
    <row r="217" spans="6:15" x14ac:dyDescent="0.25">
      <c r="F217" s="16"/>
      <c r="O217" s="19"/>
    </row>
    <row r="218" spans="6:15" x14ac:dyDescent="0.25">
      <c r="F218" s="16"/>
      <c r="O218" s="19"/>
    </row>
    <row r="219" spans="6:15" x14ac:dyDescent="0.25">
      <c r="F219" s="16"/>
      <c r="O219" s="19"/>
    </row>
    <row r="220" spans="6:15" x14ac:dyDescent="0.25">
      <c r="F220" s="16"/>
      <c r="O220" s="19"/>
    </row>
    <row r="221" spans="6:15" x14ac:dyDescent="0.25">
      <c r="F221" s="16"/>
      <c r="O221" s="19"/>
    </row>
    <row r="222" spans="6:15" x14ac:dyDescent="0.25">
      <c r="F222" s="16"/>
      <c r="O222" s="19"/>
    </row>
    <row r="223" spans="6:15" x14ac:dyDescent="0.25">
      <c r="F223" s="16"/>
      <c r="O223" s="19"/>
    </row>
    <row r="224" spans="6:15" x14ac:dyDescent="0.25">
      <c r="F224" s="16"/>
      <c r="O224" s="19"/>
    </row>
    <row r="225" spans="6:15" x14ac:dyDescent="0.25">
      <c r="F225" s="16"/>
      <c r="O225" s="19"/>
    </row>
    <row r="226" spans="6:15" x14ac:dyDescent="0.25">
      <c r="F226" s="16"/>
      <c r="O226" s="19"/>
    </row>
    <row r="227" spans="6:15" x14ac:dyDescent="0.25">
      <c r="F227" s="16"/>
      <c r="O227" s="19"/>
    </row>
    <row r="228" spans="6:15" x14ac:dyDescent="0.25">
      <c r="F228" s="16"/>
      <c r="O228" s="19"/>
    </row>
    <row r="229" spans="6:15" x14ac:dyDescent="0.25">
      <c r="F229" s="16"/>
      <c r="O229" s="19"/>
    </row>
    <row r="230" spans="6:15" x14ac:dyDescent="0.25">
      <c r="F230" s="16"/>
      <c r="O230" s="19"/>
    </row>
    <row r="231" spans="6:15" x14ac:dyDescent="0.25">
      <c r="F231" s="16"/>
      <c r="O231" s="19"/>
    </row>
    <row r="232" spans="6:15" x14ac:dyDescent="0.25">
      <c r="F232" s="16"/>
      <c r="O232" s="19"/>
    </row>
    <row r="233" spans="6:15" x14ac:dyDescent="0.25">
      <c r="F233" s="16"/>
      <c r="O233" s="19"/>
    </row>
    <row r="234" spans="6:15" x14ac:dyDescent="0.25">
      <c r="F234" s="16"/>
      <c r="O234" s="19"/>
    </row>
    <row r="235" spans="6:15" x14ac:dyDescent="0.25">
      <c r="F235" s="16"/>
      <c r="O235" s="19"/>
    </row>
    <row r="236" spans="6:15" x14ac:dyDescent="0.25">
      <c r="F236" s="16"/>
      <c r="O236" s="19"/>
    </row>
    <row r="237" spans="6:15" x14ac:dyDescent="0.25">
      <c r="F237" s="16"/>
      <c r="O237" s="19"/>
    </row>
    <row r="238" spans="6:15" x14ac:dyDescent="0.25">
      <c r="F238" s="16"/>
      <c r="O238" s="19"/>
    </row>
    <row r="239" spans="6:15" x14ac:dyDescent="0.25">
      <c r="F239" s="16"/>
      <c r="O239" s="19"/>
    </row>
    <row r="240" spans="6:15" x14ac:dyDescent="0.25">
      <c r="F240" s="16"/>
      <c r="O240" s="19"/>
    </row>
    <row r="241" spans="6:15" x14ac:dyDescent="0.25">
      <c r="F241" s="16"/>
      <c r="O241" s="19"/>
    </row>
    <row r="242" spans="6:15" x14ac:dyDescent="0.25">
      <c r="F242" s="16"/>
      <c r="O242" s="19"/>
    </row>
    <row r="243" spans="6:15" x14ac:dyDescent="0.25">
      <c r="F243" s="16"/>
      <c r="O243" s="19"/>
    </row>
    <row r="244" spans="6:15" x14ac:dyDescent="0.25">
      <c r="F244" s="16"/>
      <c r="O244" s="19"/>
    </row>
    <row r="245" spans="6:15" x14ac:dyDescent="0.25">
      <c r="F245" s="16"/>
      <c r="O245" s="19"/>
    </row>
    <row r="246" spans="6:15" x14ac:dyDescent="0.25">
      <c r="F246" s="16"/>
      <c r="O246" s="19"/>
    </row>
    <row r="247" spans="6:15" x14ac:dyDescent="0.25">
      <c r="F247" s="16"/>
      <c r="O247" s="19"/>
    </row>
    <row r="248" spans="6:15" x14ac:dyDescent="0.25">
      <c r="F248" s="16"/>
      <c r="O248" s="19"/>
    </row>
    <row r="249" spans="6:15" x14ac:dyDescent="0.25">
      <c r="F249" s="16"/>
      <c r="O249" s="19"/>
    </row>
    <row r="250" spans="6:15" x14ac:dyDescent="0.25">
      <c r="F250" s="16"/>
      <c r="O250" s="19"/>
    </row>
    <row r="251" spans="6:15" x14ac:dyDescent="0.25">
      <c r="F251" s="16"/>
      <c r="O251" s="19"/>
    </row>
    <row r="252" spans="6:15" x14ac:dyDescent="0.25">
      <c r="F252" s="16"/>
      <c r="O252" s="19"/>
    </row>
    <row r="253" spans="6:15" x14ac:dyDescent="0.25">
      <c r="F253" s="16"/>
      <c r="O253" s="19"/>
    </row>
    <row r="254" spans="6:15" x14ac:dyDescent="0.25">
      <c r="F254" s="16"/>
      <c r="O254" s="19"/>
    </row>
    <row r="255" spans="6:15" x14ac:dyDescent="0.25">
      <c r="F255" s="16"/>
      <c r="O255" s="19"/>
    </row>
    <row r="256" spans="6:15" x14ac:dyDescent="0.25">
      <c r="F256" s="16"/>
      <c r="O256" s="19"/>
    </row>
    <row r="257" spans="6:15" x14ac:dyDescent="0.25">
      <c r="F257" s="16"/>
      <c r="O257" s="19"/>
    </row>
    <row r="258" spans="6:15" x14ac:dyDescent="0.25">
      <c r="F258" s="16"/>
      <c r="O258" s="19"/>
    </row>
    <row r="259" spans="6:15" x14ac:dyDescent="0.25">
      <c r="F259" s="16"/>
      <c r="O259" s="19"/>
    </row>
    <row r="260" spans="6:15" x14ac:dyDescent="0.25">
      <c r="F260" s="16"/>
      <c r="O260" s="19"/>
    </row>
    <row r="261" spans="6:15" x14ac:dyDescent="0.25">
      <c r="F261" s="16"/>
      <c r="O261" s="19"/>
    </row>
    <row r="262" spans="6:15" x14ac:dyDescent="0.25">
      <c r="F262" s="16"/>
      <c r="O262" s="19"/>
    </row>
    <row r="263" spans="6:15" x14ac:dyDescent="0.25">
      <c r="F263" s="16"/>
      <c r="O263" s="19"/>
    </row>
    <row r="264" spans="6:15" x14ac:dyDescent="0.25">
      <c r="F264" s="16"/>
      <c r="O264" s="19"/>
    </row>
    <row r="265" spans="6:15" x14ac:dyDescent="0.25">
      <c r="F265" s="16"/>
      <c r="O265" s="19"/>
    </row>
    <row r="266" spans="6:15" x14ac:dyDescent="0.25">
      <c r="F266" s="16"/>
      <c r="O266" s="19"/>
    </row>
    <row r="267" spans="6:15" x14ac:dyDescent="0.25">
      <c r="F267" s="16"/>
      <c r="O267" s="19"/>
    </row>
    <row r="268" spans="6:15" x14ac:dyDescent="0.25">
      <c r="F268" s="16"/>
      <c r="O268" s="19"/>
    </row>
    <row r="269" spans="6:15" x14ac:dyDescent="0.25">
      <c r="F269" s="16"/>
      <c r="O269" s="19"/>
    </row>
    <row r="270" spans="6:15" x14ac:dyDescent="0.25">
      <c r="F270" s="16"/>
      <c r="O270" s="19"/>
    </row>
    <row r="271" spans="6:15" x14ac:dyDescent="0.25">
      <c r="F271" s="16"/>
      <c r="O271" s="19"/>
    </row>
    <row r="272" spans="6:15" x14ac:dyDescent="0.25">
      <c r="F272" s="16"/>
      <c r="O272" s="19"/>
    </row>
    <row r="273" spans="6:15" x14ac:dyDescent="0.25">
      <c r="F273" s="16"/>
      <c r="O273" s="19"/>
    </row>
    <row r="274" spans="6:15" x14ac:dyDescent="0.25">
      <c r="F274" s="16"/>
      <c r="O274" s="19"/>
    </row>
    <row r="275" spans="6:15" x14ac:dyDescent="0.25">
      <c r="F275" s="16"/>
      <c r="O275" s="19"/>
    </row>
    <row r="276" spans="6:15" x14ac:dyDescent="0.25">
      <c r="F276" s="16"/>
      <c r="O276" s="19"/>
    </row>
    <row r="277" spans="6:15" x14ac:dyDescent="0.25">
      <c r="F277" s="16"/>
      <c r="O277" s="19"/>
    </row>
    <row r="278" spans="6:15" x14ac:dyDescent="0.25">
      <c r="F278" s="16"/>
      <c r="O278" s="19"/>
    </row>
    <row r="279" spans="6:15" x14ac:dyDescent="0.25">
      <c r="F279" s="16"/>
      <c r="O279" s="19"/>
    </row>
    <row r="280" spans="6:15" x14ac:dyDescent="0.25">
      <c r="F280" s="16"/>
      <c r="O280" s="19"/>
    </row>
    <row r="281" spans="6:15" x14ac:dyDescent="0.25">
      <c r="F281" s="16"/>
      <c r="O281" s="19"/>
    </row>
    <row r="282" spans="6:15" x14ac:dyDescent="0.25">
      <c r="F282" s="16"/>
      <c r="O282" s="19"/>
    </row>
    <row r="283" spans="6:15" x14ac:dyDescent="0.25">
      <c r="F283" s="16"/>
      <c r="O283" s="19"/>
    </row>
    <row r="284" spans="6:15" x14ac:dyDescent="0.25">
      <c r="F284" s="16"/>
      <c r="O284" s="19"/>
    </row>
    <row r="285" spans="6:15" x14ac:dyDescent="0.25">
      <c r="F285" s="16"/>
      <c r="O285" s="19"/>
    </row>
    <row r="286" spans="6:15" x14ac:dyDescent="0.25">
      <c r="F286" s="16"/>
      <c r="O286" s="19"/>
    </row>
    <row r="287" spans="6:15" x14ac:dyDescent="0.25">
      <c r="F287" s="16"/>
      <c r="O287" s="19"/>
    </row>
    <row r="288" spans="6:15" x14ac:dyDescent="0.25">
      <c r="F288" s="16"/>
      <c r="O288" s="19"/>
    </row>
    <row r="289" spans="6:15" x14ac:dyDescent="0.25">
      <c r="F289" s="16"/>
      <c r="O289" s="19"/>
    </row>
    <row r="290" spans="6:15" x14ac:dyDescent="0.25">
      <c r="F290" s="16"/>
      <c r="O290" s="19"/>
    </row>
    <row r="291" spans="6:15" x14ac:dyDescent="0.25">
      <c r="F291" s="16"/>
      <c r="O291" s="19"/>
    </row>
    <row r="292" spans="6:15" x14ac:dyDescent="0.25">
      <c r="F292" s="16"/>
      <c r="O292" s="19"/>
    </row>
    <row r="293" spans="6:15" x14ac:dyDescent="0.25">
      <c r="F293" s="16"/>
      <c r="O293" s="19"/>
    </row>
    <row r="294" spans="6:15" x14ac:dyDescent="0.25">
      <c r="F294" s="16"/>
      <c r="O294" s="19"/>
    </row>
    <row r="295" spans="6:15" x14ac:dyDescent="0.25">
      <c r="F295" s="16"/>
      <c r="O295" s="19"/>
    </row>
    <row r="296" spans="6:15" x14ac:dyDescent="0.25">
      <c r="F296" s="16"/>
      <c r="O296" s="19"/>
    </row>
    <row r="297" spans="6:15" x14ac:dyDescent="0.25">
      <c r="F297" s="16"/>
      <c r="O297" s="19"/>
    </row>
    <row r="298" spans="6:15" x14ac:dyDescent="0.25">
      <c r="F298" s="16"/>
      <c r="O298" s="19"/>
    </row>
    <row r="299" spans="6:15" x14ac:dyDescent="0.25">
      <c r="F299" s="16"/>
      <c r="O299" s="19"/>
    </row>
    <row r="300" spans="6:15" x14ac:dyDescent="0.25">
      <c r="F300" s="16"/>
      <c r="O300" s="19"/>
    </row>
    <row r="301" spans="6:15" x14ac:dyDescent="0.25">
      <c r="F301" s="16"/>
      <c r="O301" s="19"/>
    </row>
    <row r="302" spans="6:15" x14ac:dyDescent="0.25">
      <c r="F302" s="16"/>
      <c r="O302" s="19"/>
    </row>
    <row r="303" spans="6:15" x14ac:dyDescent="0.25">
      <c r="F303" s="16"/>
      <c r="O303" s="19"/>
    </row>
    <row r="304" spans="6:15" x14ac:dyDescent="0.25">
      <c r="F304" s="16"/>
      <c r="O304" s="19"/>
    </row>
    <row r="305" spans="6:15" x14ac:dyDescent="0.25">
      <c r="F305" s="16"/>
      <c r="O305" s="19"/>
    </row>
    <row r="306" spans="6:15" x14ac:dyDescent="0.25">
      <c r="F306" s="16"/>
      <c r="O306" s="19"/>
    </row>
    <row r="307" spans="6:15" x14ac:dyDescent="0.25">
      <c r="F307" s="16"/>
      <c r="O307" s="19"/>
    </row>
    <row r="308" spans="6:15" x14ac:dyDescent="0.25">
      <c r="F308" s="16"/>
      <c r="O308" s="19"/>
    </row>
    <row r="309" spans="6:15" x14ac:dyDescent="0.25">
      <c r="F309" s="16"/>
      <c r="O309" s="19"/>
    </row>
    <row r="310" spans="6:15" x14ac:dyDescent="0.25">
      <c r="F310" s="16"/>
      <c r="O310" s="19"/>
    </row>
    <row r="311" spans="6:15" x14ac:dyDescent="0.25">
      <c r="F311" s="16"/>
      <c r="O311" s="19"/>
    </row>
    <row r="312" spans="6:15" x14ac:dyDescent="0.25">
      <c r="F312" s="16"/>
      <c r="O312" s="19"/>
    </row>
    <row r="313" spans="6:15" x14ac:dyDescent="0.25">
      <c r="F313" s="16"/>
      <c r="O313" s="19"/>
    </row>
    <row r="314" spans="6:15" x14ac:dyDescent="0.25">
      <c r="F314" s="16"/>
      <c r="O314" s="19"/>
    </row>
    <row r="315" spans="6:15" x14ac:dyDescent="0.25">
      <c r="F315" s="16"/>
      <c r="O315" s="19"/>
    </row>
    <row r="316" spans="6:15" x14ac:dyDescent="0.25">
      <c r="F316" s="16"/>
      <c r="O316" s="19"/>
    </row>
    <row r="317" spans="6:15" x14ac:dyDescent="0.25">
      <c r="F317" s="16"/>
      <c r="O317" s="19"/>
    </row>
    <row r="318" spans="6:15" x14ac:dyDescent="0.25">
      <c r="F318" s="16"/>
      <c r="O318" s="19"/>
    </row>
    <row r="319" spans="6:15" x14ac:dyDescent="0.25">
      <c r="F319" s="16"/>
      <c r="O319" s="19"/>
    </row>
    <row r="320" spans="6:15" x14ac:dyDescent="0.25">
      <c r="F320" s="16"/>
      <c r="O320" s="19"/>
    </row>
    <row r="321" spans="4:6" x14ac:dyDescent="0.25">
      <c r="F321" s="16"/>
    </row>
    <row r="322" spans="4:6" x14ac:dyDescent="0.25">
      <c r="D322" s="16"/>
      <c r="E322" s="16"/>
    </row>
  </sheetData>
  <sheetProtection password="9626" sheet="1" objects="1" scenarios="1"/>
  <mergeCells count="10">
    <mergeCell ref="M2:N2"/>
    <mergeCell ref="J2:K2"/>
    <mergeCell ref="G21:H21"/>
    <mergeCell ref="A2:B2"/>
    <mergeCell ref="G2:H2"/>
    <mergeCell ref="D2:E2"/>
    <mergeCell ref="J15:K15"/>
    <mergeCell ref="G15:H15"/>
    <mergeCell ref="J20:K20"/>
    <mergeCell ref="A20:C20"/>
  </mergeCells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91"/>
  <sheetViews>
    <sheetView showGridLines="0" zoomScale="55" zoomScaleNormal="55" workbookViewId="0">
      <selection activeCell="A49" sqref="A49"/>
    </sheetView>
  </sheetViews>
  <sheetFormatPr defaultRowHeight="15" x14ac:dyDescent="0.25"/>
  <cols>
    <col min="1" max="9" width="9.140625" style="30"/>
    <col min="10" max="10" width="5.28515625" style="30" customWidth="1"/>
    <col min="11" max="16384" width="9.140625" style="30"/>
  </cols>
  <sheetData>
    <row r="1" spans="1:30" x14ac:dyDescent="0.25">
      <c r="A1" s="128"/>
      <c r="B1" s="128"/>
      <c r="C1" s="128"/>
      <c r="D1" s="128"/>
      <c r="E1" s="128"/>
      <c r="F1" s="128"/>
      <c r="G1" s="128"/>
      <c r="H1" s="128"/>
      <c r="I1" s="128"/>
      <c r="J1" s="128"/>
      <c r="O1" s="128"/>
      <c r="P1" s="128"/>
      <c r="Q1" s="128"/>
      <c r="R1" s="128"/>
      <c r="S1" s="128"/>
      <c r="T1" s="128"/>
      <c r="U1" s="129"/>
      <c r="V1" s="129"/>
      <c r="W1" s="128"/>
      <c r="X1" s="128"/>
      <c r="Y1" s="128"/>
      <c r="Z1" s="128"/>
      <c r="AA1" s="128"/>
      <c r="AB1" s="128"/>
      <c r="AC1" s="128"/>
      <c r="AD1" s="128"/>
    </row>
    <row r="25" spans="5:31" x14ac:dyDescent="0.25">
      <c r="Q25" s="31"/>
      <c r="R25" s="31"/>
      <c r="S25" s="31"/>
      <c r="T25" s="31"/>
    </row>
    <row r="26" spans="5:31" x14ac:dyDescent="0.25"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</row>
    <row r="31" spans="5:31" x14ac:dyDescent="0.25">
      <c r="E31" s="128"/>
      <c r="F31" s="128"/>
      <c r="G31" s="128"/>
      <c r="H31" s="128"/>
      <c r="I31" s="128"/>
      <c r="J31" s="128"/>
      <c r="K31" s="128"/>
    </row>
    <row r="60" spans="2:16" ht="21" x14ac:dyDescent="0.35">
      <c r="B60" s="90"/>
      <c r="C60" s="90"/>
      <c r="D60" s="90"/>
      <c r="E60" s="90"/>
      <c r="F60" s="90"/>
      <c r="G60" s="90"/>
      <c r="H60" s="90" t="s">
        <v>37</v>
      </c>
      <c r="J60" s="90"/>
      <c r="K60" s="90"/>
      <c r="L60" s="90"/>
      <c r="M60" s="90"/>
      <c r="N60" s="90"/>
      <c r="O60" s="90"/>
      <c r="P60" s="90"/>
    </row>
    <row r="91" spans="2:16" ht="21" x14ac:dyDescent="0.35">
      <c r="B91" s="90"/>
      <c r="C91" s="90"/>
      <c r="D91" s="90"/>
      <c r="E91" s="90"/>
      <c r="F91" s="90"/>
      <c r="G91" s="90" t="s">
        <v>61</v>
      </c>
      <c r="I91" s="90"/>
      <c r="J91" s="90"/>
      <c r="K91" s="90"/>
      <c r="L91" s="90"/>
      <c r="M91" s="90"/>
      <c r="N91" s="90"/>
      <c r="O91" s="90"/>
      <c r="P91" s="90"/>
    </row>
  </sheetData>
  <mergeCells count="6">
    <mergeCell ref="R26:AE26"/>
    <mergeCell ref="O1:T1"/>
    <mergeCell ref="W1:AD1"/>
    <mergeCell ref="U1:V1"/>
    <mergeCell ref="E31:K31"/>
    <mergeCell ref="A1:J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26"/>
  <sheetViews>
    <sheetView zoomScale="70" zoomScaleNormal="70" workbookViewId="0">
      <selection activeCell="G17" sqref="G17"/>
    </sheetView>
  </sheetViews>
  <sheetFormatPr defaultRowHeight="15" x14ac:dyDescent="0.25"/>
  <cols>
    <col min="1" max="1" width="26.42578125" style="41" bestFit="1" customWidth="1"/>
    <col min="2" max="2" width="30.140625" style="41" bestFit="1" customWidth="1"/>
    <col min="3" max="3" width="10.7109375" style="41" customWidth="1"/>
    <col min="4" max="4" width="28.140625" style="41" bestFit="1" customWidth="1"/>
    <col min="5" max="5" width="16.85546875" style="41" bestFit="1" customWidth="1"/>
    <col min="6" max="6" width="10.7109375" style="41" customWidth="1"/>
    <col min="7" max="7" width="32.140625" style="41" bestFit="1" customWidth="1"/>
    <col min="8" max="8" width="15" style="41" bestFit="1" customWidth="1"/>
    <col min="9" max="16384" width="9.140625" style="41"/>
  </cols>
  <sheetData>
    <row r="2" spans="1:8" x14ac:dyDescent="0.25">
      <c r="A2" s="130" t="s">
        <v>32</v>
      </c>
      <c r="B2" s="130"/>
      <c r="D2" s="130" t="s">
        <v>75</v>
      </c>
      <c r="E2" s="130"/>
      <c r="G2" s="130" t="s">
        <v>42</v>
      </c>
      <c r="H2" s="130"/>
    </row>
    <row r="3" spans="1:8" x14ac:dyDescent="0.25">
      <c r="A3" s="69" t="s">
        <v>13</v>
      </c>
      <c r="B3" s="69" t="s">
        <v>23</v>
      </c>
      <c r="D3" s="77" t="s">
        <v>27</v>
      </c>
      <c r="E3" s="77" t="s">
        <v>29</v>
      </c>
      <c r="G3" s="75" t="s">
        <v>25</v>
      </c>
      <c r="H3" s="83" t="s">
        <v>31</v>
      </c>
    </row>
    <row r="4" spans="1:8" x14ac:dyDescent="0.25">
      <c r="A4" s="109"/>
      <c r="B4" s="110"/>
      <c r="D4" s="79"/>
      <c r="E4" s="79"/>
      <c r="G4" s="84"/>
      <c r="H4" s="81" t="str">
        <f>IF(Country15[Country of Incidence]&lt;&gt;"",COUNTIF(Listing!$BC:$BC,Country15[[#This Row],[Country of Incidence]]),"")</f>
        <v/>
      </c>
    </row>
    <row r="5" spans="1:8" x14ac:dyDescent="0.25">
      <c r="A5" s="111"/>
      <c r="B5" s="112"/>
      <c r="D5" s="89"/>
      <c r="E5" s="89"/>
      <c r="G5" s="99" t="s">
        <v>68</v>
      </c>
      <c r="H5" s="105">
        <v>0</v>
      </c>
    </row>
    <row r="6" spans="1:8" x14ac:dyDescent="0.25">
      <c r="A6" s="109"/>
      <c r="B6" s="110"/>
      <c r="D6" s="79"/>
      <c r="E6" s="79"/>
    </row>
    <row r="7" spans="1:8" x14ac:dyDescent="0.25">
      <c r="A7" s="111"/>
      <c r="B7" s="112"/>
      <c r="D7" s="79"/>
      <c r="E7" s="79"/>
    </row>
    <row r="8" spans="1:8" x14ac:dyDescent="0.25">
      <c r="A8" s="109"/>
      <c r="B8" s="110"/>
      <c r="D8" s="79"/>
      <c r="E8" s="79"/>
    </row>
    <row r="9" spans="1:8" x14ac:dyDescent="0.25">
      <c r="A9" s="111"/>
      <c r="B9" s="112"/>
      <c r="D9" s="79"/>
      <c r="E9" s="79"/>
    </row>
    <row r="10" spans="1:8" x14ac:dyDescent="0.25">
      <c r="A10" s="109"/>
      <c r="B10" s="110"/>
      <c r="D10" s="79"/>
      <c r="E10" s="79"/>
    </row>
    <row r="11" spans="1:8" x14ac:dyDescent="0.25">
      <c r="A11" s="111"/>
      <c r="B11" s="112"/>
      <c r="D11" s="79"/>
      <c r="E11" s="79"/>
    </row>
    <row r="12" spans="1:8" x14ac:dyDescent="0.25">
      <c r="A12" s="109"/>
      <c r="B12" s="110"/>
      <c r="D12" s="88"/>
      <c r="E12" s="88"/>
    </row>
    <row r="13" spans="1:8" x14ac:dyDescent="0.25">
      <c r="A13" s="111"/>
      <c r="B13" s="112"/>
      <c r="D13" s="106" t="s">
        <v>68</v>
      </c>
      <c r="E13" s="106">
        <v>0</v>
      </c>
    </row>
    <row r="14" spans="1:8" x14ac:dyDescent="0.25">
      <c r="A14" s="109"/>
      <c r="B14" s="110"/>
    </row>
    <row r="15" spans="1:8" x14ac:dyDescent="0.25">
      <c r="A15" s="111"/>
      <c r="B15" s="112"/>
      <c r="D15" s="124" t="s">
        <v>33</v>
      </c>
      <c r="E15" s="124"/>
    </row>
    <row r="16" spans="1:8" x14ac:dyDescent="0.25">
      <c r="A16" s="109"/>
      <c r="B16" s="110"/>
      <c r="D16" s="61" t="s">
        <v>54</v>
      </c>
      <c r="E16" s="61" t="s">
        <v>29</v>
      </c>
    </row>
    <row r="17" spans="1:5" x14ac:dyDescent="0.25">
      <c r="A17" s="118"/>
      <c r="B17" s="119"/>
      <c r="D17" s="63">
        <v>1.4999999999999999E-2</v>
      </c>
      <c r="E17" s="108">
        <f>COUNTIF(Listing!$BG:$BG,"1.5")</f>
        <v>0</v>
      </c>
    </row>
    <row r="18" spans="1:5" x14ac:dyDescent="0.25">
      <c r="A18" s="104" t="s">
        <v>28</v>
      </c>
      <c r="B18" s="104">
        <v>0</v>
      </c>
      <c r="D18" s="115">
        <v>0.02</v>
      </c>
      <c r="E18" s="108">
        <f>COUNTIF(Listing!$BG:$BG,"2")</f>
        <v>0</v>
      </c>
    </row>
    <row r="19" spans="1:5" x14ac:dyDescent="0.25">
      <c r="D19" s="116" t="s">
        <v>8</v>
      </c>
      <c r="E19" s="108">
        <f>COUNTA(Listing!$AX:$AX) - 1 -SUM(BreakDown!E17:E18)</f>
        <v>0</v>
      </c>
    </row>
    <row r="20" spans="1:5" x14ac:dyDescent="0.25">
      <c r="A20" s="130" t="s">
        <v>30</v>
      </c>
      <c r="B20" s="130"/>
      <c r="D20" s="97" t="s">
        <v>34</v>
      </c>
      <c r="E20" s="64">
        <f>SUM(E17:E19)</f>
        <v>0</v>
      </c>
    </row>
    <row r="21" spans="1:5" x14ac:dyDescent="0.25">
      <c r="A21" s="67" t="s">
        <v>4</v>
      </c>
      <c r="B21" s="67" t="s">
        <v>29</v>
      </c>
    </row>
    <row r="22" spans="1:5" x14ac:dyDescent="0.25">
      <c r="A22" s="113"/>
      <c r="B22" s="114" t="str">
        <f>IF(Case_Prod_Break4[[#This Row],[Product Name]]&lt;&gt;"",COUNTIFS(Listing!BE:BE,Case_Prod_Break4[Product Name]),"")</f>
        <v/>
      </c>
      <c r="D22" s="124" t="s">
        <v>58</v>
      </c>
      <c r="E22" s="124"/>
    </row>
    <row r="23" spans="1:5" x14ac:dyDescent="0.25">
      <c r="A23" s="98" t="s">
        <v>68</v>
      </c>
      <c r="B23" s="98">
        <v>0</v>
      </c>
      <c r="D23" s="57" t="s">
        <v>69</v>
      </c>
      <c r="E23" s="57" t="s">
        <v>29</v>
      </c>
    </row>
    <row r="24" spans="1:5" x14ac:dyDescent="0.25">
      <c r="D24" s="58" t="s">
        <v>49</v>
      </c>
      <c r="E24" s="59">
        <v>0</v>
      </c>
    </row>
    <row r="25" spans="1:5" x14ac:dyDescent="0.25">
      <c r="D25" s="58" t="s">
        <v>50</v>
      </c>
      <c r="E25" s="60">
        <v>0</v>
      </c>
    </row>
    <row r="26" spans="1:5" x14ac:dyDescent="0.25">
      <c r="D26" s="97" t="s">
        <v>34</v>
      </c>
      <c r="E26" s="56">
        <f>SUM(E24:E25)</f>
        <v>0</v>
      </c>
    </row>
  </sheetData>
  <mergeCells count="6">
    <mergeCell ref="A2:B2"/>
    <mergeCell ref="A20:B20"/>
    <mergeCell ref="D2:E2"/>
    <mergeCell ref="D15:E15"/>
    <mergeCell ref="D22:E22"/>
    <mergeCell ref="G2:H2"/>
  </mergeCell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Listing</vt:lpstr>
      <vt:lpstr>Help</vt:lpstr>
      <vt:lpstr>BreakDown</vt:lpstr>
      <vt:lpstr>Graphs </vt:lpstr>
      <vt:lpstr>Tables</vt:lpstr>
      <vt:lpstr>Listing!Criteria</vt:lpstr>
      <vt:lpstr>Listing!Extract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Declan Oatridge</dc:creator>
  <cp:lastModifiedBy>Jerome Paddick</cp:lastModifiedBy>
  <dcterms:created xsi:type="dcterms:W3CDTF">2017-07-24T15:46:00Z</dcterms:created>
  <dcterms:modified xsi:type="dcterms:W3CDTF">2018-06-08T14:30:55Z</dcterms:modified>
</cp:coreProperties>
</file>